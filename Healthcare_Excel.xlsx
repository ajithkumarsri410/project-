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4" r:id="rId1"/>
    <sheet name="Sheet1" sheetId="1" r:id="rId2"/>
  </sheets>
  <definedNames>
    <definedName name="_xlnm._FilterDatabase" localSheetId="1" hidden="1">Sheet1!$M$1:$M$3001</definedName>
  </definedNames>
  <calcPr calcId="124519"/>
  <pivotCaches>
    <pivotCache cacheId="0" r:id="rId3"/>
  </pivotCaches>
</workbook>
</file>

<file path=xl/calcChain.xml><?xml version="1.0" encoding="utf-8"?>
<calcChain xmlns="http://schemas.openxmlformats.org/spreadsheetml/2006/main">
  <c r="U2" i="1"/>
  <c r="AA4"/>
  <c r="AA3" a="1"/>
  <c r="AA3" s="1"/>
  <c r="W3"/>
  <c r="Y3"/>
  <c r="X3"/>
  <c r="W4" a="1"/>
  <c r="W4" s="1"/>
  <c r="W5" a="1"/>
  <c r="W5" s="1"/>
  <c r="W6" a="1"/>
  <c r="W6" s="1"/>
  <c r="T2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89"/>
  <c r="U90"/>
  <c r="U91"/>
  <c r="U92"/>
  <c r="U93"/>
  <c r="U94"/>
  <c r="U95"/>
  <c r="U96"/>
  <c r="U97"/>
  <c r="U98"/>
  <c r="U99"/>
  <c r="U100"/>
  <c r="U101"/>
  <c r="U102"/>
  <c r="U103"/>
  <c r="U104"/>
  <c r="U105"/>
  <c r="U106"/>
  <c r="U107"/>
  <c r="U108"/>
  <c r="U109"/>
  <c r="U110"/>
  <c r="U111"/>
  <c r="U112"/>
  <c r="U113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131"/>
  <c r="U132"/>
  <c r="U133"/>
  <c r="U134"/>
  <c r="U135"/>
  <c r="U136"/>
  <c r="U137"/>
  <c r="U138"/>
  <c r="U139"/>
  <c r="U140"/>
  <c r="U141"/>
  <c r="U142"/>
  <c r="U143"/>
  <c r="U144"/>
  <c r="U145"/>
  <c r="U146"/>
  <c r="U147"/>
  <c r="U148"/>
  <c r="U149"/>
  <c r="U150"/>
  <c r="U151"/>
  <c r="U152"/>
  <c r="U153"/>
  <c r="U154"/>
  <c r="U155"/>
  <c r="U156"/>
  <c r="U157"/>
  <c r="U158"/>
  <c r="U159"/>
  <c r="U160"/>
  <c r="U161"/>
  <c r="U162"/>
  <c r="U163"/>
  <c r="U164"/>
  <c r="U165"/>
  <c r="U166"/>
  <c r="U167"/>
  <c r="U168"/>
  <c r="U169"/>
  <c r="U170"/>
  <c r="U171"/>
  <c r="U172"/>
  <c r="U173"/>
  <c r="U174"/>
  <c r="U175"/>
  <c r="U176"/>
  <c r="U177"/>
  <c r="U178"/>
  <c r="U179"/>
  <c r="U180"/>
  <c r="U181"/>
  <c r="U182"/>
  <c r="U183"/>
  <c r="U184"/>
  <c r="U185"/>
  <c r="U186"/>
  <c r="U187"/>
  <c r="U188"/>
  <c r="U189"/>
  <c r="U190"/>
  <c r="U191"/>
  <c r="U192"/>
  <c r="U193"/>
  <c r="U194"/>
  <c r="U195"/>
  <c r="U196"/>
  <c r="U197"/>
  <c r="U198"/>
  <c r="U199"/>
  <c r="U200"/>
  <c r="U201"/>
  <c r="U202"/>
  <c r="U203"/>
  <c r="U204"/>
  <c r="U205"/>
  <c r="U206"/>
  <c r="U207"/>
  <c r="U208"/>
  <c r="U209"/>
  <c r="U210"/>
  <c r="U211"/>
  <c r="U212"/>
  <c r="U213"/>
  <c r="U214"/>
  <c r="U215"/>
  <c r="U216"/>
  <c r="U217"/>
  <c r="U218"/>
  <c r="U219"/>
  <c r="U220"/>
  <c r="U221"/>
  <c r="U222"/>
  <c r="U223"/>
  <c r="U224"/>
  <c r="U225"/>
  <c r="U226"/>
  <c r="U227"/>
  <c r="U228"/>
  <c r="U229"/>
  <c r="U230"/>
  <c r="U231"/>
  <c r="U232"/>
  <c r="U233"/>
  <c r="U234"/>
  <c r="U235"/>
  <c r="U236"/>
  <c r="U237"/>
  <c r="U238"/>
  <c r="U239"/>
  <c r="U240"/>
  <c r="U241"/>
  <c r="U242"/>
  <c r="U243"/>
  <c r="U244"/>
  <c r="U245"/>
  <c r="U246"/>
  <c r="U247"/>
  <c r="U248"/>
  <c r="U249"/>
  <c r="U250"/>
  <c r="U25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U462"/>
  <c r="U463"/>
  <c r="U464"/>
  <c r="U465"/>
  <c r="U466"/>
  <c r="U467"/>
  <c r="U468"/>
  <c r="U469"/>
  <c r="U470"/>
  <c r="U471"/>
  <c r="U472"/>
  <c r="U473"/>
  <c r="U474"/>
  <c r="U475"/>
  <c r="U476"/>
  <c r="U477"/>
  <c r="U478"/>
  <c r="U479"/>
  <c r="U480"/>
  <c r="U481"/>
  <c r="U482"/>
  <c r="U483"/>
  <c r="U484"/>
  <c r="U485"/>
  <c r="U486"/>
  <c r="U487"/>
  <c r="U488"/>
  <c r="U489"/>
  <c r="U490"/>
  <c r="U491"/>
  <c r="U492"/>
  <c r="U493"/>
  <c r="U494"/>
  <c r="U495"/>
  <c r="U496"/>
  <c r="U497"/>
  <c r="U498"/>
  <c r="U499"/>
  <c r="U500"/>
  <c r="U501"/>
  <c r="U502"/>
  <c r="U503"/>
  <c r="U504"/>
  <c r="U505"/>
  <c r="U506"/>
  <c r="U507"/>
  <c r="U508"/>
  <c r="U509"/>
  <c r="U510"/>
  <c r="U511"/>
  <c r="U512"/>
  <c r="U513"/>
  <c r="U514"/>
  <c r="U515"/>
  <c r="U516"/>
  <c r="U517"/>
  <c r="U518"/>
  <c r="U519"/>
  <c r="U520"/>
  <c r="U521"/>
  <c r="U522"/>
  <c r="U523"/>
  <c r="U524"/>
  <c r="U525"/>
  <c r="U526"/>
  <c r="U527"/>
  <c r="U528"/>
  <c r="U529"/>
  <c r="U530"/>
  <c r="U531"/>
  <c r="U532"/>
  <c r="U533"/>
  <c r="U534"/>
  <c r="U535"/>
  <c r="U536"/>
  <c r="U537"/>
  <c r="U538"/>
  <c r="U539"/>
  <c r="U540"/>
  <c r="U541"/>
  <c r="U542"/>
  <c r="U543"/>
  <c r="U544"/>
  <c r="U545"/>
  <c r="U546"/>
  <c r="U547"/>
  <c r="U548"/>
  <c r="U549"/>
  <c r="U550"/>
  <c r="U551"/>
  <c r="U552"/>
  <c r="U553"/>
  <c r="U554"/>
  <c r="U555"/>
  <c r="U556"/>
  <c r="U557"/>
  <c r="U558"/>
  <c r="U559"/>
  <c r="U560"/>
  <c r="U561"/>
  <c r="U562"/>
  <c r="U563"/>
  <c r="U564"/>
  <c r="U565"/>
  <c r="U566"/>
  <c r="U567"/>
  <c r="U568"/>
  <c r="U569"/>
  <c r="U570"/>
  <c r="U571"/>
  <c r="U572"/>
  <c r="U573"/>
  <c r="U574"/>
  <c r="U575"/>
  <c r="U576"/>
  <c r="U577"/>
  <c r="U578"/>
  <c r="U579"/>
  <c r="U580"/>
  <c r="U581"/>
  <c r="U582"/>
  <c r="U583"/>
  <c r="U584"/>
  <c r="U585"/>
  <c r="U586"/>
  <c r="U587"/>
  <c r="U588"/>
  <c r="U589"/>
  <c r="U590"/>
  <c r="U591"/>
  <c r="U592"/>
  <c r="U593"/>
  <c r="U594"/>
  <c r="U595"/>
  <c r="U596"/>
  <c r="U597"/>
  <c r="U598"/>
  <c r="U599"/>
  <c r="U600"/>
  <c r="U601"/>
  <c r="U602"/>
  <c r="U603"/>
  <c r="U604"/>
  <c r="U605"/>
  <c r="U606"/>
  <c r="U607"/>
  <c r="U608"/>
  <c r="U609"/>
  <c r="U610"/>
  <c r="U611"/>
  <c r="U612"/>
  <c r="U613"/>
  <c r="U614"/>
  <c r="U615"/>
  <c r="U616"/>
  <c r="U617"/>
  <c r="U618"/>
  <c r="U619"/>
  <c r="U620"/>
  <c r="U621"/>
  <c r="U622"/>
  <c r="U623"/>
  <c r="U624"/>
  <c r="U625"/>
  <c r="U626"/>
  <c r="U627"/>
  <c r="U628"/>
  <c r="U629"/>
  <c r="U630"/>
  <c r="U631"/>
  <c r="U632"/>
  <c r="U633"/>
  <c r="U634"/>
  <c r="U635"/>
  <c r="U636"/>
  <c r="U637"/>
  <c r="U638"/>
  <c r="U639"/>
  <c r="U640"/>
  <c r="U641"/>
  <c r="U642"/>
  <c r="U643"/>
  <c r="U644"/>
  <c r="U645"/>
  <c r="U646"/>
  <c r="U647"/>
  <c r="U648"/>
  <c r="U649"/>
  <c r="U650"/>
  <c r="U651"/>
  <c r="U652"/>
  <c r="U653"/>
  <c r="U654"/>
  <c r="U655"/>
  <c r="U656"/>
  <c r="U657"/>
  <c r="U658"/>
  <c r="U659"/>
  <c r="U660"/>
  <c r="U661"/>
  <c r="U662"/>
  <c r="U663"/>
  <c r="U664"/>
  <c r="U665"/>
  <c r="U666"/>
  <c r="U667"/>
  <c r="U668"/>
  <c r="U669"/>
  <c r="U670"/>
  <c r="U671"/>
  <c r="U672"/>
  <c r="U673"/>
  <c r="U674"/>
  <c r="U675"/>
  <c r="U676"/>
  <c r="U677"/>
  <c r="U678"/>
  <c r="U679"/>
  <c r="U680"/>
  <c r="U681"/>
  <c r="U682"/>
  <c r="U683"/>
  <c r="U684"/>
  <c r="U685"/>
  <c r="U686"/>
  <c r="U687"/>
  <c r="U688"/>
  <c r="U689"/>
  <c r="U690"/>
  <c r="U691"/>
  <c r="U692"/>
  <c r="U693"/>
  <c r="U694"/>
  <c r="U695"/>
  <c r="U696"/>
  <c r="U697"/>
  <c r="U698"/>
  <c r="U699"/>
  <c r="U700"/>
  <c r="U701"/>
  <c r="U702"/>
  <c r="U703"/>
  <c r="U704"/>
  <c r="U705"/>
  <c r="U706"/>
  <c r="U707"/>
  <c r="U708"/>
  <c r="U709"/>
  <c r="U710"/>
  <c r="U711"/>
  <c r="U712"/>
  <c r="U713"/>
  <c r="U714"/>
  <c r="U715"/>
  <c r="U716"/>
  <c r="U717"/>
  <c r="U718"/>
  <c r="U719"/>
  <c r="U720"/>
  <c r="U721"/>
  <c r="U722"/>
  <c r="U723"/>
  <c r="U724"/>
  <c r="U725"/>
  <c r="U726"/>
  <c r="U727"/>
  <c r="U728"/>
  <c r="U729"/>
  <c r="U730"/>
  <c r="U731"/>
  <c r="U732"/>
  <c r="U733"/>
  <c r="U734"/>
  <c r="U735"/>
  <c r="U736"/>
  <c r="U737"/>
  <c r="U738"/>
  <c r="U739"/>
  <c r="U740"/>
  <c r="U741"/>
  <c r="U742"/>
  <c r="U743"/>
  <c r="U744"/>
  <c r="U745"/>
  <c r="U746"/>
  <c r="U747"/>
  <c r="U748"/>
  <c r="U749"/>
  <c r="U750"/>
  <c r="U751"/>
  <c r="U752"/>
  <c r="U753"/>
  <c r="U754"/>
  <c r="U755"/>
  <c r="U756"/>
  <c r="U757"/>
  <c r="U758"/>
  <c r="U759"/>
  <c r="U760"/>
  <c r="U761"/>
  <c r="U762"/>
  <c r="U763"/>
  <c r="U764"/>
  <c r="U765"/>
  <c r="U766"/>
  <c r="U767"/>
  <c r="U768"/>
  <c r="U769"/>
  <c r="U770"/>
  <c r="U771"/>
  <c r="U772"/>
  <c r="U773"/>
  <c r="U774"/>
  <c r="U775"/>
  <c r="U776"/>
  <c r="U777"/>
  <c r="U778"/>
  <c r="U779"/>
  <c r="U780"/>
  <c r="U781"/>
  <c r="U782"/>
  <c r="U783"/>
  <c r="U784"/>
  <c r="U785"/>
  <c r="U786"/>
  <c r="U787"/>
  <c r="U788"/>
  <c r="U789"/>
  <c r="U790"/>
  <c r="U791"/>
  <c r="U792"/>
  <c r="U793"/>
  <c r="U794"/>
  <c r="U795"/>
  <c r="U796"/>
  <c r="U797"/>
  <c r="U798"/>
  <c r="U799"/>
  <c r="U800"/>
  <c r="U801"/>
  <c r="U802"/>
  <c r="U803"/>
  <c r="U804"/>
  <c r="U805"/>
  <c r="U806"/>
  <c r="U807"/>
  <c r="U808"/>
  <c r="U809"/>
  <c r="U810"/>
  <c r="U811"/>
  <c r="U812"/>
  <c r="U813"/>
  <c r="U814"/>
  <c r="U815"/>
  <c r="U816"/>
  <c r="U817"/>
  <c r="U818"/>
  <c r="U819"/>
  <c r="U820"/>
  <c r="U821"/>
  <c r="U822"/>
  <c r="U823"/>
  <c r="U824"/>
  <c r="U825"/>
  <c r="U826"/>
  <c r="U827"/>
  <c r="U828"/>
  <c r="U829"/>
  <c r="U830"/>
  <c r="U831"/>
  <c r="U832"/>
  <c r="U833"/>
  <c r="U834"/>
  <c r="U835"/>
  <c r="U836"/>
  <c r="U837"/>
  <c r="U838"/>
  <c r="U839"/>
  <c r="U840"/>
  <c r="U841"/>
  <c r="U842"/>
  <c r="U843"/>
  <c r="U844"/>
  <c r="U845"/>
  <c r="U846"/>
  <c r="U847"/>
  <c r="U848"/>
  <c r="U849"/>
  <c r="U850"/>
  <c r="U851"/>
  <c r="U852"/>
  <c r="U853"/>
  <c r="U854"/>
  <c r="U855"/>
  <c r="U856"/>
  <c r="U857"/>
  <c r="U858"/>
  <c r="U859"/>
  <c r="U860"/>
  <c r="U861"/>
  <c r="U862"/>
  <c r="U863"/>
  <c r="U864"/>
  <c r="U865"/>
  <c r="U866"/>
  <c r="U867"/>
  <c r="U868"/>
  <c r="U869"/>
  <c r="U870"/>
  <c r="U871"/>
  <c r="U872"/>
  <c r="U873"/>
  <c r="U874"/>
  <c r="U875"/>
  <c r="U876"/>
  <c r="U877"/>
  <c r="U878"/>
  <c r="U879"/>
  <c r="U880"/>
  <c r="U881"/>
  <c r="U882"/>
  <c r="U883"/>
  <c r="U884"/>
  <c r="U885"/>
  <c r="U886"/>
  <c r="U887"/>
  <c r="U888"/>
  <c r="U889"/>
  <c r="U890"/>
  <c r="U891"/>
  <c r="U892"/>
  <c r="U893"/>
  <c r="U894"/>
  <c r="U895"/>
  <c r="U896"/>
  <c r="U897"/>
  <c r="U898"/>
  <c r="U899"/>
  <c r="U900"/>
  <c r="U901"/>
  <c r="U902"/>
  <c r="U903"/>
  <c r="U904"/>
  <c r="U905"/>
  <c r="U906"/>
  <c r="U907"/>
  <c r="U908"/>
  <c r="U909"/>
  <c r="U910"/>
  <c r="U911"/>
  <c r="U912"/>
  <c r="U913"/>
  <c r="U914"/>
  <c r="U915"/>
  <c r="U916"/>
  <c r="U917"/>
  <c r="U918"/>
  <c r="U919"/>
  <c r="U920"/>
  <c r="U921"/>
  <c r="U922"/>
  <c r="U923"/>
  <c r="U924"/>
  <c r="U925"/>
  <c r="U926"/>
  <c r="U927"/>
  <c r="U928"/>
  <c r="U929"/>
  <c r="U930"/>
  <c r="U931"/>
  <c r="U932"/>
  <c r="U933"/>
  <c r="U934"/>
  <c r="U935"/>
  <c r="U936"/>
  <c r="U937"/>
  <c r="U938"/>
  <c r="U939"/>
  <c r="U940"/>
  <c r="U941"/>
  <c r="U942"/>
  <c r="U943"/>
  <c r="U944"/>
  <c r="U945"/>
  <c r="U946"/>
  <c r="U947"/>
  <c r="U948"/>
  <c r="U949"/>
  <c r="U950"/>
  <c r="U951"/>
  <c r="U952"/>
  <c r="U953"/>
  <c r="U954"/>
  <c r="U955"/>
  <c r="U956"/>
  <c r="U957"/>
  <c r="U958"/>
  <c r="U959"/>
  <c r="U960"/>
  <c r="U961"/>
  <c r="U962"/>
  <c r="U963"/>
  <c r="U964"/>
  <c r="U965"/>
  <c r="U966"/>
  <c r="U967"/>
  <c r="U968"/>
  <c r="U969"/>
  <c r="U970"/>
  <c r="U971"/>
  <c r="U972"/>
  <c r="U973"/>
  <c r="U974"/>
  <c r="U975"/>
  <c r="U976"/>
  <c r="U977"/>
  <c r="U978"/>
  <c r="U979"/>
  <c r="U980"/>
  <c r="U981"/>
  <c r="U982"/>
  <c r="U983"/>
  <c r="U984"/>
  <c r="U985"/>
  <c r="U986"/>
  <c r="U987"/>
  <c r="U988"/>
  <c r="U989"/>
  <c r="U990"/>
  <c r="U991"/>
  <c r="U992"/>
  <c r="U993"/>
  <c r="U994"/>
  <c r="U995"/>
  <c r="U996"/>
  <c r="U997"/>
  <c r="U998"/>
  <c r="U999"/>
  <c r="U1000"/>
  <c r="U1001"/>
  <c r="U1002"/>
  <c r="U1003"/>
  <c r="U1004"/>
  <c r="U1005"/>
  <c r="U1006"/>
  <c r="U1007"/>
  <c r="U1008"/>
  <c r="U1009"/>
  <c r="U1010"/>
  <c r="U1011"/>
  <c r="U1012"/>
  <c r="U1013"/>
  <c r="U1014"/>
  <c r="U1015"/>
  <c r="U1016"/>
  <c r="U1017"/>
  <c r="U1018"/>
  <c r="U1019"/>
  <c r="U1020"/>
  <c r="U1021"/>
  <c r="U1022"/>
  <c r="U1023"/>
  <c r="U1024"/>
  <c r="U1025"/>
  <c r="U1026"/>
  <c r="U1027"/>
  <c r="U1028"/>
  <c r="U1029"/>
  <c r="U1030"/>
  <c r="U1031"/>
  <c r="U1032"/>
  <c r="U1033"/>
  <c r="U1034"/>
  <c r="U1035"/>
  <c r="U1036"/>
  <c r="U1037"/>
  <c r="U1038"/>
  <c r="U1039"/>
  <c r="U1040"/>
  <c r="U1041"/>
  <c r="U1042"/>
  <c r="U1043"/>
  <c r="U1044"/>
  <c r="U1045"/>
  <c r="U1046"/>
  <c r="U1047"/>
  <c r="U1048"/>
  <c r="U1049"/>
  <c r="U1050"/>
  <c r="U1051"/>
  <c r="U1052"/>
  <c r="U1053"/>
  <c r="U1054"/>
  <c r="U1055"/>
  <c r="U1056"/>
  <c r="U1057"/>
  <c r="U1058"/>
  <c r="U1059"/>
  <c r="U1060"/>
  <c r="U1061"/>
  <c r="U1062"/>
  <c r="U1063"/>
  <c r="U1064"/>
  <c r="U1065"/>
  <c r="U1066"/>
  <c r="U1067"/>
  <c r="U1068"/>
  <c r="U1069"/>
  <c r="U1070"/>
  <c r="U1071"/>
  <c r="U1072"/>
  <c r="U1073"/>
  <c r="U1074"/>
  <c r="U1075"/>
  <c r="U1076"/>
  <c r="U1077"/>
  <c r="U1078"/>
  <c r="U1079"/>
  <c r="U1080"/>
  <c r="U1081"/>
  <c r="U1082"/>
  <c r="U1083"/>
  <c r="U1084"/>
  <c r="U1085"/>
  <c r="U1086"/>
  <c r="U1087"/>
  <c r="U1088"/>
  <c r="U1089"/>
  <c r="U1090"/>
  <c r="U1091"/>
  <c r="U1092"/>
  <c r="U1093"/>
  <c r="U1094"/>
  <c r="U1095"/>
  <c r="U1096"/>
  <c r="U1097"/>
  <c r="U1098"/>
  <c r="U1099"/>
  <c r="U1100"/>
  <c r="U1101"/>
  <c r="U1102"/>
  <c r="U1103"/>
  <c r="U1104"/>
  <c r="U1105"/>
  <c r="U1106"/>
  <c r="U1107"/>
  <c r="U1108"/>
  <c r="U1109"/>
  <c r="U1110"/>
  <c r="U1111"/>
  <c r="U1112"/>
  <c r="U1113"/>
  <c r="U1114"/>
  <c r="U1115"/>
  <c r="U1116"/>
  <c r="U1117"/>
  <c r="U1118"/>
  <c r="U1119"/>
  <c r="U1120"/>
  <c r="U1121"/>
  <c r="U1122"/>
  <c r="U1123"/>
  <c r="U1124"/>
  <c r="U1125"/>
  <c r="U1126"/>
  <c r="U1127"/>
  <c r="U1128"/>
  <c r="U1129"/>
  <c r="U1130"/>
  <c r="U1131"/>
  <c r="U1132"/>
  <c r="U1133"/>
  <c r="U1134"/>
  <c r="U1135"/>
  <c r="U1136"/>
  <c r="U1137"/>
  <c r="U1138"/>
  <c r="U1139"/>
  <c r="U1140"/>
  <c r="U1141"/>
  <c r="U1142"/>
  <c r="U1143"/>
  <c r="U1144"/>
  <c r="U1145"/>
  <c r="U1146"/>
  <c r="U1147"/>
  <c r="U1148"/>
  <c r="U1149"/>
  <c r="U1150"/>
  <c r="U1151"/>
  <c r="U1152"/>
  <c r="U1153"/>
  <c r="U1154"/>
  <c r="U1155"/>
  <c r="U1156"/>
  <c r="U1157"/>
  <c r="U1158"/>
  <c r="U1159"/>
  <c r="U1160"/>
  <c r="U1161"/>
  <c r="U1162"/>
  <c r="U1163"/>
  <c r="U1164"/>
  <c r="U1165"/>
  <c r="U1166"/>
  <c r="U1167"/>
  <c r="U1168"/>
  <c r="U1169"/>
  <c r="U1170"/>
  <c r="U1171"/>
  <c r="U1172"/>
  <c r="U1173"/>
  <c r="U1174"/>
  <c r="U1175"/>
  <c r="U1176"/>
  <c r="U1177"/>
  <c r="U1178"/>
  <c r="U1179"/>
  <c r="U1180"/>
  <c r="U1181"/>
  <c r="U1182"/>
  <c r="U1183"/>
  <c r="U1184"/>
  <c r="U1185"/>
  <c r="U1186"/>
  <c r="U1187"/>
  <c r="U1188"/>
  <c r="U1189"/>
  <c r="U1190"/>
  <c r="U1191"/>
  <c r="U1192"/>
  <c r="U1193"/>
  <c r="U1194"/>
  <c r="U1195"/>
  <c r="U1196"/>
  <c r="U1197"/>
  <c r="U1198"/>
  <c r="U1199"/>
  <c r="U1200"/>
  <c r="U1201"/>
  <c r="U1202"/>
  <c r="U1203"/>
  <c r="U1204"/>
  <c r="U1205"/>
  <c r="U1206"/>
  <c r="U1207"/>
  <c r="U1208"/>
  <c r="U1209"/>
  <c r="U1210"/>
  <c r="U1211"/>
  <c r="U1212"/>
  <c r="U1213"/>
  <c r="U1214"/>
  <c r="U1215"/>
  <c r="U1216"/>
  <c r="U1217"/>
  <c r="U1218"/>
  <c r="U1219"/>
  <c r="U1220"/>
  <c r="U1221"/>
  <c r="U1222"/>
  <c r="U1223"/>
  <c r="U1224"/>
  <c r="U1225"/>
  <c r="U1226"/>
  <c r="U1227"/>
  <c r="U1228"/>
  <c r="U1229"/>
  <c r="U1230"/>
  <c r="U1231"/>
  <c r="U1232"/>
  <c r="U1233"/>
  <c r="U1234"/>
  <c r="U1235"/>
  <c r="U1236"/>
  <c r="U1237"/>
  <c r="U1238"/>
  <c r="U1239"/>
  <c r="U1240"/>
  <c r="U1241"/>
  <c r="U1242"/>
  <c r="U1243"/>
  <c r="U1244"/>
  <c r="U1245"/>
  <c r="U1246"/>
  <c r="U1247"/>
  <c r="U1248"/>
  <c r="U1249"/>
  <c r="U1250"/>
  <c r="U1251"/>
  <c r="U1252"/>
  <c r="U1253"/>
  <c r="U1254"/>
  <c r="U1255"/>
  <c r="U1256"/>
  <c r="U1257"/>
  <c r="U1258"/>
  <c r="U1259"/>
  <c r="U1260"/>
  <c r="U1261"/>
  <c r="U1262"/>
  <c r="U1263"/>
  <c r="U1264"/>
  <c r="U1265"/>
  <c r="U1266"/>
  <c r="U1267"/>
  <c r="U1268"/>
  <c r="U1269"/>
  <c r="U1270"/>
  <c r="U1271"/>
  <c r="U1272"/>
  <c r="U1273"/>
  <c r="U1274"/>
  <c r="U1275"/>
  <c r="U1276"/>
  <c r="U1277"/>
  <c r="U1278"/>
  <c r="U1279"/>
  <c r="U1280"/>
  <c r="U1281"/>
  <c r="U1282"/>
  <c r="U1283"/>
  <c r="U1284"/>
  <c r="U1285"/>
  <c r="U1286"/>
  <c r="U1287"/>
  <c r="U1288"/>
  <c r="U1289"/>
  <c r="U1290"/>
  <c r="U1291"/>
  <c r="U1292"/>
  <c r="U1293"/>
  <c r="U1294"/>
  <c r="U1295"/>
  <c r="U1296"/>
  <c r="U1297"/>
  <c r="U1298"/>
  <c r="U1299"/>
  <c r="U1300"/>
  <c r="U1301"/>
  <c r="U1302"/>
  <c r="U1303"/>
  <c r="U1304"/>
  <c r="U1305"/>
  <c r="U1306"/>
  <c r="U1307"/>
  <c r="U1308"/>
  <c r="U1309"/>
  <c r="U1310"/>
  <c r="U1311"/>
  <c r="U1312"/>
  <c r="U1313"/>
  <c r="U1314"/>
  <c r="U1315"/>
  <c r="U1316"/>
  <c r="U1317"/>
  <c r="U1318"/>
  <c r="U1319"/>
  <c r="U1320"/>
  <c r="U1321"/>
  <c r="U1322"/>
  <c r="U1323"/>
  <c r="U1324"/>
  <c r="U1325"/>
  <c r="U1326"/>
  <c r="U1327"/>
  <c r="U1328"/>
  <c r="U1329"/>
  <c r="U1330"/>
  <c r="U1331"/>
  <c r="U1332"/>
  <c r="U1333"/>
  <c r="U1334"/>
  <c r="U1335"/>
  <c r="U1336"/>
  <c r="U1337"/>
  <c r="U1338"/>
  <c r="U1339"/>
  <c r="U1340"/>
  <c r="U1341"/>
  <c r="U1342"/>
  <c r="U1343"/>
  <c r="U1344"/>
  <c r="U1345"/>
  <c r="U1346"/>
  <c r="U1347"/>
  <c r="U1348"/>
  <c r="U1349"/>
  <c r="U1350"/>
  <c r="U1351"/>
  <c r="U1352"/>
  <c r="U1353"/>
  <c r="U1354"/>
  <c r="U1355"/>
  <c r="U1356"/>
  <c r="U1357"/>
  <c r="U1358"/>
  <c r="U1359"/>
  <c r="U1360"/>
  <c r="U1361"/>
  <c r="U1362"/>
  <c r="U1363"/>
  <c r="U1364"/>
  <c r="U1365"/>
  <c r="U1366"/>
  <c r="U1367"/>
  <c r="U1368"/>
  <c r="U1369"/>
  <c r="U1370"/>
  <c r="U1371"/>
  <c r="U1372"/>
  <c r="U1373"/>
  <c r="U1374"/>
  <c r="U1375"/>
  <c r="U1376"/>
  <c r="U1377"/>
  <c r="U1378"/>
  <c r="U1379"/>
  <c r="U1380"/>
  <c r="U1381"/>
  <c r="U1382"/>
  <c r="U1383"/>
  <c r="U1384"/>
  <c r="U1385"/>
  <c r="U1386"/>
  <c r="U1387"/>
  <c r="U1388"/>
  <c r="U1389"/>
  <c r="U1390"/>
  <c r="U1391"/>
  <c r="U1392"/>
  <c r="U1393"/>
  <c r="U1394"/>
  <c r="U1395"/>
  <c r="U1396"/>
  <c r="U1397"/>
  <c r="U1398"/>
  <c r="U1399"/>
  <c r="U1400"/>
  <c r="U1401"/>
  <c r="U1402"/>
  <c r="U1403"/>
  <c r="U1404"/>
  <c r="U1405"/>
  <c r="U1406"/>
  <c r="U1407"/>
  <c r="U1408"/>
  <c r="U1409"/>
  <c r="U1410"/>
  <c r="U1411"/>
  <c r="U1412"/>
  <c r="U1413"/>
  <c r="U1414"/>
  <c r="U1415"/>
  <c r="U1416"/>
  <c r="U1417"/>
  <c r="U1418"/>
  <c r="U1419"/>
  <c r="U1420"/>
  <c r="U1421"/>
  <c r="U1422"/>
  <c r="U1423"/>
  <c r="U1424"/>
  <c r="U1425"/>
  <c r="U1426"/>
  <c r="U1427"/>
  <c r="U1428"/>
  <c r="U1429"/>
  <c r="U1430"/>
  <c r="U1431"/>
  <c r="U1432"/>
  <c r="U1433"/>
  <c r="U1434"/>
  <c r="U1435"/>
  <c r="U1436"/>
  <c r="U1437"/>
  <c r="U1438"/>
  <c r="U1439"/>
  <c r="U1440"/>
  <c r="U1441"/>
  <c r="U1442"/>
  <c r="U1443"/>
  <c r="U1444"/>
  <c r="U1445"/>
  <c r="U1446"/>
  <c r="U1447"/>
  <c r="U1448"/>
  <c r="U1449"/>
  <c r="U1450"/>
  <c r="U1451"/>
  <c r="U1452"/>
  <c r="U1453"/>
  <c r="U1454"/>
  <c r="U1455"/>
  <c r="U1456"/>
  <c r="U1457"/>
  <c r="U1458"/>
  <c r="U1459"/>
  <c r="U1460"/>
  <c r="U1461"/>
  <c r="U1462"/>
  <c r="U1463"/>
  <c r="U1464"/>
  <c r="U1465"/>
  <c r="U1466"/>
  <c r="U1467"/>
  <c r="U1468"/>
  <c r="U1469"/>
  <c r="U1470"/>
  <c r="U1471"/>
  <c r="U1472"/>
  <c r="U1473"/>
  <c r="U1474"/>
  <c r="U1475"/>
  <c r="U1476"/>
  <c r="U1477"/>
  <c r="U1478"/>
  <c r="U1479"/>
  <c r="U1480"/>
  <c r="U1481"/>
  <c r="U1482"/>
  <c r="U1483"/>
  <c r="U1484"/>
  <c r="U1485"/>
  <c r="U1486"/>
  <c r="U1487"/>
  <c r="U1488"/>
  <c r="U1489"/>
  <c r="U1490"/>
  <c r="U1491"/>
  <c r="U1492"/>
  <c r="U1493"/>
  <c r="U1494"/>
  <c r="U1495"/>
  <c r="U1496"/>
  <c r="U1497"/>
  <c r="U1498"/>
  <c r="U1499"/>
  <c r="U1500"/>
  <c r="U1501"/>
  <c r="U1502"/>
  <c r="U1503"/>
  <c r="U1504"/>
  <c r="U1505"/>
  <c r="U1506"/>
  <c r="U1507"/>
  <c r="U1508"/>
  <c r="U1509"/>
  <c r="U1510"/>
  <c r="U1511"/>
  <c r="U1512"/>
  <c r="U1513"/>
  <c r="U1514"/>
  <c r="U1515"/>
  <c r="U1516"/>
  <c r="U1517"/>
  <c r="U1518"/>
  <c r="U1519"/>
  <c r="U1520"/>
  <c r="U1521"/>
  <c r="U1522"/>
  <c r="U1523"/>
  <c r="U1524"/>
  <c r="U1525"/>
  <c r="U1526"/>
  <c r="U1527"/>
  <c r="U1528"/>
  <c r="U1529"/>
  <c r="U1530"/>
  <c r="U1531"/>
  <c r="U1532"/>
  <c r="U1533"/>
  <c r="U1534"/>
  <c r="U1535"/>
  <c r="U1536"/>
  <c r="U1537"/>
  <c r="U1538"/>
  <c r="U1539"/>
  <c r="U1540"/>
  <c r="U1541"/>
  <c r="U1542"/>
  <c r="U1543"/>
  <c r="U1544"/>
  <c r="U1545"/>
  <c r="U1546"/>
  <c r="U1547"/>
  <c r="U1548"/>
  <c r="U1549"/>
  <c r="U1550"/>
  <c r="U1551"/>
  <c r="U1552"/>
  <c r="U1553"/>
  <c r="U1554"/>
  <c r="U1555"/>
  <c r="U1556"/>
  <c r="U1557"/>
  <c r="U1558"/>
  <c r="U1559"/>
  <c r="U1560"/>
  <c r="U1561"/>
  <c r="U1562"/>
  <c r="U1563"/>
  <c r="U1564"/>
  <c r="U1565"/>
  <c r="U1566"/>
  <c r="U1567"/>
  <c r="U1568"/>
  <c r="U1569"/>
  <c r="U1570"/>
  <c r="U1571"/>
  <c r="U1572"/>
  <c r="U1573"/>
  <c r="U1574"/>
  <c r="U1575"/>
  <c r="U1576"/>
  <c r="U1577"/>
  <c r="U1578"/>
  <c r="U1579"/>
  <c r="U1580"/>
  <c r="U1581"/>
  <c r="U1582"/>
  <c r="U1583"/>
  <c r="U1584"/>
  <c r="U1585"/>
  <c r="U1586"/>
  <c r="U1587"/>
  <c r="U1588"/>
  <c r="U1589"/>
  <c r="U1590"/>
  <c r="U1591"/>
  <c r="U1592"/>
  <c r="U1593"/>
  <c r="U1594"/>
  <c r="U1595"/>
  <c r="U1596"/>
  <c r="U1597"/>
  <c r="U1598"/>
  <c r="U1599"/>
  <c r="U1600"/>
  <c r="U1601"/>
  <c r="U1602"/>
  <c r="U1603"/>
  <c r="U1604"/>
  <c r="U1605"/>
  <c r="U1606"/>
  <c r="U1607"/>
  <c r="U1608"/>
  <c r="U1609"/>
  <c r="U1610"/>
  <c r="U1611"/>
  <c r="U1612"/>
  <c r="U1613"/>
  <c r="U1614"/>
  <c r="U1615"/>
  <c r="U1616"/>
  <c r="U1617"/>
  <c r="U1618"/>
  <c r="U1619"/>
  <c r="U1620"/>
  <c r="U1621"/>
  <c r="U1622"/>
  <c r="U1623"/>
  <c r="U1624"/>
  <c r="U1625"/>
  <c r="U1626"/>
  <c r="U1627"/>
  <c r="U1628"/>
  <c r="U1629"/>
  <c r="U1630"/>
  <c r="U1631"/>
  <c r="U1632"/>
  <c r="U1633"/>
  <c r="U1634"/>
  <c r="U1635"/>
  <c r="U1636"/>
  <c r="U1637"/>
  <c r="U1638"/>
  <c r="U1639"/>
  <c r="U1640"/>
  <c r="U1641"/>
  <c r="U1642"/>
  <c r="U1643"/>
  <c r="U1644"/>
  <c r="U1645"/>
  <c r="U1646"/>
  <c r="U1647"/>
  <c r="U1648"/>
  <c r="U1649"/>
  <c r="U1650"/>
  <c r="U1651"/>
  <c r="U1652"/>
  <c r="U1653"/>
  <c r="U1654"/>
  <c r="U1655"/>
  <c r="U1656"/>
  <c r="U1657"/>
  <c r="U1658"/>
  <c r="U1659"/>
  <c r="U1660"/>
  <c r="U1661"/>
  <c r="U1662"/>
  <c r="U1663"/>
  <c r="U1664"/>
  <c r="U1665"/>
  <c r="U1666"/>
  <c r="U1667"/>
  <c r="U1668"/>
  <c r="U1669"/>
  <c r="U1670"/>
  <c r="U1671"/>
  <c r="U1672"/>
  <c r="U1673"/>
  <c r="U1674"/>
  <c r="U1675"/>
  <c r="U1676"/>
  <c r="U1677"/>
  <c r="U1678"/>
  <c r="U1679"/>
  <c r="U1680"/>
  <c r="U1681"/>
  <c r="U1682"/>
  <c r="U1683"/>
  <c r="U1684"/>
  <c r="U1685"/>
  <c r="U1686"/>
  <c r="U1687"/>
  <c r="U1688"/>
  <c r="U1689"/>
  <c r="U1690"/>
  <c r="U1691"/>
  <c r="U1692"/>
  <c r="U1693"/>
  <c r="U1694"/>
  <c r="U1695"/>
  <c r="U1696"/>
  <c r="U1697"/>
  <c r="U1698"/>
  <c r="U1699"/>
  <c r="U1700"/>
  <c r="U1701"/>
  <c r="U1702"/>
  <c r="U1703"/>
  <c r="U1704"/>
  <c r="U1705"/>
  <c r="U1706"/>
  <c r="U1707"/>
  <c r="U1708"/>
  <c r="U1709"/>
  <c r="U1710"/>
  <c r="U1711"/>
  <c r="U1712"/>
  <c r="U1713"/>
  <c r="U1714"/>
  <c r="U1715"/>
  <c r="U1716"/>
  <c r="U1717"/>
  <c r="U1718"/>
  <c r="U1719"/>
  <c r="U1720"/>
  <c r="U1721"/>
  <c r="U1722"/>
  <c r="U1723"/>
  <c r="U1724"/>
  <c r="U1725"/>
  <c r="U1726"/>
  <c r="U1727"/>
  <c r="U1728"/>
  <c r="U1729"/>
  <c r="U1730"/>
  <c r="U1731"/>
  <c r="U1732"/>
  <c r="U1733"/>
  <c r="U1734"/>
  <c r="U1735"/>
  <c r="U1736"/>
  <c r="U1737"/>
  <c r="U1738"/>
  <c r="U1739"/>
  <c r="U1740"/>
  <c r="U1741"/>
  <c r="U1742"/>
  <c r="U1743"/>
  <c r="U1744"/>
  <c r="U1745"/>
  <c r="U1746"/>
  <c r="U1747"/>
  <c r="U1748"/>
  <c r="U1749"/>
  <c r="U1750"/>
  <c r="U1751"/>
  <c r="U1752"/>
  <c r="U1753"/>
  <c r="U1754"/>
  <c r="U1755"/>
  <c r="U1756"/>
  <c r="U1757"/>
  <c r="U1758"/>
  <c r="U1759"/>
  <c r="U1760"/>
  <c r="U1761"/>
  <c r="U1762"/>
  <c r="U1763"/>
  <c r="U1764"/>
  <c r="U1765"/>
  <c r="U1766"/>
  <c r="U1767"/>
  <c r="U1768"/>
  <c r="U1769"/>
  <c r="U1770"/>
  <c r="U1771"/>
  <c r="U1772"/>
  <c r="U1773"/>
  <c r="U1774"/>
  <c r="U1775"/>
  <c r="U1776"/>
  <c r="U1777"/>
  <c r="U1778"/>
  <c r="U1779"/>
  <c r="U1780"/>
  <c r="U1781"/>
  <c r="U1782"/>
  <c r="U1783"/>
  <c r="U1784"/>
  <c r="U1785"/>
  <c r="U1786"/>
  <c r="U1787"/>
  <c r="U1788"/>
  <c r="U1789"/>
  <c r="U1790"/>
  <c r="U1791"/>
  <c r="U1792"/>
  <c r="U1793"/>
  <c r="U1794"/>
  <c r="U1795"/>
  <c r="U1796"/>
  <c r="U1797"/>
  <c r="U1798"/>
  <c r="U1799"/>
  <c r="U1800"/>
  <c r="U1801"/>
  <c r="U1802"/>
  <c r="U1803"/>
  <c r="U1804"/>
  <c r="U1805"/>
  <c r="U1806"/>
  <c r="U1807"/>
  <c r="U1808"/>
  <c r="U1809"/>
  <c r="U1810"/>
  <c r="U1811"/>
  <c r="U1812"/>
  <c r="U1813"/>
  <c r="U1814"/>
  <c r="U1815"/>
  <c r="U1816"/>
  <c r="U1817"/>
  <c r="U1818"/>
  <c r="U1819"/>
  <c r="U1820"/>
  <c r="U1821"/>
  <c r="U1822"/>
  <c r="U1823"/>
  <c r="U1824"/>
  <c r="U1825"/>
  <c r="U1826"/>
  <c r="U1827"/>
  <c r="U1828"/>
  <c r="U1829"/>
  <c r="U1830"/>
  <c r="U1831"/>
  <c r="U1832"/>
  <c r="U1833"/>
  <c r="U1834"/>
  <c r="U1835"/>
  <c r="U1836"/>
  <c r="U1837"/>
  <c r="U1838"/>
  <c r="U1839"/>
  <c r="U1840"/>
  <c r="U1841"/>
  <c r="U1842"/>
  <c r="U1843"/>
  <c r="U1844"/>
  <c r="U1845"/>
  <c r="U1846"/>
  <c r="U1847"/>
  <c r="U1848"/>
  <c r="U1849"/>
  <c r="U1850"/>
  <c r="U1851"/>
  <c r="U1852"/>
  <c r="U1853"/>
  <c r="U1854"/>
  <c r="U1855"/>
  <c r="U1856"/>
  <c r="U1857"/>
  <c r="U1858"/>
  <c r="U1859"/>
  <c r="U1860"/>
  <c r="U1861"/>
  <c r="U1862"/>
  <c r="U1863"/>
  <c r="U1864"/>
  <c r="U1865"/>
  <c r="U1866"/>
  <c r="U1867"/>
  <c r="U1868"/>
  <c r="U1869"/>
  <c r="U1870"/>
  <c r="U1871"/>
  <c r="U1872"/>
  <c r="U1873"/>
  <c r="U1874"/>
  <c r="U1875"/>
  <c r="U1876"/>
  <c r="U1877"/>
  <c r="U1878"/>
  <c r="U1879"/>
  <c r="U1880"/>
  <c r="U1881"/>
  <c r="U1882"/>
  <c r="U1883"/>
  <c r="U1884"/>
  <c r="U1885"/>
  <c r="U1886"/>
  <c r="U1887"/>
  <c r="U1888"/>
  <c r="U1889"/>
  <c r="U1890"/>
  <c r="U1891"/>
  <c r="U1892"/>
  <c r="U1893"/>
  <c r="U1894"/>
  <c r="U1895"/>
  <c r="U1896"/>
  <c r="U1897"/>
  <c r="U1898"/>
  <c r="U1899"/>
  <c r="U1900"/>
  <c r="U1901"/>
  <c r="U1902"/>
  <c r="U1903"/>
  <c r="U1904"/>
  <c r="U1905"/>
  <c r="U1906"/>
  <c r="U1907"/>
  <c r="U1908"/>
  <c r="U1909"/>
  <c r="U1910"/>
  <c r="U1911"/>
  <c r="U1912"/>
  <c r="U1913"/>
  <c r="U1914"/>
  <c r="U1915"/>
  <c r="U1916"/>
  <c r="U1917"/>
  <c r="U1918"/>
  <c r="U1919"/>
  <c r="U1920"/>
  <c r="U1921"/>
  <c r="U1922"/>
  <c r="U1923"/>
  <c r="U1924"/>
  <c r="U1925"/>
  <c r="U1926"/>
  <c r="U1927"/>
  <c r="U1928"/>
  <c r="U1929"/>
  <c r="U1930"/>
  <c r="U1931"/>
  <c r="U1932"/>
  <c r="U1933"/>
  <c r="U1934"/>
  <c r="U1935"/>
  <c r="U1936"/>
  <c r="U1937"/>
  <c r="U1938"/>
  <c r="U1939"/>
  <c r="U1940"/>
  <c r="U1941"/>
  <c r="U1942"/>
  <c r="U1943"/>
  <c r="U1944"/>
  <c r="U1945"/>
  <c r="U1946"/>
  <c r="U1947"/>
  <c r="U1948"/>
  <c r="U1949"/>
  <c r="U1950"/>
  <c r="U1951"/>
  <c r="U1952"/>
  <c r="U1953"/>
  <c r="U1954"/>
  <c r="U1955"/>
  <c r="U1956"/>
  <c r="U1957"/>
  <c r="U1958"/>
  <c r="U1959"/>
  <c r="U1960"/>
  <c r="U1961"/>
  <c r="U1962"/>
  <c r="U1963"/>
  <c r="U1964"/>
  <c r="U1965"/>
  <c r="U1966"/>
  <c r="U1967"/>
  <c r="U1968"/>
  <c r="U1969"/>
  <c r="U1970"/>
  <c r="U1971"/>
  <c r="U1972"/>
  <c r="U1973"/>
  <c r="U1974"/>
  <c r="U1975"/>
  <c r="U1976"/>
  <c r="U1977"/>
  <c r="U1978"/>
  <c r="U1979"/>
  <c r="U1980"/>
  <c r="U1981"/>
  <c r="U1982"/>
  <c r="U1983"/>
  <c r="U1984"/>
  <c r="U1985"/>
  <c r="U1986"/>
  <c r="U1987"/>
  <c r="U1988"/>
  <c r="U1989"/>
  <c r="U1990"/>
  <c r="U1991"/>
  <c r="U1992"/>
  <c r="U1993"/>
  <c r="U1994"/>
  <c r="U1995"/>
  <c r="U1996"/>
  <c r="U1997"/>
  <c r="U1998"/>
  <c r="U1999"/>
  <c r="U2000"/>
  <c r="U2001"/>
  <c r="U2002"/>
  <c r="U2003"/>
  <c r="U2004"/>
  <c r="U2005"/>
  <c r="U2006"/>
  <c r="U2007"/>
  <c r="U2008"/>
  <c r="U2009"/>
  <c r="U2010"/>
  <c r="U2011"/>
  <c r="U2012"/>
  <c r="U2013"/>
  <c r="U2014"/>
  <c r="U2015"/>
  <c r="U2016"/>
  <c r="U2017"/>
  <c r="U2018"/>
  <c r="U2019"/>
  <c r="U2020"/>
  <c r="U2021"/>
  <c r="U2022"/>
  <c r="U2023"/>
  <c r="U2024"/>
  <c r="U2025"/>
  <c r="U2026"/>
  <c r="U2027"/>
  <c r="U2028"/>
  <c r="U2029"/>
  <c r="U2030"/>
  <c r="U2031"/>
  <c r="U2032"/>
  <c r="U2033"/>
  <c r="U2034"/>
  <c r="U2035"/>
  <c r="U2036"/>
  <c r="U2037"/>
  <c r="U2038"/>
  <c r="U2039"/>
  <c r="U2040"/>
  <c r="U2041"/>
  <c r="U2042"/>
  <c r="U2043"/>
  <c r="U2044"/>
  <c r="U2045"/>
  <c r="U2046"/>
  <c r="U2047"/>
  <c r="U2048"/>
  <c r="U2049"/>
  <c r="U2050"/>
  <c r="U2051"/>
  <c r="U2052"/>
  <c r="U2053"/>
  <c r="U2054"/>
  <c r="U2055"/>
  <c r="U2056"/>
  <c r="U2057"/>
  <c r="U2058"/>
  <c r="U2059"/>
  <c r="U2060"/>
  <c r="U2061"/>
  <c r="U2062"/>
  <c r="U2063"/>
  <c r="U2064"/>
  <c r="U2065"/>
  <c r="U2066"/>
  <c r="U2067"/>
  <c r="U2068"/>
  <c r="U2069"/>
  <c r="U2070"/>
  <c r="U2071"/>
  <c r="U2072"/>
  <c r="U2073"/>
  <c r="U2074"/>
  <c r="U2075"/>
  <c r="U2076"/>
  <c r="U2077"/>
  <c r="U2078"/>
  <c r="U2079"/>
  <c r="U2080"/>
  <c r="U2081"/>
  <c r="U2082"/>
  <c r="U2083"/>
  <c r="U2084"/>
  <c r="U2085"/>
  <c r="U2086"/>
  <c r="U2087"/>
  <c r="U2088"/>
  <c r="U2089"/>
  <c r="U2090"/>
  <c r="U2091"/>
  <c r="U2092"/>
  <c r="U2093"/>
  <c r="U2094"/>
  <c r="U2095"/>
  <c r="U2096"/>
  <c r="U2097"/>
  <c r="U2098"/>
  <c r="U2099"/>
  <c r="U2100"/>
  <c r="U2101"/>
  <c r="U2102"/>
  <c r="U2103"/>
  <c r="U2104"/>
  <c r="U2105"/>
  <c r="U2106"/>
  <c r="U2107"/>
  <c r="U2108"/>
  <c r="U2109"/>
  <c r="U2110"/>
  <c r="U2111"/>
  <c r="U2112"/>
  <c r="U2113"/>
  <c r="U2114"/>
  <c r="U2115"/>
  <c r="U2116"/>
  <c r="U2117"/>
  <c r="U2118"/>
  <c r="U2119"/>
  <c r="U2120"/>
  <c r="U2121"/>
  <c r="U2122"/>
  <c r="U2123"/>
  <c r="U2124"/>
  <c r="U2125"/>
  <c r="U2126"/>
  <c r="U2127"/>
  <c r="U2128"/>
  <c r="U2129"/>
  <c r="U2130"/>
  <c r="U2131"/>
  <c r="U2132"/>
  <c r="U2133"/>
  <c r="U2134"/>
  <c r="U2135"/>
  <c r="U2136"/>
  <c r="U2137"/>
  <c r="U2138"/>
  <c r="U2139"/>
  <c r="U2140"/>
  <c r="U2141"/>
  <c r="U2142"/>
  <c r="U2143"/>
  <c r="U2144"/>
  <c r="U2145"/>
  <c r="U2146"/>
  <c r="U2147"/>
  <c r="U2148"/>
  <c r="U2149"/>
  <c r="U2150"/>
  <c r="U2151"/>
  <c r="U2152"/>
  <c r="U2153"/>
  <c r="U2154"/>
  <c r="U2155"/>
  <c r="U2156"/>
  <c r="U2157"/>
  <c r="U2158"/>
  <c r="U2159"/>
  <c r="U2160"/>
  <c r="U2161"/>
  <c r="U2162"/>
  <c r="U2163"/>
  <c r="U2164"/>
  <c r="U2165"/>
  <c r="U2166"/>
  <c r="U2167"/>
  <c r="U2168"/>
  <c r="U2169"/>
  <c r="U2170"/>
  <c r="U2171"/>
  <c r="U2172"/>
  <c r="U2173"/>
  <c r="U2174"/>
  <c r="U2175"/>
  <c r="U2176"/>
  <c r="U2177"/>
  <c r="U2178"/>
  <c r="U2179"/>
  <c r="U2180"/>
  <c r="U2181"/>
  <c r="U2182"/>
  <c r="U2183"/>
  <c r="U2184"/>
  <c r="U2185"/>
  <c r="U2186"/>
  <c r="U2187"/>
  <c r="U2188"/>
  <c r="U2189"/>
  <c r="U2190"/>
  <c r="U2191"/>
  <c r="U2192"/>
  <c r="U2193"/>
  <c r="U2194"/>
  <c r="U2195"/>
  <c r="U2196"/>
  <c r="U2197"/>
  <c r="U2198"/>
  <c r="U2199"/>
  <c r="U2200"/>
  <c r="U2201"/>
  <c r="U2202"/>
  <c r="U2203"/>
  <c r="U2204"/>
  <c r="U2205"/>
  <c r="U2206"/>
  <c r="U2207"/>
  <c r="U2208"/>
  <c r="U2209"/>
  <c r="U2210"/>
  <c r="U2211"/>
  <c r="U2212"/>
  <c r="U2213"/>
  <c r="U2214"/>
  <c r="U2215"/>
  <c r="U2216"/>
  <c r="U2217"/>
  <c r="U2218"/>
  <c r="U2219"/>
  <c r="U2220"/>
  <c r="U2221"/>
  <c r="U2222"/>
  <c r="U2223"/>
  <c r="U2224"/>
  <c r="U2225"/>
  <c r="U2226"/>
  <c r="U2227"/>
  <c r="U2228"/>
  <c r="U2229"/>
  <c r="U2230"/>
  <c r="U2231"/>
  <c r="U2232"/>
  <c r="U2233"/>
  <c r="U2234"/>
  <c r="U2235"/>
  <c r="U2236"/>
  <c r="U2237"/>
  <c r="U2238"/>
  <c r="U2239"/>
  <c r="U2240"/>
  <c r="U2241"/>
  <c r="U2242"/>
  <c r="U2243"/>
  <c r="U2244"/>
  <c r="U2245"/>
  <c r="U2246"/>
  <c r="U2247"/>
  <c r="U2248"/>
  <c r="U2249"/>
  <c r="U2250"/>
  <c r="U2251"/>
  <c r="U2252"/>
  <c r="U2253"/>
  <c r="U2254"/>
  <c r="U2255"/>
  <c r="U2256"/>
  <c r="U2257"/>
  <c r="U2258"/>
  <c r="U2259"/>
  <c r="U2260"/>
  <c r="U2261"/>
  <c r="U2262"/>
  <c r="U2263"/>
  <c r="U2264"/>
  <c r="U2265"/>
  <c r="U2266"/>
  <c r="U2267"/>
  <c r="U2268"/>
  <c r="U2269"/>
  <c r="U2270"/>
  <c r="U2271"/>
  <c r="U2272"/>
  <c r="U2273"/>
  <c r="U2274"/>
  <c r="U2275"/>
  <c r="U2276"/>
  <c r="U2277"/>
  <c r="U2278"/>
  <c r="U2279"/>
  <c r="U2280"/>
  <c r="U2281"/>
  <c r="U2282"/>
  <c r="U2283"/>
  <c r="U2284"/>
  <c r="U2285"/>
  <c r="U2286"/>
  <c r="U2287"/>
  <c r="U2288"/>
  <c r="U2289"/>
  <c r="U2290"/>
  <c r="U2291"/>
  <c r="U2292"/>
  <c r="U2293"/>
  <c r="U2294"/>
  <c r="U2295"/>
  <c r="U2296"/>
  <c r="U2297"/>
  <c r="U2298"/>
  <c r="U2299"/>
  <c r="U2300"/>
  <c r="U2301"/>
  <c r="U2302"/>
  <c r="U2303"/>
  <c r="U2304"/>
  <c r="U2305"/>
  <c r="U2306"/>
  <c r="U2307"/>
  <c r="U2308"/>
  <c r="U2309"/>
  <c r="U2310"/>
  <c r="U2311"/>
  <c r="U2312"/>
  <c r="U2313"/>
  <c r="U2314"/>
  <c r="U2315"/>
  <c r="U2316"/>
  <c r="U2317"/>
  <c r="U2318"/>
  <c r="U2319"/>
  <c r="U2320"/>
  <c r="U2321"/>
  <c r="U2322"/>
  <c r="U2323"/>
  <c r="U2324"/>
  <c r="U2325"/>
  <c r="U2326"/>
  <c r="U2327"/>
  <c r="U2328"/>
  <c r="U2329"/>
  <c r="U2330"/>
  <c r="U2331"/>
  <c r="U2332"/>
  <c r="U2333"/>
  <c r="U2334"/>
  <c r="U2335"/>
  <c r="U2336"/>
  <c r="U2337"/>
  <c r="U2338"/>
  <c r="U2339"/>
  <c r="U2340"/>
  <c r="U2341"/>
  <c r="U2342"/>
  <c r="U2343"/>
  <c r="U2344"/>
  <c r="U2345"/>
  <c r="U2346"/>
  <c r="U2347"/>
  <c r="U2348"/>
  <c r="U2349"/>
  <c r="U2350"/>
  <c r="U2351"/>
  <c r="U2352"/>
  <c r="U2353"/>
  <c r="U2354"/>
  <c r="U2355"/>
  <c r="U2356"/>
  <c r="U2357"/>
  <c r="U2358"/>
  <c r="U2359"/>
  <c r="U2360"/>
  <c r="U2361"/>
  <c r="U2362"/>
  <c r="U2363"/>
  <c r="U2364"/>
  <c r="U2365"/>
  <c r="U2366"/>
  <c r="U2367"/>
  <c r="U2368"/>
  <c r="U2369"/>
  <c r="U2370"/>
  <c r="U2371"/>
  <c r="U2372"/>
  <c r="U2373"/>
  <c r="U2374"/>
  <c r="U2375"/>
  <c r="U2376"/>
  <c r="U2377"/>
  <c r="U2378"/>
  <c r="U2379"/>
  <c r="U2380"/>
  <c r="U2381"/>
  <c r="U2382"/>
  <c r="U2383"/>
  <c r="U2384"/>
  <c r="U2385"/>
  <c r="U2386"/>
  <c r="U2387"/>
  <c r="U2388"/>
  <c r="U2389"/>
  <c r="U2390"/>
  <c r="U2391"/>
  <c r="U2392"/>
  <c r="U2393"/>
  <c r="U2394"/>
  <c r="U2395"/>
  <c r="U2396"/>
  <c r="U2397"/>
  <c r="U2398"/>
  <c r="U2399"/>
  <c r="U2400"/>
  <c r="U2401"/>
  <c r="U2402"/>
  <c r="U2403"/>
  <c r="U2404"/>
  <c r="U2405"/>
  <c r="U2406"/>
  <c r="U2407"/>
  <c r="U2408"/>
  <c r="U2409"/>
  <c r="U2410"/>
  <c r="U2411"/>
  <c r="U2412"/>
  <c r="U2413"/>
  <c r="U2414"/>
  <c r="U2415"/>
  <c r="U2416"/>
  <c r="U2417"/>
  <c r="U2418"/>
  <c r="U2419"/>
  <c r="U2420"/>
  <c r="U2421"/>
  <c r="U2422"/>
  <c r="U2423"/>
  <c r="U2424"/>
  <c r="U2425"/>
  <c r="U2426"/>
  <c r="U2427"/>
  <c r="U2428"/>
  <c r="U2429"/>
  <c r="U2430"/>
  <c r="U2431"/>
  <c r="U2432"/>
  <c r="U2433"/>
  <c r="U2434"/>
  <c r="U2435"/>
  <c r="U2436"/>
  <c r="U2437"/>
  <c r="U2438"/>
  <c r="U2439"/>
  <c r="U2440"/>
  <c r="U2441"/>
  <c r="U2442"/>
  <c r="U2443"/>
  <c r="U2444"/>
  <c r="U2445"/>
  <c r="U2446"/>
  <c r="U2447"/>
  <c r="U2448"/>
  <c r="U2449"/>
  <c r="U2450"/>
  <c r="U2451"/>
  <c r="U2452"/>
  <c r="U2453"/>
  <c r="U2454"/>
  <c r="U2455"/>
  <c r="U2456"/>
  <c r="U2457"/>
  <c r="U2458"/>
  <c r="U2459"/>
  <c r="U2460"/>
  <c r="U2461"/>
  <c r="U2462"/>
  <c r="U2463"/>
  <c r="U2464"/>
  <c r="U2465"/>
  <c r="U2466"/>
  <c r="U2467"/>
  <c r="U2468"/>
  <c r="U2469"/>
  <c r="U2470"/>
  <c r="U2471"/>
  <c r="U2472"/>
  <c r="U2473"/>
  <c r="U2474"/>
  <c r="U2475"/>
  <c r="U2476"/>
  <c r="U2477"/>
  <c r="U2478"/>
  <c r="U2479"/>
  <c r="U2480"/>
  <c r="U2481"/>
  <c r="U2482"/>
  <c r="U2483"/>
  <c r="U2484"/>
  <c r="U2485"/>
  <c r="U2486"/>
  <c r="U2487"/>
  <c r="U2488"/>
  <c r="U2489"/>
  <c r="U2490"/>
  <c r="U2491"/>
  <c r="U2492"/>
  <c r="U2493"/>
  <c r="U2494"/>
  <c r="U2495"/>
  <c r="U2496"/>
  <c r="U2497"/>
  <c r="U2498"/>
  <c r="U2499"/>
  <c r="U2500"/>
  <c r="U2501"/>
  <c r="U2502"/>
  <c r="U2503"/>
  <c r="U2504"/>
  <c r="U2505"/>
  <c r="U2506"/>
  <c r="U2507"/>
  <c r="U2508"/>
  <c r="U2509"/>
  <c r="U2510"/>
  <c r="U2511"/>
  <c r="U2512"/>
  <c r="U2513"/>
  <c r="U2514"/>
  <c r="U2515"/>
  <c r="U2516"/>
  <c r="U2517"/>
  <c r="U2518"/>
  <c r="U2519"/>
  <c r="U2520"/>
  <c r="U2521"/>
  <c r="U2522"/>
  <c r="U2523"/>
  <c r="U2524"/>
  <c r="U2525"/>
  <c r="U2526"/>
  <c r="U2527"/>
  <c r="U2528"/>
  <c r="U2529"/>
  <c r="U2530"/>
  <c r="U2531"/>
  <c r="U2532"/>
  <c r="U2533"/>
  <c r="U2534"/>
  <c r="U2535"/>
  <c r="U2536"/>
  <c r="U2537"/>
  <c r="U2538"/>
  <c r="U2539"/>
  <c r="U2540"/>
  <c r="U2541"/>
  <c r="U2542"/>
  <c r="U2543"/>
  <c r="U2544"/>
  <c r="U2545"/>
  <c r="U2546"/>
  <c r="U2547"/>
  <c r="U2548"/>
  <c r="U2549"/>
  <c r="U2550"/>
  <c r="U2551"/>
  <c r="U2552"/>
  <c r="U2553"/>
  <c r="U2554"/>
  <c r="U2555"/>
  <c r="U2556"/>
  <c r="U2557"/>
  <c r="U2558"/>
  <c r="U2559"/>
  <c r="U2560"/>
  <c r="U2561"/>
  <c r="U2562"/>
  <c r="U2563"/>
  <c r="U2564"/>
  <c r="U2565"/>
  <c r="U2566"/>
  <c r="U2567"/>
  <c r="U2568"/>
  <c r="U2569"/>
  <c r="U2570"/>
  <c r="U2571"/>
  <c r="U2572"/>
  <c r="U2573"/>
  <c r="U2574"/>
  <c r="U2575"/>
  <c r="U2576"/>
  <c r="U2577"/>
  <c r="U2578"/>
  <c r="U2579"/>
  <c r="U2580"/>
  <c r="U2581"/>
  <c r="U2582"/>
  <c r="U2583"/>
  <c r="U2584"/>
  <c r="U2585"/>
  <c r="U2586"/>
  <c r="U2587"/>
  <c r="U2588"/>
  <c r="U2589"/>
  <c r="U2590"/>
  <c r="U2591"/>
  <c r="U2592"/>
  <c r="U2593"/>
  <c r="U2594"/>
  <c r="U2595"/>
  <c r="U2596"/>
  <c r="U2597"/>
  <c r="U2598"/>
  <c r="U2599"/>
  <c r="U2600"/>
  <c r="U2601"/>
  <c r="U2602"/>
  <c r="U2603"/>
  <c r="U2604"/>
  <c r="U2605"/>
  <c r="U2606"/>
  <c r="U2607"/>
  <c r="U2608"/>
  <c r="U2609"/>
  <c r="U2610"/>
  <c r="U2611"/>
  <c r="U2612"/>
  <c r="U2613"/>
  <c r="U2614"/>
  <c r="U2615"/>
  <c r="U2616"/>
  <c r="U2617"/>
  <c r="U2618"/>
  <c r="U2619"/>
  <c r="U2620"/>
  <c r="U2621"/>
  <c r="U2622"/>
  <c r="U2623"/>
  <c r="U2624"/>
  <c r="U2625"/>
  <c r="U2626"/>
  <c r="U2627"/>
  <c r="U2628"/>
  <c r="U2629"/>
  <c r="U2630"/>
  <c r="U2631"/>
  <c r="U2632"/>
  <c r="U2633"/>
  <c r="U2634"/>
  <c r="U2635"/>
  <c r="U2636"/>
  <c r="U2637"/>
  <c r="U2638"/>
  <c r="U2639"/>
  <c r="U2640"/>
  <c r="U2641"/>
  <c r="U2642"/>
  <c r="U2643"/>
  <c r="U2644"/>
  <c r="U2645"/>
  <c r="U2646"/>
  <c r="U2647"/>
  <c r="U2648"/>
  <c r="U2649"/>
  <c r="U2650"/>
  <c r="U2651"/>
  <c r="U2652"/>
  <c r="U2653"/>
  <c r="U2654"/>
  <c r="U2655"/>
  <c r="U2656"/>
  <c r="U2657"/>
  <c r="U2658"/>
  <c r="U2659"/>
  <c r="U2660"/>
  <c r="U2661"/>
  <c r="U2662"/>
  <c r="U2663"/>
  <c r="U2664"/>
  <c r="U2665"/>
  <c r="U2666"/>
  <c r="U2667"/>
  <c r="U2668"/>
  <c r="U2669"/>
  <c r="U2670"/>
  <c r="U2671"/>
  <c r="U2672"/>
  <c r="U2673"/>
  <c r="U2674"/>
  <c r="U2675"/>
  <c r="U2676"/>
  <c r="U2677"/>
  <c r="U2678"/>
  <c r="U2679"/>
  <c r="U2680"/>
  <c r="U2681"/>
  <c r="U2682"/>
  <c r="U2683"/>
  <c r="U2684"/>
  <c r="U2685"/>
  <c r="U2686"/>
  <c r="U2687"/>
  <c r="U2688"/>
  <c r="U2689"/>
  <c r="U2690"/>
  <c r="U2691"/>
  <c r="U2692"/>
  <c r="U2693"/>
  <c r="U2694"/>
  <c r="U2695"/>
  <c r="U2696"/>
  <c r="U2697"/>
  <c r="U2698"/>
  <c r="U2699"/>
  <c r="U2700"/>
  <c r="U2701"/>
  <c r="U2702"/>
  <c r="U2703"/>
  <c r="U2704"/>
  <c r="U2705"/>
  <c r="U2706"/>
  <c r="U2707"/>
  <c r="U2708"/>
  <c r="U2709"/>
  <c r="U2710"/>
  <c r="U2711"/>
  <c r="U2712"/>
  <c r="U2713"/>
  <c r="U2714"/>
  <c r="U2715"/>
  <c r="U2716"/>
  <c r="U2717"/>
  <c r="U2718"/>
  <c r="U2719"/>
  <c r="U2720"/>
  <c r="U2721"/>
  <c r="U2722"/>
  <c r="U2723"/>
  <c r="U2724"/>
  <c r="U2725"/>
  <c r="U2726"/>
  <c r="U2727"/>
  <c r="U2728"/>
  <c r="U2729"/>
  <c r="U2730"/>
  <c r="U2731"/>
  <c r="U2732"/>
  <c r="U2733"/>
  <c r="U2734"/>
  <c r="U2735"/>
  <c r="U2736"/>
  <c r="U2737"/>
  <c r="U2738"/>
  <c r="U2739"/>
  <c r="U2740"/>
  <c r="U2741"/>
  <c r="U2742"/>
  <c r="U2743"/>
  <c r="U2744"/>
  <c r="U2745"/>
  <c r="U2746"/>
  <c r="U2747"/>
  <c r="U2748"/>
  <c r="U2749"/>
  <c r="U2750"/>
  <c r="U2751"/>
  <c r="U2752"/>
  <c r="U2753"/>
  <c r="U2754"/>
  <c r="U2755"/>
  <c r="U2756"/>
  <c r="U2757"/>
  <c r="U2758"/>
  <c r="U2759"/>
  <c r="U2760"/>
  <c r="U2761"/>
  <c r="U2762"/>
  <c r="U2763"/>
  <c r="U2764"/>
  <c r="U2765"/>
  <c r="U2766"/>
  <c r="U2767"/>
  <c r="U2768"/>
  <c r="U2769"/>
  <c r="U2770"/>
  <c r="U2771"/>
  <c r="U2772"/>
  <c r="U2773"/>
  <c r="U2774"/>
  <c r="U2775"/>
  <c r="U2776"/>
  <c r="U2777"/>
  <c r="U2778"/>
  <c r="U2779"/>
  <c r="U2780"/>
  <c r="U2781"/>
  <c r="U2782"/>
  <c r="U2783"/>
  <c r="U2784"/>
  <c r="U2785"/>
  <c r="U2786"/>
  <c r="U2787"/>
  <c r="U2788"/>
  <c r="U2789"/>
  <c r="U2790"/>
  <c r="U2791"/>
  <c r="U2792"/>
  <c r="U2793"/>
  <c r="U2794"/>
  <c r="U2795"/>
  <c r="U2796"/>
  <c r="U2797"/>
  <c r="U2798"/>
  <c r="U2799"/>
  <c r="U2800"/>
  <c r="U2801"/>
  <c r="U2802"/>
  <c r="U2803"/>
  <c r="U2804"/>
  <c r="U2805"/>
  <c r="U2806"/>
  <c r="U2807"/>
  <c r="U2808"/>
  <c r="U2809"/>
  <c r="U2810"/>
  <c r="U2811"/>
  <c r="U2812"/>
  <c r="U2813"/>
  <c r="U2814"/>
  <c r="U2815"/>
  <c r="U2816"/>
  <c r="U2817"/>
  <c r="U2818"/>
  <c r="U2819"/>
  <c r="U2820"/>
  <c r="U2821"/>
  <c r="U2822"/>
  <c r="U2823"/>
  <c r="U2824"/>
  <c r="U2825"/>
  <c r="U2826"/>
  <c r="U2827"/>
  <c r="U2828"/>
  <c r="U2829"/>
  <c r="U2830"/>
  <c r="U2831"/>
  <c r="U2832"/>
  <c r="U2833"/>
  <c r="U2834"/>
  <c r="U2835"/>
  <c r="U2836"/>
  <c r="U2837"/>
  <c r="U2838"/>
  <c r="U2839"/>
  <c r="U2840"/>
  <c r="U2841"/>
  <c r="U2842"/>
  <c r="U2843"/>
  <c r="U2844"/>
  <c r="U2845"/>
  <c r="U2846"/>
  <c r="U2847"/>
  <c r="U2848"/>
  <c r="U2849"/>
  <c r="U2850"/>
  <c r="U2851"/>
  <c r="U2852"/>
  <c r="U2853"/>
  <c r="U2854"/>
  <c r="U2855"/>
  <c r="U2856"/>
  <c r="U2857"/>
  <c r="U2858"/>
  <c r="U2859"/>
  <c r="U2860"/>
  <c r="U2861"/>
  <c r="U2862"/>
  <c r="U2863"/>
  <c r="U2864"/>
  <c r="U2865"/>
  <c r="U2866"/>
  <c r="U2867"/>
  <c r="U2868"/>
  <c r="U2869"/>
  <c r="U2870"/>
  <c r="U2871"/>
  <c r="U2872"/>
  <c r="U2873"/>
  <c r="U2874"/>
  <c r="U2875"/>
  <c r="U2876"/>
  <c r="U2877"/>
  <c r="U2878"/>
  <c r="U2879"/>
  <c r="U2880"/>
  <c r="U2881"/>
  <c r="U2882"/>
  <c r="U2883"/>
  <c r="U2884"/>
  <c r="U2885"/>
  <c r="U2886"/>
  <c r="U2887"/>
  <c r="U2888"/>
  <c r="U2889"/>
  <c r="U2890"/>
  <c r="U2891"/>
  <c r="U2892"/>
  <c r="U2893"/>
  <c r="U2894"/>
  <c r="U2895"/>
  <c r="U2896"/>
  <c r="U2897"/>
  <c r="U2898"/>
  <c r="U2899"/>
  <c r="U2900"/>
  <c r="U2901"/>
  <c r="U2902"/>
  <c r="U2903"/>
  <c r="U2904"/>
  <c r="U2905"/>
  <c r="U2906"/>
  <c r="U2907"/>
  <c r="U2908"/>
  <c r="U2909"/>
  <c r="U2910"/>
  <c r="U2911"/>
  <c r="U2912"/>
  <c r="U2913"/>
  <c r="U2914"/>
  <c r="U2915"/>
  <c r="U2916"/>
  <c r="U2917"/>
  <c r="U2918"/>
  <c r="U2919"/>
  <c r="U2920"/>
  <c r="U2921"/>
  <c r="U2922"/>
  <c r="U2923"/>
  <c r="U2924"/>
  <c r="U2925"/>
  <c r="U2926"/>
  <c r="U2927"/>
  <c r="U2928"/>
  <c r="U2929"/>
  <c r="U2930"/>
  <c r="U2931"/>
  <c r="U2932"/>
  <c r="U2933"/>
  <c r="U2934"/>
  <c r="U2935"/>
  <c r="U2936"/>
  <c r="U2937"/>
  <c r="U2938"/>
  <c r="U2939"/>
  <c r="U2940"/>
  <c r="U2941"/>
  <c r="U2942"/>
  <c r="U2943"/>
  <c r="U2944"/>
  <c r="U2945"/>
  <c r="U2946"/>
  <c r="U2947"/>
  <c r="U2948"/>
  <c r="U2949"/>
  <c r="U2950"/>
  <c r="U2951"/>
  <c r="U2952"/>
  <c r="U2953"/>
  <c r="U2954"/>
  <c r="U2955"/>
  <c r="U2956"/>
  <c r="U2957"/>
  <c r="U2958"/>
  <c r="U2959"/>
  <c r="U2960"/>
  <c r="U2961"/>
  <c r="U2962"/>
  <c r="U2963"/>
  <c r="U2964"/>
  <c r="U2965"/>
  <c r="U2966"/>
  <c r="U2967"/>
  <c r="U2968"/>
  <c r="U2969"/>
  <c r="U2970"/>
  <c r="U2971"/>
  <c r="U2972"/>
  <c r="U2973"/>
  <c r="U2974"/>
  <c r="U2975"/>
  <c r="U2976"/>
  <c r="U2977"/>
  <c r="U2978"/>
  <c r="U2979"/>
  <c r="U2980"/>
  <c r="U2981"/>
  <c r="U2982"/>
  <c r="U2983"/>
  <c r="U2984"/>
  <c r="U2985"/>
  <c r="U2986"/>
  <c r="U2987"/>
  <c r="U2988"/>
  <c r="U2989"/>
  <c r="U2990"/>
  <c r="U2991"/>
  <c r="U2992"/>
  <c r="U2993"/>
  <c r="U2994"/>
  <c r="U2995"/>
  <c r="U2996"/>
  <c r="U2997"/>
  <c r="U2998"/>
  <c r="U2999"/>
  <c r="U3000"/>
  <c r="U3001"/>
  <c r="U3"/>
  <c r="U4"/>
  <c r="U5"/>
  <c r="U6"/>
  <c r="U7"/>
  <c r="U8"/>
  <c r="U9"/>
  <c r="U10"/>
  <c r="U11"/>
  <c r="U12"/>
  <c r="U13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37"/>
  <c r="T138"/>
  <c r="T139"/>
  <c r="T140"/>
  <c r="T141"/>
  <c r="T142"/>
  <c r="T143"/>
  <c r="T144"/>
  <c r="T145"/>
  <c r="T146"/>
  <c r="T147"/>
  <c r="T148"/>
  <c r="T149"/>
  <c r="T150"/>
  <c r="T151"/>
  <c r="T152"/>
  <c r="T153"/>
  <c r="T154"/>
  <c r="T155"/>
  <c r="T156"/>
  <c r="T157"/>
  <c r="T158"/>
  <c r="T159"/>
  <c r="T160"/>
  <c r="T161"/>
  <c r="T162"/>
  <c r="T163"/>
  <c r="T164"/>
  <c r="T165"/>
  <c r="T166"/>
  <c r="T167"/>
  <c r="T168"/>
  <c r="T169"/>
  <c r="T170"/>
  <c r="T171"/>
  <c r="T172"/>
  <c r="T173"/>
  <c r="T174"/>
  <c r="T175"/>
  <c r="T176"/>
  <c r="T177"/>
  <c r="T178"/>
  <c r="T179"/>
  <c r="T180"/>
  <c r="T181"/>
  <c r="T182"/>
  <c r="T183"/>
  <c r="T184"/>
  <c r="T185"/>
  <c r="T186"/>
  <c r="T187"/>
  <c r="T188"/>
  <c r="T189"/>
  <c r="T190"/>
  <c r="T191"/>
  <c r="T192"/>
  <c r="T193"/>
  <c r="T194"/>
  <c r="T195"/>
  <c r="T196"/>
  <c r="T197"/>
  <c r="T198"/>
  <c r="T199"/>
  <c r="T200"/>
  <c r="T201"/>
  <c r="T202"/>
  <c r="T203"/>
  <c r="T204"/>
  <c r="T205"/>
  <c r="T206"/>
  <c r="T207"/>
  <c r="T208"/>
  <c r="T209"/>
  <c r="T210"/>
  <c r="T211"/>
  <c r="T212"/>
  <c r="T213"/>
  <c r="T214"/>
  <c r="T215"/>
  <c r="T216"/>
  <c r="T217"/>
  <c r="T218"/>
  <c r="T219"/>
  <c r="T220"/>
  <c r="T221"/>
  <c r="T222"/>
  <c r="T223"/>
  <c r="T224"/>
  <c r="T225"/>
  <c r="T226"/>
  <c r="T227"/>
  <c r="T228"/>
  <c r="T229"/>
  <c r="T230"/>
  <c r="T231"/>
  <c r="T232"/>
  <c r="T233"/>
  <c r="T234"/>
  <c r="T235"/>
  <c r="T236"/>
  <c r="T237"/>
  <c r="T238"/>
  <c r="T239"/>
  <c r="T240"/>
  <c r="T241"/>
  <c r="T242"/>
  <c r="T243"/>
  <c r="T244"/>
  <c r="T245"/>
  <c r="T246"/>
  <c r="T247"/>
  <c r="T248"/>
  <c r="T249"/>
  <c r="T250"/>
  <c r="T25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462"/>
  <c r="T463"/>
  <c r="T464"/>
  <c r="T465"/>
  <c r="T466"/>
  <c r="T467"/>
  <c r="T468"/>
  <c r="T469"/>
  <c r="T470"/>
  <c r="T471"/>
  <c r="T472"/>
  <c r="T473"/>
  <c r="T474"/>
  <c r="T475"/>
  <c r="T476"/>
  <c r="T477"/>
  <c r="T478"/>
  <c r="T479"/>
  <c r="T480"/>
  <c r="T481"/>
  <c r="T482"/>
  <c r="T483"/>
  <c r="T484"/>
  <c r="T485"/>
  <c r="T486"/>
  <c r="T487"/>
  <c r="T488"/>
  <c r="T489"/>
  <c r="T490"/>
  <c r="T491"/>
  <c r="T492"/>
  <c r="T493"/>
  <c r="T494"/>
  <c r="T495"/>
  <c r="T496"/>
  <c r="T497"/>
  <c r="T498"/>
  <c r="T499"/>
  <c r="T500"/>
  <c r="T501"/>
  <c r="T502"/>
  <c r="T503"/>
  <c r="T504"/>
  <c r="T505"/>
  <c r="T506"/>
  <c r="T507"/>
  <c r="T508"/>
  <c r="T509"/>
  <c r="T510"/>
  <c r="T511"/>
  <c r="T512"/>
  <c r="T513"/>
  <c r="T514"/>
  <c r="T515"/>
  <c r="T516"/>
  <c r="T517"/>
  <c r="T518"/>
  <c r="T519"/>
  <c r="T520"/>
  <c r="T521"/>
  <c r="T522"/>
  <c r="T523"/>
  <c r="T524"/>
  <c r="T525"/>
  <c r="T526"/>
  <c r="T527"/>
  <c r="T528"/>
  <c r="T529"/>
  <c r="T530"/>
  <c r="T531"/>
  <c r="T532"/>
  <c r="T533"/>
  <c r="T534"/>
  <c r="T535"/>
  <c r="T536"/>
  <c r="T537"/>
  <c r="T538"/>
  <c r="T539"/>
  <c r="T540"/>
  <c r="T541"/>
  <c r="T542"/>
  <c r="T543"/>
  <c r="T544"/>
  <c r="T545"/>
  <c r="T546"/>
  <c r="T547"/>
  <c r="T548"/>
  <c r="T549"/>
  <c r="T550"/>
  <c r="T551"/>
  <c r="T552"/>
  <c r="T553"/>
  <c r="T554"/>
  <c r="T555"/>
  <c r="T556"/>
  <c r="T557"/>
  <c r="T558"/>
  <c r="T559"/>
  <c r="T560"/>
  <c r="T561"/>
  <c r="T562"/>
  <c r="T563"/>
  <c r="T564"/>
  <c r="T565"/>
  <c r="T566"/>
  <c r="T567"/>
  <c r="T568"/>
  <c r="T569"/>
  <c r="T570"/>
  <c r="T571"/>
  <c r="T572"/>
  <c r="T573"/>
  <c r="T574"/>
  <c r="T575"/>
  <c r="T576"/>
  <c r="T577"/>
  <c r="T578"/>
  <c r="T579"/>
  <c r="T580"/>
  <c r="T581"/>
  <c r="T582"/>
  <c r="T583"/>
  <c r="T584"/>
  <c r="T585"/>
  <c r="T586"/>
  <c r="T587"/>
  <c r="T588"/>
  <c r="T589"/>
  <c r="T590"/>
  <c r="T591"/>
  <c r="T592"/>
  <c r="T593"/>
  <c r="T594"/>
  <c r="T595"/>
  <c r="T596"/>
  <c r="T597"/>
  <c r="T598"/>
  <c r="T599"/>
  <c r="T600"/>
  <c r="T601"/>
  <c r="T602"/>
  <c r="T603"/>
  <c r="T604"/>
  <c r="T605"/>
  <c r="T606"/>
  <c r="T607"/>
  <c r="T608"/>
  <c r="T609"/>
  <c r="T610"/>
  <c r="T611"/>
  <c r="T612"/>
  <c r="T613"/>
  <c r="T614"/>
  <c r="T615"/>
  <c r="T616"/>
  <c r="T617"/>
  <c r="T618"/>
  <c r="T619"/>
  <c r="T620"/>
  <c r="T621"/>
  <c r="T622"/>
  <c r="T623"/>
  <c r="T624"/>
  <c r="T625"/>
  <c r="T626"/>
  <c r="T627"/>
  <c r="T628"/>
  <c r="T629"/>
  <c r="T630"/>
  <c r="T631"/>
  <c r="T632"/>
  <c r="T633"/>
  <c r="T634"/>
  <c r="T635"/>
  <c r="T636"/>
  <c r="T637"/>
  <c r="T638"/>
  <c r="T639"/>
  <c r="T640"/>
  <c r="T641"/>
  <c r="T642"/>
  <c r="T643"/>
  <c r="T644"/>
  <c r="T645"/>
  <c r="T646"/>
  <c r="T647"/>
  <c r="T648"/>
  <c r="T649"/>
  <c r="T650"/>
  <c r="T651"/>
  <c r="T652"/>
  <c r="T653"/>
  <c r="T654"/>
  <c r="T655"/>
  <c r="T656"/>
  <c r="T657"/>
  <c r="T658"/>
  <c r="T659"/>
  <c r="T660"/>
  <c r="T661"/>
  <c r="T662"/>
  <c r="T663"/>
  <c r="T664"/>
  <c r="T665"/>
  <c r="T666"/>
  <c r="T667"/>
  <c r="T668"/>
  <c r="T669"/>
  <c r="T670"/>
  <c r="T671"/>
  <c r="T672"/>
  <c r="T673"/>
  <c r="T674"/>
  <c r="T675"/>
  <c r="T676"/>
  <c r="T677"/>
  <c r="T678"/>
  <c r="T679"/>
  <c r="T680"/>
  <c r="T681"/>
  <c r="T682"/>
  <c r="T683"/>
  <c r="T684"/>
  <c r="T685"/>
  <c r="T686"/>
  <c r="T687"/>
  <c r="T688"/>
  <c r="T689"/>
  <c r="T690"/>
  <c r="T691"/>
  <c r="T692"/>
  <c r="T693"/>
  <c r="T694"/>
  <c r="T695"/>
  <c r="T696"/>
  <c r="T697"/>
  <c r="T698"/>
  <c r="T699"/>
  <c r="T700"/>
  <c r="T701"/>
  <c r="T702"/>
  <c r="T703"/>
  <c r="T704"/>
  <c r="T705"/>
  <c r="T706"/>
  <c r="T707"/>
  <c r="T708"/>
  <c r="T709"/>
  <c r="T710"/>
  <c r="T711"/>
  <c r="T712"/>
  <c r="T713"/>
  <c r="T714"/>
  <c r="T715"/>
  <c r="T716"/>
  <c r="T717"/>
  <c r="T718"/>
  <c r="T719"/>
  <c r="T720"/>
  <c r="T721"/>
  <c r="T722"/>
  <c r="T723"/>
  <c r="T724"/>
  <c r="T725"/>
  <c r="T726"/>
  <c r="T727"/>
  <c r="T728"/>
  <c r="T729"/>
  <c r="T730"/>
  <c r="T731"/>
  <c r="T732"/>
  <c r="T733"/>
  <c r="T734"/>
  <c r="T735"/>
  <c r="T736"/>
  <c r="T737"/>
  <c r="T738"/>
  <c r="T739"/>
  <c r="T740"/>
  <c r="T741"/>
  <c r="T742"/>
  <c r="T743"/>
  <c r="T744"/>
  <c r="T745"/>
  <c r="T746"/>
  <c r="T747"/>
  <c r="T748"/>
  <c r="T749"/>
  <c r="T750"/>
  <c r="T751"/>
  <c r="T752"/>
  <c r="T753"/>
  <c r="T754"/>
  <c r="T755"/>
  <c r="T756"/>
  <c r="T757"/>
  <c r="T758"/>
  <c r="T759"/>
  <c r="T760"/>
  <c r="T761"/>
  <c r="T762"/>
  <c r="T763"/>
  <c r="T764"/>
  <c r="T765"/>
  <c r="T766"/>
  <c r="T767"/>
  <c r="T768"/>
  <c r="T769"/>
  <c r="T770"/>
  <c r="T771"/>
  <c r="T772"/>
  <c r="T773"/>
  <c r="T774"/>
  <c r="T775"/>
  <c r="T776"/>
  <c r="T777"/>
  <c r="T778"/>
  <c r="T779"/>
  <c r="T780"/>
  <c r="T781"/>
  <c r="T782"/>
  <c r="T783"/>
  <c r="T784"/>
  <c r="T785"/>
  <c r="T786"/>
  <c r="T787"/>
  <c r="T788"/>
  <c r="T789"/>
  <c r="T790"/>
  <c r="T791"/>
  <c r="T792"/>
  <c r="T793"/>
  <c r="T794"/>
  <c r="T795"/>
  <c r="T796"/>
  <c r="T797"/>
  <c r="T798"/>
  <c r="T799"/>
  <c r="T800"/>
  <c r="T801"/>
  <c r="T802"/>
  <c r="T803"/>
  <c r="T804"/>
  <c r="T805"/>
  <c r="T806"/>
  <c r="T807"/>
  <c r="T808"/>
  <c r="T809"/>
  <c r="T810"/>
  <c r="T811"/>
  <c r="T812"/>
  <c r="T813"/>
  <c r="T814"/>
  <c r="T815"/>
  <c r="T816"/>
  <c r="T817"/>
  <c r="T818"/>
  <c r="T819"/>
  <c r="T820"/>
  <c r="T821"/>
  <c r="T822"/>
  <c r="T823"/>
  <c r="T824"/>
  <c r="T825"/>
  <c r="T826"/>
  <c r="T827"/>
  <c r="T828"/>
  <c r="T829"/>
  <c r="T830"/>
  <c r="T831"/>
  <c r="T832"/>
  <c r="T833"/>
  <c r="T834"/>
  <c r="T835"/>
  <c r="T836"/>
  <c r="T837"/>
  <c r="T838"/>
  <c r="T839"/>
  <c r="T840"/>
  <c r="T841"/>
  <c r="T842"/>
  <c r="T843"/>
  <c r="T844"/>
  <c r="T845"/>
  <c r="T846"/>
  <c r="T847"/>
  <c r="T848"/>
  <c r="T849"/>
  <c r="T850"/>
  <c r="T851"/>
  <c r="T852"/>
  <c r="T853"/>
  <c r="T854"/>
  <c r="T855"/>
  <c r="T856"/>
  <c r="T857"/>
  <c r="T858"/>
  <c r="T859"/>
  <c r="T860"/>
  <c r="T861"/>
  <c r="T862"/>
  <c r="T863"/>
  <c r="T864"/>
  <c r="T865"/>
  <c r="T866"/>
  <c r="T867"/>
  <c r="T868"/>
  <c r="T869"/>
  <c r="T870"/>
  <c r="T871"/>
  <c r="T872"/>
  <c r="T873"/>
  <c r="T874"/>
  <c r="T875"/>
  <c r="T876"/>
  <c r="T877"/>
  <c r="T878"/>
  <c r="T879"/>
  <c r="T880"/>
  <c r="T881"/>
  <c r="T882"/>
  <c r="T883"/>
  <c r="T884"/>
  <c r="T885"/>
  <c r="T886"/>
  <c r="T887"/>
  <c r="T888"/>
  <c r="T889"/>
  <c r="T890"/>
  <c r="T891"/>
  <c r="T892"/>
  <c r="T893"/>
  <c r="T894"/>
  <c r="T895"/>
  <c r="T896"/>
  <c r="T897"/>
  <c r="T898"/>
  <c r="T899"/>
  <c r="T900"/>
  <c r="T901"/>
  <c r="T902"/>
  <c r="T903"/>
  <c r="T904"/>
  <c r="T905"/>
  <c r="T906"/>
  <c r="T907"/>
  <c r="T908"/>
  <c r="T909"/>
  <c r="T910"/>
  <c r="T911"/>
  <c r="T912"/>
  <c r="T913"/>
  <c r="T914"/>
  <c r="T915"/>
  <c r="T916"/>
  <c r="T917"/>
  <c r="T918"/>
  <c r="T919"/>
  <c r="T920"/>
  <c r="T921"/>
  <c r="T922"/>
  <c r="T923"/>
  <c r="T924"/>
  <c r="T925"/>
  <c r="T926"/>
  <c r="T927"/>
  <c r="T928"/>
  <c r="T929"/>
  <c r="T930"/>
  <c r="T931"/>
  <c r="T932"/>
  <c r="T933"/>
  <c r="T934"/>
  <c r="T935"/>
  <c r="T936"/>
  <c r="T937"/>
  <c r="T938"/>
  <c r="T939"/>
  <c r="T940"/>
  <c r="T941"/>
  <c r="T942"/>
  <c r="T943"/>
  <c r="T944"/>
  <c r="T945"/>
  <c r="T946"/>
  <c r="T947"/>
  <c r="T948"/>
  <c r="T949"/>
  <c r="T950"/>
  <c r="T951"/>
  <c r="T952"/>
  <c r="T953"/>
  <c r="T954"/>
  <c r="T955"/>
  <c r="T956"/>
  <c r="T957"/>
  <c r="T958"/>
  <c r="T959"/>
  <c r="T960"/>
  <c r="T961"/>
  <c r="T962"/>
  <c r="T963"/>
  <c r="T964"/>
  <c r="T965"/>
  <c r="T966"/>
  <c r="T967"/>
  <c r="T968"/>
  <c r="T969"/>
  <c r="T970"/>
  <c r="T971"/>
  <c r="T972"/>
  <c r="T973"/>
  <c r="T974"/>
  <c r="T975"/>
  <c r="T976"/>
  <c r="T977"/>
  <c r="T978"/>
  <c r="T979"/>
  <c r="T980"/>
  <c r="T981"/>
  <c r="T982"/>
  <c r="T983"/>
  <c r="T984"/>
  <c r="T985"/>
  <c r="T986"/>
  <c r="T987"/>
  <c r="T988"/>
  <c r="T989"/>
  <c r="T990"/>
  <c r="T991"/>
  <c r="T992"/>
  <c r="T993"/>
  <c r="T994"/>
  <c r="T995"/>
  <c r="T996"/>
  <c r="T997"/>
  <c r="T998"/>
  <c r="T999"/>
  <c r="T1000"/>
  <c r="T1001"/>
  <c r="T1002"/>
  <c r="T1003"/>
  <c r="T1004"/>
  <c r="T1005"/>
  <c r="T1006"/>
  <c r="T1007"/>
  <c r="T1008"/>
  <c r="T1009"/>
  <c r="T1010"/>
  <c r="T1011"/>
  <c r="T1012"/>
  <c r="T1013"/>
  <c r="T1014"/>
  <c r="T1015"/>
  <c r="T1016"/>
  <c r="T1017"/>
  <c r="T1018"/>
  <c r="T1019"/>
  <c r="T1020"/>
  <c r="T1021"/>
  <c r="T1022"/>
  <c r="T1023"/>
  <c r="T1024"/>
  <c r="T1025"/>
  <c r="T1026"/>
  <c r="T1027"/>
  <c r="T1028"/>
  <c r="T1029"/>
  <c r="T1030"/>
  <c r="T1031"/>
  <c r="T1032"/>
  <c r="T1033"/>
  <c r="T1034"/>
  <c r="T1035"/>
  <c r="T1036"/>
  <c r="T1037"/>
  <c r="T1038"/>
  <c r="T1039"/>
  <c r="T1040"/>
  <c r="T1041"/>
  <c r="T1042"/>
  <c r="T1043"/>
  <c r="T1044"/>
  <c r="T1045"/>
  <c r="T1046"/>
  <c r="T1047"/>
  <c r="T1048"/>
  <c r="T1049"/>
  <c r="T1050"/>
  <c r="T1051"/>
  <c r="T1052"/>
  <c r="T1053"/>
  <c r="T1054"/>
  <c r="T1055"/>
  <c r="T1056"/>
  <c r="T1057"/>
  <c r="T1058"/>
  <c r="T1059"/>
  <c r="T1060"/>
  <c r="T1061"/>
  <c r="T1062"/>
  <c r="T1063"/>
  <c r="T1064"/>
  <c r="T1065"/>
  <c r="T1066"/>
  <c r="T1067"/>
  <c r="T1068"/>
  <c r="T1069"/>
  <c r="T1070"/>
  <c r="T1071"/>
  <c r="T1072"/>
  <c r="T1073"/>
  <c r="T1074"/>
  <c r="T1075"/>
  <c r="T1076"/>
  <c r="T1077"/>
  <c r="T1078"/>
  <c r="T1079"/>
  <c r="T1080"/>
  <c r="T1081"/>
  <c r="T1082"/>
  <c r="T1083"/>
  <c r="T1084"/>
  <c r="T1085"/>
  <c r="T1086"/>
  <c r="T1087"/>
  <c r="T1088"/>
  <c r="T1089"/>
  <c r="T1090"/>
  <c r="T1091"/>
  <c r="T1092"/>
  <c r="T1093"/>
  <c r="T1094"/>
  <c r="T1095"/>
  <c r="T1096"/>
  <c r="T1097"/>
  <c r="T1098"/>
  <c r="T1099"/>
  <c r="T1100"/>
  <c r="T1101"/>
  <c r="T1102"/>
  <c r="T1103"/>
  <c r="T1104"/>
  <c r="T1105"/>
  <c r="T1106"/>
  <c r="T1107"/>
  <c r="T1108"/>
  <c r="T1109"/>
  <c r="T1110"/>
  <c r="T1111"/>
  <c r="T1112"/>
  <c r="T1113"/>
  <c r="T1114"/>
  <c r="T1115"/>
  <c r="T1116"/>
  <c r="T1117"/>
  <c r="T1118"/>
  <c r="T1119"/>
  <c r="T1120"/>
  <c r="T1121"/>
  <c r="T1122"/>
  <c r="T1123"/>
  <c r="T1124"/>
  <c r="T1125"/>
  <c r="T1126"/>
  <c r="T1127"/>
  <c r="T1128"/>
  <c r="T1129"/>
  <c r="T1130"/>
  <c r="T1131"/>
  <c r="T1132"/>
  <c r="T1133"/>
  <c r="T1134"/>
  <c r="T1135"/>
  <c r="T1136"/>
  <c r="T1137"/>
  <c r="T1138"/>
  <c r="T1139"/>
  <c r="T1140"/>
  <c r="T1141"/>
  <c r="T1142"/>
  <c r="T1143"/>
  <c r="T1144"/>
  <c r="T1145"/>
  <c r="T1146"/>
  <c r="T1147"/>
  <c r="T1148"/>
  <c r="T1149"/>
  <c r="T1150"/>
  <c r="T1151"/>
  <c r="T1152"/>
  <c r="T1153"/>
  <c r="T1154"/>
  <c r="T1155"/>
  <c r="T1156"/>
  <c r="T1157"/>
  <c r="T1158"/>
  <c r="T1159"/>
  <c r="T1160"/>
  <c r="T1161"/>
  <c r="T1162"/>
  <c r="T1163"/>
  <c r="T1164"/>
  <c r="T1165"/>
  <c r="T1166"/>
  <c r="T1167"/>
  <c r="T1168"/>
  <c r="T1169"/>
  <c r="T1170"/>
  <c r="T1171"/>
  <c r="T1172"/>
  <c r="T1173"/>
  <c r="T1174"/>
  <c r="T1175"/>
  <c r="T1176"/>
  <c r="T1177"/>
  <c r="T1178"/>
  <c r="T1179"/>
  <c r="T1180"/>
  <c r="T1181"/>
  <c r="T1182"/>
  <c r="T1183"/>
  <c r="T1184"/>
  <c r="T1185"/>
  <c r="T1186"/>
  <c r="T1187"/>
  <c r="T1188"/>
  <c r="T1189"/>
  <c r="T1190"/>
  <c r="T1191"/>
  <c r="T1192"/>
  <c r="T1193"/>
  <c r="T1194"/>
  <c r="T1195"/>
  <c r="T1196"/>
  <c r="T1197"/>
  <c r="T1198"/>
  <c r="T1199"/>
  <c r="T1200"/>
  <c r="T1201"/>
  <c r="T1202"/>
  <c r="T1203"/>
  <c r="T1204"/>
  <c r="T1205"/>
  <c r="T1206"/>
  <c r="T1207"/>
  <c r="T1208"/>
  <c r="T1209"/>
  <c r="T1210"/>
  <c r="T1211"/>
  <c r="T1212"/>
  <c r="T1213"/>
  <c r="T1214"/>
  <c r="T1215"/>
  <c r="T1216"/>
  <c r="T1217"/>
  <c r="T1218"/>
  <c r="T1219"/>
  <c r="T1220"/>
  <c r="T1221"/>
  <c r="T1222"/>
  <c r="T1223"/>
  <c r="T1224"/>
  <c r="T1225"/>
  <c r="T1226"/>
  <c r="T1227"/>
  <c r="T1228"/>
  <c r="T1229"/>
  <c r="T1230"/>
  <c r="T1231"/>
  <c r="T1232"/>
  <c r="T1233"/>
  <c r="T1234"/>
  <c r="T1235"/>
  <c r="T1236"/>
  <c r="T1237"/>
  <c r="T1238"/>
  <c r="T1239"/>
  <c r="T1240"/>
  <c r="T1241"/>
  <c r="T1242"/>
  <c r="T1243"/>
  <c r="T1244"/>
  <c r="T1245"/>
  <c r="T1246"/>
  <c r="T1247"/>
  <c r="T1248"/>
  <c r="T1249"/>
  <c r="T1250"/>
  <c r="T1251"/>
  <c r="T1252"/>
  <c r="T1253"/>
  <c r="T1254"/>
  <c r="T1255"/>
  <c r="T1256"/>
  <c r="T1257"/>
  <c r="T1258"/>
  <c r="T1259"/>
  <c r="T1260"/>
  <c r="T1261"/>
  <c r="T1262"/>
  <c r="T1263"/>
  <c r="T1264"/>
  <c r="T1265"/>
  <c r="T1266"/>
  <c r="T1267"/>
  <c r="T1268"/>
  <c r="T1269"/>
  <c r="T1270"/>
  <c r="T1271"/>
  <c r="T1272"/>
  <c r="T1273"/>
  <c r="T1274"/>
  <c r="T1275"/>
  <c r="T1276"/>
  <c r="T1277"/>
  <c r="T1278"/>
  <c r="T1279"/>
  <c r="T1280"/>
  <c r="T1281"/>
  <c r="T1282"/>
  <c r="T1283"/>
  <c r="T1284"/>
  <c r="T1285"/>
  <c r="T1286"/>
  <c r="T1287"/>
  <c r="T1288"/>
  <c r="T1289"/>
  <c r="T1290"/>
  <c r="T1291"/>
  <c r="T1292"/>
  <c r="T1293"/>
  <c r="T1294"/>
  <c r="T1295"/>
  <c r="T1296"/>
  <c r="T1297"/>
  <c r="T1298"/>
  <c r="T1299"/>
  <c r="T1300"/>
  <c r="T1301"/>
  <c r="T1302"/>
  <c r="T1303"/>
  <c r="T1304"/>
  <c r="T1305"/>
  <c r="T1306"/>
  <c r="T1307"/>
  <c r="T1308"/>
  <c r="T1309"/>
  <c r="T1310"/>
  <c r="T1311"/>
  <c r="T1312"/>
  <c r="T1313"/>
  <c r="T1314"/>
  <c r="T1315"/>
  <c r="T1316"/>
  <c r="T1317"/>
  <c r="T1318"/>
  <c r="T1319"/>
  <c r="T1320"/>
  <c r="T1321"/>
  <c r="T1322"/>
  <c r="T1323"/>
  <c r="T1324"/>
  <c r="T1325"/>
  <c r="T1326"/>
  <c r="T1327"/>
  <c r="T1328"/>
  <c r="T1329"/>
  <c r="T1330"/>
  <c r="T1331"/>
  <c r="T1332"/>
  <c r="T1333"/>
  <c r="T1334"/>
  <c r="T1335"/>
  <c r="T1336"/>
  <c r="T1337"/>
  <c r="T1338"/>
  <c r="T1339"/>
  <c r="T1340"/>
  <c r="T1341"/>
  <c r="T1342"/>
  <c r="T1343"/>
  <c r="T1344"/>
  <c r="T1345"/>
  <c r="T1346"/>
  <c r="T1347"/>
  <c r="T1348"/>
  <c r="T1349"/>
  <c r="T1350"/>
  <c r="T1351"/>
  <c r="T1352"/>
  <c r="T1353"/>
  <c r="T1354"/>
  <c r="T1355"/>
  <c r="T1356"/>
  <c r="T1357"/>
  <c r="T1358"/>
  <c r="T1359"/>
  <c r="T1360"/>
  <c r="T1361"/>
  <c r="T1362"/>
  <c r="T1363"/>
  <c r="T1364"/>
  <c r="T1365"/>
  <c r="T1366"/>
  <c r="T1367"/>
  <c r="T1368"/>
  <c r="T1369"/>
  <c r="T1370"/>
  <c r="T1371"/>
  <c r="T1372"/>
  <c r="T1373"/>
  <c r="T1374"/>
  <c r="T1375"/>
  <c r="T1376"/>
  <c r="T1377"/>
  <c r="T1378"/>
  <c r="T1379"/>
  <c r="T1380"/>
  <c r="T1381"/>
  <c r="T1382"/>
  <c r="T1383"/>
  <c r="T1384"/>
  <c r="T1385"/>
  <c r="T1386"/>
  <c r="T1387"/>
  <c r="T1388"/>
  <c r="T1389"/>
  <c r="T1390"/>
  <c r="T1391"/>
  <c r="T1392"/>
  <c r="T1393"/>
  <c r="T1394"/>
  <c r="T1395"/>
  <c r="T1396"/>
  <c r="T1397"/>
  <c r="T1398"/>
  <c r="T1399"/>
  <c r="T1400"/>
  <c r="T1401"/>
  <c r="T1402"/>
  <c r="T1403"/>
  <c r="T1404"/>
  <c r="T1405"/>
  <c r="T1406"/>
  <c r="T1407"/>
  <c r="T1408"/>
  <c r="T1409"/>
  <c r="T1410"/>
  <c r="T1411"/>
  <c r="T1412"/>
  <c r="T1413"/>
  <c r="T1414"/>
  <c r="T1415"/>
  <c r="T1416"/>
  <c r="T1417"/>
  <c r="T1418"/>
  <c r="T1419"/>
  <c r="T1420"/>
  <c r="T1421"/>
  <c r="T1422"/>
  <c r="T1423"/>
  <c r="T1424"/>
  <c r="T1425"/>
  <c r="T1426"/>
  <c r="T1427"/>
  <c r="T1428"/>
  <c r="T1429"/>
  <c r="T1430"/>
  <c r="T1431"/>
  <c r="T1432"/>
  <c r="T1433"/>
  <c r="T1434"/>
  <c r="T1435"/>
  <c r="T1436"/>
  <c r="T1437"/>
  <c r="T1438"/>
  <c r="T1439"/>
  <c r="T1440"/>
  <c r="T1441"/>
  <c r="T1442"/>
  <c r="T1443"/>
  <c r="T1444"/>
  <c r="T1445"/>
  <c r="T1446"/>
  <c r="T1447"/>
  <c r="T1448"/>
  <c r="T1449"/>
  <c r="T1450"/>
  <c r="T1451"/>
  <c r="T1452"/>
  <c r="T1453"/>
  <c r="T1454"/>
  <c r="T1455"/>
  <c r="T1456"/>
  <c r="T1457"/>
  <c r="T1458"/>
  <c r="T1459"/>
  <c r="T1460"/>
  <c r="T1461"/>
  <c r="T1462"/>
  <c r="T1463"/>
  <c r="T1464"/>
  <c r="T1465"/>
  <c r="T1466"/>
  <c r="T1467"/>
  <c r="T1468"/>
  <c r="T1469"/>
  <c r="T1470"/>
  <c r="T1471"/>
  <c r="T1472"/>
  <c r="T1473"/>
  <c r="T1474"/>
  <c r="T1475"/>
  <c r="T1476"/>
  <c r="T1477"/>
  <c r="T1478"/>
  <c r="T1479"/>
  <c r="T1480"/>
  <c r="T1481"/>
  <c r="T1482"/>
  <c r="T1483"/>
  <c r="T1484"/>
  <c r="T1485"/>
  <c r="T1486"/>
  <c r="T1487"/>
  <c r="T1488"/>
  <c r="T1489"/>
  <c r="T1490"/>
  <c r="T1491"/>
  <c r="T1492"/>
  <c r="T1493"/>
  <c r="T1494"/>
  <c r="T1495"/>
  <c r="T1496"/>
  <c r="T1497"/>
  <c r="T1498"/>
  <c r="T1499"/>
  <c r="T1500"/>
  <c r="T1501"/>
  <c r="T1502"/>
  <c r="T1503"/>
  <c r="T1504"/>
  <c r="T1505"/>
  <c r="T1506"/>
  <c r="T1507"/>
  <c r="T1508"/>
  <c r="T1509"/>
  <c r="T1510"/>
  <c r="T1511"/>
  <c r="T1512"/>
  <c r="T1513"/>
  <c r="T1514"/>
  <c r="T1515"/>
  <c r="T1516"/>
  <c r="T1517"/>
  <c r="T1518"/>
  <c r="T1519"/>
  <c r="T1520"/>
  <c r="T1521"/>
  <c r="T1522"/>
  <c r="T1523"/>
  <c r="T1524"/>
  <c r="T1525"/>
  <c r="T1526"/>
  <c r="T1527"/>
  <c r="T1528"/>
  <c r="T1529"/>
  <c r="T1530"/>
  <c r="T1531"/>
  <c r="T1532"/>
  <c r="T1533"/>
  <c r="T1534"/>
  <c r="T1535"/>
  <c r="T1536"/>
  <c r="T1537"/>
  <c r="T1538"/>
  <c r="T1539"/>
  <c r="T1540"/>
  <c r="T1541"/>
  <c r="T1542"/>
  <c r="T1543"/>
  <c r="T1544"/>
  <c r="T1545"/>
  <c r="T1546"/>
  <c r="T1547"/>
  <c r="T1548"/>
  <c r="T1549"/>
  <c r="T1550"/>
  <c r="T1551"/>
  <c r="T1552"/>
  <c r="T1553"/>
  <c r="T1554"/>
  <c r="T1555"/>
  <c r="T1556"/>
  <c r="T1557"/>
  <c r="T1558"/>
  <c r="T1559"/>
  <c r="T1560"/>
  <c r="T1561"/>
  <c r="T1562"/>
  <c r="T1563"/>
  <c r="T1564"/>
  <c r="T1565"/>
  <c r="T1566"/>
  <c r="T1567"/>
  <c r="T1568"/>
  <c r="T1569"/>
  <c r="T1570"/>
  <c r="T1571"/>
  <c r="T1572"/>
  <c r="T1573"/>
  <c r="T1574"/>
  <c r="T1575"/>
  <c r="T1576"/>
  <c r="T1577"/>
  <c r="T1578"/>
  <c r="T1579"/>
  <c r="T1580"/>
  <c r="T1581"/>
  <c r="T1582"/>
  <c r="T1583"/>
  <c r="T1584"/>
  <c r="T1585"/>
  <c r="T1586"/>
  <c r="T1587"/>
  <c r="T1588"/>
  <c r="T1589"/>
  <c r="T1590"/>
  <c r="T1591"/>
  <c r="T1592"/>
  <c r="T1593"/>
  <c r="T1594"/>
  <c r="T1595"/>
  <c r="T1596"/>
  <c r="T1597"/>
  <c r="T1598"/>
  <c r="T1599"/>
  <c r="T1600"/>
  <c r="T1601"/>
  <c r="T1602"/>
  <c r="T1603"/>
  <c r="T1604"/>
  <c r="T1605"/>
  <c r="T1606"/>
  <c r="T1607"/>
  <c r="T1608"/>
  <c r="T1609"/>
  <c r="T1610"/>
  <c r="T1611"/>
  <c r="T1612"/>
  <c r="T1613"/>
  <c r="T1614"/>
  <c r="T1615"/>
  <c r="T1616"/>
  <c r="T1617"/>
  <c r="T1618"/>
  <c r="T1619"/>
  <c r="T1620"/>
  <c r="T1621"/>
  <c r="T1622"/>
  <c r="T1623"/>
  <c r="T1624"/>
  <c r="T1625"/>
  <c r="T1626"/>
  <c r="T1627"/>
  <c r="T1628"/>
  <c r="T1629"/>
  <c r="T1630"/>
  <c r="T1631"/>
  <c r="T1632"/>
  <c r="T1633"/>
  <c r="T1634"/>
  <c r="T1635"/>
  <c r="T1636"/>
  <c r="T1637"/>
  <c r="T1638"/>
  <c r="T1639"/>
  <c r="T1640"/>
  <c r="T1641"/>
  <c r="T1642"/>
  <c r="T1643"/>
  <c r="T1644"/>
  <c r="T1645"/>
  <c r="T1646"/>
  <c r="T1647"/>
  <c r="T1648"/>
  <c r="T1649"/>
  <c r="T1650"/>
  <c r="T1651"/>
  <c r="T1652"/>
  <c r="T1653"/>
  <c r="T1654"/>
  <c r="T1655"/>
  <c r="T1656"/>
  <c r="T1657"/>
  <c r="T1658"/>
  <c r="T1659"/>
  <c r="T1660"/>
  <c r="T1661"/>
  <c r="T1662"/>
  <c r="T1663"/>
  <c r="T1664"/>
  <c r="T1665"/>
  <c r="T1666"/>
  <c r="T1667"/>
  <c r="T1668"/>
  <c r="T1669"/>
  <c r="T1670"/>
  <c r="T1671"/>
  <c r="T1672"/>
  <c r="T1673"/>
  <c r="T1674"/>
  <c r="T1675"/>
  <c r="T1676"/>
  <c r="T1677"/>
  <c r="T1678"/>
  <c r="T1679"/>
  <c r="T1680"/>
  <c r="T1681"/>
  <c r="T1682"/>
  <c r="T1683"/>
  <c r="T1684"/>
  <c r="T1685"/>
  <c r="T1686"/>
  <c r="T1687"/>
  <c r="T1688"/>
  <c r="T1689"/>
  <c r="T1690"/>
  <c r="T1691"/>
  <c r="T1692"/>
  <c r="T1693"/>
  <c r="T1694"/>
  <c r="T1695"/>
  <c r="T1696"/>
  <c r="T1697"/>
  <c r="T1698"/>
  <c r="T1699"/>
  <c r="T1700"/>
  <c r="T1701"/>
  <c r="T1702"/>
  <c r="T1703"/>
  <c r="T1704"/>
  <c r="T1705"/>
  <c r="T1706"/>
  <c r="T1707"/>
  <c r="T1708"/>
  <c r="T1709"/>
  <c r="T1710"/>
  <c r="T1711"/>
  <c r="T1712"/>
  <c r="T1713"/>
  <c r="T1714"/>
  <c r="T1715"/>
  <c r="T1716"/>
  <c r="T1717"/>
  <c r="T1718"/>
  <c r="T1719"/>
  <c r="T1720"/>
  <c r="T1721"/>
  <c r="T1722"/>
  <c r="T1723"/>
  <c r="T1724"/>
  <c r="T1725"/>
  <c r="T1726"/>
  <c r="T1727"/>
  <c r="T1728"/>
  <c r="T1729"/>
  <c r="T1730"/>
  <c r="T1731"/>
  <c r="T1732"/>
  <c r="T1733"/>
  <c r="T1734"/>
  <c r="T1735"/>
  <c r="T1736"/>
  <c r="T1737"/>
  <c r="T1738"/>
  <c r="T1739"/>
  <c r="T1740"/>
  <c r="T1741"/>
  <c r="T1742"/>
  <c r="T1743"/>
  <c r="T1744"/>
  <c r="T1745"/>
  <c r="T1746"/>
  <c r="T1747"/>
  <c r="T1748"/>
  <c r="T1749"/>
  <c r="T1750"/>
  <c r="T1751"/>
  <c r="T1752"/>
  <c r="T1753"/>
  <c r="T1754"/>
  <c r="T1755"/>
  <c r="T1756"/>
  <c r="T1757"/>
  <c r="T1758"/>
  <c r="T1759"/>
  <c r="T1760"/>
  <c r="T1761"/>
  <c r="T1762"/>
  <c r="T1763"/>
  <c r="T1764"/>
  <c r="T1765"/>
  <c r="T1766"/>
  <c r="T1767"/>
  <c r="T1768"/>
  <c r="T1769"/>
  <c r="T1770"/>
  <c r="T1771"/>
  <c r="T1772"/>
  <c r="T1773"/>
  <c r="T1774"/>
  <c r="T1775"/>
  <c r="T1776"/>
  <c r="T1777"/>
  <c r="T1778"/>
  <c r="T1779"/>
  <c r="T1780"/>
  <c r="T1781"/>
  <c r="T1782"/>
  <c r="T1783"/>
  <c r="T1784"/>
  <c r="T1785"/>
  <c r="T1786"/>
  <c r="T1787"/>
  <c r="T1788"/>
  <c r="T1789"/>
  <c r="T1790"/>
  <c r="T1791"/>
  <c r="T1792"/>
  <c r="T1793"/>
  <c r="T1794"/>
  <c r="T1795"/>
  <c r="T1796"/>
  <c r="T1797"/>
  <c r="T1798"/>
  <c r="T1799"/>
  <c r="T1800"/>
  <c r="T1801"/>
  <c r="T1802"/>
  <c r="T1803"/>
  <c r="T1804"/>
  <c r="T1805"/>
  <c r="T1806"/>
  <c r="T1807"/>
  <c r="T1808"/>
  <c r="T1809"/>
  <c r="T1810"/>
  <c r="T1811"/>
  <c r="T1812"/>
  <c r="T1813"/>
  <c r="T1814"/>
  <c r="T1815"/>
  <c r="T1816"/>
  <c r="T1817"/>
  <c r="T1818"/>
  <c r="T1819"/>
  <c r="T1820"/>
  <c r="T1821"/>
  <c r="T1822"/>
  <c r="T1823"/>
  <c r="T1824"/>
  <c r="T1825"/>
  <c r="T1826"/>
  <c r="T1827"/>
  <c r="T1828"/>
  <c r="T1829"/>
  <c r="T1830"/>
  <c r="T1831"/>
  <c r="T1832"/>
  <c r="T1833"/>
  <c r="T1834"/>
  <c r="T1835"/>
  <c r="T1836"/>
  <c r="T1837"/>
  <c r="T1838"/>
  <c r="T1839"/>
  <c r="T1840"/>
  <c r="T1841"/>
  <c r="T1842"/>
  <c r="T1843"/>
  <c r="T1844"/>
  <c r="T1845"/>
  <c r="T1846"/>
  <c r="T1847"/>
  <c r="T1848"/>
  <c r="T1849"/>
  <c r="T1850"/>
  <c r="T1851"/>
  <c r="T1852"/>
  <c r="T1853"/>
  <c r="T1854"/>
  <c r="T1855"/>
  <c r="T1856"/>
  <c r="T1857"/>
  <c r="T1858"/>
  <c r="T1859"/>
  <c r="T1860"/>
  <c r="T1861"/>
  <c r="T1862"/>
  <c r="T1863"/>
  <c r="T1864"/>
  <c r="T1865"/>
  <c r="T1866"/>
  <c r="T1867"/>
  <c r="T1868"/>
  <c r="T1869"/>
  <c r="T1870"/>
  <c r="T1871"/>
  <c r="T1872"/>
  <c r="T1873"/>
  <c r="T1874"/>
  <c r="T1875"/>
  <c r="T1876"/>
  <c r="T1877"/>
  <c r="T1878"/>
  <c r="T1879"/>
  <c r="T1880"/>
  <c r="T1881"/>
  <c r="T1882"/>
  <c r="T1883"/>
  <c r="T1884"/>
  <c r="T1885"/>
  <c r="T1886"/>
  <c r="T1887"/>
  <c r="T1888"/>
  <c r="T1889"/>
  <c r="T1890"/>
  <c r="T1891"/>
  <c r="T1892"/>
  <c r="T1893"/>
  <c r="T1894"/>
  <c r="T1895"/>
  <c r="T1896"/>
  <c r="T1897"/>
  <c r="T1898"/>
  <c r="T1899"/>
  <c r="T1900"/>
  <c r="T1901"/>
  <c r="T1902"/>
  <c r="T1903"/>
  <c r="T1904"/>
  <c r="T1905"/>
  <c r="T1906"/>
  <c r="T1907"/>
  <c r="T1908"/>
  <c r="T1909"/>
  <c r="T1910"/>
  <c r="T1911"/>
  <c r="T1912"/>
  <c r="T1913"/>
  <c r="T1914"/>
  <c r="T1915"/>
  <c r="T1916"/>
  <c r="T1917"/>
  <c r="T1918"/>
  <c r="T1919"/>
  <c r="T1920"/>
  <c r="T1921"/>
  <c r="T1922"/>
  <c r="T1923"/>
  <c r="T1924"/>
  <c r="T1925"/>
  <c r="T1926"/>
  <c r="T1927"/>
  <c r="T1928"/>
  <c r="T1929"/>
  <c r="T1930"/>
  <c r="T1931"/>
  <c r="T1932"/>
  <c r="T1933"/>
  <c r="T1934"/>
  <c r="T1935"/>
  <c r="T1936"/>
  <c r="T1937"/>
  <c r="T1938"/>
  <c r="T1939"/>
  <c r="T1940"/>
  <c r="T1941"/>
  <c r="T1942"/>
  <c r="T1943"/>
  <c r="T1944"/>
  <c r="T1945"/>
  <c r="T1946"/>
  <c r="T1947"/>
  <c r="T1948"/>
  <c r="T1949"/>
  <c r="T1950"/>
  <c r="T1951"/>
  <c r="T1952"/>
  <c r="T1953"/>
  <c r="T1954"/>
  <c r="T1955"/>
  <c r="T1956"/>
  <c r="T1957"/>
  <c r="T1958"/>
  <c r="T1959"/>
  <c r="T1960"/>
  <c r="T1961"/>
  <c r="T1962"/>
  <c r="T1963"/>
  <c r="T1964"/>
  <c r="T1965"/>
  <c r="T1966"/>
  <c r="T1967"/>
  <c r="T1968"/>
  <c r="T1969"/>
  <c r="T1970"/>
  <c r="T1971"/>
  <c r="T1972"/>
  <c r="T1973"/>
  <c r="T1974"/>
  <c r="T1975"/>
  <c r="T1976"/>
  <c r="T1977"/>
  <c r="T1978"/>
  <c r="T1979"/>
  <c r="T1980"/>
  <c r="T1981"/>
  <c r="T1982"/>
  <c r="T1983"/>
  <c r="T1984"/>
  <c r="T1985"/>
  <c r="T1986"/>
  <c r="T1987"/>
  <c r="T1988"/>
  <c r="T1989"/>
  <c r="T1990"/>
  <c r="T1991"/>
  <c r="T1992"/>
  <c r="T1993"/>
  <c r="T1994"/>
  <c r="T1995"/>
  <c r="T1996"/>
  <c r="T1997"/>
  <c r="T1998"/>
  <c r="T1999"/>
  <c r="T2000"/>
  <c r="T2001"/>
  <c r="T2002"/>
  <c r="T2003"/>
  <c r="T2004"/>
  <c r="T2005"/>
  <c r="T2006"/>
  <c r="T2007"/>
  <c r="T2008"/>
  <c r="T2009"/>
  <c r="T2010"/>
  <c r="T2011"/>
  <c r="T2012"/>
  <c r="T2013"/>
  <c r="T2014"/>
  <c r="T2015"/>
  <c r="T2016"/>
  <c r="T2017"/>
  <c r="T2018"/>
  <c r="T2019"/>
  <c r="T2020"/>
  <c r="T2021"/>
  <c r="T2022"/>
  <c r="T2023"/>
  <c r="T2024"/>
  <c r="T2025"/>
  <c r="T2026"/>
  <c r="T2027"/>
  <c r="T2028"/>
  <c r="T2029"/>
  <c r="T2030"/>
  <c r="T2031"/>
  <c r="T2032"/>
  <c r="T2033"/>
  <c r="T2034"/>
  <c r="T2035"/>
  <c r="T2036"/>
  <c r="T2037"/>
  <c r="T2038"/>
  <c r="T2039"/>
  <c r="T2040"/>
  <c r="T2041"/>
  <c r="T2042"/>
  <c r="T2043"/>
  <c r="T2044"/>
  <c r="T2045"/>
  <c r="T2046"/>
  <c r="T2047"/>
  <c r="T2048"/>
  <c r="T2049"/>
  <c r="T2050"/>
  <c r="T2051"/>
  <c r="T2052"/>
  <c r="T2053"/>
  <c r="T2054"/>
  <c r="T2055"/>
  <c r="T2056"/>
  <c r="T2057"/>
  <c r="T2058"/>
  <c r="T2059"/>
  <c r="T2060"/>
  <c r="T2061"/>
  <c r="T2062"/>
  <c r="T2063"/>
  <c r="T2064"/>
  <c r="T2065"/>
  <c r="T2066"/>
  <c r="T2067"/>
  <c r="T2068"/>
  <c r="T2069"/>
  <c r="T2070"/>
  <c r="T2071"/>
  <c r="T2072"/>
  <c r="T2073"/>
  <c r="T2074"/>
  <c r="T2075"/>
  <c r="T2076"/>
  <c r="T2077"/>
  <c r="T2078"/>
  <c r="T2079"/>
  <c r="T2080"/>
  <c r="T2081"/>
  <c r="T2082"/>
  <c r="T2083"/>
  <c r="T2084"/>
  <c r="T2085"/>
  <c r="T2086"/>
  <c r="T2087"/>
  <c r="T2088"/>
  <c r="T2089"/>
  <c r="T2090"/>
  <c r="T2091"/>
  <c r="T2092"/>
  <c r="T2093"/>
  <c r="T2094"/>
  <c r="T2095"/>
  <c r="T2096"/>
  <c r="T2097"/>
  <c r="T2098"/>
  <c r="T2099"/>
  <c r="T2100"/>
  <c r="T2101"/>
  <c r="T2102"/>
  <c r="T2103"/>
  <c r="T2104"/>
  <c r="T2105"/>
  <c r="T2106"/>
  <c r="T2107"/>
  <c r="T2108"/>
  <c r="T2109"/>
  <c r="T2110"/>
  <c r="T2111"/>
  <c r="T2112"/>
  <c r="T2113"/>
  <c r="T2114"/>
  <c r="T2115"/>
  <c r="T2116"/>
  <c r="T2117"/>
  <c r="T2118"/>
  <c r="T2119"/>
  <c r="T2120"/>
  <c r="T2121"/>
  <c r="T2122"/>
  <c r="T2123"/>
  <c r="T2124"/>
  <c r="T2125"/>
  <c r="T2126"/>
  <c r="T2127"/>
  <c r="T2128"/>
  <c r="T2129"/>
  <c r="T2130"/>
  <c r="T2131"/>
  <c r="T2132"/>
  <c r="T2133"/>
  <c r="T2134"/>
  <c r="T2135"/>
  <c r="T2136"/>
  <c r="T2137"/>
  <c r="T2138"/>
  <c r="T2139"/>
  <c r="T2140"/>
  <c r="T2141"/>
  <c r="T2142"/>
  <c r="T2143"/>
  <c r="T2144"/>
  <c r="T2145"/>
  <c r="T2146"/>
  <c r="T2147"/>
  <c r="T2148"/>
  <c r="T2149"/>
  <c r="T2150"/>
  <c r="T2151"/>
  <c r="T2152"/>
  <c r="T2153"/>
  <c r="T2154"/>
  <c r="T2155"/>
  <c r="T2156"/>
  <c r="T2157"/>
  <c r="T2158"/>
  <c r="T2159"/>
  <c r="T2160"/>
  <c r="T2161"/>
  <c r="T2162"/>
  <c r="T2163"/>
  <c r="T2164"/>
  <c r="T2165"/>
  <c r="T2166"/>
  <c r="T2167"/>
  <c r="T2168"/>
  <c r="T2169"/>
  <c r="T2170"/>
  <c r="T2171"/>
  <c r="T2172"/>
  <c r="T2173"/>
  <c r="T2174"/>
  <c r="T2175"/>
  <c r="T2176"/>
  <c r="T2177"/>
  <c r="T2178"/>
  <c r="T2179"/>
  <c r="T2180"/>
  <c r="T2181"/>
  <c r="T2182"/>
  <c r="T2183"/>
  <c r="T2184"/>
  <c r="T2185"/>
  <c r="T2186"/>
  <c r="T2187"/>
  <c r="T2188"/>
  <c r="T2189"/>
  <c r="T2190"/>
  <c r="T2191"/>
  <c r="T2192"/>
  <c r="T2193"/>
  <c r="T2194"/>
  <c r="T2195"/>
  <c r="T2196"/>
  <c r="T2197"/>
  <c r="T2198"/>
  <c r="T2199"/>
  <c r="T2200"/>
  <c r="T2201"/>
  <c r="T2202"/>
  <c r="T2203"/>
  <c r="T2204"/>
  <c r="T2205"/>
  <c r="T2206"/>
  <c r="T2207"/>
  <c r="T2208"/>
  <c r="T2209"/>
  <c r="T2210"/>
  <c r="T2211"/>
  <c r="T2212"/>
  <c r="T2213"/>
  <c r="T2214"/>
  <c r="T2215"/>
  <c r="T2216"/>
  <c r="T2217"/>
  <c r="T2218"/>
  <c r="T2219"/>
  <c r="T2220"/>
  <c r="T2221"/>
  <c r="T2222"/>
  <c r="T2223"/>
  <c r="T2224"/>
  <c r="T2225"/>
  <c r="T2226"/>
  <c r="T2227"/>
  <c r="T2228"/>
  <c r="T2229"/>
  <c r="T2230"/>
  <c r="T2231"/>
  <c r="T2232"/>
  <c r="T2233"/>
  <c r="T2234"/>
  <c r="T2235"/>
  <c r="T2236"/>
  <c r="T2237"/>
  <c r="T2238"/>
  <c r="T2239"/>
  <c r="T2240"/>
  <c r="T2241"/>
  <c r="T2242"/>
  <c r="T2243"/>
  <c r="T2244"/>
  <c r="T2245"/>
  <c r="T2246"/>
  <c r="T2247"/>
  <c r="T2248"/>
  <c r="T2249"/>
  <c r="T2250"/>
  <c r="T2251"/>
  <c r="T2252"/>
  <c r="T2253"/>
  <c r="T2254"/>
  <c r="T2255"/>
  <c r="T2256"/>
  <c r="T2257"/>
  <c r="T2258"/>
  <c r="T2259"/>
  <c r="T2260"/>
  <c r="T2261"/>
  <c r="T2262"/>
  <c r="T2263"/>
  <c r="T2264"/>
  <c r="T2265"/>
  <c r="T2266"/>
  <c r="T2267"/>
  <c r="T2268"/>
  <c r="T2269"/>
  <c r="T2270"/>
  <c r="T2271"/>
  <c r="T2272"/>
  <c r="T2273"/>
  <c r="T2274"/>
  <c r="T2275"/>
  <c r="T2276"/>
  <c r="T2277"/>
  <c r="T2278"/>
  <c r="T2279"/>
  <c r="T2280"/>
  <c r="T2281"/>
  <c r="T2282"/>
  <c r="T2283"/>
  <c r="T2284"/>
  <c r="T2285"/>
  <c r="T2286"/>
  <c r="T2287"/>
  <c r="T2288"/>
  <c r="T2289"/>
  <c r="T2290"/>
  <c r="T2291"/>
  <c r="T2292"/>
  <c r="T2293"/>
  <c r="T2294"/>
  <c r="T2295"/>
  <c r="T2296"/>
  <c r="T2297"/>
  <c r="T2298"/>
  <c r="T2299"/>
  <c r="T2300"/>
  <c r="T2301"/>
  <c r="T2302"/>
  <c r="T2303"/>
  <c r="T2304"/>
  <c r="T2305"/>
  <c r="T2306"/>
  <c r="T2307"/>
  <c r="T2308"/>
  <c r="T2309"/>
  <c r="T2310"/>
  <c r="T2311"/>
  <c r="T2312"/>
  <c r="T2313"/>
  <c r="T2314"/>
  <c r="T2315"/>
  <c r="T2316"/>
  <c r="T2317"/>
  <c r="T2318"/>
  <c r="T2319"/>
  <c r="T2320"/>
  <c r="T2321"/>
  <c r="T2322"/>
  <c r="T2323"/>
  <c r="T2324"/>
  <c r="T2325"/>
  <c r="T2326"/>
  <c r="T2327"/>
  <c r="T2328"/>
  <c r="T2329"/>
  <c r="T2330"/>
  <c r="T2331"/>
  <c r="T2332"/>
  <c r="T2333"/>
  <c r="T2334"/>
  <c r="T2335"/>
  <c r="T2336"/>
  <c r="T2337"/>
  <c r="T2338"/>
  <c r="T2339"/>
  <c r="T2340"/>
  <c r="T2341"/>
  <c r="T2342"/>
  <c r="T2343"/>
  <c r="T2344"/>
  <c r="T2345"/>
  <c r="T2346"/>
  <c r="T2347"/>
  <c r="T2348"/>
  <c r="T2349"/>
  <c r="T2350"/>
  <c r="T2351"/>
  <c r="T2352"/>
  <c r="T2353"/>
  <c r="T2354"/>
  <c r="T2355"/>
  <c r="T2356"/>
  <c r="T2357"/>
  <c r="T2358"/>
  <c r="T2359"/>
  <c r="T2360"/>
  <c r="T2361"/>
  <c r="T2362"/>
  <c r="T2363"/>
  <c r="T2364"/>
  <c r="T2365"/>
  <c r="T2366"/>
  <c r="T2367"/>
  <c r="T2368"/>
  <c r="T2369"/>
  <c r="T2370"/>
  <c r="T2371"/>
  <c r="T2372"/>
  <c r="T2373"/>
  <c r="T2374"/>
  <c r="T2375"/>
  <c r="T2376"/>
  <c r="T2377"/>
  <c r="T2378"/>
  <c r="T2379"/>
  <c r="T2380"/>
  <c r="T2381"/>
  <c r="T2382"/>
  <c r="T2383"/>
  <c r="T2384"/>
  <c r="T2385"/>
  <c r="T2386"/>
  <c r="T2387"/>
  <c r="T2388"/>
  <c r="T2389"/>
  <c r="T2390"/>
  <c r="T2391"/>
  <c r="T2392"/>
  <c r="T2393"/>
  <c r="T2394"/>
  <c r="T2395"/>
  <c r="T2396"/>
  <c r="T2397"/>
  <c r="T2398"/>
  <c r="T2399"/>
  <c r="T2400"/>
  <c r="T2401"/>
  <c r="T2402"/>
  <c r="T2403"/>
  <c r="T2404"/>
  <c r="T2405"/>
  <c r="T2406"/>
  <c r="T2407"/>
  <c r="T2408"/>
  <c r="T2409"/>
  <c r="T2410"/>
  <c r="T2411"/>
  <c r="T2412"/>
  <c r="T2413"/>
  <c r="T2414"/>
  <c r="T2415"/>
  <c r="T2416"/>
  <c r="T2417"/>
  <c r="T2418"/>
  <c r="T2419"/>
  <c r="T2420"/>
  <c r="T2421"/>
  <c r="T2422"/>
  <c r="T2423"/>
  <c r="T2424"/>
  <c r="T2425"/>
  <c r="T2426"/>
  <c r="T2427"/>
  <c r="T2428"/>
  <c r="T2429"/>
  <c r="T2430"/>
  <c r="T2431"/>
  <c r="T2432"/>
  <c r="T2433"/>
  <c r="T2434"/>
  <c r="T2435"/>
  <c r="T2436"/>
  <c r="T2437"/>
  <c r="T2438"/>
  <c r="T2439"/>
  <c r="T2440"/>
  <c r="T2441"/>
  <c r="T2442"/>
  <c r="T2443"/>
  <c r="T2444"/>
  <c r="T2445"/>
  <c r="T2446"/>
  <c r="T2447"/>
  <c r="T2448"/>
  <c r="T2449"/>
  <c r="T2450"/>
  <c r="T2451"/>
  <c r="T2452"/>
  <c r="T2453"/>
  <c r="T2454"/>
  <c r="T2455"/>
  <c r="T2456"/>
  <c r="T2457"/>
  <c r="T2458"/>
  <c r="T2459"/>
  <c r="T2460"/>
  <c r="T2461"/>
  <c r="T2462"/>
  <c r="T2463"/>
  <c r="T2464"/>
  <c r="T2465"/>
  <c r="T2466"/>
  <c r="T2467"/>
  <c r="T2468"/>
  <c r="T2469"/>
  <c r="T2470"/>
  <c r="T2471"/>
  <c r="T2472"/>
  <c r="T2473"/>
  <c r="T2474"/>
  <c r="T2475"/>
  <c r="T2476"/>
  <c r="T2477"/>
  <c r="T2478"/>
  <c r="T2479"/>
  <c r="T2480"/>
  <c r="T2481"/>
  <c r="T2482"/>
  <c r="T2483"/>
  <c r="T2484"/>
  <c r="T2485"/>
  <c r="T2486"/>
  <c r="T2487"/>
  <c r="T2488"/>
  <c r="T2489"/>
  <c r="T2490"/>
  <c r="T2491"/>
  <c r="T2492"/>
  <c r="T2493"/>
  <c r="T2494"/>
  <c r="T2495"/>
  <c r="T2496"/>
  <c r="T2497"/>
  <c r="T2498"/>
  <c r="T2499"/>
  <c r="T2500"/>
  <c r="T2501"/>
  <c r="T2502"/>
  <c r="T2503"/>
  <c r="T2504"/>
  <c r="T2505"/>
  <c r="T2506"/>
  <c r="T2507"/>
  <c r="T2508"/>
  <c r="T2509"/>
  <c r="T2510"/>
  <c r="T2511"/>
  <c r="T2512"/>
  <c r="T2513"/>
  <c r="T2514"/>
  <c r="T2515"/>
  <c r="T2516"/>
  <c r="T2517"/>
  <c r="T2518"/>
  <c r="T2519"/>
  <c r="T2520"/>
  <c r="T2521"/>
  <c r="T2522"/>
  <c r="T2523"/>
  <c r="T2524"/>
  <c r="T2525"/>
  <c r="T2526"/>
  <c r="T2527"/>
  <c r="T2528"/>
  <c r="T2529"/>
  <c r="T2530"/>
  <c r="T2531"/>
  <c r="T2532"/>
  <c r="T2533"/>
  <c r="T2534"/>
  <c r="T2535"/>
  <c r="T2536"/>
  <c r="T2537"/>
  <c r="T2538"/>
  <c r="T2539"/>
  <c r="T2540"/>
  <c r="T2541"/>
  <c r="T2542"/>
  <c r="T2543"/>
  <c r="T2544"/>
  <c r="T2545"/>
  <c r="T2546"/>
  <c r="T2547"/>
  <c r="T2548"/>
  <c r="T2549"/>
  <c r="T2550"/>
  <c r="T2551"/>
  <c r="T2552"/>
  <c r="T2553"/>
  <c r="T2554"/>
  <c r="T2555"/>
  <c r="T2556"/>
  <c r="T2557"/>
  <c r="T2558"/>
  <c r="T2559"/>
  <c r="T2560"/>
  <c r="T2561"/>
  <c r="T2562"/>
  <c r="T2563"/>
  <c r="T2564"/>
  <c r="T2565"/>
  <c r="T2566"/>
  <c r="T2567"/>
  <c r="T2568"/>
  <c r="T2569"/>
  <c r="T2570"/>
  <c r="T2571"/>
  <c r="T2572"/>
  <c r="T2573"/>
  <c r="T2574"/>
  <c r="T2575"/>
  <c r="T2576"/>
  <c r="T2577"/>
  <c r="T2578"/>
  <c r="T2579"/>
  <c r="T2580"/>
  <c r="T2581"/>
  <c r="T2582"/>
  <c r="T2583"/>
  <c r="T2584"/>
  <c r="T2585"/>
  <c r="T2586"/>
  <c r="T2587"/>
  <c r="T2588"/>
  <c r="T2589"/>
  <c r="T2590"/>
  <c r="T2591"/>
  <c r="T2592"/>
  <c r="T2593"/>
  <c r="T2594"/>
  <c r="T2595"/>
  <c r="T2596"/>
  <c r="T2597"/>
  <c r="T2598"/>
  <c r="T2599"/>
  <c r="T2600"/>
  <c r="T2601"/>
  <c r="T2602"/>
  <c r="T2603"/>
  <c r="T2604"/>
  <c r="T2605"/>
  <c r="T2606"/>
  <c r="T2607"/>
  <c r="T2608"/>
  <c r="T2609"/>
  <c r="T2610"/>
  <c r="T2611"/>
  <c r="T2612"/>
  <c r="T2613"/>
  <c r="T2614"/>
  <c r="T2615"/>
  <c r="T2616"/>
  <c r="T2617"/>
  <c r="T2618"/>
  <c r="T2619"/>
  <c r="T2620"/>
  <c r="T2621"/>
  <c r="T2622"/>
  <c r="T2623"/>
  <c r="T2624"/>
  <c r="T2625"/>
  <c r="T2626"/>
  <c r="T2627"/>
  <c r="T2628"/>
  <c r="T2629"/>
  <c r="T2630"/>
  <c r="T2631"/>
  <c r="T2632"/>
  <c r="T2633"/>
  <c r="T2634"/>
  <c r="T2635"/>
  <c r="T2636"/>
  <c r="T2637"/>
  <c r="T2638"/>
  <c r="T2639"/>
  <c r="T2640"/>
  <c r="T2641"/>
  <c r="T2642"/>
  <c r="T2643"/>
  <c r="T2644"/>
  <c r="T2645"/>
  <c r="T2646"/>
  <c r="T2647"/>
  <c r="T2648"/>
  <c r="T2649"/>
  <c r="T2650"/>
  <c r="T2651"/>
  <c r="T2652"/>
  <c r="T2653"/>
  <c r="T2654"/>
  <c r="T2655"/>
  <c r="T2656"/>
  <c r="T2657"/>
  <c r="T2658"/>
  <c r="T2659"/>
  <c r="T2660"/>
  <c r="T2661"/>
  <c r="T2662"/>
  <c r="T2663"/>
  <c r="T2664"/>
  <c r="T2665"/>
  <c r="T2666"/>
  <c r="T2667"/>
  <c r="T2668"/>
  <c r="T2669"/>
  <c r="T2670"/>
  <c r="T2671"/>
  <c r="T2672"/>
  <c r="T2673"/>
  <c r="T2674"/>
  <c r="T2675"/>
  <c r="T2676"/>
  <c r="T2677"/>
  <c r="T2678"/>
  <c r="T2679"/>
  <c r="T2680"/>
  <c r="T2681"/>
  <c r="T2682"/>
  <c r="T2683"/>
  <c r="T2684"/>
  <c r="T2685"/>
  <c r="T2686"/>
  <c r="T2687"/>
  <c r="T2688"/>
  <c r="T2689"/>
  <c r="T2690"/>
  <c r="T2691"/>
  <c r="T2692"/>
  <c r="T2693"/>
  <c r="T2694"/>
  <c r="T2695"/>
  <c r="T2696"/>
  <c r="T2697"/>
  <c r="T2698"/>
  <c r="T2699"/>
  <c r="T2700"/>
  <c r="T2701"/>
  <c r="T2702"/>
  <c r="T2703"/>
  <c r="T2704"/>
  <c r="T2705"/>
  <c r="T2706"/>
  <c r="T2707"/>
  <c r="T2708"/>
  <c r="T2709"/>
  <c r="T2710"/>
  <c r="T2711"/>
  <c r="T2712"/>
  <c r="T2713"/>
  <c r="T2714"/>
  <c r="T2715"/>
  <c r="T2716"/>
  <c r="T2717"/>
  <c r="T2718"/>
  <c r="T2719"/>
  <c r="T2720"/>
  <c r="T2721"/>
  <c r="T2722"/>
  <c r="T2723"/>
  <c r="T2724"/>
  <c r="T2725"/>
  <c r="T2726"/>
  <c r="T2727"/>
  <c r="T2728"/>
  <c r="T2729"/>
  <c r="T2730"/>
  <c r="T2731"/>
  <c r="T2732"/>
  <c r="T2733"/>
  <c r="T2734"/>
  <c r="T2735"/>
  <c r="T2736"/>
  <c r="T2737"/>
  <c r="T2738"/>
  <c r="T2739"/>
  <c r="T2740"/>
  <c r="T2741"/>
  <c r="T2742"/>
  <c r="T2743"/>
  <c r="T2744"/>
  <c r="T2745"/>
  <c r="T2746"/>
  <c r="T2747"/>
  <c r="T2748"/>
  <c r="T2749"/>
  <c r="T2750"/>
  <c r="T2751"/>
  <c r="T2752"/>
  <c r="T2753"/>
  <c r="T2754"/>
  <c r="T2755"/>
  <c r="T2756"/>
  <c r="T2757"/>
  <c r="T2758"/>
  <c r="T2759"/>
  <c r="T2760"/>
  <c r="T2761"/>
  <c r="T2762"/>
  <c r="T2763"/>
  <c r="T2764"/>
  <c r="T2765"/>
  <c r="T2766"/>
  <c r="T2767"/>
  <c r="T2768"/>
  <c r="T2769"/>
  <c r="T2770"/>
  <c r="T2771"/>
  <c r="T2772"/>
  <c r="T2773"/>
  <c r="T2774"/>
  <c r="T2775"/>
  <c r="T2776"/>
  <c r="T2777"/>
  <c r="T2778"/>
  <c r="T2779"/>
  <c r="T2780"/>
  <c r="T2781"/>
  <c r="T2782"/>
  <c r="T2783"/>
  <c r="T2784"/>
  <c r="T2785"/>
  <c r="T2786"/>
  <c r="T2787"/>
  <c r="T2788"/>
  <c r="T2789"/>
  <c r="T2790"/>
  <c r="T2791"/>
  <c r="T2792"/>
  <c r="T2793"/>
  <c r="T2794"/>
  <c r="T2795"/>
  <c r="T2796"/>
  <c r="T2797"/>
  <c r="T2798"/>
  <c r="T2799"/>
  <c r="T2800"/>
  <c r="T2801"/>
  <c r="T2802"/>
  <c r="T2803"/>
  <c r="T2804"/>
  <c r="T2805"/>
  <c r="T2806"/>
  <c r="T2807"/>
  <c r="T2808"/>
  <c r="T2809"/>
  <c r="T2810"/>
  <c r="T2811"/>
  <c r="T2812"/>
  <c r="T2813"/>
  <c r="T2814"/>
  <c r="T2815"/>
  <c r="T2816"/>
  <c r="T2817"/>
  <c r="T2818"/>
  <c r="T2819"/>
  <c r="T2820"/>
  <c r="T2821"/>
  <c r="T2822"/>
  <c r="T2823"/>
  <c r="T2824"/>
  <c r="T2825"/>
  <c r="T2826"/>
  <c r="T2827"/>
  <c r="T2828"/>
  <c r="T2829"/>
  <c r="T2830"/>
  <c r="T2831"/>
  <c r="T2832"/>
  <c r="T2833"/>
  <c r="T2834"/>
  <c r="T2835"/>
  <c r="T2836"/>
  <c r="T2837"/>
  <c r="T2838"/>
  <c r="T2839"/>
  <c r="T2840"/>
  <c r="T2841"/>
  <c r="T2842"/>
  <c r="T2843"/>
  <c r="T2844"/>
  <c r="T2845"/>
  <c r="T2846"/>
  <c r="T2847"/>
  <c r="T2848"/>
  <c r="T2849"/>
  <c r="T2850"/>
  <c r="T2851"/>
  <c r="T2852"/>
  <c r="T2853"/>
  <c r="T2854"/>
  <c r="T2855"/>
  <c r="T2856"/>
  <c r="T2857"/>
  <c r="T2858"/>
  <c r="T2859"/>
  <c r="T2860"/>
  <c r="T2861"/>
  <c r="T2862"/>
  <c r="T2863"/>
  <c r="T2864"/>
  <c r="T2865"/>
  <c r="T2866"/>
  <c r="T2867"/>
  <c r="T2868"/>
  <c r="T2869"/>
  <c r="T2870"/>
  <c r="T2871"/>
  <c r="T2872"/>
  <c r="T2873"/>
  <c r="T2874"/>
  <c r="T2875"/>
  <c r="T2876"/>
  <c r="T2877"/>
  <c r="T2878"/>
  <c r="T2879"/>
  <c r="T2880"/>
  <c r="T2881"/>
  <c r="T2882"/>
  <c r="T2883"/>
  <c r="T2884"/>
  <c r="T2885"/>
  <c r="T2886"/>
  <c r="T2887"/>
  <c r="T2888"/>
  <c r="T2889"/>
  <c r="T2890"/>
  <c r="T2891"/>
  <c r="T2892"/>
  <c r="T2893"/>
  <c r="T2894"/>
  <c r="T2895"/>
  <c r="T2896"/>
  <c r="T2897"/>
  <c r="T2898"/>
  <c r="T2899"/>
  <c r="T2900"/>
  <c r="T2901"/>
  <c r="T2902"/>
  <c r="T2903"/>
  <c r="T2904"/>
  <c r="T2905"/>
  <c r="T2906"/>
  <c r="T2907"/>
  <c r="T2908"/>
  <c r="T2909"/>
  <c r="T2910"/>
  <c r="T2911"/>
  <c r="T2912"/>
  <c r="T2913"/>
  <c r="T2914"/>
  <c r="T2915"/>
  <c r="T2916"/>
  <c r="T2917"/>
  <c r="T2918"/>
  <c r="T2919"/>
  <c r="T2920"/>
  <c r="T2921"/>
  <c r="T2922"/>
  <c r="T2923"/>
  <c r="T2924"/>
  <c r="T2925"/>
  <c r="T2926"/>
  <c r="T2927"/>
  <c r="T2928"/>
  <c r="T2929"/>
  <c r="T2930"/>
  <c r="T2931"/>
  <c r="T2932"/>
  <c r="T2933"/>
  <c r="T2934"/>
  <c r="T2935"/>
  <c r="T2936"/>
  <c r="T2937"/>
  <c r="T2938"/>
  <c r="T2939"/>
  <c r="T2940"/>
  <c r="T2941"/>
  <c r="T2942"/>
  <c r="T2943"/>
  <c r="T2944"/>
  <c r="T2945"/>
  <c r="T2946"/>
  <c r="T2947"/>
  <c r="T2948"/>
  <c r="T2949"/>
  <c r="T2950"/>
  <c r="T2951"/>
  <c r="T2952"/>
  <c r="T2953"/>
  <c r="T2954"/>
  <c r="T2955"/>
  <c r="T2956"/>
  <c r="T2957"/>
  <c r="T2958"/>
  <c r="T2959"/>
  <c r="T2960"/>
  <c r="T2961"/>
  <c r="T2962"/>
  <c r="T2963"/>
  <c r="T2964"/>
  <c r="T2965"/>
  <c r="T2966"/>
  <c r="T2967"/>
  <c r="T2968"/>
  <c r="T2969"/>
  <c r="T2970"/>
  <c r="T2971"/>
  <c r="T2972"/>
  <c r="T2973"/>
  <c r="T2974"/>
  <c r="T2975"/>
  <c r="T2976"/>
  <c r="T2977"/>
  <c r="T2978"/>
  <c r="T2979"/>
  <c r="T2980"/>
  <c r="T2981"/>
  <c r="T2982"/>
  <c r="T2983"/>
  <c r="T2984"/>
  <c r="T2985"/>
  <c r="T2986"/>
  <c r="T2987"/>
  <c r="T2988"/>
  <c r="T2989"/>
  <c r="T2990"/>
  <c r="T2991"/>
  <c r="T2992"/>
  <c r="T2993"/>
  <c r="T2994"/>
  <c r="T2995"/>
  <c r="T2996"/>
  <c r="T2997"/>
  <c r="T2998"/>
  <c r="T2999"/>
  <c r="T3000"/>
  <c r="T3001"/>
  <c r="T3"/>
  <c r="T4"/>
  <c r="T5"/>
  <c r="T6"/>
  <c r="T7"/>
  <c r="T8"/>
  <c r="T9"/>
  <c r="T10"/>
  <c r="T11"/>
  <c r="T12"/>
  <c r="T13"/>
  <c r="T14"/>
  <c r="T15"/>
  <c r="S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8"/>
  <c r="S209"/>
  <c r="S210"/>
  <c r="S211"/>
  <c r="S212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44"/>
  <c r="S245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3"/>
  <c r="S264"/>
  <c r="S265"/>
  <c r="S266"/>
  <c r="S267"/>
  <c r="S268"/>
  <c r="S269"/>
  <c r="S270"/>
  <c r="S271"/>
  <c r="S272"/>
  <c r="S273"/>
  <c r="S274"/>
  <c r="S275"/>
  <c r="S276"/>
  <c r="S277"/>
  <c r="S279"/>
  <c r="S280"/>
  <c r="S281"/>
  <c r="S282"/>
  <c r="S283"/>
  <c r="S284"/>
  <c r="S285"/>
  <c r="S286"/>
  <c r="S287"/>
  <c r="S288"/>
  <c r="S289"/>
  <c r="S290"/>
  <c r="S291"/>
  <c r="S292"/>
  <c r="S293"/>
  <c r="S294"/>
  <c r="S295"/>
  <c r="S296"/>
  <c r="S297"/>
  <c r="S298"/>
  <c r="S299"/>
  <c r="S300"/>
  <c r="S302"/>
  <c r="S303"/>
  <c r="S304"/>
  <c r="S305"/>
  <c r="S306"/>
  <c r="S307"/>
  <c r="S308"/>
  <c r="S309"/>
  <c r="S310"/>
  <c r="S311"/>
  <c r="S312"/>
  <c r="S313"/>
  <c r="S314"/>
  <c r="S315"/>
  <c r="S316"/>
  <c r="S317"/>
  <c r="S318"/>
  <c r="S319"/>
  <c r="S320"/>
  <c r="S321"/>
  <c r="S322"/>
  <c r="S323"/>
  <c r="S324"/>
  <c r="S325"/>
  <c r="S326"/>
  <c r="S327"/>
  <c r="S328"/>
  <c r="S329"/>
  <c r="S330"/>
  <c r="S331"/>
  <c r="S332"/>
  <c r="S333"/>
  <c r="S334"/>
  <c r="S335"/>
  <c r="S336"/>
  <c r="S337"/>
  <c r="S338"/>
  <c r="S339"/>
  <c r="S340"/>
  <c r="S341"/>
  <c r="S342"/>
  <c r="S343"/>
  <c r="S344"/>
  <c r="S345"/>
  <c r="S346"/>
  <c r="S347"/>
  <c r="S348"/>
  <c r="S349"/>
  <c r="S350"/>
  <c r="S351"/>
  <c r="S352"/>
  <c r="S353"/>
  <c r="S354"/>
  <c r="S355"/>
  <c r="S356"/>
  <c r="S357"/>
  <c r="S358"/>
  <c r="S359"/>
  <c r="S360"/>
  <c r="S361"/>
  <c r="S362"/>
  <c r="S363"/>
  <c r="S364"/>
  <c r="S365"/>
  <c r="S366"/>
  <c r="S367"/>
  <c r="S368"/>
  <c r="S369"/>
  <c r="S370"/>
  <c r="S371"/>
  <c r="S372"/>
  <c r="S373"/>
  <c r="S374"/>
  <c r="S375"/>
  <c r="S376"/>
  <c r="S377"/>
  <c r="S378"/>
  <c r="S379"/>
  <c r="S380"/>
  <c r="S381"/>
  <c r="S382"/>
  <c r="S383"/>
  <c r="S384"/>
  <c r="S385"/>
  <c r="S386"/>
  <c r="S387"/>
  <c r="S388"/>
  <c r="S389"/>
  <c r="S390"/>
  <c r="S391"/>
  <c r="S392"/>
  <c r="S393"/>
  <c r="S394"/>
  <c r="S395"/>
  <c r="S396"/>
  <c r="S397"/>
  <c r="S398"/>
  <c r="S399"/>
  <c r="S400"/>
  <c r="S401"/>
  <c r="S402"/>
  <c r="S403"/>
  <c r="S404"/>
  <c r="S405"/>
  <c r="S406"/>
  <c r="S407"/>
  <c r="S408"/>
  <c r="S409"/>
  <c r="S410"/>
  <c r="S411"/>
  <c r="S412"/>
  <c r="S413"/>
  <c r="S414"/>
  <c r="S415"/>
  <c r="S416"/>
  <c r="S417"/>
  <c r="S418"/>
  <c r="S419"/>
  <c r="S420"/>
  <c r="S421"/>
  <c r="S422"/>
  <c r="S423"/>
  <c r="S424"/>
  <c r="S425"/>
  <c r="S426"/>
  <c r="S427"/>
  <c r="S428"/>
  <c r="S429"/>
  <c r="S430"/>
  <c r="S431"/>
  <c r="S432"/>
  <c r="S433"/>
  <c r="S434"/>
  <c r="S435"/>
  <c r="S436"/>
  <c r="S437"/>
  <c r="S438"/>
  <c r="S439"/>
  <c r="S440"/>
  <c r="S441"/>
  <c r="S442"/>
  <c r="S443"/>
  <c r="S444"/>
  <c r="S445"/>
  <c r="S446"/>
  <c r="S447"/>
  <c r="S448"/>
  <c r="S449"/>
  <c r="S450"/>
  <c r="S451"/>
  <c r="S452"/>
  <c r="S453"/>
  <c r="S454"/>
  <c r="S455"/>
  <c r="S456"/>
  <c r="S457"/>
  <c r="S458"/>
  <c r="S459"/>
  <c r="S460"/>
  <c r="S461"/>
  <c r="S462"/>
  <c r="S463"/>
  <c r="S464"/>
  <c r="S465"/>
  <c r="S466"/>
  <c r="S467"/>
  <c r="S468"/>
  <c r="S469"/>
  <c r="S470"/>
  <c r="S471"/>
  <c r="S472"/>
  <c r="S473"/>
  <c r="S474"/>
  <c r="S475"/>
  <c r="S476"/>
  <c r="S477"/>
  <c r="S478"/>
  <c r="S479"/>
  <c r="S480"/>
  <c r="S481"/>
  <c r="S482"/>
  <c r="S483"/>
  <c r="S484"/>
  <c r="S485"/>
  <c r="S486"/>
  <c r="S487"/>
  <c r="S488"/>
  <c r="S489"/>
  <c r="S490"/>
  <c r="S491"/>
  <c r="S492"/>
  <c r="S493"/>
  <c r="S494"/>
  <c r="S495"/>
  <c r="S496"/>
  <c r="S497"/>
  <c r="S498"/>
  <c r="S499"/>
  <c r="S500"/>
  <c r="S501"/>
  <c r="S502"/>
  <c r="S503"/>
  <c r="S504"/>
  <c r="S505"/>
  <c r="S506"/>
  <c r="S507"/>
  <c r="S508"/>
  <c r="S509"/>
  <c r="S510"/>
  <c r="S511"/>
  <c r="S512"/>
  <c r="S513"/>
  <c r="S514"/>
  <c r="S516"/>
  <c r="S517"/>
  <c r="S518"/>
  <c r="S519"/>
  <c r="S520"/>
  <c r="S521"/>
  <c r="S522"/>
  <c r="S523"/>
  <c r="S524"/>
  <c r="S525"/>
  <c r="S526"/>
  <c r="S527"/>
  <c r="S528"/>
  <c r="S529"/>
  <c r="S530"/>
  <c r="S531"/>
  <c r="S532"/>
  <c r="S533"/>
  <c r="S534"/>
  <c r="S535"/>
  <c r="S536"/>
  <c r="S537"/>
  <c r="S538"/>
  <c r="S539"/>
  <c r="S540"/>
  <c r="S541"/>
  <c r="S542"/>
  <c r="S543"/>
  <c r="S544"/>
  <c r="S545"/>
  <c r="S546"/>
  <c r="S547"/>
  <c r="S548"/>
  <c r="S549"/>
  <c r="S550"/>
  <c r="S551"/>
  <c r="S552"/>
  <c r="S553"/>
  <c r="S554"/>
  <c r="S555"/>
  <c r="S556"/>
  <c r="S557"/>
  <c r="S558"/>
  <c r="S559"/>
  <c r="S560"/>
  <c r="S561"/>
  <c r="S562"/>
  <c r="S563"/>
  <c r="S564"/>
  <c r="S565"/>
  <c r="S566"/>
  <c r="S567"/>
  <c r="S568"/>
  <c r="S569"/>
  <c r="S570"/>
  <c r="S571"/>
  <c r="S572"/>
  <c r="S573"/>
  <c r="S574"/>
  <c r="S575"/>
  <c r="S576"/>
  <c r="S577"/>
  <c r="S578"/>
  <c r="S579"/>
  <c r="S580"/>
  <c r="S581"/>
  <c r="S582"/>
  <c r="S583"/>
  <c r="S584"/>
  <c r="S585"/>
  <c r="S586"/>
  <c r="S587"/>
  <c r="S588"/>
  <c r="S589"/>
  <c r="S590"/>
  <c r="S591"/>
  <c r="S592"/>
  <c r="S593"/>
  <c r="S594"/>
  <c r="S595"/>
  <c r="S596"/>
  <c r="S597"/>
  <c r="S598"/>
  <c r="S599"/>
  <c r="S600"/>
  <c r="S601"/>
  <c r="S602"/>
  <c r="S603"/>
  <c r="S604"/>
  <c r="S605"/>
  <c r="S606"/>
  <c r="S607"/>
  <c r="S608"/>
  <c r="S609"/>
  <c r="S610"/>
  <c r="S611"/>
  <c r="S612"/>
  <c r="S613"/>
  <c r="S614"/>
  <c r="S615"/>
  <c r="S616"/>
  <c r="S617"/>
  <c r="S618"/>
  <c r="S619"/>
  <c r="S620"/>
  <c r="S621"/>
  <c r="S622"/>
  <c r="S623"/>
  <c r="S624"/>
  <c r="S625"/>
  <c r="S626"/>
  <c r="S627"/>
  <c r="S628"/>
  <c r="S629"/>
  <c r="S630"/>
  <c r="S631"/>
  <c r="S632"/>
  <c r="S633"/>
  <c r="S634"/>
  <c r="S635"/>
  <c r="S636"/>
  <c r="S637"/>
  <c r="S638"/>
  <c r="S639"/>
  <c r="S640"/>
  <c r="S641"/>
  <c r="S642"/>
  <c r="S643"/>
  <c r="S644"/>
  <c r="S645"/>
  <c r="S646"/>
  <c r="S647"/>
  <c r="S648"/>
  <c r="S649"/>
  <c r="S650"/>
  <c r="S651"/>
  <c r="S653"/>
  <c r="S654"/>
  <c r="S655"/>
  <c r="S656"/>
  <c r="S657"/>
  <c r="S658"/>
  <c r="S659"/>
  <c r="S660"/>
  <c r="S661"/>
  <c r="S662"/>
  <c r="S663"/>
  <c r="S664"/>
  <c r="S665"/>
  <c r="S666"/>
  <c r="S668"/>
  <c r="S669"/>
  <c r="S670"/>
  <c r="S671"/>
  <c r="S672"/>
  <c r="S673"/>
  <c r="S674"/>
  <c r="S675"/>
  <c r="S676"/>
  <c r="S677"/>
  <c r="S678"/>
  <c r="S679"/>
  <c r="S680"/>
  <c r="S681"/>
  <c r="S682"/>
  <c r="S683"/>
  <c r="S684"/>
  <c r="S685"/>
  <c r="S686"/>
  <c r="S687"/>
  <c r="S688"/>
  <c r="S689"/>
  <c r="S690"/>
  <c r="S691"/>
  <c r="S692"/>
  <c r="S693"/>
  <c r="S694"/>
  <c r="S695"/>
  <c r="S696"/>
  <c r="S697"/>
  <c r="S698"/>
  <c r="S699"/>
  <c r="S700"/>
  <c r="S701"/>
  <c r="S702"/>
  <c r="S703"/>
  <c r="S704"/>
  <c r="S705"/>
  <c r="S706"/>
  <c r="S707"/>
  <c r="S708"/>
  <c r="S709"/>
  <c r="S710"/>
  <c r="S711"/>
  <c r="S712"/>
  <c r="S713"/>
  <c r="S714"/>
  <c r="S715"/>
  <c r="S716"/>
  <c r="S717"/>
  <c r="S718"/>
  <c r="S719"/>
  <c r="S720"/>
  <c r="S721"/>
  <c r="S722"/>
  <c r="S723"/>
  <c r="S724"/>
  <c r="S725"/>
  <c r="S726"/>
  <c r="S727"/>
  <c r="S728"/>
  <c r="S729"/>
  <c r="S730"/>
  <c r="S731"/>
  <c r="S732"/>
  <c r="S733"/>
  <c r="S734"/>
  <c r="S735"/>
  <c r="S736"/>
  <c r="S737"/>
  <c r="S738"/>
  <c r="S739"/>
  <c r="S740"/>
  <c r="S741"/>
  <c r="S742"/>
  <c r="S743"/>
  <c r="S744"/>
  <c r="S745"/>
  <c r="S746"/>
  <c r="S747"/>
  <c r="S748"/>
  <c r="S749"/>
  <c r="S751"/>
  <c r="S752"/>
  <c r="S753"/>
  <c r="S754"/>
  <c r="S755"/>
  <c r="S756"/>
  <c r="S757"/>
  <c r="S758"/>
  <c r="S759"/>
  <c r="S760"/>
  <c r="S761"/>
  <c r="S762"/>
  <c r="S763"/>
  <c r="S764"/>
  <c r="S765"/>
  <c r="S766"/>
  <c r="S767"/>
  <c r="S768"/>
  <c r="S769"/>
  <c r="S770"/>
  <c r="S771"/>
  <c r="S772"/>
  <c r="S773"/>
  <c r="S774"/>
  <c r="S775"/>
  <c r="S776"/>
  <c r="S777"/>
  <c r="S778"/>
  <c r="S779"/>
  <c r="S780"/>
  <c r="S781"/>
  <c r="S782"/>
  <c r="S783"/>
  <c r="S784"/>
  <c r="S785"/>
  <c r="S786"/>
  <c r="S787"/>
  <c r="S788"/>
  <c r="S789"/>
  <c r="S790"/>
  <c r="S791"/>
  <c r="S792"/>
  <c r="S793"/>
  <c r="S794"/>
  <c r="S795"/>
  <c r="S796"/>
  <c r="S797"/>
  <c r="S799"/>
  <c r="S800"/>
  <c r="S801"/>
  <c r="S802"/>
  <c r="S803"/>
  <c r="S804"/>
  <c r="S805"/>
  <c r="S806"/>
  <c r="S807"/>
  <c r="S808"/>
  <c r="S809"/>
  <c r="S810"/>
  <c r="S811"/>
  <c r="S812"/>
  <c r="S814"/>
  <c r="S815"/>
  <c r="S816"/>
  <c r="S817"/>
  <c r="S818"/>
  <c r="S819"/>
  <c r="S820"/>
  <c r="S821"/>
  <c r="S822"/>
  <c r="S823"/>
  <c r="S824"/>
  <c r="S825"/>
  <c r="S826"/>
  <c r="S827"/>
  <c r="S828"/>
  <c r="S829"/>
  <c r="S830"/>
  <c r="S831"/>
  <c r="S832"/>
  <c r="S833"/>
  <c r="S834"/>
  <c r="S835"/>
  <c r="S836"/>
  <c r="S837"/>
  <c r="S838"/>
  <c r="S839"/>
  <c r="S840"/>
  <c r="S841"/>
  <c r="S842"/>
  <c r="S843"/>
  <c r="S844"/>
  <c r="S845"/>
  <c r="S846"/>
  <c r="S847"/>
  <c r="S848"/>
  <c r="S849"/>
  <c r="S850"/>
  <c r="S851"/>
  <c r="S852"/>
  <c r="S853"/>
  <c r="S854"/>
  <c r="S855"/>
  <c r="S856"/>
  <c r="S857"/>
  <c r="S858"/>
  <c r="S859"/>
  <c r="S860"/>
  <c r="S861"/>
  <c r="S862"/>
  <c r="S864"/>
  <c r="S865"/>
  <c r="S866"/>
  <c r="S867"/>
  <c r="S868"/>
  <c r="S869"/>
  <c r="S870"/>
  <c r="S871"/>
  <c r="S872"/>
  <c r="S873"/>
  <c r="S874"/>
  <c r="S875"/>
  <c r="S876"/>
  <c r="S877"/>
  <c r="S878"/>
  <c r="S879"/>
  <c r="S881"/>
  <c r="S882"/>
  <c r="S883"/>
  <c r="S884"/>
  <c r="S885"/>
  <c r="S886"/>
  <c r="S887"/>
  <c r="S888"/>
  <c r="S889"/>
  <c r="S890"/>
  <c r="S891"/>
  <c r="S892"/>
  <c r="S893"/>
  <c r="S894"/>
  <c r="S895"/>
  <c r="S896"/>
  <c r="S897"/>
  <c r="S898"/>
  <c r="S899"/>
  <c r="S900"/>
  <c r="S901"/>
  <c r="S902"/>
  <c r="S903"/>
  <c r="S904"/>
  <c r="S905"/>
  <c r="S906"/>
  <c r="S908"/>
  <c r="S909"/>
  <c r="S910"/>
  <c r="S911"/>
  <c r="S912"/>
  <c r="S913"/>
  <c r="S914"/>
  <c r="S915"/>
  <c r="S916"/>
  <c r="S917"/>
  <c r="S918"/>
  <c r="S919"/>
  <c r="S920"/>
  <c r="S921"/>
  <c r="S922"/>
  <c r="S923"/>
  <c r="S924"/>
  <c r="S925"/>
  <c r="S926"/>
  <c r="S927"/>
  <c r="S928"/>
  <c r="S929"/>
  <c r="S930"/>
  <c r="S931"/>
  <c r="S932"/>
  <c r="S933"/>
  <c r="S934"/>
  <c r="S935"/>
  <c r="S936"/>
  <c r="S937"/>
  <c r="S938"/>
  <c r="S939"/>
  <c r="S940"/>
  <c r="S942"/>
  <c r="S943"/>
  <c r="S944"/>
  <c r="S945"/>
  <c r="S946"/>
  <c r="S947"/>
  <c r="S948"/>
  <c r="S949"/>
  <c r="S950"/>
  <c r="S951"/>
  <c r="S952"/>
  <c r="S953"/>
  <c r="S954"/>
  <c r="S955"/>
  <c r="S956"/>
  <c r="S957"/>
  <c r="S958"/>
  <c r="S959"/>
  <c r="S960"/>
  <c r="S961"/>
  <c r="S962"/>
  <c r="S963"/>
  <c r="S964"/>
  <c r="S965"/>
  <c r="S966"/>
  <c r="S967"/>
  <c r="S968"/>
  <c r="S969"/>
  <c r="S970"/>
  <c r="S971"/>
  <c r="S972"/>
  <c r="S973"/>
  <c r="S974"/>
  <c r="S975"/>
  <c r="S976"/>
  <c r="S977"/>
  <c r="S978"/>
  <c r="S979"/>
  <c r="S980"/>
  <c r="S981"/>
  <c r="S982"/>
  <c r="S983"/>
  <c r="S984"/>
  <c r="S985"/>
  <c r="S986"/>
  <c r="S987"/>
  <c r="S988"/>
  <c r="S989"/>
  <c r="S990"/>
  <c r="S991"/>
  <c r="S992"/>
  <c r="S993"/>
  <c r="S994"/>
  <c r="S995"/>
  <c r="S996"/>
  <c r="S997"/>
  <c r="S998"/>
  <c r="S999"/>
  <c r="S1000"/>
  <c r="S1001"/>
  <c r="S1002"/>
  <c r="S1003"/>
  <c r="S1004"/>
  <c r="S1005"/>
  <c r="S1006"/>
  <c r="S1007"/>
  <c r="S1008"/>
  <c r="S1009"/>
  <c r="S1010"/>
  <c r="S1011"/>
  <c r="S1012"/>
  <c r="S1013"/>
  <c r="S1014"/>
  <c r="S1015"/>
  <c r="S1016"/>
  <c r="S1017"/>
  <c r="S1018"/>
  <c r="S1019"/>
  <c r="S1020"/>
  <c r="S1021"/>
  <c r="S1022"/>
  <c r="S1023"/>
  <c r="S1024"/>
  <c r="S1025"/>
  <c r="S1026"/>
  <c r="S1027"/>
  <c r="S1028"/>
  <c r="S1029"/>
  <c r="S1030"/>
  <c r="S1031"/>
  <c r="S1032"/>
  <c r="S1033"/>
  <c r="S1034"/>
  <c r="S1035"/>
  <c r="S1036"/>
  <c r="S1037"/>
  <c r="S1038"/>
  <c r="S1039"/>
  <c r="S1040"/>
  <c r="S1041"/>
  <c r="S1042"/>
  <c r="S1043"/>
  <c r="S1044"/>
  <c r="S1045"/>
  <c r="S1046"/>
  <c r="S1047"/>
  <c r="S1048"/>
  <c r="S1049"/>
  <c r="S1050"/>
  <c r="S1051"/>
  <c r="S1052"/>
  <c r="S1053"/>
  <c r="S1054"/>
  <c r="S1056"/>
  <c r="S1057"/>
  <c r="S1058"/>
  <c r="S1059"/>
  <c r="S1060"/>
  <c r="S1061"/>
  <c r="S1062"/>
  <c r="S1063"/>
  <c r="S1064"/>
  <c r="S1065"/>
  <c r="S1066"/>
  <c r="S1067"/>
  <c r="S1068"/>
  <c r="S1069"/>
  <c r="S1070"/>
  <c r="S1071"/>
  <c r="S1072"/>
  <c r="S1073"/>
  <c r="S1074"/>
  <c r="S1075"/>
  <c r="S1076"/>
  <c r="S1077"/>
  <c r="S1078"/>
  <c r="S1079"/>
  <c r="S1080"/>
  <c r="S1081"/>
  <c r="S1082"/>
  <c r="S1083"/>
  <c r="S1084"/>
  <c r="S1085"/>
  <c r="S1086"/>
  <c r="S1087"/>
  <c r="S1088"/>
  <c r="S1089"/>
  <c r="S1090"/>
  <c r="S1091"/>
  <c r="S1092"/>
  <c r="S1093"/>
  <c r="S1094"/>
  <c r="S1096"/>
  <c r="S1097"/>
  <c r="S1098"/>
  <c r="S1099"/>
  <c r="S1100"/>
  <c r="S1101"/>
  <c r="S1102"/>
  <c r="S1103"/>
  <c r="S1104"/>
  <c r="S1105"/>
  <c r="S1106"/>
  <c r="S1107"/>
  <c r="S1109"/>
  <c r="S1110"/>
  <c r="S1111"/>
  <c r="S1112"/>
  <c r="S1113"/>
  <c r="S1114"/>
  <c r="S1115"/>
  <c r="S1116"/>
  <c r="S1117"/>
  <c r="S1118"/>
  <c r="S1119"/>
  <c r="S1120"/>
  <c r="S1121"/>
  <c r="S1122"/>
  <c r="S1123"/>
  <c r="S1124"/>
  <c r="S1125"/>
  <c r="S1126"/>
  <c r="S1127"/>
  <c r="S1128"/>
  <c r="S1129"/>
  <c r="S1130"/>
  <c r="S1131"/>
  <c r="S1132"/>
  <c r="S1133"/>
  <c r="S1134"/>
  <c r="S1135"/>
  <c r="S1136"/>
  <c r="S1137"/>
  <c r="S1138"/>
  <c r="S1139"/>
  <c r="S1140"/>
  <c r="S1141"/>
  <c r="S1142"/>
  <c r="S1143"/>
  <c r="S1144"/>
  <c r="S1145"/>
  <c r="S1146"/>
  <c r="S1147"/>
  <c r="S1148"/>
  <c r="S1149"/>
  <c r="S1150"/>
  <c r="S1151"/>
  <c r="S1152"/>
  <c r="S1153"/>
  <c r="S1154"/>
  <c r="S1155"/>
  <c r="S1156"/>
  <c r="S1157"/>
  <c r="S1158"/>
  <c r="S1159"/>
  <c r="S1160"/>
  <c r="S1161"/>
  <c r="S1162"/>
  <c r="S1163"/>
  <c r="S1164"/>
  <c r="S1165"/>
  <c r="S1167"/>
  <c r="S1168"/>
  <c r="S1169"/>
  <c r="S1171"/>
  <c r="S1172"/>
  <c r="S1173"/>
  <c r="S1174"/>
  <c r="S1175"/>
  <c r="S1176"/>
  <c r="S1177"/>
  <c r="S1178"/>
  <c r="S1179"/>
  <c r="S1180"/>
  <c r="S1181"/>
  <c r="S1182"/>
  <c r="S1183"/>
  <c r="S1184"/>
  <c r="S1185"/>
  <c r="S1186"/>
  <c r="S1187"/>
  <c r="S1188"/>
  <c r="S1189"/>
  <c r="S1190"/>
  <c r="S1191"/>
  <c r="S1192"/>
  <c r="S1193"/>
  <c r="S1194"/>
  <c r="S1195"/>
  <c r="S1196"/>
  <c r="S1197"/>
  <c r="S1198"/>
  <c r="S1199"/>
  <c r="S1200"/>
  <c r="S1201"/>
  <c r="S1202"/>
  <c r="S1204"/>
  <c r="S1206"/>
  <c r="S1207"/>
  <c r="S1208"/>
  <c r="S1209"/>
  <c r="S1210"/>
  <c r="S1211"/>
  <c r="S1212"/>
  <c r="S1213"/>
  <c r="S1214"/>
  <c r="S1215"/>
  <c r="S1216"/>
  <c r="S1217"/>
  <c r="S1218"/>
  <c r="S1219"/>
  <c r="S1220"/>
  <c r="S1221"/>
  <c r="S1223"/>
  <c r="S1224"/>
  <c r="S1225"/>
  <c r="S1226"/>
  <c r="S1227"/>
  <c r="S1228"/>
  <c r="S1229"/>
  <c r="S1230"/>
  <c r="S1231"/>
  <c r="S1232"/>
  <c r="S1233"/>
  <c r="S1234"/>
  <c r="S1235"/>
  <c r="S1236"/>
  <c r="S1237"/>
  <c r="S1238"/>
  <c r="S1239"/>
  <c r="S1240"/>
  <c r="S1241"/>
  <c r="S1242"/>
  <c r="S1243"/>
  <c r="S1244"/>
  <c r="S1245"/>
  <c r="S1246"/>
  <c r="S1247"/>
  <c r="S1248"/>
  <c r="S1249"/>
  <c r="S1250"/>
  <c r="S1251"/>
  <c r="S1252"/>
  <c r="S1253"/>
  <c r="S1254"/>
  <c r="S1255"/>
  <c r="S1256"/>
  <c r="S1257"/>
  <c r="S1258"/>
  <c r="S1259"/>
  <c r="S1260"/>
  <c r="S1261"/>
  <c r="S1262"/>
  <c r="S1263"/>
  <c r="S1264"/>
  <c r="S1265"/>
  <c r="S1266"/>
  <c r="S1267"/>
  <c r="S1268"/>
  <c r="S1269"/>
  <c r="S1270"/>
  <c r="S1271"/>
  <c r="S1272"/>
  <c r="S1273"/>
  <c r="S1274"/>
  <c r="S1275"/>
  <c r="S1276"/>
  <c r="S1277"/>
  <c r="S1278"/>
  <c r="S1279"/>
  <c r="S1280"/>
  <c r="S1281"/>
  <c r="S1282"/>
  <c r="S1283"/>
  <c r="S1284"/>
  <c r="S1285"/>
  <c r="S1286"/>
  <c r="S1287"/>
  <c r="S1288"/>
  <c r="S1289"/>
  <c r="S1290"/>
  <c r="S1291"/>
  <c r="S1292"/>
  <c r="S1293"/>
  <c r="S1294"/>
  <c r="S1295"/>
  <c r="S1296"/>
  <c r="S1297"/>
  <c r="S1298"/>
  <c r="S1299"/>
  <c r="S1300"/>
  <c r="S1301"/>
  <c r="S1302"/>
  <c r="S1303"/>
  <c r="S1304"/>
  <c r="S1305"/>
  <c r="S1306"/>
  <c r="S1307"/>
  <c r="S1308"/>
  <c r="S1309"/>
  <c r="S1310"/>
  <c r="S1311"/>
  <c r="S1312"/>
  <c r="S1313"/>
  <c r="S1314"/>
  <c r="S1315"/>
  <c r="S1316"/>
  <c r="S1317"/>
  <c r="S1318"/>
  <c r="S1319"/>
  <c r="S1320"/>
  <c r="S1321"/>
  <c r="S1322"/>
  <c r="S1323"/>
  <c r="S1324"/>
  <c r="S1325"/>
  <c r="S1326"/>
  <c r="S1327"/>
  <c r="S1328"/>
  <c r="S1329"/>
  <c r="S1331"/>
  <c r="S1332"/>
  <c r="S1333"/>
  <c r="S1334"/>
  <c r="S1335"/>
  <c r="S1336"/>
  <c r="S1337"/>
  <c r="S1338"/>
  <c r="S1339"/>
  <c r="S1340"/>
  <c r="S1341"/>
  <c r="S1342"/>
  <c r="S1343"/>
  <c r="S1344"/>
  <c r="S1345"/>
  <c r="S1346"/>
  <c r="S1347"/>
  <c r="S1348"/>
  <c r="S1349"/>
  <c r="S1350"/>
  <c r="S1351"/>
  <c r="S1352"/>
  <c r="S1353"/>
  <c r="S1354"/>
  <c r="S1355"/>
  <c r="S1356"/>
  <c r="S1357"/>
  <c r="S1358"/>
  <c r="S1359"/>
  <c r="S1360"/>
  <c r="S1361"/>
  <c r="S1362"/>
  <c r="S1363"/>
  <c r="S1364"/>
  <c r="S1365"/>
  <c r="S1366"/>
  <c r="S1367"/>
  <c r="S1368"/>
  <c r="S1369"/>
  <c r="S1370"/>
  <c r="S1371"/>
  <c r="S1372"/>
  <c r="S1373"/>
  <c r="S1374"/>
  <c r="S1375"/>
  <c r="S1376"/>
  <c r="S1377"/>
  <c r="S1378"/>
  <c r="S1379"/>
  <c r="S1380"/>
  <c r="S1381"/>
  <c r="S1382"/>
  <c r="S1383"/>
  <c r="S1384"/>
  <c r="S1385"/>
  <c r="S1386"/>
  <c r="S1387"/>
  <c r="S1388"/>
  <c r="S1389"/>
  <c r="S1390"/>
  <c r="S1391"/>
  <c r="S1392"/>
  <c r="S1393"/>
  <c r="S1394"/>
  <c r="S1395"/>
  <c r="S1396"/>
  <c r="S1397"/>
  <c r="S1398"/>
  <c r="S1399"/>
  <c r="S1400"/>
  <c r="S1402"/>
  <c r="S1403"/>
  <c r="S1404"/>
  <c r="S1405"/>
  <c r="S1406"/>
  <c r="S1407"/>
  <c r="S1408"/>
  <c r="S1409"/>
  <c r="S1410"/>
  <c r="S1411"/>
  <c r="S1412"/>
  <c r="S1413"/>
  <c r="S1414"/>
  <c r="S1415"/>
  <c r="S1416"/>
  <c r="S1417"/>
  <c r="S1418"/>
  <c r="S1419"/>
  <c r="S1420"/>
  <c r="S1421"/>
  <c r="S1422"/>
  <c r="S1423"/>
  <c r="S1424"/>
  <c r="S1425"/>
  <c r="S1426"/>
  <c r="S1427"/>
  <c r="S1428"/>
  <c r="S1429"/>
  <c r="S1430"/>
  <c r="S1431"/>
  <c r="S1432"/>
  <c r="S1433"/>
  <c r="S1434"/>
  <c r="S1435"/>
  <c r="S1437"/>
  <c r="S1438"/>
  <c r="S1439"/>
  <c r="S1440"/>
  <c r="S1441"/>
  <c r="S1442"/>
  <c r="S1443"/>
  <c r="S1444"/>
  <c r="S1445"/>
  <c r="S1446"/>
  <c r="S1447"/>
  <c r="S1448"/>
  <c r="S1449"/>
  <c r="S1450"/>
  <c r="S1451"/>
  <c r="S1452"/>
  <c r="S1453"/>
  <c r="S1454"/>
  <c r="S1455"/>
  <c r="S1456"/>
  <c r="S1457"/>
  <c r="S1458"/>
  <c r="S1459"/>
  <c r="S1460"/>
  <c r="S1461"/>
  <c r="S1462"/>
  <c r="S1463"/>
  <c r="S1464"/>
  <c r="S1465"/>
  <c r="S1466"/>
  <c r="S1467"/>
  <c r="S1468"/>
  <c r="S1469"/>
  <c r="S1470"/>
  <c r="S1471"/>
  <c r="S1472"/>
  <c r="S1473"/>
  <c r="S1474"/>
  <c r="S1475"/>
  <c r="S1476"/>
  <c r="S1477"/>
  <c r="S1478"/>
  <c r="S1479"/>
  <c r="S1480"/>
  <c r="S1481"/>
  <c r="S1482"/>
  <c r="S1483"/>
  <c r="S1484"/>
  <c r="S1485"/>
  <c r="S1486"/>
  <c r="S1487"/>
  <c r="S1488"/>
  <c r="S1489"/>
  <c r="S1490"/>
  <c r="S1491"/>
  <c r="S1492"/>
  <c r="S1493"/>
  <c r="S1494"/>
  <c r="S1495"/>
  <c r="S1496"/>
  <c r="S1497"/>
  <c r="S1498"/>
  <c r="S1499"/>
  <c r="S1500"/>
  <c r="S1501"/>
  <c r="S1502"/>
  <c r="S1503"/>
  <c r="S1504"/>
  <c r="S1505"/>
  <c r="S1506"/>
  <c r="S1507"/>
  <c r="S1508"/>
  <c r="S1509"/>
  <c r="S1510"/>
  <c r="S1511"/>
  <c r="S1512"/>
  <c r="S1513"/>
  <c r="S1514"/>
  <c r="S1515"/>
  <c r="S1516"/>
  <c r="S1517"/>
  <c r="S1518"/>
  <c r="S1519"/>
  <c r="S1520"/>
  <c r="S1521"/>
  <c r="S1522"/>
  <c r="S1523"/>
  <c r="S1524"/>
  <c r="S1525"/>
  <c r="S1526"/>
  <c r="S1527"/>
  <c r="S1528"/>
  <c r="S1529"/>
  <c r="S1530"/>
  <c r="S1531"/>
  <c r="S1532"/>
  <c r="S1533"/>
  <c r="S1534"/>
  <c r="S1535"/>
  <c r="S1536"/>
  <c r="S1537"/>
  <c r="S1538"/>
  <c r="S1539"/>
  <c r="S1540"/>
  <c r="S1541"/>
  <c r="S1542"/>
  <c r="S1543"/>
  <c r="S1544"/>
  <c r="S1545"/>
  <c r="S1546"/>
  <c r="S1547"/>
  <c r="S1548"/>
  <c r="S1549"/>
  <c r="S1550"/>
  <c r="S1551"/>
  <c r="S1552"/>
  <c r="S1553"/>
  <c r="S1556"/>
  <c r="S1557"/>
  <c r="S1558"/>
  <c r="S1559"/>
  <c r="S1560"/>
  <c r="S1561"/>
  <c r="S1562"/>
  <c r="S1563"/>
  <c r="S1564"/>
  <c r="S1565"/>
  <c r="S1566"/>
  <c r="S1567"/>
  <c r="S1568"/>
  <c r="S1569"/>
  <c r="S1570"/>
  <c r="S1571"/>
  <c r="S1572"/>
  <c r="S1573"/>
  <c r="S1574"/>
  <c r="S1575"/>
  <c r="S1576"/>
  <c r="S1577"/>
  <c r="S1578"/>
  <c r="S1579"/>
  <c r="S1580"/>
  <c r="S1581"/>
  <c r="S1582"/>
  <c r="S1583"/>
  <c r="S1584"/>
  <c r="S1585"/>
  <c r="S1586"/>
  <c r="S1587"/>
  <c r="S1588"/>
  <c r="S1589"/>
  <c r="S1590"/>
  <c r="S1591"/>
  <c r="S1592"/>
  <c r="S1593"/>
  <c r="S1594"/>
  <c r="S1595"/>
  <c r="S1596"/>
  <c r="S1597"/>
  <c r="S1598"/>
  <c r="S1599"/>
  <c r="S1600"/>
  <c r="S1601"/>
  <c r="S1602"/>
  <c r="S1603"/>
  <c r="S1604"/>
  <c r="S1605"/>
  <c r="S1606"/>
  <c r="S1607"/>
  <c r="S1608"/>
  <c r="S1609"/>
  <c r="S1610"/>
  <c r="S1611"/>
  <c r="S1612"/>
  <c r="S1613"/>
  <c r="S1614"/>
  <c r="S1615"/>
  <c r="S1616"/>
  <c r="S1617"/>
  <c r="S1618"/>
  <c r="S1619"/>
  <c r="S1620"/>
  <c r="S1621"/>
  <c r="S1622"/>
  <c r="S1623"/>
  <c r="S1624"/>
  <c r="S1625"/>
  <c r="S1626"/>
  <c r="S1628"/>
  <c r="S1629"/>
  <c r="S1630"/>
  <c r="S1631"/>
  <c r="S1632"/>
  <c r="S1633"/>
  <c r="S1634"/>
  <c r="S1635"/>
  <c r="S1636"/>
  <c r="S1637"/>
  <c r="S1638"/>
  <c r="S1639"/>
  <c r="S1640"/>
  <c r="S1641"/>
  <c r="S1642"/>
  <c r="S1643"/>
  <c r="S1644"/>
  <c r="S1645"/>
  <c r="S1646"/>
  <c r="S1647"/>
  <c r="S1648"/>
  <c r="S1649"/>
  <c r="S1650"/>
  <c r="S1651"/>
  <c r="S1652"/>
  <c r="S1653"/>
  <c r="S1654"/>
  <c r="S1655"/>
  <c r="S1656"/>
  <c r="S1657"/>
  <c r="S1658"/>
  <c r="S1659"/>
  <c r="S1660"/>
  <c r="S1661"/>
  <c r="S1662"/>
  <c r="S1663"/>
  <c r="S1664"/>
  <c r="S1665"/>
  <c r="S1666"/>
  <c r="S1667"/>
  <c r="S1668"/>
  <c r="S1669"/>
  <c r="S1670"/>
  <c r="S1671"/>
  <c r="S1672"/>
  <c r="S1673"/>
  <c r="S1674"/>
  <c r="S1675"/>
  <c r="S1676"/>
  <c r="S1677"/>
  <c r="S1678"/>
  <c r="S1679"/>
  <c r="S1680"/>
  <c r="S1681"/>
  <c r="S1682"/>
  <c r="S1683"/>
  <c r="S1684"/>
  <c r="S1685"/>
  <c r="S1686"/>
  <c r="S1687"/>
  <c r="S1688"/>
  <c r="S1689"/>
  <c r="S1690"/>
  <c r="S1691"/>
  <c r="S1692"/>
  <c r="S1693"/>
  <c r="S1694"/>
  <c r="S1695"/>
  <c r="S1696"/>
  <c r="S1698"/>
  <c r="S1699"/>
  <c r="S1700"/>
  <c r="S1701"/>
  <c r="S1702"/>
  <c r="S1703"/>
  <c r="S1704"/>
  <c r="S1706"/>
  <c r="S1707"/>
  <c r="S1708"/>
  <c r="S1709"/>
  <c r="S1710"/>
  <c r="S1711"/>
  <c r="S1712"/>
  <c r="S1713"/>
  <c r="S1714"/>
  <c r="S1715"/>
  <c r="S1716"/>
  <c r="S1717"/>
  <c r="S1719"/>
  <c r="S1720"/>
  <c r="S1721"/>
  <c r="S1722"/>
  <c r="S1723"/>
  <c r="S1724"/>
  <c r="S1725"/>
  <c r="S1726"/>
  <c r="S1727"/>
  <c r="S1728"/>
  <c r="S1729"/>
  <c r="S1730"/>
  <c r="S1731"/>
  <c r="S1732"/>
  <c r="S1733"/>
  <c r="S1734"/>
  <c r="S1735"/>
  <c r="S1736"/>
  <c r="S1737"/>
  <c r="S1738"/>
  <c r="S1739"/>
  <c r="S1740"/>
  <c r="S1741"/>
  <c r="S1742"/>
  <c r="S1743"/>
  <c r="S1744"/>
  <c r="S1745"/>
  <c r="S1746"/>
  <c r="S1747"/>
  <c r="S1748"/>
  <c r="S1749"/>
  <c r="S1750"/>
  <c r="S1751"/>
  <c r="S1752"/>
  <c r="S1753"/>
  <c r="S1754"/>
  <c r="S1755"/>
  <c r="S1756"/>
  <c r="S1757"/>
  <c r="S1758"/>
  <c r="S1759"/>
  <c r="S1760"/>
  <c r="S1761"/>
  <c r="S1762"/>
  <c r="S1763"/>
  <c r="S1764"/>
  <c r="S1765"/>
  <c r="S1767"/>
  <c r="S1768"/>
  <c r="S1769"/>
  <c r="S1770"/>
  <c r="S1771"/>
  <c r="S1772"/>
  <c r="S1773"/>
  <c r="S1774"/>
  <c r="S1775"/>
  <c r="S1776"/>
  <c r="S1777"/>
  <c r="S1778"/>
  <c r="S1779"/>
  <c r="S1780"/>
  <c r="S1781"/>
  <c r="S1782"/>
  <c r="S1783"/>
  <c r="S1784"/>
  <c r="S1785"/>
  <c r="S1786"/>
  <c r="S1787"/>
  <c r="S1788"/>
  <c r="S1789"/>
  <c r="S1790"/>
  <c r="S1791"/>
  <c r="S1792"/>
  <c r="S1793"/>
  <c r="S1794"/>
  <c r="S1795"/>
  <c r="S1796"/>
  <c r="S1797"/>
  <c r="S1798"/>
  <c r="S1799"/>
  <c r="S1800"/>
  <c r="S1801"/>
  <c r="S1802"/>
  <c r="S1803"/>
  <c r="S1804"/>
  <c r="S1805"/>
  <c r="S1806"/>
  <c r="S1807"/>
  <c r="S1808"/>
  <c r="S1809"/>
  <c r="S1810"/>
  <c r="S1811"/>
  <c r="S1812"/>
  <c r="S1813"/>
  <c r="S1814"/>
  <c r="S1815"/>
  <c r="S1816"/>
  <c r="S1817"/>
  <c r="S1818"/>
  <c r="S1819"/>
  <c r="S1820"/>
  <c r="S1821"/>
  <c r="S1822"/>
  <c r="S1823"/>
  <c r="S1824"/>
  <c r="S1825"/>
  <c r="S1826"/>
  <c r="S1827"/>
  <c r="S1828"/>
  <c r="S1829"/>
  <c r="S1830"/>
  <c r="S1831"/>
  <c r="S1832"/>
  <c r="S1833"/>
  <c r="S1834"/>
  <c r="S1835"/>
  <c r="S1836"/>
  <c r="S1837"/>
  <c r="S1838"/>
  <c r="S1839"/>
  <c r="S1840"/>
  <c r="S1841"/>
  <c r="S1842"/>
  <c r="S1843"/>
  <c r="S1844"/>
  <c r="S1845"/>
  <c r="S1846"/>
  <c r="S1847"/>
  <c r="S1848"/>
  <c r="S1849"/>
  <c r="S1850"/>
  <c r="S1851"/>
  <c r="S1852"/>
  <c r="S1853"/>
  <c r="S1854"/>
  <c r="S1856"/>
  <c r="S1857"/>
  <c r="S1858"/>
  <c r="S1859"/>
  <c r="S1860"/>
  <c r="S1861"/>
  <c r="S1862"/>
  <c r="S1863"/>
  <c r="S1864"/>
  <c r="S1865"/>
  <c r="S1866"/>
  <c r="S1867"/>
  <c r="S1868"/>
  <c r="S1869"/>
  <c r="S1870"/>
  <c r="S1871"/>
  <c r="S1872"/>
  <c r="S1873"/>
  <c r="S1874"/>
  <c r="S1875"/>
  <c r="S1876"/>
  <c r="S1877"/>
  <c r="S1878"/>
  <c r="S1879"/>
  <c r="S1880"/>
  <c r="S1881"/>
  <c r="S1882"/>
  <c r="S1883"/>
  <c r="S1884"/>
  <c r="S1885"/>
  <c r="S1886"/>
  <c r="S1887"/>
  <c r="S1888"/>
  <c r="S1889"/>
  <c r="S1890"/>
  <c r="S1891"/>
  <c r="S1892"/>
  <c r="S1893"/>
  <c r="S1894"/>
  <c r="S1895"/>
  <c r="S1896"/>
  <c r="S1897"/>
  <c r="S1898"/>
  <c r="S1899"/>
  <c r="S1901"/>
  <c r="S1902"/>
  <c r="S1903"/>
  <c r="S1904"/>
  <c r="S1905"/>
  <c r="S1907"/>
  <c r="S1908"/>
  <c r="S1909"/>
  <c r="S1910"/>
  <c r="S1911"/>
  <c r="S1912"/>
  <c r="S1913"/>
  <c r="S1914"/>
  <c r="S1915"/>
  <c r="S1916"/>
  <c r="S1917"/>
  <c r="S1918"/>
  <c r="S1919"/>
  <c r="S1920"/>
  <c r="S1921"/>
  <c r="S1922"/>
  <c r="S1923"/>
  <c r="S1924"/>
  <c r="S1925"/>
  <c r="S1926"/>
  <c r="S1927"/>
  <c r="S1928"/>
  <c r="S1929"/>
  <c r="S1930"/>
  <c r="S1931"/>
  <c r="S1932"/>
  <c r="S1933"/>
  <c r="S1934"/>
  <c r="S1935"/>
  <c r="S1936"/>
  <c r="S1937"/>
  <c r="S1938"/>
  <c r="S1939"/>
  <c r="S1940"/>
  <c r="S1941"/>
  <c r="S1942"/>
  <c r="S1943"/>
  <c r="S1944"/>
  <c r="S1945"/>
  <c r="S1946"/>
  <c r="S1947"/>
  <c r="S1948"/>
  <c r="S1949"/>
  <c r="S1950"/>
  <c r="S1951"/>
  <c r="S1952"/>
  <c r="S1953"/>
  <c r="S1954"/>
  <c r="S1955"/>
  <c r="S1956"/>
  <c r="S1957"/>
  <c r="S1958"/>
  <c r="S1959"/>
  <c r="S1960"/>
  <c r="S1961"/>
  <c r="S1962"/>
  <c r="S1963"/>
  <c r="S1964"/>
  <c r="S1965"/>
  <c r="S1966"/>
  <c r="S1967"/>
  <c r="S1968"/>
  <c r="S1969"/>
  <c r="S1970"/>
  <c r="S1971"/>
  <c r="S1972"/>
  <c r="S1973"/>
  <c r="S1974"/>
  <c r="S1975"/>
  <c r="S1976"/>
  <c r="S1977"/>
  <c r="S1979"/>
  <c r="S1980"/>
  <c r="S1981"/>
  <c r="S1982"/>
  <c r="S1983"/>
  <c r="S1984"/>
  <c r="S1985"/>
  <c r="S1986"/>
  <c r="S1987"/>
  <c r="S1988"/>
  <c r="S1989"/>
  <c r="S1990"/>
  <c r="S1991"/>
  <c r="S1992"/>
  <c r="S1993"/>
  <c r="S1994"/>
  <c r="S1995"/>
  <c r="S1996"/>
  <c r="S1997"/>
  <c r="S1998"/>
  <c r="S1999"/>
  <c r="S2000"/>
  <c r="S2001"/>
  <c r="S2002"/>
  <c r="S2003"/>
  <c r="S2004"/>
  <c r="S2005"/>
  <c r="S2006"/>
  <c r="S2007"/>
  <c r="S2008"/>
  <c r="S2009"/>
  <c r="S2010"/>
  <c r="S2011"/>
  <c r="S2012"/>
  <c r="S2013"/>
  <c r="S2014"/>
  <c r="S2015"/>
  <c r="S2016"/>
  <c r="S2017"/>
  <c r="S2018"/>
  <c r="S2019"/>
  <c r="S2020"/>
  <c r="S2021"/>
  <c r="S2022"/>
  <c r="S2023"/>
  <c r="S2024"/>
  <c r="S2025"/>
  <c r="S2026"/>
  <c r="S2027"/>
  <c r="S2028"/>
  <c r="S2029"/>
  <c r="S2030"/>
  <c r="S2031"/>
  <c r="S2032"/>
  <c r="S2033"/>
  <c r="S2034"/>
  <c r="S2035"/>
  <c r="S2036"/>
  <c r="S2037"/>
  <c r="S2038"/>
  <c r="S2039"/>
  <c r="S2040"/>
  <c r="S2041"/>
  <c r="S2042"/>
  <c r="S2043"/>
  <c r="S2044"/>
  <c r="S2045"/>
  <c r="S2046"/>
  <c r="S2047"/>
  <c r="S2048"/>
  <c r="S2049"/>
  <c r="S2050"/>
  <c r="S2051"/>
  <c r="S2052"/>
  <c r="S2053"/>
  <c r="S2054"/>
  <c r="S2055"/>
  <c r="S2056"/>
  <c r="S2057"/>
  <c r="S2058"/>
  <c r="S2059"/>
  <c r="S2060"/>
  <c r="S2061"/>
  <c r="S2062"/>
  <c r="S2063"/>
  <c r="S2064"/>
  <c r="S2065"/>
  <c r="S2066"/>
  <c r="S2067"/>
  <c r="S2068"/>
  <c r="S2069"/>
  <c r="S2070"/>
  <c r="S2071"/>
  <c r="S2072"/>
  <c r="S2073"/>
  <c r="S2074"/>
  <c r="S2075"/>
  <c r="S2076"/>
  <c r="S2077"/>
  <c r="S2078"/>
  <c r="S2079"/>
  <c r="S2080"/>
  <c r="S2081"/>
  <c r="S2082"/>
  <c r="S2083"/>
  <c r="S2084"/>
  <c r="S2085"/>
  <c r="S2086"/>
  <c r="S2087"/>
  <c r="S2088"/>
  <c r="S2089"/>
  <c r="S2090"/>
  <c r="S2091"/>
  <c r="S2092"/>
  <c r="S2093"/>
  <c r="S2094"/>
  <c r="S2095"/>
  <c r="S2096"/>
  <c r="S2097"/>
  <c r="S2098"/>
  <c r="S2099"/>
  <c r="S2100"/>
  <c r="S2101"/>
  <c r="S2102"/>
  <c r="S2103"/>
  <c r="S2104"/>
  <c r="S2105"/>
  <c r="S2106"/>
  <c r="S2107"/>
  <c r="S2108"/>
  <c r="S2109"/>
  <c r="S2110"/>
  <c r="S2111"/>
  <c r="S2112"/>
  <c r="S2113"/>
  <c r="S2114"/>
  <c r="S2115"/>
  <c r="S2116"/>
  <c r="S2117"/>
  <c r="S2118"/>
  <c r="S2119"/>
  <c r="S2120"/>
  <c r="S2121"/>
  <c r="S2122"/>
  <c r="S2123"/>
  <c r="S2124"/>
  <c r="S2125"/>
  <c r="S2126"/>
  <c r="S2127"/>
  <c r="S2128"/>
  <c r="S2129"/>
  <c r="S2130"/>
  <c r="S2131"/>
  <c r="S2132"/>
  <c r="S2133"/>
  <c r="S2134"/>
  <c r="S2135"/>
  <c r="S2136"/>
  <c r="S2137"/>
  <c r="S2138"/>
  <c r="S2139"/>
  <c r="S2140"/>
  <c r="S2141"/>
  <c r="S2142"/>
  <c r="S2143"/>
  <c r="S2144"/>
  <c r="S2145"/>
  <c r="S2146"/>
  <c r="S2147"/>
  <c r="S2148"/>
  <c r="S2149"/>
  <c r="S2150"/>
  <c r="S2151"/>
  <c r="S2152"/>
  <c r="S2153"/>
  <c r="S2154"/>
  <c r="S2155"/>
  <c r="S2156"/>
  <c r="S2157"/>
  <c r="S2158"/>
  <c r="S2159"/>
  <c r="S2160"/>
  <c r="S2161"/>
  <c r="S2162"/>
  <c r="S2163"/>
  <c r="S2164"/>
  <c r="S2165"/>
  <c r="S2166"/>
  <c r="S2167"/>
  <c r="S2168"/>
  <c r="S2170"/>
  <c r="S2171"/>
  <c r="S2172"/>
  <c r="S2173"/>
  <c r="S2174"/>
  <c r="S2175"/>
  <c r="S2176"/>
  <c r="S2177"/>
  <c r="S2178"/>
  <c r="S2179"/>
  <c r="S2180"/>
  <c r="S2181"/>
  <c r="S2182"/>
  <c r="S2183"/>
  <c r="S2184"/>
  <c r="S2185"/>
  <c r="S2186"/>
  <c r="S2187"/>
  <c r="S2188"/>
  <c r="S2189"/>
  <c r="S2190"/>
  <c r="S2191"/>
  <c r="S2192"/>
  <c r="S2193"/>
  <c r="S2194"/>
  <c r="S2195"/>
  <c r="S2196"/>
  <c r="S2197"/>
  <c r="S2198"/>
  <c r="S2200"/>
  <c r="S2201"/>
  <c r="S2202"/>
  <c r="S2203"/>
  <c r="S2204"/>
  <c r="S2205"/>
  <c r="S2206"/>
  <c r="S2207"/>
  <c r="S2208"/>
  <c r="S2209"/>
  <c r="S2210"/>
  <c r="S2211"/>
  <c r="S2212"/>
  <c r="S2213"/>
  <c r="S2214"/>
  <c r="S2215"/>
  <c r="S2216"/>
  <c r="S2217"/>
  <c r="S2218"/>
  <c r="S2219"/>
  <c r="S2220"/>
  <c r="S2221"/>
  <c r="S2222"/>
  <c r="S2223"/>
  <c r="S2224"/>
  <c r="S2225"/>
  <c r="S2226"/>
  <c r="S2227"/>
  <c r="S2228"/>
  <c r="S2229"/>
  <c r="S2230"/>
  <c r="S2231"/>
  <c r="S2232"/>
  <c r="S2233"/>
  <c r="S2234"/>
  <c r="S2235"/>
  <c r="S2236"/>
  <c r="S2237"/>
  <c r="S2238"/>
  <c r="S2239"/>
  <c r="S2240"/>
  <c r="S2241"/>
  <c r="S2242"/>
  <c r="S2243"/>
  <c r="S2244"/>
  <c r="S2245"/>
  <c r="S2246"/>
  <c r="S2247"/>
  <c r="S2248"/>
  <c r="S2249"/>
  <c r="S2250"/>
  <c r="S2251"/>
  <c r="S2252"/>
  <c r="S2253"/>
  <c r="S2254"/>
  <c r="S2255"/>
  <c r="S2256"/>
  <c r="S2257"/>
  <c r="S2258"/>
  <c r="S2259"/>
  <c r="S2260"/>
  <c r="S2261"/>
  <c r="S2262"/>
  <c r="S2263"/>
  <c r="S2264"/>
  <c r="S2265"/>
  <c r="S2266"/>
  <c r="S2267"/>
  <c r="S2268"/>
  <c r="S2269"/>
  <c r="S2270"/>
  <c r="S2271"/>
  <c r="S2272"/>
  <c r="S2273"/>
  <c r="S2274"/>
  <c r="S2275"/>
  <c r="S2276"/>
  <c r="S2277"/>
  <c r="S2278"/>
  <c r="S2280"/>
  <c r="S2281"/>
  <c r="S2282"/>
  <c r="S2283"/>
  <c r="S2284"/>
  <c r="S2285"/>
  <c r="S2286"/>
  <c r="S2287"/>
  <c r="S2288"/>
  <c r="S2289"/>
  <c r="S2290"/>
  <c r="S2291"/>
  <c r="S2292"/>
  <c r="S2293"/>
  <c r="S2294"/>
  <c r="S2295"/>
  <c r="S2296"/>
  <c r="S2297"/>
  <c r="S2298"/>
  <c r="S2299"/>
  <c r="S2300"/>
  <c r="S2301"/>
  <c r="S2302"/>
  <c r="S2303"/>
  <c r="S2304"/>
  <c r="S2305"/>
  <c r="S2306"/>
  <c r="S2307"/>
  <c r="S2308"/>
  <c r="S2309"/>
  <c r="S2310"/>
  <c r="S2311"/>
  <c r="S2312"/>
  <c r="S2313"/>
  <c r="S2314"/>
  <c r="S2315"/>
  <c r="S2316"/>
  <c r="S2317"/>
  <c r="S2318"/>
  <c r="S2319"/>
  <c r="S2320"/>
  <c r="S2321"/>
  <c r="S2322"/>
  <c r="S2323"/>
  <c r="S2324"/>
  <c r="S2325"/>
  <c r="S2326"/>
  <c r="S2327"/>
  <c r="S2328"/>
  <c r="S2329"/>
  <c r="S2330"/>
  <c r="S2331"/>
  <c r="S2332"/>
  <c r="S2333"/>
  <c r="S2334"/>
  <c r="S2335"/>
  <c r="S2336"/>
  <c r="S2337"/>
  <c r="S2338"/>
  <c r="S2339"/>
  <c r="S2340"/>
  <c r="S2341"/>
  <c r="S2342"/>
  <c r="S2343"/>
  <c r="S2344"/>
  <c r="S2345"/>
  <c r="S2346"/>
  <c r="S2347"/>
  <c r="S2348"/>
  <c r="S2349"/>
  <c r="S2350"/>
  <c r="S2351"/>
  <c r="S2352"/>
  <c r="S2353"/>
  <c r="S2354"/>
  <c r="S2355"/>
  <c r="S2356"/>
  <c r="S2357"/>
  <c r="S2358"/>
  <c r="S2359"/>
  <c r="S2360"/>
  <c r="S2361"/>
  <c r="S2362"/>
  <c r="S2363"/>
  <c r="S2364"/>
  <c r="S2365"/>
  <c r="S2366"/>
  <c r="S2367"/>
  <c r="S2368"/>
  <c r="S2369"/>
  <c r="S2370"/>
  <c r="S2371"/>
  <c r="S2372"/>
  <c r="S2373"/>
  <c r="S2374"/>
  <c r="S2375"/>
  <c r="S2376"/>
  <c r="S2377"/>
  <c r="S2378"/>
  <c r="S2379"/>
  <c r="S2380"/>
  <c r="S2381"/>
  <c r="S2382"/>
  <c r="S2383"/>
  <c r="S2384"/>
  <c r="S2385"/>
  <c r="S2386"/>
  <c r="S2387"/>
  <c r="S2388"/>
  <c r="S2389"/>
  <c r="S2390"/>
  <c r="S2391"/>
  <c r="S2392"/>
  <c r="S2393"/>
  <c r="S2394"/>
  <c r="S2395"/>
  <c r="S2396"/>
  <c r="S2397"/>
  <c r="S2398"/>
  <c r="S2399"/>
  <c r="S2400"/>
  <c r="S2401"/>
  <c r="S2402"/>
  <c r="S2403"/>
  <c r="S2404"/>
  <c r="S2405"/>
  <c r="S2406"/>
  <c r="S2407"/>
  <c r="S2408"/>
  <c r="S2409"/>
  <c r="S2410"/>
  <c r="S2411"/>
  <c r="S2412"/>
  <c r="S2413"/>
  <c r="S2414"/>
  <c r="S2415"/>
  <c r="S2416"/>
  <c r="S2417"/>
  <c r="S2418"/>
  <c r="S2419"/>
  <c r="S2420"/>
  <c r="S2421"/>
  <c r="S2422"/>
  <c r="S2423"/>
  <c r="S2424"/>
  <c r="S2425"/>
  <c r="S2426"/>
  <c r="S2427"/>
  <c r="S2428"/>
  <c r="S2429"/>
  <c r="S2430"/>
  <c r="S2431"/>
  <c r="S2432"/>
  <c r="S2433"/>
  <c r="S2434"/>
  <c r="S2435"/>
  <c r="S2436"/>
  <c r="S2437"/>
  <c r="S2438"/>
  <c r="S2439"/>
  <c r="S2440"/>
  <c r="S2441"/>
  <c r="S2442"/>
  <c r="S2443"/>
  <c r="S2444"/>
  <c r="S2445"/>
  <c r="S2446"/>
  <c r="S2447"/>
  <c r="S2448"/>
  <c r="S2449"/>
  <c r="S2450"/>
  <c r="S2451"/>
  <c r="S2452"/>
  <c r="S2453"/>
  <c r="S2454"/>
  <c r="S2455"/>
  <c r="S2456"/>
  <c r="S2457"/>
  <c r="S2458"/>
  <c r="S2459"/>
  <c r="S2460"/>
  <c r="S2461"/>
  <c r="S2462"/>
  <c r="S2463"/>
  <c r="S2464"/>
  <c r="S2465"/>
  <c r="S2466"/>
  <c r="S2467"/>
  <c r="S2468"/>
  <c r="S2469"/>
  <c r="S2470"/>
  <c r="S2471"/>
  <c r="S2472"/>
  <c r="S2473"/>
  <c r="S2474"/>
  <c r="S2475"/>
  <c r="S2476"/>
  <c r="S2477"/>
  <c r="S2478"/>
  <c r="S2479"/>
  <c r="S2480"/>
  <c r="S2481"/>
  <c r="S2482"/>
  <c r="S2483"/>
  <c r="S2484"/>
  <c r="S2485"/>
  <c r="S2486"/>
  <c r="S2487"/>
  <c r="S2489"/>
  <c r="S2490"/>
  <c r="S2491"/>
  <c r="S2492"/>
  <c r="S2493"/>
  <c r="S2494"/>
  <c r="S2495"/>
  <c r="S2496"/>
  <c r="S2497"/>
  <c r="S2498"/>
  <c r="S2499"/>
  <c r="S2500"/>
  <c r="S2501"/>
  <c r="S2502"/>
  <c r="S2503"/>
  <c r="S2504"/>
  <c r="S2505"/>
  <c r="S2506"/>
  <c r="S2507"/>
  <c r="S2508"/>
  <c r="S2509"/>
  <c r="S2510"/>
  <c r="S2511"/>
  <c r="S2512"/>
  <c r="S2513"/>
  <c r="S2514"/>
  <c r="S2515"/>
  <c r="S2516"/>
  <c r="S2517"/>
  <c r="S2518"/>
  <c r="S2519"/>
  <c r="S2521"/>
  <c r="S2522"/>
  <c r="S2523"/>
  <c r="S2524"/>
  <c r="S2525"/>
  <c r="S2526"/>
  <c r="S2527"/>
  <c r="S2528"/>
  <c r="S2529"/>
  <c r="S2530"/>
  <c r="S2531"/>
  <c r="S2532"/>
  <c r="S2533"/>
  <c r="S2534"/>
  <c r="S2535"/>
  <c r="S2536"/>
  <c r="S2537"/>
  <c r="S2538"/>
  <c r="S2539"/>
  <c r="S2540"/>
  <c r="S2541"/>
  <c r="S2542"/>
  <c r="S2543"/>
  <c r="S2544"/>
  <c r="S2545"/>
  <c r="S2546"/>
  <c r="S2547"/>
  <c r="S2548"/>
  <c r="S2549"/>
  <c r="S2550"/>
  <c r="S2551"/>
  <c r="S2552"/>
  <c r="S2553"/>
  <c r="S2554"/>
  <c r="S2555"/>
  <c r="S2556"/>
  <c r="S2557"/>
  <c r="S2558"/>
  <c r="S2559"/>
  <c r="S2560"/>
  <c r="S2561"/>
  <c r="S2562"/>
  <c r="S2563"/>
  <c r="S2564"/>
  <c r="S2565"/>
  <c r="S2566"/>
  <c r="S2567"/>
  <c r="S2568"/>
  <c r="S2569"/>
  <c r="S2570"/>
  <c r="S2571"/>
  <c r="S2572"/>
  <c r="S2573"/>
  <c r="S2574"/>
  <c r="S2575"/>
  <c r="S2576"/>
  <c r="S2577"/>
  <c r="S2578"/>
  <c r="S2579"/>
  <c r="S2580"/>
  <c r="S2581"/>
  <c r="S2582"/>
  <c r="S2583"/>
  <c r="S2584"/>
  <c r="S2585"/>
  <c r="S2586"/>
  <c r="S2587"/>
  <c r="S2588"/>
  <c r="S2589"/>
  <c r="S2590"/>
  <c r="S2591"/>
  <c r="S2592"/>
  <c r="S2593"/>
  <c r="S2594"/>
  <c r="S2595"/>
  <c r="S2596"/>
  <c r="S2597"/>
  <c r="S2598"/>
  <c r="S2599"/>
  <c r="S2600"/>
  <c r="S2601"/>
  <c r="S2602"/>
  <c r="S2603"/>
  <c r="S2604"/>
  <c r="S2605"/>
  <c r="S2606"/>
  <c r="S2607"/>
  <c r="S2608"/>
  <c r="S2609"/>
  <c r="S2610"/>
  <c r="S2611"/>
  <c r="S2612"/>
  <c r="S2613"/>
  <c r="S2614"/>
  <c r="S2615"/>
  <c r="S2616"/>
  <c r="S2617"/>
  <c r="S2618"/>
  <c r="S2619"/>
  <c r="S2620"/>
  <c r="S2621"/>
  <c r="S2622"/>
  <c r="S2623"/>
  <c r="S2624"/>
  <c r="S2625"/>
  <c r="S2626"/>
  <c r="S2627"/>
  <c r="S2628"/>
  <c r="S2629"/>
  <c r="S2630"/>
  <c r="S2631"/>
  <c r="S2632"/>
  <c r="S2633"/>
  <c r="S2634"/>
  <c r="S2635"/>
  <c r="S2636"/>
  <c r="S2637"/>
  <c r="S2638"/>
  <c r="S2639"/>
  <c r="S2640"/>
  <c r="S2641"/>
  <c r="S2642"/>
  <c r="S2643"/>
  <c r="S2644"/>
  <c r="S2645"/>
  <c r="S2646"/>
  <c r="S2647"/>
  <c r="S2648"/>
  <c r="S2649"/>
  <c r="S2650"/>
  <c r="S2651"/>
  <c r="S2652"/>
  <c r="S2653"/>
  <c r="S2654"/>
  <c r="S2655"/>
  <c r="S2656"/>
  <c r="S2657"/>
  <c r="S2658"/>
  <c r="S2659"/>
  <c r="S2660"/>
  <c r="S2661"/>
  <c r="S2662"/>
  <c r="S2663"/>
  <c r="S2664"/>
  <c r="S2665"/>
  <c r="S2666"/>
  <c r="S2667"/>
  <c r="S2668"/>
  <c r="S2669"/>
  <c r="S2670"/>
  <c r="S2671"/>
  <c r="S2672"/>
  <c r="S2673"/>
  <c r="S2674"/>
  <c r="S2675"/>
  <c r="S2676"/>
  <c r="S2677"/>
  <c r="S2678"/>
  <c r="S2679"/>
  <c r="S2680"/>
  <c r="S2681"/>
  <c r="S2682"/>
  <c r="S2683"/>
  <c r="S2684"/>
  <c r="S2685"/>
  <c r="S2686"/>
  <c r="S2687"/>
  <c r="S2688"/>
  <c r="S2689"/>
  <c r="S2690"/>
  <c r="S2691"/>
  <c r="S2692"/>
  <c r="S2693"/>
  <c r="S2694"/>
  <c r="S2695"/>
  <c r="S2696"/>
  <c r="S2697"/>
  <c r="S2698"/>
  <c r="S2699"/>
  <c r="S2700"/>
  <c r="S2701"/>
  <c r="S2702"/>
  <c r="S2703"/>
  <c r="S2704"/>
  <c r="S2705"/>
  <c r="S2706"/>
  <c r="S2707"/>
  <c r="S2708"/>
  <c r="S2709"/>
  <c r="S2710"/>
  <c r="S2711"/>
  <c r="S2712"/>
  <c r="S2713"/>
  <c r="S2714"/>
  <c r="S2715"/>
  <c r="S2716"/>
  <c r="S2717"/>
  <c r="S2718"/>
  <c r="S2719"/>
  <c r="S2720"/>
  <c r="S2721"/>
  <c r="S2722"/>
  <c r="S2723"/>
  <c r="S2724"/>
  <c r="S2725"/>
  <c r="S2726"/>
  <c r="S2728"/>
  <c r="S2729"/>
  <c r="S2730"/>
  <c r="S2731"/>
  <c r="S2732"/>
  <c r="S2733"/>
  <c r="S2734"/>
  <c r="S2735"/>
  <c r="S2736"/>
  <c r="S2737"/>
  <c r="S2738"/>
  <c r="S2739"/>
  <c r="S2740"/>
  <c r="S2741"/>
  <c r="S2742"/>
  <c r="S2743"/>
  <c r="S2744"/>
  <c r="S2745"/>
  <c r="S2746"/>
  <c r="S2747"/>
  <c r="S2748"/>
  <c r="S2749"/>
  <c r="S2750"/>
  <c r="S2751"/>
  <c r="S2752"/>
  <c r="S2753"/>
  <c r="S2754"/>
  <c r="S2755"/>
  <c r="S2756"/>
  <c r="S2757"/>
  <c r="S2758"/>
  <c r="S2759"/>
  <c r="S2760"/>
  <c r="S2761"/>
  <c r="S2762"/>
  <c r="S2763"/>
  <c r="S2764"/>
  <c r="S2765"/>
  <c r="S2766"/>
  <c r="S2767"/>
  <c r="S2768"/>
  <c r="S2769"/>
  <c r="S2770"/>
  <c r="S2771"/>
  <c r="S2772"/>
  <c r="S2773"/>
  <c r="S2774"/>
  <c r="S2775"/>
  <c r="S2776"/>
  <c r="S2777"/>
  <c r="S2778"/>
  <c r="S2779"/>
  <c r="S2780"/>
  <c r="S2781"/>
  <c r="S2782"/>
  <c r="S2783"/>
  <c r="S2784"/>
  <c r="S2785"/>
  <c r="S2786"/>
  <c r="S2787"/>
  <c r="S2788"/>
  <c r="S2789"/>
  <c r="S2790"/>
  <c r="S2791"/>
  <c r="S2792"/>
  <c r="S2793"/>
  <c r="S2794"/>
  <c r="S2795"/>
  <c r="S2796"/>
  <c r="S2797"/>
  <c r="S2798"/>
  <c r="S2799"/>
  <c r="S2800"/>
  <c r="S2801"/>
  <c r="S2802"/>
  <c r="S2803"/>
  <c r="S2804"/>
  <c r="S2805"/>
  <c r="S2806"/>
  <c r="S2807"/>
  <c r="S2808"/>
  <c r="S2809"/>
  <c r="S2810"/>
  <c r="S2811"/>
  <c r="S2812"/>
  <c r="S2813"/>
  <c r="S2814"/>
  <c r="S2815"/>
  <c r="S2816"/>
  <c r="S2817"/>
  <c r="S2818"/>
  <c r="S2819"/>
  <c r="S2820"/>
  <c r="S2821"/>
  <c r="S2822"/>
  <c r="S2823"/>
  <c r="S2824"/>
  <c r="S2825"/>
  <c r="S2826"/>
  <c r="S2827"/>
  <c r="S2828"/>
  <c r="S2829"/>
  <c r="S2830"/>
  <c r="S2831"/>
  <c r="S2832"/>
  <c r="S2833"/>
  <c r="S2834"/>
  <c r="S2835"/>
  <c r="S2836"/>
  <c r="S2837"/>
  <c r="S2838"/>
  <c r="S2839"/>
  <c r="S2840"/>
  <c r="S2841"/>
  <c r="S2842"/>
  <c r="S2843"/>
  <c r="S2844"/>
  <c r="S2845"/>
  <c r="S2846"/>
  <c r="S2847"/>
  <c r="S2848"/>
  <c r="S2849"/>
  <c r="S2850"/>
  <c r="S2851"/>
  <c r="S2852"/>
  <c r="S2853"/>
  <c r="S2854"/>
  <c r="S2855"/>
  <c r="S2856"/>
  <c r="S2857"/>
  <c r="S2858"/>
  <c r="S2859"/>
  <c r="S2860"/>
  <c r="S2861"/>
  <c r="S2862"/>
  <c r="S2863"/>
  <c r="S2864"/>
  <c r="S2865"/>
  <c r="S2866"/>
  <c r="S2867"/>
  <c r="S2868"/>
  <c r="S2869"/>
  <c r="S2870"/>
  <c r="S2871"/>
  <c r="S2872"/>
  <c r="S2873"/>
  <c r="S2874"/>
  <c r="S2875"/>
  <c r="S2876"/>
  <c r="S2877"/>
  <c r="S2878"/>
  <c r="S2879"/>
  <c r="S2880"/>
  <c r="S2881"/>
  <c r="S2882"/>
  <c r="S2883"/>
  <c r="S2884"/>
  <c r="S2885"/>
  <c r="S2887"/>
  <c r="S2888"/>
  <c r="S2889"/>
  <c r="S2890"/>
  <c r="S2891"/>
  <c r="S2892"/>
  <c r="S2893"/>
  <c r="S2894"/>
  <c r="S2895"/>
  <c r="S2896"/>
  <c r="S2897"/>
  <c r="S2898"/>
  <c r="S2899"/>
  <c r="S2900"/>
  <c r="S2901"/>
  <c r="S2902"/>
  <c r="S2903"/>
  <c r="S2904"/>
  <c r="S2905"/>
  <c r="S2906"/>
  <c r="S2907"/>
  <c r="S2908"/>
  <c r="S2909"/>
  <c r="S2910"/>
  <c r="S2911"/>
  <c r="S2912"/>
  <c r="S2913"/>
  <c r="S2914"/>
  <c r="S2915"/>
  <c r="S2916"/>
  <c r="S2917"/>
  <c r="S2918"/>
  <c r="S2919"/>
  <c r="S2920"/>
  <c r="S2921"/>
  <c r="S2922"/>
  <c r="S2923"/>
  <c r="S2924"/>
  <c r="S2925"/>
  <c r="S2927"/>
  <c r="S2928"/>
  <c r="S2929"/>
  <c r="S2930"/>
  <c r="S2931"/>
  <c r="S2932"/>
  <c r="S2933"/>
  <c r="S2934"/>
  <c r="S2935"/>
  <c r="S2936"/>
  <c r="S2937"/>
  <c r="S2938"/>
  <c r="S2939"/>
  <c r="S2940"/>
  <c r="S2941"/>
  <c r="S2942"/>
  <c r="S2943"/>
  <c r="S2944"/>
  <c r="S2945"/>
  <c r="S2946"/>
  <c r="S2947"/>
  <c r="S2948"/>
  <c r="S2949"/>
  <c r="S2950"/>
  <c r="S2951"/>
  <c r="S2952"/>
  <c r="S2953"/>
  <c r="S2954"/>
  <c r="S2955"/>
  <c r="S2956"/>
  <c r="S2957"/>
  <c r="S2958"/>
  <c r="S2959"/>
  <c r="S2960"/>
  <c r="S2961"/>
  <c r="S2962"/>
  <c r="S2963"/>
  <c r="S2964"/>
  <c r="S2965"/>
  <c r="S2966"/>
  <c r="S2967"/>
  <c r="S2968"/>
  <c r="S2969"/>
  <c r="S2970"/>
  <c r="S2971"/>
  <c r="S2972"/>
  <c r="S2973"/>
  <c r="S2974"/>
  <c r="S2975"/>
  <c r="S2976"/>
  <c r="S2977"/>
  <c r="S2978"/>
  <c r="S2979"/>
  <c r="S2980"/>
  <c r="S2981"/>
  <c r="S2982"/>
  <c r="S2983"/>
  <c r="S2984"/>
  <c r="S2985"/>
  <c r="S2986"/>
  <c r="S2987"/>
  <c r="S2988"/>
  <c r="S2989"/>
  <c r="S2990"/>
  <c r="S2991"/>
  <c r="S2992"/>
  <c r="S2993"/>
  <c r="S2994"/>
  <c r="S2995"/>
  <c r="S2996"/>
  <c r="S2997"/>
  <c r="S2998"/>
  <c r="S2999"/>
  <c r="S3000"/>
  <c r="S3001"/>
  <c r="F2926"/>
  <c r="S2926" s="1"/>
  <c r="F2886"/>
  <c r="S2886" s="1"/>
  <c r="F2727"/>
  <c r="S2727" s="1"/>
  <c r="F2520"/>
  <c r="S2520" s="1"/>
  <c r="F2488"/>
  <c r="S2488" s="1"/>
  <c r="F2279"/>
  <c r="S2279" s="1"/>
  <c r="F2199"/>
  <c r="S2199" s="1"/>
  <c r="F2169"/>
  <c r="S2169" s="1"/>
  <c r="F1978"/>
  <c r="S1978" s="1"/>
  <c r="F1906"/>
  <c r="S1906" s="1"/>
  <c r="F1900"/>
  <c r="S1900" s="1"/>
  <c r="F1855"/>
  <c r="S1855" s="1"/>
  <c r="F1766"/>
  <c r="S1766" s="1"/>
  <c r="F1718"/>
  <c r="S1718" s="1"/>
  <c r="F1705"/>
  <c r="S1705" s="1"/>
  <c r="F1697"/>
  <c r="S1697" s="1"/>
  <c r="F1627"/>
  <c r="S1627" s="1"/>
  <c r="F1554"/>
  <c r="F1555" s="1"/>
  <c r="S1555" s="1"/>
  <c r="F1436"/>
  <c r="S1436" s="1"/>
  <c r="F1401"/>
  <c r="S1401" s="1"/>
  <c r="F1330"/>
  <c r="S1330" s="1"/>
  <c r="F1222"/>
  <c r="S1222" s="1"/>
  <c r="F1205"/>
  <c r="S1205" s="1"/>
  <c r="F1203"/>
  <c r="S1203" s="1"/>
  <c r="F1170"/>
  <c r="S1170" s="1"/>
  <c r="F1166"/>
  <c r="S1166" s="1"/>
  <c r="F1108"/>
  <c r="S1108" s="1"/>
  <c r="F1095"/>
  <c r="S1095" s="1"/>
  <c r="F1055"/>
  <c r="S1055" s="1"/>
  <c r="F941"/>
  <c r="S941" s="1"/>
  <c r="F907"/>
  <c r="S907" s="1"/>
  <c r="F880"/>
  <c r="S880" s="1"/>
  <c r="F863"/>
  <c r="S863" s="1"/>
  <c r="F813"/>
  <c r="S813" s="1"/>
  <c r="F798"/>
  <c r="S798" s="1"/>
  <c r="F750"/>
  <c r="S750" s="1"/>
  <c r="F667"/>
  <c r="S667" s="1"/>
  <c r="F652"/>
  <c r="S652" s="1"/>
  <c r="F515"/>
  <c r="S515" s="1"/>
  <c r="F301"/>
  <c r="S301" s="1"/>
  <c r="F278"/>
  <c r="S278" s="1"/>
  <c r="F207"/>
  <c r="S207" s="1"/>
  <c r="F186"/>
  <c r="S186" s="1"/>
  <c r="F146"/>
  <c r="S146" s="1"/>
  <c r="S1554" l="1"/>
</calcChain>
</file>

<file path=xl/sharedStrings.xml><?xml version="1.0" encoding="utf-8"?>
<sst xmlns="http://schemas.openxmlformats.org/spreadsheetml/2006/main" count="39046" uniqueCount="4965">
  <si>
    <t>Visit_ID</t>
  </si>
  <si>
    <t>Date</t>
  </si>
  <si>
    <t>Patient_ID</t>
  </si>
  <si>
    <t>Patient_Name</t>
  </si>
  <si>
    <t>Gender</t>
  </si>
  <si>
    <t>Age</t>
  </si>
  <si>
    <t>City</t>
  </si>
  <si>
    <t>State</t>
  </si>
  <si>
    <t>Department</t>
  </si>
  <si>
    <t>Doctor</t>
  </si>
  <si>
    <t>Diagnosis_Code</t>
  </si>
  <si>
    <t>Treatment</t>
  </si>
  <si>
    <t>Visit_Type</t>
  </si>
  <si>
    <t>Bill_Amount</t>
  </si>
  <si>
    <t>Payment_Mode</t>
  </si>
  <si>
    <t>Insurance</t>
  </si>
  <si>
    <t>Length_of_Stay</t>
  </si>
  <si>
    <t>Followup_Days</t>
  </si>
  <si>
    <t>VIS201537</t>
  </si>
  <si>
    <t>VIS201134</t>
  </si>
  <si>
    <t>VIS202688</t>
  </si>
  <si>
    <t>VIS201831</t>
  </si>
  <si>
    <t>VIS200543</t>
  </si>
  <si>
    <t>VIS202278</t>
  </si>
  <si>
    <t>VIS201000</t>
  </si>
  <si>
    <t>VIS202347</t>
  </si>
  <si>
    <t>VIS201743</t>
  </si>
  <si>
    <t>VIS200567</t>
  </si>
  <si>
    <t>VIS201943</t>
  </si>
  <si>
    <t>VIS202266</t>
  </si>
  <si>
    <t>VIS201485</t>
  </si>
  <si>
    <t>VIS202515</t>
  </si>
  <si>
    <t>VIS200098</t>
  </si>
  <si>
    <t>VIS202122</t>
  </si>
  <si>
    <t>VIS200175</t>
  </si>
  <si>
    <t>VIS202156</t>
  </si>
  <si>
    <t>VIS201529</t>
  </si>
  <si>
    <t>VIS201183</t>
  </si>
  <si>
    <t>VIS202855</t>
  </si>
  <si>
    <t>VIS200687</t>
  </si>
  <si>
    <t>VIS202824</t>
  </si>
  <si>
    <t>VIS202338</t>
  </si>
  <si>
    <t>VIS201464</t>
  </si>
  <si>
    <t>VIS200719</t>
  </si>
  <si>
    <t>VIS202370</t>
  </si>
  <si>
    <t>VIS202626</t>
  </si>
  <si>
    <t>VIS200664</t>
  </si>
  <si>
    <t>VIS200554</t>
  </si>
  <si>
    <t>VIS202583</t>
  </si>
  <si>
    <t>VIS200969</t>
  </si>
  <si>
    <t>VIS200904</t>
  </si>
  <si>
    <t>VIS202737</t>
  </si>
  <si>
    <t>VIS200273</t>
  </si>
  <si>
    <t>VIS201305</t>
  </si>
  <si>
    <t>VIS201953</t>
  </si>
  <si>
    <t>VIS201390</t>
  </si>
  <si>
    <t>VIS201765</t>
  </si>
  <si>
    <t>VIS200780</t>
  </si>
  <si>
    <t>VIS202759</t>
  </si>
  <si>
    <t>VIS202107</t>
  </si>
  <si>
    <t>VIS202541</t>
  </si>
  <si>
    <t>VIS202313</t>
  </si>
  <si>
    <t>VIS200485</t>
  </si>
  <si>
    <t>VIS201391</t>
  </si>
  <si>
    <t>VIS201839</t>
  </si>
  <si>
    <t>VIS201672</t>
  </si>
  <si>
    <t>VIS202952</t>
  </si>
  <si>
    <t>VIS202881</t>
  </si>
  <si>
    <t>VIS202902</t>
  </si>
  <si>
    <t>VIS200021</t>
  </si>
  <si>
    <t>VIS201100</t>
  </si>
  <si>
    <t>VIS201694</t>
  </si>
  <si>
    <t>VIS201517</t>
  </si>
  <si>
    <t>VIS202100</t>
  </si>
  <si>
    <t>VIS200786</t>
  </si>
  <si>
    <t>VIS200579</t>
  </si>
  <si>
    <t>VIS200617</t>
  </si>
  <si>
    <t>VIS201910</t>
  </si>
  <si>
    <t>VIS202295</t>
  </si>
  <si>
    <t>VIS202710</t>
  </si>
  <si>
    <t>VIS202423</t>
  </si>
  <si>
    <t>VIS202815</t>
  </si>
  <si>
    <t>VIS201547</t>
  </si>
  <si>
    <t>VIS201496</t>
  </si>
  <si>
    <t>VIS201145</t>
  </si>
  <si>
    <t>VIS201552</t>
  </si>
  <si>
    <t>VIS201294</t>
  </si>
  <si>
    <t>VIS201708</t>
  </si>
  <si>
    <t>VIS202695</t>
  </si>
  <si>
    <t>VIS200333</t>
  </si>
  <si>
    <t>VIS200152</t>
  </si>
  <si>
    <t>VIS200018</t>
  </si>
  <si>
    <t>VIS202255</t>
  </si>
  <si>
    <t>VIS201465</t>
  </si>
  <si>
    <t>VIS202208</t>
  </si>
  <si>
    <t>VIS202597</t>
  </si>
  <si>
    <t>VIS200108</t>
  </si>
  <si>
    <t>VIS200104</t>
  </si>
  <si>
    <t>VIS200257</t>
  </si>
  <si>
    <t>VIS200880</t>
  </si>
  <si>
    <t>VIS201172</t>
  </si>
  <si>
    <t>VIS202914</t>
  </si>
  <si>
    <t>VIS200851</t>
  </si>
  <si>
    <t>VIS202306</t>
  </si>
  <si>
    <t>VIS202720</t>
  </si>
  <si>
    <t>VIS202584</t>
  </si>
  <si>
    <t>VIS200490</t>
  </si>
  <si>
    <t>VIS201617</t>
  </si>
  <si>
    <t>VIS201107</t>
  </si>
  <si>
    <t>VIS201482</t>
  </si>
  <si>
    <t>VIS201051</t>
  </si>
  <si>
    <t>VIS201121</t>
  </si>
  <si>
    <t>VIS201329</t>
  </si>
  <si>
    <t>VIS200471</t>
  </si>
  <si>
    <t>VIS200838</t>
  </si>
  <si>
    <t>VIS200846</t>
  </si>
  <si>
    <t>VIS201507</t>
  </si>
  <si>
    <t>VIS202174</t>
  </si>
  <si>
    <t>VIS201814</t>
  </si>
  <si>
    <t>VIS200676</t>
  </si>
  <si>
    <t>VIS200705</t>
  </si>
  <si>
    <t>VIS200691</t>
  </si>
  <si>
    <t>VIS201862</t>
  </si>
  <si>
    <t>VIS201716</t>
  </si>
  <si>
    <t>VIS202726</t>
  </si>
  <si>
    <t>VIS201045</t>
  </si>
  <si>
    <t>VIS201099</t>
  </si>
  <si>
    <t>VIS201645</t>
  </si>
  <si>
    <t>VIS202587</t>
  </si>
  <si>
    <t>VIS201054</t>
  </si>
  <si>
    <t>VIS201964</t>
  </si>
  <si>
    <t>VIS201126</t>
  </si>
  <si>
    <t>VIS201620</t>
  </si>
  <si>
    <t>VIS201498</t>
  </si>
  <si>
    <t>VIS202970</t>
  </si>
  <si>
    <t>VIS201414</t>
  </si>
  <si>
    <t>VIS202138</t>
  </si>
  <si>
    <t>VIS202802</t>
  </si>
  <si>
    <t>VIS200361</t>
  </si>
  <si>
    <t>VIS200282</t>
  </si>
  <si>
    <t>VIS201245</t>
  </si>
  <si>
    <t>VIS200058</t>
  </si>
  <si>
    <t>VIS201513</t>
  </si>
  <si>
    <t>VIS201014</t>
  </si>
  <si>
    <t>VIS202971</t>
  </si>
  <si>
    <t>VIS201048</t>
  </si>
  <si>
    <t>VIS201359</t>
  </si>
  <si>
    <t>VIS202325</t>
  </si>
  <si>
    <t>VIS200345</t>
  </si>
  <si>
    <t>VIS202055</t>
  </si>
  <si>
    <t>VIS202555</t>
  </si>
  <si>
    <t>VIS202754</t>
  </si>
  <si>
    <t>VIS201602</t>
  </si>
  <si>
    <t>VIS202885</t>
  </si>
  <si>
    <t>VIS201854</t>
  </si>
  <si>
    <t>VIS201679</t>
  </si>
  <si>
    <t>VIS200192</t>
  </si>
  <si>
    <t>VIS200881</t>
  </si>
  <si>
    <t>VIS200995</t>
  </si>
  <si>
    <t>VIS201930</t>
  </si>
  <si>
    <t>VIS200446</t>
  </si>
  <si>
    <t>VIS202945</t>
  </si>
  <si>
    <t>VIS200584</t>
  </si>
  <si>
    <t>VIS201712</t>
  </si>
  <si>
    <t>VIS202433</t>
  </si>
  <si>
    <t>VIS202951</t>
  </si>
  <si>
    <t>VIS201492</t>
  </si>
  <si>
    <t>VIS200209</t>
  </si>
  <si>
    <t>VIS202672</t>
  </si>
  <si>
    <t>VIS202784</t>
  </si>
  <si>
    <t>VIS202631</t>
  </si>
  <si>
    <t>VIS200831</t>
  </si>
  <si>
    <t>VIS201439</t>
  </si>
  <si>
    <t>VIS200790</t>
  </si>
  <si>
    <t>VIS202067</t>
  </si>
  <si>
    <t>VIS200102</t>
  </si>
  <si>
    <t>VIS202136</t>
  </si>
  <si>
    <t>VIS200253</t>
  </si>
  <si>
    <t>VIS200595</t>
  </si>
  <si>
    <t>VIS200394</t>
  </si>
  <si>
    <t>VIS200068</t>
  </si>
  <si>
    <t>VIS200062</t>
  </si>
  <si>
    <t>VIS202751</t>
  </si>
  <si>
    <t>VIS200249</t>
  </si>
  <si>
    <t>VIS201819</t>
  </si>
  <si>
    <t>VIS201096</t>
  </si>
  <si>
    <t>VIS202652</t>
  </si>
  <si>
    <t>VIS202674</t>
  </si>
  <si>
    <t>VIS201019</t>
  </si>
  <si>
    <t>VIS201018</t>
  </si>
  <si>
    <t>VIS201375</t>
  </si>
  <si>
    <t>VIS201065</t>
  </si>
  <si>
    <t>VIS202889</t>
  </si>
  <si>
    <t>VIS201313</t>
  </si>
  <si>
    <t>VIS200301</t>
  </si>
  <si>
    <t>VIS200005</t>
  </si>
  <si>
    <t>VIS201597</t>
  </si>
  <si>
    <t>VIS200139</t>
  </si>
  <si>
    <t>VIS202085</t>
  </si>
  <si>
    <t>VIS200484</t>
  </si>
  <si>
    <t>VIS202113</t>
  </si>
  <si>
    <t>VIS200630</t>
  </si>
  <si>
    <t>VIS201166</t>
  </si>
  <si>
    <t>VIS200697</t>
  </si>
  <si>
    <t>VIS202566</t>
  </si>
  <si>
    <t>VIS200180</t>
  </si>
  <si>
    <t>VIS200905</t>
  </si>
  <si>
    <t>VIS202526</t>
  </si>
  <si>
    <t>VIS201290</t>
  </si>
  <si>
    <t>VIS202627</t>
  </si>
  <si>
    <t>VIS200321</t>
  </si>
  <si>
    <t>VIS202746</t>
  </si>
  <si>
    <t>VIS202919</t>
  </si>
  <si>
    <t>VIS202087</t>
  </si>
  <si>
    <t>VIS202713</t>
  </si>
  <si>
    <t>VIS201153</t>
  </si>
  <si>
    <t>VIS200372</t>
  </si>
  <si>
    <t>VIS201972</t>
  </si>
  <si>
    <t>VIS201229</t>
  </si>
  <si>
    <t>VIS202063</t>
  </si>
  <si>
    <t>VIS200580</t>
  </si>
  <si>
    <t>VIS202050</t>
  </si>
  <si>
    <t>VIS200507</t>
  </si>
  <si>
    <t>VIS201140</t>
  </si>
  <si>
    <t>VIS201474</t>
  </si>
  <si>
    <t>VIS201912</t>
  </si>
  <si>
    <t>VIS200675</t>
  </si>
  <si>
    <t>VIS200763</t>
  </si>
  <si>
    <t>VIS201165</t>
  </si>
  <si>
    <t>VIS200644</t>
  </si>
  <si>
    <t>VIS201432</t>
  </si>
  <si>
    <t>VIS201750</t>
  </si>
  <si>
    <t>VIS201118</t>
  </si>
  <si>
    <t>VIS201797</t>
  </si>
  <si>
    <t>VIS201786</t>
  </si>
  <si>
    <t>VIS201695</t>
  </si>
  <si>
    <t>VIS200730</t>
  </si>
  <si>
    <t>VIS200949</t>
  </si>
  <si>
    <t>VIS202908</t>
  </si>
  <si>
    <t>VIS200991</t>
  </si>
  <si>
    <t>VIS202418</t>
  </si>
  <si>
    <t>VIS201925</t>
  </si>
  <si>
    <t>VIS202592</t>
  </si>
  <si>
    <t>VIS202036</t>
  </si>
  <si>
    <t>VIS202205</t>
  </si>
  <si>
    <t>VIS200889</t>
  </si>
  <si>
    <t>VIS202390</t>
  </si>
  <si>
    <t>VIS200204</t>
  </si>
  <si>
    <t>VIS201610</t>
  </si>
  <si>
    <t>VIS201143</t>
  </si>
  <si>
    <t>VIS201575</t>
  </si>
  <si>
    <t>VIS201618</t>
  </si>
  <si>
    <t>VIS202098</t>
  </si>
  <si>
    <t>VIS200225</t>
  </si>
  <si>
    <t>VIS201530</t>
  </si>
  <si>
    <t>VIS202010</t>
  </si>
  <si>
    <t>VIS200756</t>
  </si>
  <si>
    <t>VIS202721</t>
  </si>
  <si>
    <t>VIS201780</t>
  </si>
  <si>
    <t>VIS200456</t>
  </si>
  <si>
    <t>VIS200288</t>
  </si>
  <si>
    <t>VIS202620</t>
  </si>
  <si>
    <t>VIS200392</t>
  </si>
  <si>
    <t>VIS201291</t>
  </si>
  <si>
    <t>VIS201191</t>
  </si>
  <si>
    <t>VIS200066</t>
  </si>
  <si>
    <t>VIS201946</t>
  </si>
  <si>
    <t>VIS200210</t>
  </si>
  <si>
    <t>VIS200989</t>
  </si>
  <si>
    <t>VIS202346</t>
  </si>
  <si>
    <t>VIS202909</t>
  </si>
  <si>
    <t>VIS202905</t>
  </si>
  <si>
    <t>VIS200681</t>
  </si>
  <si>
    <t>VIS201251</t>
  </si>
  <si>
    <t>VIS202706</t>
  </si>
  <si>
    <t>VIS202553</t>
  </si>
  <si>
    <t>VIS201084</t>
  </si>
  <si>
    <t>VIS201974</t>
  </si>
  <si>
    <t>VIS200976</t>
  </si>
  <si>
    <t>VIS200807</t>
  </si>
  <si>
    <t>VIS200182</t>
  </si>
  <si>
    <t>VIS200255</t>
  </si>
  <si>
    <t>VIS200871</t>
  </si>
  <si>
    <t>VIS200629</t>
  </si>
  <si>
    <t>VIS202185</t>
  </si>
  <si>
    <t>VIS200998</t>
  </si>
  <si>
    <t>VIS201664</t>
  </si>
  <si>
    <t>VIS201791</t>
  </si>
  <si>
    <t>VIS201125</t>
  </si>
  <si>
    <t>VIS202935</t>
  </si>
  <si>
    <t>VIS202897</t>
  </si>
  <si>
    <t>VIS200508</t>
  </si>
  <si>
    <t>VIS202365</t>
  </si>
  <si>
    <t>VIS201495</t>
  </si>
  <si>
    <t>VIS201476</t>
  </si>
  <si>
    <t>VIS200422</t>
  </si>
  <si>
    <t>VIS201406</t>
  </si>
  <si>
    <t>VIS200934</t>
  </si>
  <si>
    <t>VIS201606</t>
  </si>
  <si>
    <t>VIS200486</t>
  </si>
  <si>
    <t>VIS201083</t>
  </si>
  <si>
    <t>VIS201572</t>
  </si>
  <si>
    <t>VIS200164</t>
  </si>
  <si>
    <t>VIS202563</t>
  </si>
  <si>
    <t>VIS200398</t>
  </si>
  <si>
    <t>VIS200747</t>
  </si>
  <si>
    <t>VIS200964</t>
  </si>
  <si>
    <t>VIS202147</t>
  </si>
  <si>
    <t>VIS201959</t>
  </si>
  <si>
    <t>VIS202667</t>
  </si>
  <si>
    <t>VIS201438</t>
  </si>
  <si>
    <t>VIS200121</t>
  </si>
  <si>
    <t>VIS201639</t>
  </si>
  <si>
    <t>VIS200805</t>
  </si>
  <si>
    <t>VIS200863</t>
  </si>
  <si>
    <t>VIS200269</t>
  </si>
  <si>
    <t>VIS202594</t>
  </si>
  <si>
    <t>VIS201242</t>
  </si>
  <si>
    <t>VIS202256</t>
  </si>
  <si>
    <t>VIS202363</t>
  </si>
  <si>
    <t>VIS200737</t>
  </si>
  <si>
    <t>VIS200430</t>
  </si>
  <si>
    <t>VIS201452</t>
  </si>
  <si>
    <t>VIS201247</t>
  </si>
  <si>
    <t>VIS201283</t>
  </si>
  <si>
    <t>VIS202157</t>
  </si>
  <si>
    <t>VIS202524</t>
  </si>
  <si>
    <t>VIS202851</t>
  </si>
  <si>
    <t>VIS200598</t>
  </si>
  <si>
    <t>VIS201970</t>
  </si>
  <si>
    <t>VIS200735</t>
  </si>
  <si>
    <t>VIS201996</t>
  </si>
  <si>
    <t>VIS200977</t>
  </si>
  <si>
    <t>VIS202972</t>
  </si>
  <si>
    <t>VIS200588</t>
  </si>
  <si>
    <t>VIS200222</t>
  </si>
  <si>
    <t>VIS202552</t>
  </si>
  <si>
    <t>VIS201788</t>
  </si>
  <si>
    <t>VIS200849</t>
  </si>
  <si>
    <t>VIS200867</t>
  </si>
  <si>
    <t>VIS202074</t>
  </si>
  <si>
    <t>VIS201348</t>
  </si>
  <si>
    <t>VIS200935</t>
  </si>
  <si>
    <t>VIS202930</t>
  </si>
  <si>
    <t>VIS202986</t>
  </si>
  <si>
    <t>VIS202661</t>
  </si>
  <si>
    <t>VIS200367</t>
  </si>
  <si>
    <t>VIS201890</t>
  </si>
  <si>
    <t>VIS202318</t>
  </si>
  <si>
    <t>VIS200056</t>
  </si>
  <si>
    <t>VIS200894</t>
  </si>
  <si>
    <t>VIS202315</t>
  </si>
  <si>
    <t>VIS202978</t>
  </si>
  <si>
    <t>VIS202274</t>
  </si>
  <si>
    <t>VIS200134</t>
  </si>
  <si>
    <t>VIS202504</t>
  </si>
  <si>
    <t>VIS202276</t>
  </si>
  <si>
    <t>VIS202610</t>
  </si>
  <si>
    <t>VIS202959</t>
  </si>
  <si>
    <t>VIS200053</t>
  </si>
  <si>
    <t>VIS202870</t>
  </si>
  <si>
    <t>VIS202291</t>
  </si>
  <si>
    <t>VIS200226</t>
  </si>
  <si>
    <t>VIS202187</t>
  </si>
  <si>
    <t>VIS201327</t>
  </si>
  <si>
    <t>VIS200418</t>
  </si>
  <si>
    <t>VIS202456</t>
  </si>
  <si>
    <t>VIS200765</t>
  </si>
  <si>
    <t>VIS201917</t>
  </si>
  <si>
    <t>VIS201471</t>
  </si>
  <si>
    <t>VIS201944</t>
  </si>
  <si>
    <t>VIS200105</t>
  </si>
  <si>
    <t>VIS200680</t>
  </si>
  <si>
    <t>VIS201286</t>
  </si>
  <si>
    <t>VIS200124</t>
  </si>
  <si>
    <t>VIS201640</t>
  </si>
  <si>
    <t>VIS200195</t>
  </si>
  <si>
    <t>VIS201236</t>
  </si>
  <si>
    <t>VIS200271</t>
  </si>
  <si>
    <t>VIS201211</t>
  </si>
  <si>
    <t>VIS200379</t>
  </si>
  <si>
    <t>VIS202015</t>
  </si>
  <si>
    <t>VIS200837</t>
  </si>
  <si>
    <t>VIS201196</t>
  </si>
  <si>
    <t>VIS202393</t>
  </si>
  <si>
    <t>VIS200114</t>
  </si>
  <si>
    <t>VIS200131</t>
  </si>
  <si>
    <t>VIS202022</t>
  </si>
  <si>
    <t>VIS200473</t>
  </si>
  <si>
    <t>VIS200745</t>
  </si>
  <si>
    <t>VIS200634</t>
  </si>
  <si>
    <t>VIS200055</t>
  </si>
  <si>
    <t>VIS200821</t>
  </si>
  <si>
    <t>VIS201102</t>
  </si>
  <si>
    <t>VIS202536</t>
  </si>
  <si>
    <t>VIS200575</t>
  </si>
  <si>
    <t>VIS200106</t>
  </si>
  <si>
    <t>VIS200296</t>
  </si>
  <si>
    <t>VIS201058</t>
  </si>
  <si>
    <t>VIS202170</t>
  </si>
  <si>
    <t>VIS202735</t>
  </si>
  <si>
    <t>VIS201798</t>
  </si>
  <si>
    <t>VIS202146</t>
  </si>
  <si>
    <t>VIS202193</t>
  </si>
  <si>
    <t>VIS200933</t>
  </si>
  <si>
    <t>VIS202237</t>
  </si>
  <si>
    <t>VIS201504</t>
  </si>
  <si>
    <t>VIS202487</t>
  </si>
  <si>
    <t>VIS200618</t>
  </si>
  <si>
    <t>VIS200254</t>
  </si>
  <si>
    <t>VIS202739</t>
  </si>
  <si>
    <t>VIS202150</t>
  </si>
  <si>
    <t>VIS200955</t>
  </si>
  <si>
    <t>VIS200770</t>
  </si>
  <si>
    <t>VIS200368</t>
  </si>
  <si>
    <t>VIS202359</t>
  </si>
  <si>
    <t>VIS201337</t>
  </si>
  <si>
    <t>VIS200232</t>
  </si>
  <si>
    <t>VIS202622</t>
  </si>
  <si>
    <t>VIS200185</t>
  </si>
  <si>
    <t>VIS201720</t>
  </si>
  <si>
    <t>VIS202180</t>
  </si>
  <si>
    <t>VIS200487</t>
  </si>
  <si>
    <t>VIS200150</t>
  </si>
  <si>
    <t>VIS202510</t>
  </si>
  <si>
    <t>VIS202189</t>
  </si>
  <si>
    <t>VIS200411</t>
  </si>
  <si>
    <t>VIS200939</t>
  </si>
  <si>
    <t>VIS200716</t>
  </si>
  <si>
    <t>VIS202057</t>
  </si>
  <si>
    <t>VIS201428</t>
  </si>
  <si>
    <t>VIS200941</t>
  </si>
  <si>
    <t>VIS200334</t>
  </si>
  <si>
    <t>VIS200601</t>
  </si>
  <si>
    <t>VIS201756</t>
  </si>
  <si>
    <t>VIS201647</t>
  </si>
  <si>
    <t>VIS202999</t>
  </si>
  <si>
    <t>VIS201997</t>
  </si>
  <si>
    <t>VIS201710</t>
  </si>
  <si>
    <t>VIS202303</t>
  </si>
  <si>
    <t>VIS202790</t>
  </si>
  <si>
    <t>VIS201364</t>
  </si>
  <si>
    <t>VIS200358</t>
  </si>
  <si>
    <t>VIS202377</t>
  </si>
  <si>
    <t>VIS200493</t>
  </si>
  <si>
    <t>VIS200338</t>
  </si>
  <si>
    <t>VIS202509</t>
  </si>
  <si>
    <t>VIS201571</t>
  </si>
  <si>
    <t>VIS201445</t>
  </si>
  <si>
    <t>VIS201967</t>
  </si>
  <si>
    <t>VIS202813</t>
  </si>
  <si>
    <t>VIS202852</t>
  </si>
  <si>
    <t>VIS201071</t>
  </si>
  <si>
    <t>VIS202430</t>
  </si>
  <si>
    <t>VIS201085</t>
  </si>
  <si>
    <t>VIS200714</t>
  </si>
  <si>
    <t>VIS201049</t>
  </si>
  <si>
    <t>VIS202860</t>
  </si>
  <si>
    <t>VIS200879</t>
  </si>
  <si>
    <t>VIS200064</t>
  </si>
  <si>
    <t>VIS200278</t>
  </si>
  <si>
    <t>VIS201824</t>
  </si>
  <si>
    <t>VIS202165</t>
  </si>
  <si>
    <t>VIS202086</t>
  </si>
  <si>
    <t>VIS201315</t>
  </si>
  <si>
    <t>VIS202448</t>
  </si>
  <si>
    <t>VIS201742</t>
  </si>
  <si>
    <t>VIS200788</t>
  </si>
  <si>
    <t>VIS200943</t>
  </si>
  <si>
    <t>VIS200752</t>
  </si>
  <si>
    <t>VIS202317</t>
  </si>
  <si>
    <t>VIS200075</t>
  </si>
  <si>
    <t>VIS201858</t>
  </si>
  <si>
    <t>VIS200376</t>
  </si>
  <si>
    <t>VIS201073</t>
  </si>
  <si>
    <t>VIS201754</t>
  </si>
  <si>
    <t>VIS201070</t>
  </si>
  <si>
    <t>VIS202687</t>
  </si>
  <si>
    <t>VIS202499</t>
  </si>
  <si>
    <t>VIS201027</t>
  </si>
  <si>
    <t>VIS200686</t>
  </si>
  <si>
    <t>VIS202247</t>
  </si>
  <si>
    <t>VIS201133</t>
  </si>
  <si>
    <t>VIS202729</t>
  </si>
  <si>
    <t>VIS201455</t>
  </si>
  <si>
    <t>VIS201372</t>
  </si>
  <si>
    <t>VIS202190</t>
  </si>
  <si>
    <t>VIS201941</t>
  </si>
  <si>
    <t>VIS202925</t>
  </si>
  <si>
    <t>VIS202203</t>
  </si>
  <si>
    <t>VIS201627</t>
  </si>
  <si>
    <t>VIS201721</t>
  </si>
  <si>
    <t>VIS201004</t>
  </si>
  <si>
    <t>VIS201838</t>
  </si>
  <si>
    <t>VIS201719</t>
  </si>
  <si>
    <t>VIS201651</t>
  </si>
  <si>
    <t>VIS200917</t>
  </si>
  <si>
    <t>VIS202285</t>
  </si>
  <si>
    <t>VIS202670</t>
  </si>
  <si>
    <t>VIS200483</t>
  </si>
  <si>
    <t>VIS202406</t>
  </si>
  <si>
    <t>VIS202351</t>
  </si>
  <si>
    <t>VIS201288</t>
  </si>
  <si>
    <t>VIS202079</t>
  </si>
  <si>
    <t>VIS201675</t>
  </si>
  <si>
    <t>VIS201192</t>
  </si>
  <si>
    <t>VIS200448</t>
  </si>
  <si>
    <t>VIS201282</t>
  </si>
  <si>
    <t>VIS202284</t>
  </si>
  <si>
    <t>VIS200289</t>
  </si>
  <si>
    <t>VIS200308</t>
  </si>
  <si>
    <t>VIS202080</t>
  </si>
  <si>
    <t>VIS201135</t>
  </si>
  <si>
    <t>VIS202764</t>
  </si>
  <si>
    <t>VIS201370</t>
  </si>
  <si>
    <t>VIS202612</t>
  </si>
  <si>
    <t>VIS202724</t>
  </si>
  <si>
    <t>VIS202944</t>
  </si>
  <si>
    <t>VIS200130</t>
  </si>
  <si>
    <t>VIS202078</t>
  </si>
  <si>
    <t>VIS201287</t>
  </si>
  <si>
    <t>VIS200661</t>
  </si>
  <si>
    <t>VIS202369</t>
  </si>
  <si>
    <t>VIS200310</t>
  </si>
  <si>
    <t>VIS202608</t>
  </si>
  <si>
    <t>VIS201244</t>
  </si>
  <si>
    <t>VIS202628</t>
  </si>
  <si>
    <t>VIS200781</t>
  </si>
  <si>
    <t>VIS202591</t>
  </si>
  <si>
    <t>VIS200578</t>
  </si>
  <si>
    <t>VIS201663</t>
  </si>
  <si>
    <t>VIS202051</t>
  </si>
  <si>
    <t>VIS202066</t>
  </si>
  <si>
    <t>VIS202145</t>
  </si>
  <si>
    <t>VIS200815</t>
  </si>
  <si>
    <t>VIS202836</t>
  </si>
  <si>
    <t>VIS200633</t>
  </si>
  <si>
    <t>VIS201200</t>
  </si>
  <si>
    <t>VIS200318</t>
  </si>
  <si>
    <t>VIS202998</t>
  </si>
  <si>
    <t>VIS201478</t>
  </si>
  <si>
    <t>VIS202545</t>
  </si>
  <si>
    <t>VIS202654</t>
  </si>
  <si>
    <t>VIS200216</t>
  </si>
  <si>
    <t>VIS200364</t>
  </si>
  <si>
    <t>VIS200231</t>
  </si>
  <si>
    <t>VIS200857</t>
  </si>
  <si>
    <t>VIS201006</t>
  </si>
  <si>
    <t>VIS201809</t>
  </si>
  <si>
    <t>VIS202823</t>
  </si>
  <si>
    <t>VIS202832</t>
  </si>
  <si>
    <t>VIS201475</t>
  </si>
  <si>
    <t>VIS202789</t>
  </si>
  <si>
    <t>VIS201380</t>
  </si>
  <si>
    <t>VIS201318</t>
  </si>
  <si>
    <t>VIS200761</t>
  </si>
  <si>
    <t>VIS200346</t>
  </si>
  <si>
    <t>VIS200610</t>
  </si>
  <si>
    <t>VIS201641</t>
  </si>
  <si>
    <t>VIS200234</t>
  </si>
  <si>
    <t>VIS201480</t>
  </si>
  <si>
    <t>VIS201060</t>
  </si>
  <si>
    <t>VIS202460</t>
  </si>
  <si>
    <t>VIS202747</t>
  </si>
  <si>
    <t>VIS202407</t>
  </si>
  <si>
    <t>VIS200876</t>
  </si>
  <si>
    <t>VIS200639</t>
  </si>
  <si>
    <t>VIS201270</t>
  </si>
  <si>
    <t>VIS202556</t>
  </si>
  <si>
    <t>VIS202560</t>
  </si>
  <si>
    <t>VIS201836</t>
  </si>
  <si>
    <t>VIS202218</t>
  </si>
  <si>
    <t>VIS202871</t>
  </si>
  <si>
    <t>VIS202609</t>
  </si>
  <si>
    <t>VIS200800</t>
  </si>
  <si>
    <t>VIS202862</t>
  </si>
  <si>
    <t>VIS201564</t>
  </si>
  <si>
    <t>VIS202535</t>
  </si>
  <si>
    <t>VIS200077</t>
  </si>
  <si>
    <t>VIS201392</t>
  </si>
  <si>
    <t>VIS200827</t>
  </si>
  <si>
    <t>VIS201220</t>
  </si>
  <si>
    <t>VIS200247</t>
  </si>
  <si>
    <t>VIS202008</t>
  </si>
  <si>
    <t>VIS201470</t>
  </si>
  <si>
    <t>VIS201158</t>
  </si>
  <si>
    <t>VIS201184</t>
  </si>
  <si>
    <t>VIS201002</t>
  </si>
  <si>
    <t>VIS202275</t>
  </si>
  <si>
    <t>VIS200342</t>
  </si>
  <si>
    <t>VIS201590</t>
  </si>
  <si>
    <t>VIS201771</t>
  </si>
  <si>
    <t>VIS202943</t>
  </si>
  <si>
    <t>VIS202534</t>
  </si>
  <si>
    <t>VIS202024</t>
  </si>
  <si>
    <t>VIS200440</t>
  </si>
  <si>
    <t>VIS200438</t>
  </si>
  <si>
    <t>VIS200561</t>
  </si>
  <si>
    <t>VIS202993</t>
  </si>
  <si>
    <t>VIS201160</t>
  </si>
  <si>
    <t>VIS201330</t>
  </si>
  <si>
    <t>VIS200391</t>
  </si>
  <si>
    <t>VIS200207</t>
  </si>
  <si>
    <t>VIS202399</t>
  </si>
  <si>
    <t>VIS201869</t>
  </si>
  <si>
    <t>VIS202044</t>
  </si>
  <si>
    <t>VIS201718</t>
  </si>
  <si>
    <t>VIS200258</t>
  </si>
  <si>
    <t>VIS200154</t>
  </si>
  <si>
    <t>VIS201849</t>
  </si>
  <si>
    <t>VIS200151</t>
  </si>
  <si>
    <t>VIS201230</t>
  </si>
  <si>
    <t>VIS201311</t>
  </si>
  <si>
    <t>VIS200515</t>
  </si>
  <si>
    <t>VIS200019</t>
  </si>
  <si>
    <t>VIS200866</t>
  </si>
  <si>
    <t>VIS201328</t>
  </si>
  <si>
    <t>VIS201760</t>
  </si>
  <si>
    <t>VIS201673</t>
  </si>
  <si>
    <t>VIS200583</t>
  </si>
  <si>
    <t>VIS201652</t>
  </si>
  <si>
    <t>VIS202579</t>
  </si>
  <si>
    <t>VIS202270</t>
  </si>
  <si>
    <t>VIS201704</t>
  </si>
  <si>
    <t>VIS201692</t>
  </si>
  <si>
    <t>VIS202129</t>
  </si>
  <si>
    <t>VIS202196</t>
  </si>
  <si>
    <t>VIS201132</t>
  </si>
  <si>
    <t>VIS202241</t>
  </si>
  <si>
    <t>VIS202575</t>
  </si>
  <si>
    <t>VIS200229</t>
  </si>
  <si>
    <t>VIS202360</t>
  </si>
  <si>
    <t>VIS201811</t>
  </si>
  <si>
    <t>VIS202133</t>
  </si>
  <si>
    <t>VIS201748</t>
  </si>
  <si>
    <t>VIS202657</t>
  </si>
  <si>
    <t>VIS201381</t>
  </si>
  <si>
    <t>VIS200140</t>
  </si>
  <si>
    <t>VIS201543</t>
  </si>
  <si>
    <t>VIS200725</t>
  </si>
  <si>
    <t>VIS200480</t>
  </si>
  <si>
    <t>VIS202298</t>
  </si>
  <si>
    <t>VIS201503</t>
  </si>
  <si>
    <t>VIS202861</t>
  </si>
  <si>
    <t>VIS200412</t>
  </si>
  <si>
    <t>VIS200722</t>
  </si>
  <si>
    <t>VIS200155</t>
  </si>
  <si>
    <t>VIS200236</t>
  </si>
  <si>
    <t>VIS202987</t>
  </si>
  <si>
    <t>VIS201101</t>
  </si>
  <si>
    <t>VIS202075</t>
  </si>
  <si>
    <t>VIS200734</t>
  </si>
  <si>
    <t>VIS201322</t>
  </si>
  <si>
    <t>VIS202343</t>
  </si>
  <si>
    <t>VIS200266</t>
  </si>
  <si>
    <t>VIS201254</t>
  </si>
  <si>
    <t>VIS200903</t>
  </si>
  <si>
    <t>VIS202570</t>
  </si>
  <si>
    <t>VIS201505</t>
  </si>
  <si>
    <t>VIS200709</t>
  </si>
  <si>
    <t>VIS200171</t>
  </si>
  <si>
    <t>VIS201280</t>
  </si>
  <si>
    <t>VIS200141</t>
  </si>
  <si>
    <t>VIS200356</t>
  </si>
  <si>
    <t>VIS201154</t>
  </si>
  <si>
    <t>VIS200197</t>
  </si>
  <si>
    <t>VIS200874</t>
  </si>
  <si>
    <t>VIS201684</t>
  </si>
  <si>
    <t>VIS202803</t>
  </si>
  <si>
    <t>VIS202767</t>
  </si>
  <si>
    <t>VIS201923</t>
  </si>
  <si>
    <t>VIS201028</t>
  </si>
  <si>
    <t>VIS200248</t>
  </si>
  <si>
    <t>VIS201978</t>
  </si>
  <si>
    <t>VIS200404</t>
  </si>
  <si>
    <t>VIS201950</t>
  </si>
  <si>
    <t>VIS202244</t>
  </si>
  <si>
    <t>VIS202699</t>
  </si>
  <si>
    <t>VIS200006</t>
  </si>
  <si>
    <t>VIS200327</t>
  </si>
  <si>
    <t>VIS200592</t>
  </si>
  <si>
    <t>VIS202172</t>
  </si>
  <si>
    <t>VIS200272</t>
  </si>
  <si>
    <t>VIS200203</t>
  </si>
  <si>
    <t>VIS201761</t>
  </si>
  <si>
    <t>VIS201810</t>
  </si>
  <si>
    <t>VIS201542</t>
  </si>
  <si>
    <t>VIS200773</t>
  </si>
  <si>
    <t>VIS201122</t>
  </si>
  <si>
    <t>VIS202228</t>
  </si>
  <si>
    <t>VIS200470</t>
  </si>
  <si>
    <t>VIS201303</t>
  </si>
  <si>
    <t>VIS202745</t>
  </si>
  <si>
    <t>VIS200125</t>
  </si>
  <si>
    <t>VIS202112</t>
  </si>
  <si>
    <t>VIS201190</t>
  </si>
  <si>
    <t>VIS202337</t>
  </si>
  <si>
    <t>VIS202760</t>
  </si>
  <si>
    <t>VIS202374</t>
  </si>
  <si>
    <t>VIS201725</t>
  </si>
  <si>
    <t>VIS201600</t>
  </si>
  <si>
    <t>VIS201840</t>
  </si>
  <si>
    <t>VIS202682</t>
  </si>
  <si>
    <t>VIS202808</t>
  </si>
  <si>
    <t>VIS202973</t>
  </si>
  <si>
    <t>VIS201752</t>
  </si>
  <si>
    <t>VIS201020</t>
  </si>
  <si>
    <t>VIS202414</t>
  </si>
  <si>
    <t>VIS202932</t>
  </si>
  <si>
    <t>VIS200974</t>
  </si>
  <si>
    <t>VIS200073</t>
  </si>
  <si>
    <t>VIS201066</t>
  </si>
  <si>
    <t>VIS202294</t>
  </si>
  <si>
    <t>VIS200007</t>
  </si>
  <si>
    <t>VIS200442</t>
  </si>
  <si>
    <t>VIS200624</t>
  </si>
  <si>
    <t>VIS201803</t>
  </si>
  <si>
    <t>VIS202939</t>
  </si>
  <si>
    <t>VIS201404</t>
  </si>
  <si>
    <t>VIS200537</t>
  </si>
  <si>
    <t>VIS200156</t>
  </si>
  <si>
    <t>VIS200589</t>
  </si>
  <si>
    <t>VIS202936</t>
  </si>
  <si>
    <t>VIS201302</t>
  </si>
  <si>
    <t>VIS200540</t>
  </si>
  <si>
    <t>VIS202632</t>
  </si>
  <si>
    <t>VIS200143</t>
  </si>
  <si>
    <t>VIS200437</t>
  </si>
  <si>
    <t>VIS201240</t>
  </si>
  <si>
    <t>VIS202005</t>
  </si>
  <si>
    <t>VIS202618</t>
  </si>
  <si>
    <t>VIS200326</t>
  </si>
  <si>
    <t>VIS202722</t>
  </si>
  <si>
    <t>VIS202831</t>
  </si>
  <si>
    <t>VIS201502</t>
  </si>
  <si>
    <t>VIS200623</t>
  </si>
  <si>
    <t>VIS200803</t>
  </si>
  <si>
    <t>VIS200502</t>
  </si>
  <si>
    <t>VIS202850</t>
  </si>
  <si>
    <t>VIS202249</t>
  </si>
  <si>
    <t>VIS202453</t>
  </si>
  <si>
    <t>VIS200654</t>
  </si>
  <si>
    <t>VIS202459</t>
  </si>
  <si>
    <t>VIS200777</t>
  </si>
  <si>
    <t>VIS201015</t>
  </si>
  <si>
    <t>VIS200074</t>
  </si>
  <si>
    <t>VIS202238</t>
  </si>
  <si>
    <t>VIS201777</t>
  </si>
  <si>
    <t>VIS201041</t>
  </si>
  <si>
    <t>VIS201781</t>
  </si>
  <si>
    <t>VIS201314</t>
  </si>
  <si>
    <t>VIS201170</t>
  </si>
  <si>
    <t>VIS200303</t>
  </si>
  <si>
    <t>VIS200732</t>
  </si>
  <si>
    <t>VIS200919</t>
  </si>
  <si>
    <t>VIS201086</t>
  </si>
  <si>
    <t>VIS200202</t>
  </si>
  <si>
    <t>VIS200822</t>
  </si>
  <si>
    <t>VIS201368</t>
  </si>
  <si>
    <t>VIS202965</t>
  </si>
  <si>
    <t>VIS201697</t>
  </si>
  <si>
    <t>VIS201850</t>
  </si>
  <si>
    <t>VIS201436</t>
  </si>
  <si>
    <t>VIS201376</t>
  </si>
  <si>
    <t>VIS201433</t>
  </si>
  <si>
    <t>VIS201463</t>
  </si>
  <si>
    <t>VIS201435</t>
  </si>
  <si>
    <t>VIS200316</t>
  </si>
  <si>
    <t>VIS200148</t>
  </si>
  <si>
    <t>VIS202381</t>
  </si>
  <si>
    <t>VIS201591</t>
  </si>
  <si>
    <t>VIS201434</t>
  </si>
  <si>
    <t>VIS202002</t>
  </si>
  <si>
    <t>VIS201205</t>
  </si>
  <si>
    <t>VIS200764</t>
  </si>
  <si>
    <t>VIS202921</t>
  </si>
  <si>
    <t>VIS202483</t>
  </si>
  <si>
    <t>VIS201508</t>
  </si>
  <si>
    <t>VIS201442</t>
  </si>
  <si>
    <t>VIS200002</t>
  </si>
  <si>
    <t>VIS201747</t>
  </si>
  <si>
    <t>VIS201818</t>
  </si>
  <si>
    <t>VIS200478</t>
  </si>
  <si>
    <t>VIS202700</t>
  </si>
  <si>
    <t>VIS200746</t>
  </si>
  <si>
    <t>VIS200107</t>
  </si>
  <si>
    <t>VIS202750</t>
  </si>
  <si>
    <t>VIS200893</t>
  </si>
  <si>
    <t>VIS200916</t>
  </si>
  <si>
    <t>VIS202777</t>
  </si>
  <si>
    <t>VIS201629</t>
  </si>
  <si>
    <t>VIS200525</t>
  </si>
  <si>
    <t>VIS202191</t>
  </si>
  <si>
    <t>VIS200163</t>
  </si>
  <si>
    <t>VIS202807</t>
  </si>
  <si>
    <t>VIS202712</t>
  </si>
  <si>
    <t>VIS201813</t>
  </si>
  <si>
    <t>VIS202669</t>
  </si>
  <si>
    <t>VIS201887</t>
  </si>
  <si>
    <t>VIS202466</t>
  </si>
  <si>
    <t>VIS202937</t>
  </si>
  <si>
    <t>VIS202958</t>
  </si>
  <si>
    <t>VIS200557</t>
  </si>
  <si>
    <t>VIS201758</t>
  </si>
  <si>
    <t>VIS202757</t>
  </si>
  <si>
    <t>VIS201095</t>
  </si>
  <si>
    <t>VIS202589</t>
  </si>
  <si>
    <t>VIS202956</t>
  </si>
  <si>
    <t>VIS202035</t>
  </si>
  <si>
    <t>VIS201980</t>
  </si>
  <si>
    <t>VIS200329</t>
  </si>
  <si>
    <t>VIS201009</t>
  </si>
  <si>
    <t>VIS200923</t>
  </si>
  <si>
    <t>VIS200845</t>
  </si>
  <si>
    <t>VIS201123</t>
  </si>
  <si>
    <t>VIS201312</t>
  </si>
  <si>
    <t>VIS200393</t>
  </si>
  <si>
    <t>VIS201182</t>
  </si>
  <si>
    <t>VIS202719</t>
  </si>
  <si>
    <t>VIS201460</t>
  </si>
  <si>
    <t>VIS200748</t>
  </si>
  <si>
    <t>VIS201453</t>
  </si>
  <si>
    <t>VIS200621</t>
  </si>
  <si>
    <t>VIS202577</t>
  </si>
  <si>
    <t>VIS200474</t>
  </si>
  <si>
    <t>VIS200069</t>
  </si>
  <si>
    <t>VIS201768</t>
  </si>
  <si>
    <t>VIS200383</t>
  </si>
  <si>
    <t>VIS201175</t>
  </si>
  <si>
    <t>VIS200891</t>
  </si>
  <si>
    <t>VIS202442</t>
  </si>
  <si>
    <t>VIS200528</t>
  </si>
  <si>
    <t>VIS200612</t>
  </si>
  <si>
    <t>VIS202873</t>
  </si>
  <si>
    <t>VIS201774</t>
  </si>
  <si>
    <t>VIS200938</t>
  </si>
  <si>
    <t>VIS200516</t>
  </si>
  <si>
    <t>VIS200220</t>
  </si>
  <si>
    <t>VIS200721</t>
  </si>
  <si>
    <t>VIS200712</t>
  </si>
  <si>
    <t>VIS202484</t>
  </si>
  <si>
    <t>VIS201493</t>
  </si>
  <si>
    <t>VIS200870</t>
  </si>
  <si>
    <t>VIS200909</t>
  </si>
  <si>
    <t>VIS202561</t>
  </si>
  <si>
    <t>VIS202826</t>
  </si>
  <si>
    <t>VIS202714</t>
  </si>
  <si>
    <t>VIS202485</t>
  </si>
  <si>
    <t>VIS201589</t>
  </si>
  <si>
    <t>VIS202666</t>
  </si>
  <si>
    <t>VIS202308</t>
  </si>
  <si>
    <t>VIS200109</t>
  </si>
  <si>
    <t>VIS201516</t>
  </si>
  <si>
    <t>VIS201169</t>
  </si>
  <si>
    <t>VIS202153</t>
  </si>
  <si>
    <t>VIS202846</t>
  </si>
  <si>
    <t>VIS202046</t>
  </si>
  <si>
    <t>VIS201278</t>
  </si>
  <si>
    <t>VIS202537</t>
  </si>
  <si>
    <t>VIS202159</t>
  </si>
  <si>
    <t>VIS202877</t>
  </si>
  <si>
    <t>VIS200504</t>
  </si>
  <si>
    <t>VIS202512</t>
  </si>
  <si>
    <t>VIS202093</t>
  </si>
  <si>
    <t>VIS200591</t>
  </si>
  <si>
    <t>VIS200495</t>
  </si>
  <si>
    <t>VIS202469</t>
  </si>
  <si>
    <t>VIS201271</t>
  </si>
  <si>
    <t>VIS202413</t>
  </si>
  <si>
    <t>VIS201295</t>
  </si>
  <si>
    <t>VIS202345</t>
  </si>
  <si>
    <t>VIS202490</t>
  </si>
  <si>
    <t>VIS201221</t>
  </si>
  <si>
    <t>VIS200047</t>
  </si>
  <si>
    <t>VIS201079</t>
  </si>
  <si>
    <t>VIS201911</t>
  </si>
  <si>
    <t>VIS200323</t>
  </si>
  <si>
    <t>VIS200479</t>
  </si>
  <si>
    <t>VIS201446</t>
  </si>
  <si>
    <t>VIS200325</t>
  </si>
  <si>
    <t>VIS200292</t>
  </si>
  <si>
    <t>VIS200673</t>
  </si>
  <si>
    <t>VIS200435</t>
  </si>
  <si>
    <t>VIS202867</t>
  </si>
  <si>
    <t>VIS200987</t>
  </si>
  <si>
    <t>VIS200563</t>
  </si>
  <si>
    <t>VIS201927</t>
  </si>
  <si>
    <t>VIS201793</t>
  </si>
  <si>
    <t>VIS201324</t>
  </si>
  <si>
    <t>VIS202072</t>
  </si>
  <si>
    <t>VIS200520</t>
  </si>
  <si>
    <t>VIS202243</t>
  </si>
  <si>
    <t>VIS202463</t>
  </si>
  <si>
    <t>VIS202600</t>
  </si>
  <si>
    <t>VIS202516</t>
  </si>
  <si>
    <t>VIS200727</t>
  </si>
  <si>
    <t>VIS200674</t>
  </si>
  <si>
    <t>VIS202356</t>
  </si>
  <si>
    <t>VIS201042</t>
  </si>
  <si>
    <t>VIS200034</t>
  </si>
  <si>
    <t>VIS201567</t>
  </si>
  <si>
    <t>VIS202468</t>
  </si>
  <si>
    <t>VIS201267</t>
  </si>
  <si>
    <t>VIS200896</t>
  </si>
  <si>
    <t>VIS201308</t>
  </si>
  <si>
    <t>VIS200742</t>
  </si>
  <si>
    <t>VIS200927</t>
  </si>
  <si>
    <t>VIS202629</t>
  </si>
  <si>
    <t>VIS201969</t>
  </si>
  <si>
    <t>VIS200670</t>
  </si>
  <si>
    <t>VIS200009</t>
  </si>
  <si>
    <t>VIS201210</t>
  </si>
  <si>
    <t>VIS200312</t>
  </si>
  <si>
    <t>VIS201724</t>
  </si>
  <si>
    <t>VIS200357</t>
  </si>
  <si>
    <t>VIS201490</t>
  </si>
  <si>
    <t>VIS202854</t>
  </si>
  <si>
    <t>VIS200983</t>
  </si>
  <si>
    <t>VIS200039</t>
  </si>
  <si>
    <t>VIS200907</t>
  </si>
  <si>
    <t>VIS202305</t>
  </si>
  <si>
    <t>VIS201252</t>
  </si>
  <si>
    <t>VIS200783</t>
  </si>
  <si>
    <t>VIS200514</t>
  </si>
  <si>
    <t>VIS200407</t>
  </si>
  <si>
    <t>VIS201174</t>
  </si>
  <si>
    <t>VIS200445</t>
  </si>
  <si>
    <t>VIS202817</t>
  </si>
  <si>
    <t>VIS200072</t>
  </si>
  <si>
    <t>VIS200509</t>
  </si>
  <si>
    <t>VIS201098</t>
  </si>
  <si>
    <t>VIS201011</t>
  </si>
  <si>
    <t>VIS201361</t>
  </si>
  <si>
    <t>VIS202397</t>
  </si>
  <si>
    <t>VIS200294</t>
  </si>
  <si>
    <t>VIS200759</t>
  </si>
  <si>
    <t>VIS201204</t>
  </si>
  <si>
    <t>VIS201868</t>
  </si>
  <si>
    <t>VIS200925</t>
  </si>
  <si>
    <t>VIS202997</t>
  </si>
  <si>
    <t>VIS200339</t>
  </si>
  <si>
    <t>VIS201350</t>
  </si>
  <si>
    <t>VIS200659</t>
  </si>
  <si>
    <t>VIS200103</t>
  </si>
  <si>
    <t>VIS201829</t>
  </si>
  <si>
    <t>VIS202544</t>
  </si>
  <si>
    <t>VIS200317</t>
  </si>
  <si>
    <t>VIS200337</t>
  </si>
  <si>
    <t>VIS201457</t>
  </si>
  <si>
    <t>VIS201319</t>
  </si>
  <si>
    <t>VIS202135</t>
  </si>
  <si>
    <t>VIS202738</t>
  </si>
  <si>
    <t>VIS202878</t>
  </si>
  <si>
    <t>VIS201456</t>
  </si>
  <si>
    <t>VIS202012</t>
  </si>
  <si>
    <t>VIS202779</t>
  </si>
  <si>
    <t>VIS200217</t>
  </si>
  <si>
    <t>VIS201898</t>
  </si>
  <si>
    <t>VIS201243</t>
  </si>
  <si>
    <t>VIS200362</t>
  </si>
  <si>
    <t>VIS201273</t>
  </si>
  <si>
    <t>VIS201960</t>
  </si>
  <si>
    <t>VIS202076</t>
  </si>
  <si>
    <t>VIS201785</t>
  </si>
  <si>
    <t>VIS202422</t>
  </si>
  <si>
    <t>VIS201879</t>
  </si>
  <si>
    <t>VIS200194</t>
  </si>
  <si>
    <t>VIS201587</t>
  </si>
  <si>
    <t>VIS200708</t>
  </si>
  <si>
    <t>VIS201059</t>
  </si>
  <si>
    <t>VIS201157</t>
  </si>
  <si>
    <t>VIS200910</t>
  </si>
  <si>
    <t>VIS201304</t>
  </si>
  <si>
    <t>VIS201150</t>
  </si>
  <si>
    <t>VIS202550</t>
  </si>
  <si>
    <t>VIS201573</t>
  </si>
  <si>
    <t>VIS201164</t>
  </si>
  <si>
    <t>VIS201297</t>
  </si>
  <si>
    <t>VIS200975</t>
  </si>
  <si>
    <t>VIS201934</t>
  </si>
  <si>
    <t>VIS200211</t>
  </si>
  <si>
    <t>VIS201842</t>
  </si>
  <si>
    <t>VIS202194</t>
  </si>
  <si>
    <t>VIS200560</t>
  </si>
  <si>
    <t>VIS202896</t>
  </si>
  <si>
    <t>VIS200649</t>
  </si>
  <si>
    <t>VIS201979</t>
  </si>
  <si>
    <t>VIS202890</t>
  </si>
  <si>
    <t>VIS201690</t>
  </si>
  <si>
    <t>VIS200868</t>
  </si>
  <si>
    <t>VIS202378</t>
  </si>
  <si>
    <t>VIS200628</t>
  </si>
  <si>
    <t>VIS201506</t>
  </si>
  <si>
    <t>VIS200503</t>
  </si>
  <si>
    <t>VIS202450</t>
  </si>
  <si>
    <t>VIS201769</t>
  </si>
  <si>
    <t>VIS201353</t>
  </si>
  <si>
    <t>VIS202662</t>
  </si>
  <si>
    <t>VIS201534</t>
  </si>
  <si>
    <t>VIS202607</t>
  </si>
  <si>
    <t>VIS200286</t>
  </si>
  <si>
    <t>VIS202341</t>
  </si>
  <si>
    <t>VIS202000</t>
  </si>
  <si>
    <t>VIS202564</t>
  </si>
  <si>
    <t>VIS201751</t>
  </si>
  <si>
    <t>VIS200811</t>
  </si>
  <si>
    <t>VIS202645</t>
  </si>
  <si>
    <t>VIS202778</t>
  </si>
  <si>
    <t>VIS202617</t>
  </si>
  <si>
    <t>VIS202503</t>
  </si>
  <si>
    <t>VIS202372</t>
  </si>
  <si>
    <t>VIS201799</t>
  </si>
  <si>
    <t>VIS200970</t>
  </si>
  <si>
    <t>VIS201021</t>
  </si>
  <si>
    <t>VIS200431</t>
  </si>
  <si>
    <t>VIS200825</t>
  </si>
  <si>
    <t>VIS202452</t>
  </si>
  <si>
    <t>VIS201494</t>
  </si>
  <si>
    <t>VIS200930</t>
  </si>
  <si>
    <t>VIS201269</t>
  </si>
  <si>
    <t>VIS201987</t>
  </si>
  <si>
    <t>VIS202900</t>
  </si>
  <si>
    <t>VIS202054</t>
  </si>
  <si>
    <t>VIS202429</t>
  </si>
  <si>
    <t>VIS200403</t>
  </si>
  <si>
    <t>VIS200733</t>
  </si>
  <si>
    <t>VIS201605</t>
  </si>
  <si>
    <t>VIS201385</t>
  </si>
  <si>
    <t>VIS201700</t>
  </si>
  <si>
    <t>VIS200145</t>
  </si>
  <si>
    <t>VIS202009</t>
  </si>
  <si>
    <t>VIS200897</t>
  </si>
  <si>
    <t>VIS201266</t>
  </si>
  <si>
    <t>VIS202693</t>
  </si>
  <si>
    <t>VIS200122</t>
  </si>
  <si>
    <t>VIS201881</t>
  </si>
  <si>
    <t>VIS202006</t>
  </si>
  <si>
    <t>VIS201945</t>
  </si>
  <si>
    <t>VIS201757</t>
  </si>
  <si>
    <t>VIS201146</t>
  </si>
  <si>
    <t>VIS200267</t>
  </si>
  <si>
    <t>VIS201241</t>
  </si>
  <si>
    <t>VIS202806</t>
  </si>
  <si>
    <t>VIS202296</t>
  </si>
  <si>
    <t>VIS202843</t>
  </si>
  <si>
    <t>VIS201124</t>
  </si>
  <si>
    <t>VIS200054</t>
  </si>
  <si>
    <t>VIS201155</t>
  </si>
  <si>
    <t>VIS200497</t>
  </si>
  <si>
    <t>VIS201593</t>
  </si>
  <si>
    <t>VIS201833</t>
  </si>
  <si>
    <t>VIS202818</t>
  </si>
  <si>
    <t>VIS201701</t>
  </si>
  <si>
    <t>VIS200834</t>
  </si>
  <si>
    <t>VIS202215</t>
  </si>
  <si>
    <t>VIS202888</t>
  </si>
  <si>
    <t>VIS202604</t>
  </si>
  <si>
    <t>VIS202977</t>
  </si>
  <si>
    <t>VIS202350</t>
  </si>
  <si>
    <t>VIS201613</t>
  </si>
  <si>
    <t>VIS202457</t>
  </si>
  <si>
    <t>VIS202837</t>
  </si>
  <si>
    <t>VIS200532</t>
  </si>
  <si>
    <t>VIS200878</t>
  </si>
  <si>
    <t>VIS202123</t>
  </si>
  <si>
    <t>VIS201546</t>
  </si>
  <si>
    <t>VIS201040</t>
  </si>
  <si>
    <t>VIS200463</t>
  </si>
  <si>
    <t>VIS202472</t>
  </si>
  <si>
    <t>VIS201531</t>
  </si>
  <si>
    <t>VIS202379</t>
  </si>
  <si>
    <t>VIS202264</t>
  </si>
  <si>
    <t>VIS202438</t>
  </si>
  <si>
    <t>VIS202470</t>
  </si>
  <si>
    <t>VIS201677</t>
  </si>
  <si>
    <t>VIS201538</t>
  </si>
  <si>
    <t>VIS202340</t>
  </si>
  <si>
    <t>VIS202616</t>
  </si>
  <si>
    <t>VIS200646</t>
  </si>
  <si>
    <t>VIS201281</t>
  </si>
  <si>
    <t>VIS200081</t>
  </si>
  <si>
    <t>VIS201156</t>
  </si>
  <si>
    <t>VIS200706</t>
  </si>
  <si>
    <t>VIS202207</t>
  </si>
  <si>
    <t>VIS201870</t>
  </si>
  <si>
    <t>VIS200426</t>
  </si>
  <si>
    <t>VIS200571</t>
  </si>
  <si>
    <t>VIS202774</t>
  </si>
  <si>
    <t>VIS201120</t>
  </si>
  <si>
    <t>VIS202475</t>
  </si>
  <si>
    <t>VIS202263</t>
  </si>
  <si>
    <t>VIS201942</t>
  </si>
  <si>
    <t>VIS201026</t>
  </si>
  <si>
    <t>VIS201484</t>
  </si>
  <si>
    <t>VIS201939</t>
  </si>
  <si>
    <t>VIS200353</t>
  </si>
  <si>
    <t>VIS201217</t>
  </si>
  <si>
    <t>VIS200887</t>
  </si>
  <si>
    <t>VIS202329</t>
  </si>
  <si>
    <t>VIS201822</t>
  </si>
  <si>
    <t>VIS202542</t>
  </si>
  <si>
    <t>VIS201022</t>
  </si>
  <si>
    <t>VIS200160</t>
  </si>
  <si>
    <t>VIS200782</t>
  </si>
  <si>
    <t>VIS202895</t>
  </si>
  <si>
    <t>VIS202271</t>
  </si>
  <si>
    <t>VIS201388</t>
  </si>
  <si>
    <t>VIS202309</t>
  </si>
  <si>
    <t>VIS202701</t>
  </si>
  <si>
    <t>VIS202160</t>
  </si>
  <si>
    <t>VIS201369</t>
  </si>
  <si>
    <t>VIS202772</t>
  </si>
  <si>
    <t>VIS202876</t>
  </si>
  <si>
    <t>VIS202567</t>
  </si>
  <si>
    <t>VIS202814</t>
  </si>
  <si>
    <t>VIS200256</t>
  </si>
  <si>
    <t>VIS202163</t>
  </si>
  <si>
    <t>VIS200696</t>
  </si>
  <si>
    <t>VIS202863</t>
  </si>
  <si>
    <t>VIS200132</t>
  </si>
  <si>
    <t>VIS200213</t>
  </si>
  <si>
    <t>VIS202492</t>
  </si>
  <si>
    <t>VIS201342</t>
  </si>
  <si>
    <t>VIS200059</t>
  </si>
  <si>
    <t>VIS202392</t>
  </si>
  <si>
    <t>VIS201197</t>
  </si>
  <si>
    <t>VIS200824</t>
  </si>
  <si>
    <t>VIS201499</t>
  </si>
  <si>
    <t>VIS200429</t>
  </si>
  <si>
    <t>VIS202473</t>
  </si>
  <si>
    <t>VIS200555</t>
  </si>
  <si>
    <t>VIS200626</t>
  </si>
  <si>
    <t>VIS200762</t>
  </si>
  <si>
    <t>VIS201148</t>
  </si>
  <si>
    <t>VIS200616</t>
  </si>
  <si>
    <t>VIS202118</t>
  </si>
  <si>
    <t>VIS201387</t>
  </si>
  <si>
    <t>VIS200794</t>
  </si>
  <si>
    <t>VIS201279</t>
  </si>
  <si>
    <t>VIS201584</t>
  </si>
  <si>
    <t>VIS200433</t>
  </si>
  <si>
    <t>VIS202248</t>
  </si>
  <si>
    <t>VIS200635</t>
  </si>
  <si>
    <t>VIS201766</t>
  </si>
  <si>
    <t>VIS202139</t>
  </si>
  <si>
    <t>VIS201714</t>
  </si>
  <si>
    <t>VIS200135</t>
  </si>
  <si>
    <t>VIS200088</t>
  </si>
  <si>
    <t>VIS200947</t>
  </si>
  <si>
    <t>VIS202254</t>
  </si>
  <si>
    <t>VIS201598</t>
  </si>
  <si>
    <t>VIS200587</t>
  </si>
  <si>
    <t>VIS200511</t>
  </si>
  <si>
    <t>VIS202058</t>
  </si>
  <si>
    <t>VIS201924</t>
  </si>
  <si>
    <t>VIS200768</t>
  </si>
  <si>
    <t>VIS202624</t>
  </si>
  <si>
    <t>VIS202849</t>
  </si>
  <si>
    <t>VIS201039</t>
  </si>
  <si>
    <t>VIS201424</t>
  </si>
  <si>
    <t>VIS202404</t>
  </si>
  <si>
    <t>VIS200199</t>
  </si>
  <si>
    <t>VIS201580</t>
  </si>
  <si>
    <t>VIS201635</t>
  </si>
  <si>
    <t>VIS202660</t>
  </si>
  <si>
    <t>VIS200660</t>
  </si>
  <si>
    <t>VIS200260</t>
  </si>
  <si>
    <t>VIS200625</t>
  </si>
  <si>
    <t>VIS201562</t>
  </si>
  <si>
    <t>VIS200847</t>
  </si>
  <si>
    <t>VIS200097</t>
  </si>
  <si>
    <t>VIS200176</t>
  </si>
  <si>
    <t>VIS200875</t>
  </si>
  <si>
    <t>VIS200666</t>
  </si>
  <si>
    <t>VIS200419</t>
  </si>
  <si>
    <t>VIS202580</t>
  </si>
  <si>
    <t>VIS202142</t>
  </si>
  <si>
    <t>VIS200858</t>
  </si>
  <si>
    <t>VIS202742</t>
  </si>
  <si>
    <t>VIS200113</t>
  </si>
  <si>
    <t>VIS201488</t>
  </si>
  <si>
    <t>VIS200051</t>
  </si>
  <si>
    <t>VIS202037</t>
  </si>
  <si>
    <t>VIS200850</t>
  </si>
  <si>
    <t>VIS200594</t>
  </si>
  <si>
    <t>VIS200025</t>
  </si>
  <si>
    <t>VIS201698</t>
  </si>
  <si>
    <t>VIS202102</t>
  </si>
  <si>
    <t>VIS200693</t>
  </si>
  <si>
    <t>VIS200187</t>
  </si>
  <si>
    <t>VIS202458</t>
  </si>
  <si>
    <t>VIS202332</t>
  </si>
  <si>
    <t>VIS201296</t>
  </si>
  <si>
    <t>VIS202272</t>
  </si>
  <si>
    <t>VIS200913</t>
  </si>
  <si>
    <t>VIS202279</t>
  </si>
  <si>
    <t>VIS201586</t>
  </si>
  <si>
    <t>VIS202741</t>
  </si>
  <si>
    <t>VIS201988</t>
  </si>
  <si>
    <t>VIS200950</t>
  </si>
  <si>
    <t>VIS201367</t>
  </si>
  <si>
    <t>VIS201069</t>
  </si>
  <si>
    <t>VIS201670</t>
  </si>
  <si>
    <t>VIS202474</t>
  </si>
  <si>
    <t>VIS200454</t>
  </si>
  <si>
    <t>VIS201128</t>
  </si>
  <si>
    <t>VIS200499</t>
  </si>
  <si>
    <t>VIS200922</t>
  </si>
  <si>
    <t>VIS201056</t>
  </si>
  <si>
    <t>VIS202590</t>
  </si>
  <si>
    <t>VIS201481</t>
  </si>
  <si>
    <t>VIS202812</t>
  </si>
  <si>
    <t>VIS202964</t>
  </si>
  <si>
    <t>VIS201699</t>
  </si>
  <si>
    <t>VIS200645</t>
  </si>
  <si>
    <t>VIS200089</t>
  </si>
  <si>
    <t>VIS202240</t>
  </si>
  <si>
    <t>VIS202425</t>
  </si>
  <si>
    <t>VIS202229</t>
  </si>
  <si>
    <t>VIS201396</t>
  </si>
  <si>
    <t>VIS200101</t>
  </si>
  <si>
    <t>VIS200568</t>
  </si>
  <si>
    <t>VIS202121</t>
  </si>
  <si>
    <t>VIS201733</t>
  </si>
  <si>
    <t>VIS201892</t>
  </si>
  <si>
    <t>VIS200551</t>
  </si>
  <si>
    <t>VIS200840</t>
  </si>
  <si>
    <t>VIS202349</t>
  </si>
  <si>
    <t>VIS201421</t>
  </si>
  <si>
    <t>VIS201467</t>
  </si>
  <si>
    <t>VIS200818</t>
  </si>
  <si>
    <t>VIS201696</t>
  </si>
  <si>
    <t>VIS201487</t>
  </si>
  <si>
    <t>VIS201574</t>
  </si>
  <si>
    <t>VIS201310</t>
  </si>
  <si>
    <t>VIS202926</t>
  </si>
  <si>
    <t>VIS202573</t>
  </si>
  <si>
    <t>VIS202432</t>
  </si>
  <si>
    <t>VIS202179</t>
  </si>
  <si>
    <t>VIS200529</t>
  </si>
  <si>
    <t>VIS202201</t>
  </si>
  <si>
    <t>VIS200869</t>
  </si>
  <si>
    <t>VIS201872</t>
  </si>
  <si>
    <t>VIS200665</t>
  </si>
  <si>
    <t>VIS202623</t>
  </si>
  <si>
    <t>VIS201509</t>
  </si>
  <si>
    <t>VIS202092</t>
  </si>
  <si>
    <t>VIS202497</t>
  </si>
  <si>
    <t>VIS200423</t>
  </si>
  <si>
    <t>VIS202743</t>
  </si>
  <si>
    <t>VIS201462</t>
  </si>
  <si>
    <t>VIS201173</t>
  </si>
  <si>
    <t>VIS200843</t>
  </si>
  <si>
    <t>VIS200609</t>
  </si>
  <si>
    <t>VIS200300</t>
  </si>
  <si>
    <t>VIS201703</t>
  </si>
  <si>
    <t>VIS200458</t>
  </si>
  <si>
    <t>VIS200517</t>
  </si>
  <si>
    <t>VIS202411</t>
  </si>
  <si>
    <t>VIS201957</t>
  </si>
  <si>
    <t>VIS202625</t>
  </si>
  <si>
    <t>VIS202702</t>
  </si>
  <si>
    <t>VIS200462</t>
  </si>
  <si>
    <t>VIS200319</t>
  </si>
  <si>
    <t>VIS202489</t>
  </si>
  <si>
    <t>VIS201794</t>
  </si>
  <si>
    <t>VIS201469</t>
  </si>
  <si>
    <t>VIS200535</t>
  </si>
  <si>
    <t>VIS200570</t>
  </si>
  <si>
    <t>VIS200371</t>
  </si>
  <si>
    <t>VIS200343</t>
  </si>
  <si>
    <t>VIS200510</t>
  </si>
  <si>
    <t>VIS201557</t>
  </si>
  <si>
    <t>VIS200200</t>
  </si>
  <si>
    <t>VIS200872</t>
  </si>
  <si>
    <t>VIS202819</t>
  </si>
  <si>
    <t>VIS201448</t>
  </si>
  <si>
    <t>VIS200166</t>
  </si>
  <si>
    <t>VIS202753</t>
  </si>
  <si>
    <t>VIS201307</t>
  </si>
  <si>
    <t>VIS201837</t>
  </si>
  <si>
    <t>VIS200349</t>
  </si>
  <si>
    <t>VIS202435</t>
  </si>
  <si>
    <t>VIS201331</t>
  </si>
  <si>
    <t>VIS200341</t>
  </si>
  <si>
    <t>VIS202101</t>
  </si>
  <si>
    <t>VIS200336</t>
  </si>
  <si>
    <t>VIS202689</t>
  </si>
  <si>
    <t>VIS201091</t>
  </si>
  <si>
    <t>VIS202481</t>
  </si>
  <si>
    <t>VIS202003</t>
  </si>
  <si>
    <t>VIS201030</t>
  </si>
  <si>
    <t>VIS201063</t>
  </si>
  <si>
    <t>VIS202287</t>
  </si>
  <si>
    <t>VIS201986</t>
  </si>
  <si>
    <t>VIS201867</t>
  </si>
  <si>
    <t>VIS200914</t>
  </si>
  <si>
    <t>VIS201985</t>
  </si>
  <si>
    <t>VIS200092</t>
  </si>
  <si>
    <t>VIS202108</t>
  </si>
  <si>
    <t>VIS200080</t>
  </si>
  <si>
    <t>VIS200632</t>
  </si>
  <si>
    <t>VIS202827</t>
  </si>
  <si>
    <t>VIS200767</t>
  </si>
  <si>
    <t>VIS202328</t>
  </si>
  <si>
    <t>VIS202941</t>
  </si>
  <si>
    <t>VIS202261</t>
  </si>
  <si>
    <t>VIS201973</t>
  </si>
  <si>
    <t>VIS201901</t>
  </si>
  <si>
    <t>VIS201893</t>
  </si>
  <si>
    <t>VIS201904</t>
  </si>
  <si>
    <t>VIS201732</t>
  </si>
  <si>
    <t>VIS202922</t>
  </si>
  <si>
    <t>VIS200045</t>
  </si>
  <si>
    <t>VIS201213</t>
  </si>
  <si>
    <t>VIS201374</t>
  </si>
  <si>
    <t>VIS200390</t>
  </si>
  <si>
    <t>VIS202103</t>
  </si>
  <si>
    <t>VIS200828</t>
  </si>
  <si>
    <t>VIS202081</t>
  </si>
  <si>
    <t>VIS201859</t>
  </si>
  <si>
    <t>VIS200892</t>
  </si>
  <si>
    <t>VIS202019</t>
  </si>
  <si>
    <t>VIS201207</t>
  </si>
  <si>
    <t>VIS202327</t>
  </si>
  <si>
    <t>VIS200749</t>
  </si>
  <si>
    <t>VIS200946</t>
  </si>
  <si>
    <t>VIS200572</t>
  </si>
  <si>
    <t>VIS201715</t>
  </si>
  <si>
    <t>VIS201993</t>
  </si>
  <si>
    <t>VIS200313</t>
  </si>
  <si>
    <t>VIS200564</t>
  </si>
  <si>
    <t>VIS202267</t>
  </si>
  <si>
    <t>VIS201176</t>
  </si>
  <si>
    <t>VIS201527</t>
  </si>
  <si>
    <t>VIS202514</t>
  </si>
  <si>
    <t>VIS200489</t>
  </si>
  <si>
    <t>VIS200972</t>
  </si>
  <si>
    <t>VIS201224</t>
  </si>
  <si>
    <t>VIS201162</t>
  </si>
  <si>
    <t>VIS200268</t>
  </si>
  <si>
    <t>VIS202419</t>
  </si>
  <si>
    <t>VIS200137</t>
  </si>
  <si>
    <t>VIS202821</t>
  </si>
  <si>
    <t>VIS200820</t>
  </si>
  <si>
    <t>VIS200953</t>
  </si>
  <si>
    <t>VIS201966</t>
  </si>
  <si>
    <t>VIS201545</t>
  </si>
  <si>
    <t>VIS201338</t>
  </si>
  <si>
    <t>VIS200147</t>
  </si>
  <si>
    <t>VIS200242</t>
  </si>
  <si>
    <t>VIS201655</t>
  </si>
  <si>
    <t>VIS200461</t>
  </si>
  <si>
    <t>VIS201262</t>
  </si>
  <si>
    <t>VIS200324</t>
  </si>
  <si>
    <t>VIS200772</t>
  </si>
  <si>
    <t>VIS202446</t>
  </si>
  <si>
    <t>VIS202132</t>
  </si>
  <si>
    <t>VIS202333</t>
  </si>
  <si>
    <t>VIS202923</t>
  </si>
  <si>
    <t>VIS200937</t>
  </si>
  <si>
    <t>VIS200065</t>
  </si>
  <si>
    <t>VIS200246</t>
  </si>
  <si>
    <t>VIS201426</t>
  </si>
  <si>
    <t>VIS200295</t>
  </si>
  <si>
    <t>VIS200854</t>
  </si>
  <si>
    <t>VIS202928</t>
  </si>
  <si>
    <t>VIS200637</t>
  </si>
  <si>
    <t>VIS202718</t>
  </si>
  <si>
    <t>VIS202845</t>
  </si>
  <si>
    <t>VIS200277</t>
  </si>
  <si>
    <t>VIS201300</t>
  </si>
  <si>
    <t>VIS200757</t>
  </si>
  <si>
    <t>VIS200965</t>
  </si>
  <si>
    <t>VIS200477</t>
  </si>
  <si>
    <t>VIS200126</t>
  </si>
  <si>
    <t>VIS202417</t>
  </si>
  <si>
    <t>VIS200459</t>
  </si>
  <si>
    <t>VIS202443</t>
  </si>
  <si>
    <t>VIS200798</t>
  </si>
  <si>
    <t>VIS201658</t>
  </si>
  <si>
    <t>VIS200304</t>
  </si>
  <si>
    <t>VIS202651</t>
  </si>
  <si>
    <t>VIS200224</t>
  </si>
  <si>
    <t>VIS201783</t>
  </si>
  <si>
    <t>VIS202538</t>
  </si>
  <si>
    <t>VIS200582</t>
  </si>
  <si>
    <t>VIS202001</t>
  </si>
  <si>
    <t>VIS202265</t>
  </si>
  <si>
    <t>VIS201857</t>
  </si>
  <si>
    <t>VIS200441</t>
  </si>
  <si>
    <t>VIS202903</t>
  </si>
  <si>
    <t>VIS200281</t>
  </si>
  <si>
    <t>VIS200265</t>
  </si>
  <si>
    <t>VIS201473</t>
  </si>
  <si>
    <t>VIS202539</t>
  </si>
  <si>
    <t>VIS202551</t>
  </si>
  <si>
    <t>VIS202519</t>
  </si>
  <si>
    <t>VIS202175</t>
  </si>
  <si>
    <t>VIS201080</t>
  </si>
  <si>
    <t>VIS200352</t>
  </si>
  <si>
    <t>VIS201995</t>
  </si>
  <si>
    <t>VIS200158</t>
  </si>
  <si>
    <t>VIS202880</t>
  </si>
  <si>
    <t>VIS200024</t>
  </si>
  <si>
    <t>VIS202126</t>
  </si>
  <si>
    <t>VIS201017</t>
  </si>
  <si>
    <t>VIS202638</t>
  </si>
  <si>
    <t>VIS201401</t>
  </si>
  <si>
    <t>VIS201052</t>
  </si>
  <si>
    <t>VIS200724</t>
  </si>
  <si>
    <t>VIS200860</t>
  </si>
  <si>
    <t>VIS201827</t>
  </si>
  <si>
    <t>VIS202642</t>
  </si>
  <si>
    <t>VIS202769</t>
  </si>
  <si>
    <t>VIS200677</t>
  </si>
  <si>
    <t>VIS200297</t>
  </si>
  <si>
    <t>VIS201897</t>
  </si>
  <si>
    <t>VIS202703</t>
  </si>
  <si>
    <t>VIS201990</t>
  </si>
  <si>
    <t>VIS201261</t>
  </si>
  <si>
    <t>VIS202454</t>
  </si>
  <si>
    <t>VIS201667</t>
  </si>
  <si>
    <t>VIS200118</t>
  </si>
  <si>
    <t>VIS202259</t>
  </si>
  <si>
    <t>VIS201585</t>
  </si>
  <si>
    <t>VIS202711</t>
  </si>
  <si>
    <t>VIS200252</t>
  </si>
  <si>
    <t>VIS201384</t>
  </si>
  <si>
    <t>VIS202911</t>
  </si>
  <si>
    <t>VIS200541</t>
  </si>
  <si>
    <t>VIS200797</t>
  </si>
  <si>
    <t>VIS201147</t>
  </si>
  <si>
    <t>VIS202223</t>
  </si>
  <si>
    <t>VIS200259</t>
  </si>
  <si>
    <t>VIS202649</t>
  </si>
  <si>
    <t>VIS200986</t>
  </si>
  <si>
    <t>VIS201105</t>
  </si>
  <si>
    <t>VIS202748</t>
  </si>
  <si>
    <t>VIS201352</t>
  </si>
  <si>
    <t>VIS200951</t>
  </si>
  <si>
    <t>VIS200924</t>
  </si>
  <si>
    <t>VIS200954</t>
  </si>
  <si>
    <t>VIS200990</t>
  </si>
  <si>
    <t>VIS202528</t>
  </si>
  <si>
    <t>VIS202166</t>
  </si>
  <si>
    <t>VIS202440</t>
  </si>
  <si>
    <t>VIS201333</t>
  </si>
  <si>
    <t>VIS201104</t>
  </si>
  <si>
    <t>VIS201691</t>
  </si>
  <si>
    <t>VIS200228</t>
  </si>
  <si>
    <t>VIS200380</t>
  </si>
  <si>
    <t>VIS202214</t>
  </si>
  <si>
    <t>VIS201918</t>
  </si>
  <si>
    <t>VIS202445</t>
  </si>
  <si>
    <t>VIS201876</t>
  </si>
  <si>
    <t>VIS201209</t>
  </si>
  <si>
    <t>VIS200093</t>
  </si>
  <si>
    <t>VIS200701</t>
  </si>
  <si>
    <t>VIS201914</t>
  </si>
  <si>
    <t>VIS201423</t>
  </si>
  <si>
    <t>VIS200071</t>
  </si>
  <si>
    <t>VIS200607</t>
  </si>
  <si>
    <t>VIS200753</t>
  </si>
  <si>
    <t>VIS202980</t>
  </si>
  <si>
    <t>VIS200322</t>
  </si>
  <si>
    <t>VIS201621</t>
  </si>
  <si>
    <t>VIS201669</t>
  </si>
  <si>
    <t>VIS201141</t>
  </si>
  <si>
    <t>VIS200895</t>
  </si>
  <si>
    <t>VIS200900</t>
  </si>
  <si>
    <t>VIS202030</t>
  </si>
  <si>
    <t>VIS202034</t>
  </si>
  <si>
    <t>VIS201074</t>
  </si>
  <si>
    <t>VIS202441</t>
  </si>
  <si>
    <t>VIS200981</t>
  </si>
  <si>
    <t>VIS202088</t>
  </si>
  <si>
    <t>VIS201057</t>
  </si>
  <si>
    <t>VIS202235</t>
  </si>
  <si>
    <t>VIS202842</t>
  </si>
  <si>
    <t>VIS200421</t>
  </si>
  <si>
    <t>VIS200536</t>
  </si>
  <si>
    <t>VIS201735</t>
  </si>
  <si>
    <t>VIS201729</t>
  </si>
  <si>
    <t>VIS201218</t>
  </si>
  <si>
    <t>VIS202615</t>
  </si>
  <si>
    <t>VIS201738</t>
  </si>
  <si>
    <t>VIS201671</t>
  </si>
  <si>
    <t>VIS200142</t>
  </si>
  <si>
    <t>VIS202032</t>
  </si>
  <si>
    <t>VIS201536</t>
  </si>
  <si>
    <t>VIS200689</t>
  </si>
  <si>
    <t>VIS201038</t>
  </si>
  <si>
    <t>VIS200363</t>
  </si>
  <si>
    <t>VIS200469</t>
  </si>
  <si>
    <t>VIS202558</t>
  </si>
  <si>
    <t>VIS202148</t>
  </si>
  <si>
    <t>VIS202655</t>
  </si>
  <si>
    <t>VIS202708</t>
  </si>
  <si>
    <t>VIS200672</t>
  </si>
  <si>
    <t>VIS202791</t>
  </si>
  <si>
    <t>VIS202398</t>
  </si>
  <si>
    <t>VIS202437</t>
  </si>
  <si>
    <t>VIS202879</t>
  </si>
  <si>
    <t>VIS201643</t>
  </si>
  <si>
    <t>VIS201461</t>
  </si>
  <si>
    <t>VIS201884</t>
  </si>
  <si>
    <t>VIS200190</t>
  </si>
  <si>
    <t>VIS200159</t>
  </si>
  <si>
    <t>VIS202816</t>
  </si>
  <si>
    <t>VIS202164</t>
  </si>
  <si>
    <t>VIS200758</t>
  </si>
  <si>
    <t>VIS201142</t>
  </si>
  <si>
    <t>VIS200957</t>
  </si>
  <si>
    <t>VIS201081</t>
  </si>
  <si>
    <t>VIS200984</t>
  </si>
  <si>
    <t>VIS202899</t>
  </si>
  <si>
    <t>VIS202167</t>
  </si>
  <si>
    <t>VIS200049</t>
  </si>
  <si>
    <t>VIS200813</t>
  </si>
  <si>
    <t>VIS201284</t>
  </si>
  <si>
    <t>VIS201922</t>
  </si>
  <si>
    <t>VIS201657</t>
  </si>
  <si>
    <t>VIS201519</t>
  </si>
  <si>
    <t>VIS202887</t>
  </si>
  <si>
    <t>VIS202799</t>
  </si>
  <si>
    <t>VIS200877</t>
  </si>
  <si>
    <t>VIS200457</t>
  </si>
  <si>
    <t>VIS202239</t>
  </si>
  <si>
    <t>VIS200585</t>
  </si>
  <si>
    <t>VIS202585</t>
  </si>
  <si>
    <t>VIS202373</t>
  </si>
  <si>
    <t>VIS202530</t>
  </si>
  <si>
    <t>VIS202069</t>
  </si>
  <si>
    <t>VIS201408</t>
  </si>
  <si>
    <t>VIS200614</t>
  </si>
  <si>
    <t>VIS202801</t>
  </si>
  <si>
    <t>VIS200223</t>
  </si>
  <si>
    <t>VIS201309</t>
  </si>
  <si>
    <t>VIS200476</t>
  </si>
  <si>
    <t>VIS200374</t>
  </si>
  <si>
    <t>VIS201888</t>
  </si>
  <si>
    <t>VIS202176</t>
  </si>
  <si>
    <t>VIS201345</t>
  </si>
  <si>
    <t>VIS200929</t>
  </si>
  <si>
    <t>VIS201407</t>
  </si>
  <si>
    <t>VIS200997</t>
  </si>
  <si>
    <t>VIS202128</t>
  </si>
  <si>
    <t>VIS202934</t>
  </si>
  <si>
    <t>VIS202906</t>
  </si>
  <si>
    <t>VIS202568</t>
  </si>
  <si>
    <t>VIS202811</t>
  </si>
  <si>
    <t>VIS202269</t>
  </si>
  <si>
    <t>VIS202449</t>
  </si>
  <si>
    <t>VIS202513</t>
  </si>
  <si>
    <t>VIS200027</t>
  </si>
  <si>
    <t>VIS201644</t>
  </si>
  <si>
    <t>VIS201092</t>
  </si>
  <si>
    <t>VIS200233</t>
  </si>
  <si>
    <t>VIS201807</t>
  </si>
  <si>
    <t>VIS201541</t>
  </si>
  <si>
    <t>VIS202073</t>
  </si>
  <si>
    <t>VIS202391</t>
  </si>
  <si>
    <t>VIS202875</t>
  </si>
  <si>
    <t>VIS200774</t>
  </si>
  <si>
    <t>VIS201582</t>
  </si>
  <si>
    <t>VIS200464</t>
  </si>
  <si>
    <t>VIS202335</t>
  </si>
  <si>
    <t>VIS200079</t>
  </si>
  <si>
    <t>VIS201642</t>
  </si>
  <si>
    <t>VIS201111</t>
  </si>
  <si>
    <t>VIS201853</t>
  </si>
  <si>
    <t>VIS200415</t>
  </si>
  <si>
    <t>VIS202493</t>
  </si>
  <si>
    <t>VIS200606</t>
  </si>
  <si>
    <t>VIS202501</t>
  </si>
  <si>
    <t>VIS201607</t>
  </si>
  <si>
    <t>VIS200723</t>
  </si>
  <si>
    <t>VIS202698</t>
  </si>
  <si>
    <t>VIS200100</t>
  </si>
  <si>
    <t>VIS202232</t>
  </si>
  <si>
    <t>VIS202565</t>
  </si>
  <si>
    <t>VIS201902</t>
  </si>
  <si>
    <t>VIS201802</t>
  </si>
  <si>
    <t>VIS201764</t>
  </si>
  <si>
    <t>VIS201263</t>
  </si>
  <si>
    <t>VIS201161</t>
  </si>
  <si>
    <t>VIS200492</t>
  </si>
  <si>
    <t>VIS200744</t>
  </si>
  <si>
    <t>VIS200636</t>
  </si>
  <si>
    <t>VIS201477</t>
  </si>
  <si>
    <t>VIS200785</t>
  </si>
  <si>
    <t>VIS202955</t>
  </si>
  <si>
    <t>VIS200460</t>
  </si>
  <si>
    <t>VIS202593</t>
  </si>
  <si>
    <t>VIS202598</t>
  </si>
  <si>
    <t>VIS200542</t>
  </si>
  <si>
    <t>VIS200812</t>
  </si>
  <si>
    <t>VIS200506</t>
  </si>
  <si>
    <t>VIS200898</t>
  </si>
  <si>
    <t>VIS200332</t>
  </si>
  <si>
    <t>VIS200283</t>
  </si>
  <si>
    <t>VIS201596</t>
  </si>
  <si>
    <t>VIS202304</t>
  </si>
  <si>
    <t>VIS202410</t>
  </si>
  <si>
    <t>VIS202141</t>
  </si>
  <si>
    <t>VIS200186</t>
  </si>
  <si>
    <t>VIS200453</t>
  </si>
  <si>
    <t>VIS202755</t>
  </si>
  <si>
    <t>VIS200945</t>
  </si>
  <si>
    <t>VIS200498</t>
  </si>
  <si>
    <t>VIS201832</t>
  </si>
  <si>
    <t>VIS201548</t>
  </si>
  <si>
    <t>VIS201413</t>
  </si>
  <si>
    <t>VIS201594</t>
  </si>
  <si>
    <t>VIS201347</t>
  </si>
  <si>
    <t>VIS201181</t>
  </si>
  <si>
    <t>VIS201661</t>
  </si>
  <si>
    <t>VIS202883</t>
  </si>
  <si>
    <t>VIS202770</t>
  </si>
  <si>
    <t>VIS202062</t>
  </si>
  <si>
    <t>VIS202236</t>
  </si>
  <si>
    <t>VIS200063</t>
  </si>
  <si>
    <t>VIS202311</t>
  </si>
  <si>
    <t>VIS202099</t>
  </si>
  <si>
    <t>VIS200552</t>
  </si>
  <si>
    <t>VIS201615</t>
  </si>
  <si>
    <t>VIS201108</t>
  </si>
  <si>
    <t>VIS201528</t>
  </si>
  <si>
    <t>VIS200669</t>
  </si>
  <si>
    <t>VIS201377</t>
  </si>
  <si>
    <t>VIS202506</t>
  </si>
  <si>
    <t>VIS200311</t>
  </si>
  <si>
    <t>VIS201948</t>
  </si>
  <si>
    <t>VIS201177</t>
  </si>
  <si>
    <t>VIS200784</t>
  </si>
  <si>
    <t>VIS202960</t>
  </si>
  <si>
    <t>VIS201206</t>
  </si>
  <si>
    <t>VIS202983</t>
  </si>
  <si>
    <t>VIS202723</t>
  </si>
  <si>
    <t>VIS200119</t>
  </si>
  <si>
    <t>VIS202578</t>
  </si>
  <si>
    <t>VIS200351</t>
  </si>
  <si>
    <t>VIS202090</t>
  </si>
  <si>
    <t>VIS200405</t>
  </si>
  <si>
    <t>VIS202137</t>
  </si>
  <si>
    <t>VIS200052</t>
  </si>
  <si>
    <t>VIS200381</t>
  </si>
  <si>
    <t>VIS202252</t>
  </si>
  <si>
    <t>VIS201717</t>
  </si>
  <si>
    <t>VIS201025</t>
  </si>
  <si>
    <t>VIS200538</t>
  </si>
  <si>
    <t>VIS202364</t>
  </si>
  <si>
    <t>VIS200663</t>
  </si>
  <si>
    <t>VIS200512</t>
  </si>
  <si>
    <t>VIS201549</t>
  </si>
  <si>
    <t>VIS202385</t>
  </si>
  <si>
    <t>VIS201215</t>
  </si>
  <si>
    <t>VIS202068</t>
  </si>
  <si>
    <t>VIS201581</t>
  </si>
  <si>
    <t>VIS200796</t>
  </si>
  <si>
    <t>VIS201622</t>
  </si>
  <si>
    <t>VIS202151</t>
  </si>
  <si>
    <t>VIS202048</t>
  </si>
  <si>
    <t>VIS202182</t>
  </si>
  <si>
    <t>VIS201418</t>
  </si>
  <si>
    <t>VIS201466</t>
  </si>
  <si>
    <t>VIS202018</t>
  </si>
  <si>
    <t>VIS202357</t>
  </si>
  <si>
    <t>VIS202529</t>
  </si>
  <si>
    <t>VIS200369</t>
  </si>
  <si>
    <t>VIS202690</t>
  </si>
  <si>
    <t>VIS201896</t>
  </si>
  <si>
    <t>VIS201112</t>
  </si>
  <si>
    <t>VIS202013</t>
  </si>
  <si>
    <t>VIS201801</t>
  </si>
  <si>
    <t>VIS201616</t>
  </si>
  <si>
    <t>VIS201533</t>
  </si>
  <si>
    <t>VIS202549</t>
  </si>
  <si>
    <t>VIS201740</t>
  </si>
  <si>
    <t>VIS200717</t>
  </si>
  <si>
    <t>VIS202479</t>
  </si>
  <si>
    <t>VIS202120</t>
  </si>
  <si>
    <t>VIS202523</t>
  </si>
  <si>
    <t>VIS202361</t>
  </si>
  <si>
    <t>VIS200671</t>
  </si>
  <si>
    <t>VIS202342</t>
  </si>
  <si>
    <t>VIS200641</t>
  </si>
  <si>
    <t>VIS200128</t>
  </si>
  <si>
    <t>VIS200861</t>
  </si>
  <si>
    <t>VIS200046</t>
  </si>
  <si>
    <t>VIS201790</t>
  </si>
  <si>
    <t>VIS200531</t>
  </si>
  <si>
    <t>VIS201255</t>
  </si>
  <si>
    <t>VIS200533</t>
  </si>
  <si>
    <t>VIS201992</t>
  </si>
  <si>
    <t>VIS201268</t>
  </si>
  <si>
    <t>VIS202798</t>
  </si>
  <si>
    <t>VIS201397</t>
  </si>
  <si>
    <t>VIS202297</t>
  </si>
  <si>
    <t>VIS200449</t>
  </si>
  <si>
    <t>VIS200816</t>
  </si>
  <si>
    <t>VIS202502</t>
  </si>
  <si>
    <t>VIS200091</t>
  </si>
  <si>
    <t>VIS202183</t>
  </si>
  <si>
    <t>VIS200657</t>
  </si>
  <si>
    <t>VIS202281</t>
  </si>
  <si>
    <t>VIS202210</t>
  </si>
  <si>
    <t>VIS200605</t>
  </si>
  <si>
    <t>VIS201193</t>
  </si>
  <si>
    <t>VIS202833</t>
  </si>
  <si>
    <t>VIS200370</t>
  </si>
  <si>
    <t>VIS202320</t>
  </si>
  <si>
    <t>VIS202233</t>
  </si>
  <si>
    <t>VIS200214</t>
  </si>
  <si>
    <t>VIS201815</t>
  </si>
  <si>
    <t>VIS202110</t>
  </si>
  <si>
    <t>VIS200090</t>
  </si>
  <si>
    <t>VIS202500</t>
  </si>
  <si>
    <t>VIS201674</t>
  </si>
  <si>
    <t>VIS202353</t>
  </si>
  <si>
    <t>VIS200852</t>
  </si>
  <si>
    <t>VIS201274</t>
  </si>
  <si>
    <t>VIS202913</t>
  </si>
  <si>
    <t>VIS202056</t>
  </si>
  <si>
    <t>VIS200330</t>
  </si>
  <si>
    <t>VIS201844</t>
  </si>
  <si>
    <t>VIS202226</t>
  </si>
  <si>
    <t>VIS201171</t>
  </si>
  <si>
    <t>VIS200309</t>
  </si>
  <si>
    <t>VIS201068</t>
  </si>
  <si>
    <t>VIS200060</t>
  </si>
  <si>
    <t>VIS202376</t>
  </si>
  <si>
    <t>VIS201885</t>
  </si>
  <si>
    <t>VIS201968</t>
  </si>
  <si>
    <t>VIS201259</t>
  </si>
  <si>
    <t>VIS200188</t>
  </si>
  <si>
    <t>VIS200347</t>
  </si>
  <si>
    <t>VIS200057</t>
  </si>
  <si>
    <t>VIS202277</t>
  </si>
  <si>
    <t>VIS201668</t>
  </si>
  <si>
    <t>VIS201525</t>
  </si>
  <si>
    <t>VIS201905</t>
  </si>
  <si>
    <t>VIS200615</t>
  </si>
  <si>
    <t>VIS202697</t>
  </si>
  <si>
    <t>VIS200331</t>
  </si>
  <si>
    <t>VIS200804</t>
  </si>
  <si>
    <t>VIS200335</t>
  </si>
  <si>
    <t>VIS200196</t>
  </si>
  <si>
    <t>VIS202675</t>
  </si>
  <si>
    <t>VIS200123</t>
  </si>
  <si>
    <t>VIS202415</t>
  </si>
  <si>
    <t>VIS202162</t>
  </si>
  <si>
    <t>VIS200743</t>
  </si>
  <si>
    <t>VIS202776</t>
  </si>
  <si>
    <t>VIS200620</t>
  </si>
  <si>
    <t>VIS201265</t>
  </si>
  <si>
    <t>VIS200751</t>
  </si>
  <si>
    <t>VIS202427</t>
  </si>
  <si>
    <t>VIS201916</t>
  </si>
  <si>
    <t>VIS202825</t>
  </si>
  <si>
    <t>VIS202685</t>
  </si>
  <si>
    <t>VIS201608</t>
  </si>
  <si>
    <t>VIS200447</t>
  </si>
  <si>
    <t>VIS202950</t>
  </si>
  <si>
    <t>VIS200010</t>
  </si>
  <si>
    <t>VIS200013</t>
  </si>
  <si>
    <t>VIS202752</t>
  </si>
  <si>
    <t>VIS201576</t>
  </si>
  <si>
    <t>VIS202727</t>
  </si>
  <si>
    <t>VIS200170</t>
  </si>
  <si>
    <t>VIS200908</t>
  </si>
  <si>
    <t>VIS201800</t>
  </si>
  <si>
    <t>VIS200274</t>
  </si>
  <si>
    <t>VIS200948</t>
  </si>
  <si>
    <t>VIS201689</t>
  </si>
  <si>
    <t>VIS200667</t>
  </si>
  <si>
    <t>VIS200766</t>
  </si>
  <si>
    <t>VIS201129</t>
  </si>
  <si>
    <t>VIS201903</t>
  </si>
  <si>
    <t>VIS201514</t>
  </si>
  <si>
    <t>VIS200279</t>
  </si>
  <si>
    <t>VIS201235</t>
  </si>
  <si>
    <t>VIS201497</t>
  </si>
  <si>
    <t>VIS200597</t>
  </si>
  <si>
    <t>VIS200399</t>
  </si>
  <si>
    <t>VIS201753</t>
  </si>
  <si>
    <t>VIS201034</t>
  </si>
  <si>
    <t>VIS201194</t>
  </si>
  <si>
    <t>VIS201991</t>
  </si>
  <si>
    <t>VIS202788</t>
  </si>
  <si>
    <t>VIS201767</t>
  </si>
  <si>
    <t>VIS200604</t>
  </si>
  <si>
    <t>VIS200942</t>
  </si>
  <si>
    <t>VIS202116</t>
  </si>
  <si>
    <t>VIS200599</t>
  </si>
  <si>
    <t>VIS202222</t>
  </si>
  <si>
    <t>VIS201951</t>
  </si>
  <si>
    <t>VIS202635</t>
  </si>
  <si>
    <t>VIS201795</t>
  </si>
  <si>
    <t>VIS200038</t>
  </si>
  <si>
    <t>VIS202696</t>
  </si>
  <si>
    <t>VIS202033</t>
  </si>
  <si>
    <t>VIS200198</t>
  </si>
  <si>
    <t>VIS202082</t>
  </si>
  <si>
    <t>VIS202053</t>
  </si>
  <si>
    <t>VIS201744</t>
  </si>
  <si>
    <t>VIS202684</t>
  </si>
  <si>
    <t>VIS202319</t>
  </si>
  <si>
    <t>VIS201340</t>
  </si>
  <si>
    <t>VIS201144</t>
  </si>
  <si>
    <t>VIS200787</t>
  </si>
  <si>
    <t>VIS202794</t>
  </si>
  <si>
    <t>VIS200432</t>
  </si>
  <si>
    <t>VIS201223</t>
  </si>
  <si>
    <t>VIS200902</t>
  </si>
  <si>
    <t>VIS201420</t>
  </si>
  <si>
    <t>VIS201624</t>
  </si>
  <si>
    <t>VIS201264</t>
  </si>
  <si>
    <t>VIS202953</t>
  </si>
  <si>
    <t>VIS201728</t>
  </si>
  <si>
    <t>VIS201323</t>
  </si>
  <si>
    <t>VIS202491</t>
  </si>
  <si>
    <t>VIS201955</t>
  </si>
  <si>
    <t>VIS200836</t>
  </si>
  <si>
    <t>VIS201891</t>
  </si>
  <si>
    <t>VIS201078</t>
  </si>
  <si>
    <t>VIS201458</t>
  </si>
  <si>
    <t>VIS201062</t>
  </si>
  <si>
    <t>VIS200475</t>
  </si>
  <si>
    <t>VIS201292</t>
  </si>
  <si>
    <t>VIS200662</t>
  </si>
  <si>
    <t>VIS200219</t>
  </si>
  <si>
    <t>VIS200191</t>
  </si>
  <si>
    <t>VIS200344</t>
  </si>
  <si>
    <t>VIS202938</t>
  </si>
  <si>
    <t>VIS200779</t>
  </si>
  <si>
    <t>VIS200237</t>
  </si>
  <si>
    <t>VIS202602</t>
  </si>
  <si>
    <t>VIS200181</t>
  </si>
  <si>
    <t>VIS200410</t>
  </si>
  <si>
    <t>VIS200833</t>
  </si>
  <si>
    <t>VIS202064</t>
  </si>
  <si>
    <t>VIS202920</t>
  </si>
  <si>
    <t>VIS201275</t>
  </si>
  <si>
    <t>VIS202431</t>
  </si>
  <si>
    <t>VIS200129</t>
  </si>
  <si>
    <t>VIS202507</t>
  </si>
  <si>
    <t>VIS201566</t>
  </si>
  <si>
    <t>VIS200544</t>
  </si>
  <si>
    <t>VIS201563</t>
  </si>
  <si>
    <t>VIS201782</t>
  </si>
  <si>
    <t>VIS202352</t>
  </si>
  <si>
    <t>VIS201999</t>
  </si>
  <si>
    <t>VIS201189</t>
  </si>
  <si>
    <t>VIS202011</t>
  </si>
  <si>
    <t>VIS202344</t>
  </si>
  <si>
    <t>VIS202653</t>
  </si>
  <si>
    <t>VIS202178</t>
  </si>
  <si>
    <t>VIS200050</t>
  </si>
  <si>
    <t>VIS202804</t>
  </si>
  <si>
    <t>VIS202368</t>
  </si>
  <si>
    <t>VIS201816</t>
  </si>
  <si>
    <t>VIS202323</t>
  </si>
  <si>
    <t>VIS200562</t>
  </si>
  <si>
    <t>VIS201739</t>
  </si>
  <si>
    <t>VIS202658</t>
  </si>
  <si>
    <t>VIS201601</t>
  </si>
  <si>
    <t>VIS202942</t>
  </si>
  <si>
    <t>VIS202389</t>
  </si>
  <si>
    <t>VIS202065</t>
  </si>
  <si>
    <t>VIS202077</t>
  </si>
  <si>
    <t>VIS202299</t>
  </si>
  <si>
    <t>VIS202915</t>
  </si>
  <si>
    <t>VIS202402</t>
  </si>
  <si>
    <t>VIS200792</t>
  </si>
  <si>
    <t>VIS202396</t>
  </si>
  <si>
    <t>VIS201759</t>
  </si>
  <si>
    <t>VIS200111</t>
  </si>
  <si>
    <t>VIS201400</t>
  </si>
  <si>
    <t>VIS200967</t>
  </si>
  <si>
    <t>VIS202898</t>
  </si>
  <si>
    <t>VIS202521</t>
  </si>
  <si>
    <t>VIS201444</t>
  </si>
  <si>
    <t>VIS200789</t>
  </si>
  <si>
    <t>VIS202211</t>
  </si>
  <si>
    <t>VIS201808</t>
  </si>
  <si>
    <t>VIS200655</t>
  </si>
  <si>
    <t>VIS200776</t>
  </si>
  <si>
    <t>VIS201285</t>
  </si>
  <si>
    <t>VIS202283</t>
  </si>
  <si>
    <t>VIS202047</t>
  </si>
  <si>
    <t>VIS201163</t>
  </si>
  <si>
    <t>VIS202989</t>
  </si>
  <si>
    <t>VIS202705</t>
  </si>
  <si>
    <t>VIS200524</t>
  </si>
  <si>
    <t>VIS200215</t>
  </si>
  <si>
    <t>VIS200658</t>
  </si>
  <si>
    <t>VIS201568</t>
  </si>
  <si>
    <t>VIS202974</t>
  </si>
  <si>
    <t>VIS202394</t>
  </si>
  <si>
    <t>VIS202962</t>
  </si>
  <si>
    <t>VIS200086</t>
  </si>
  <si>
    <t>VIS201709</t>
  </si>
  <si>
    <t>VIS202601</t>
  </si>
  <si>
    <t>VIS202918</t>
  </si>
  <si>
    <t>VIS201468</t>
  </si>
  <si>
    <t>VIS201195</t>
  </si>
  <si>
    <t>VIS201952</t>
  </si>
  <si>
    <t>VIS201638</t>
  </si>
  <si>
    <t>VIS202874</t>
  </si>
  <si>
    <t>VIS200030</t>
  </si>
  <si>
    <t>VIS200040</t>
  </si>
  <si>
    <t>VIS201907</t>
  </si>
  <si>
    <t>VIS201962</t>
  </si>
  <si>
    <t>VIS200699</t>
  </si>
  <si>
    <t>VIS201745</t>
  </si>
  <si>
    <t>VIS202307</t>
  </si>
  <si>
    <t>VIS201518</t>
  </si>
  <si>
    <t>VIS202428</t>
  </si>
  <si>
    <t>VIS200736</t>
  </si>
  <si>
    <t>VIS201665</t>
  </si>
  <si>
    <t>VIS200992</t>
  </si>
  <si>
    <t>VIS202734</t>
  </si>
  <si>
    <t>VIS202795</t>
  </si>
  <si>
    <t>VIS201540</t>
  </si>
  <si>
    <t>VIS200414</t>
  </si>
  <si>
    <t>VIS200979</t>
  </si>
  <si>
    <t>VIS201167</t>
  </si>
  <si>
    <t>VIS201554</t>
  </si>
  <si>
    <t>VIS200017</t>
  </si>
  <si>
    <t>VIS200653</t>
  </si>
  <si>
    <t>VIS202765</t>
  </si>
  <si>
    <t>VIS200973</t>
  </si>
  <si>
    <t>VIS201796</t>
  </si>
  <si>
    <t>VIS202546</t>
  </si>
  <si>
    <t>VIS200808</t>
  </si>
  <si>
    <t>VIS200590</t>
  </si>
  <si>
    <t>VIS200574</t>
  </si>
  <si>
    <t>VIS201394</t>
  </si>
  <si>
    <t>VIS200083</t>
  </si>
  <si>
    <t>VIS200227</t>
  </si>
  <si>
    <t>VIS202348</t>
  </si>
  <si>
    <t>VIS201382</t>
  </si>
  <si>
    <t>VIS201707</t>
  </si>
  <si>
    <t>VIS200642</t>
  </si>
  <si>
    <t>VIS201737</t>
  </si>
  <si>
    <t>VIS200791</t>
  </si>
  <si>
    <t>VIS201919</t>
  </si>
  <si>
    <t>VIS202961</t>
  </si>
  <si>
    <t>VIS202324</t>
  </si>
  <si>
    <t>VIS201186</t>
  </si>
  <si>
    <t>VIS202111</t>
  </si>
  <si>
    <t>VIS202495</t>
  </si>
  <si>
    <t>VIS202979</t>
  </si>
  <si>
    <t>VIS202029</t>
  </si>
  <si>
    <t>VIS201130</t>
  </si>
  <si>
    <t>VIS202931</t>
  </si>
  <si>
    <t>VIS202543</t>
  </si>
  <si>
    <t>VIS202581</t>
  </si>
  <si>
    <t>VIS201198</t>
  </si>
  <si>
    <t>VIS201486</t>
  </si>
  <si>
    <t>VIS201201</t>
  </si>
  <si>
    <t>VIS201365</t>
  </si>
  <si>
    <t>VIS200884</t>
  </si>
  <si>
    <t>VIS201920</t>
  </si>
  <si>
    <t>VIS201711</t>
  </si>
  <si>
    <t>VIS201010</t>
  </si>
  <si>
    <t>VIS200720</t>
  </si>
  <si>
    <t>VIS202596</t>
  </si>
  <si>
    <t>VIS202286</t>
  </si>
  <si>
    <t>VIS201035</t>
  </si>
  <si>
    <t>VIS202643</t>
  </si>
  <si>
    <t>VIS201678</t>
  </si>
  <si>
    <t>VIS202886</t>
  </si>
  <si>
    <t>VIS202059</t>
  </si>
  <si>
    <t>VIS200409</t>
  </si>
  <si>
    <t>VIS201659</t>
  </si>
  <si>
    <t>VIS200451</t>
  </si>
  <si>
    <t>VIS202927</t>
  </si>
  <si>
    <t>VIS201115</t>
  </si>
  <si>
    <t>VIS200284</t>
  </si>
  <si>
    <t>VIS200886</t>
  </si>
  <si>
    <t>VIS201762</t>
  </si>
  <si>
    <t>VIS202548</t>
  </si>
  <si>
    <t>VIS200611</t>
  </si>
  <si>
    <t>VIS201383</t>
  </si>
  <si>
    <t>VIS201779</t>
  </si>
  <si>
    <t>VIS202985</t>
  </si>
  <si>
    <t>VIS201633</t>
  </si>
  <si>
    <t>VIS202547</t>
  </si>
  <si>
    <t>VIS201360</t>
  </si>
  <si>
    <t>VIS200183</t>
  </si>
  <si>
    <t>VIS200980</t>
  </si>
  <si>
    <t>VIS201634</t>
  </si>
  <si>
    <t>VIS200117</t>
  </si>
  <si>
    <t>VIS202464</t>
  </si>
  <si>
    <t>VIS201847</t>
  </si>
  <si>
    <t>VIS201472</t>
  </si>
  <si>
    <t>VIS201093</t>
  </si>
  <si>
    <t>VIS200384</t>
  </si>
  <si>
    <t>VIS201625</t>
  </si>
  <si>
    <t>VIS202052</t>
  </si>
  <si>
    <t>VIS201906</t>
  </si>
  <si>
    <t>VIS200553</t>
  </si>
  <si>
    <t>VIS200958</t>
  </si>
  <si>
    <t>VIS200087</t>
  </si>
  <si>
    <t>VIS202371</t>
  </si>
  <si>
    <t>VIS200631</t>
  </si>
  <si>
    <t>VIS200702</t>
  </si>
  <si>
    <t>VIS200425</t>
  </si>
  <si>
    <t>VIS202331</t>
  </si>
  <si>
    <t>VIS201094</t>
  </si>
  <si>
    <t>VIS200741</t>
  </si>
  <si>
    <t>VIS200037</t>
  </si>
  <si>
    <t>VIS201023</t>
  </si>
  <si>
    <t>VIS200576</t>
  </si>
  <si>
    <t>VIS202606</t>
  </si>
  <si>
    <t>VIS202091</t>
  </si>
  <si>
    <t>VIS202465</t>
  </si>
  <si>
    <t>VIS201188</t>
  </si>
  <si>
    <t>VIS202869</t>
  </si>
  <si>
    <t>VIS201899</t>
  </si>
  <si>
    <t>VIS202198</t>
  </si>
  <si>
    <t>VIS202830</t>
  </si>
  <si>
    <t>VIS200450</t>
  </si>
  <si>
    <t>VIS201983</t>
  </si>
  <si>
    <t>VIS202358</t>
  </si>
  <si>
    <t>VIS202841</t>
  </si>
  <si>
    <t>VIS201249</t>
  </si>
  <si>
    <t>VIS202582</t>
  </si>
  <si>
    <t>VIS201784</t>
  </si>
  <si>
    <t>VIS202656</t>
  </si>
  <si>
    <t>VIS200809</t>
  </si>
  <si>
    <t>VIS202586</t>
  </si>
  <si>
    <t>VIS201736</t>
  </si>
  <si>
    <t>VIS200740</t>
  </si>
  <si>
    <t>VIS201403</t>
  </si>
  <si>
    <t>VIS200755</t>
  </si>
  <si>
    <t>VIS200888</t>
  </si>
  <si>
    <t>VIS202907</t>
  </si>
  <si>
    <t>VIS202639</t>
  </si>
  <si>
    <t>VIS200700</t>
  </si>
  <si>
    <t>VIS201219</t>
  </si>
  <si>
    <t>VIS201713</t>
  </si>
  <si>
    <t>VIS201234</t>
  </si>
  <si>
    <t>VIS201033</t>
  </si>
  <si>
    <t>VIS200940</t>
  </si>
  <si>
    <t>VIS201846</t>
  </si>
  <si>
    <t>VIS202756</t>
  </si>
  <si>
    <t>VIS201449</t>
  </si>
  <si>
    <t>VIS202946</t>
  </si>
  <si>
    <t>VIS201343</t>
  </si>
  <si>
    <t>VIS201804</t>
  </si>
  <si>
    <t>VIS202105</t>
  </si>
  <si>
    <t>VIS200472</t>
  </si>
  <si>
    <t>VIS202434</t>
  </si>
  <si>
    <t>VIS201237</t>
  </si>
  <si>
    <t>VIS202383</t>
  </si>
  <si>
    <t>VIS201447</t>
  </si>
  <si>
    <t>VIS201425</t>
  </si>
  <si>
    <t>VIS200994</t>
  </si>
  <si>
    <t>VIS201570</t>
  </si>
  <si>
    <t>VIS202355</t>
  </si>
  <si>
    <t>VIS202771</t>
  </si>
  <si>
    <t>VIS201089</t>
  </si>
  <si>
    <t>VIS202933</t>
  </si>
  <si>
    <t>VIS200613</t>
  </si>
  <si>
    <t>VIS201454</t>
  </si>
  <si>
    <t>VIS202859</t>
  </si>
  <si>
    <t>VIS202375</t>
  </si>
  <si>
    <t>VIS202144</t>
  </si>
  <si>
    <t>VIS200534</t>
  </si>
  <si>
    <t>VIS200556</t>
  </si>
  <si>
    <t>VIS201047</t>
  </si>
  <si>
    <t>VIS200603</t>
  </si>
  <si>
    <t>VIS202968</t>
  </si>
  <si>
    <t>VIS200165</t>
  </si>
  <si>
    <t>VIS200963</t>
  </si>
  <si>
    <t>VIS202125</t>
  </si>
  <si>
    <t>VIS200602</t>
  </si>
  <si>
    <t>VIS201604</t>
  </si>
  <si>
    <t>VIS202634</t>
  </si>
  <si>
    <t>VIS202476</t>
  </si>
  <si>
    <t>VIS201317</t>
  </si>
  <si>
    <t>VIS201544</t>
  </si>
  <si>
    <t>VIS200350</t>
  </si>
  <si>
    <t>VIS200855</t>
  </si>
  <si>
    <t>VIS200832</t>
  </si>
  <si>
    <t>VIS202421</t>
  </si>
  <si>
    <t>VIS201686</t>
  </si>
  <si>
    <t>VIS201592</t>
  </si>
  <si>
    <t>VIS200360</t>
  </si>
  <si>
    <t>VIS200280</t>
  </si>
  <si>
    <t>VIS200120</t>
  </si>
  <si>
    <t>VIS200801</t>
  </si>
  <si>
    <t>VIS202061</t>
  </si>
  <si>
    <t>VIS202792</t>
  </si>
  <si>
    <t>VIS202216</t>
  </si>
  <si>
    <t>VIS202733</t>
  </si>
  <si>
    <t>VIS200036</t>
  </si>
  <si>
    <t>VIS202884</t>
  </si>
  <si>
    <t>VIS201588</t>
  </si>
  <si>
    <t>VIS200496</t>
  </si>
  <si>
    <t>VIS201882</t>
  </si>
  <si>
    <t>VIS200061</t>
  </si>
  <si>
    <t>VIS200549</t>
  </si>
  <si>
    <t>VIS201358</t>
  </si>
  <si>
    <t>VIS201626</t>
  </si>
  <si>
    <t>VIS200029</t>
  </si>
  <si>
    <t>VIS200566</t>
  </si>
  <si>
    <t>VIS200031</t>
  </si>
  <si>
    <t>VIS201998</t>
  </si>
  <si>
    <t>VIS202910</t>
  </si>
  <si>
    <t>VIS201909</t>
  </si>
  <si>
    <t>VIS201064</t>
  </si>
  <si>
    <t>VIS200016</t>
  </si>
  <si>
    <t>VIS201805</t>
  </si>
  <si>
    <t>VIS200683</t>
  </si>
  <si>
    <t>VIS202533</t>
  </si>
  <si>
    <t>VIS201216</t>
  </si>
  <si>
    <t>VIS201852</t>
  </si>
  <si>
    <t>VIS202749</t>
  </si>
  <si>
    <t>VIS202848</t>
  </si>
  <si>
    <t>VIS201258</t>
  </si>
  <si>
    <t>VIS201050</t>
  </si>
  <si>
    <t>VIS201614</t>
  </si>
  <si>
    <t>VIS201931</t>
  </si>
  <si>
    <t>VIS202663</t>
  </si>
  <si>
    <t>VIS201351</t>
  </si>
  <si>
    <t>VIS201726</t>
  </si>
  <si>
    <t>VIS200359</t>
  </si>
  <si>
    <t>VIS200168</t>
  </si>
  <si>
    <t>VIS202858</t>
  </si>
  <si>
    <t>VIS201520</t>
  </si>
  <si>
    <t>VIS200193</t>
  </si>
  <si>
    <t>VIS202725</t>
  </si>
  <si>
    <t>VIS202904</t>
  </si>
  <si>
    <t>VIS201451</t>
  </si>
  <si>
    <t>VIS200775</t>
  </si>
  <si>
    <t>VIS201900</t>
  </si>
  <si>
    <t>VIS202424</t>
  </si>
  <si>
    <t>VIS202031</t>
  </si>
  <si>
    <t>VIS200408</t>
  </si>
  <si>
    <t>VIS202045</t>
  </si>
  <si>
    <t>VIS200386</t>
  </si>
  <si>
    <t>VIS202168</t>
  </si>
  <si>
    <t>VIS200844</t>
  </si>
  <si>
    <t>VIS200695</t>
  </si>
  <si>
    <t>VIS200110</t>
  </si>
  <si>
    <t>VIS201422</t>
  </si>
  <si>
    <t>VIS202572</t>
  </si>
  <si>
    <t>VIS200760</t>
  </si>
  <si>
    <t>VIS200750</t>
  </si>
  <si>
    <t>VIS201954</t>
  </si>
  <si>
    <t>VIS202155</t>
  </si>
  <si>
    <t>VIS202640</t>
  </si>
  <si>
    <t>VIS202496</t>
  </si>
  <si>
    <t>VIS201583</t>
  </si>
  <si>
    <t>VIS201835</t>
  </si>
  <si>
    <t>VIS202865</t>
  </si>
  <si>
    <t>VIS202893</t>
  </si>
  <si>
    <t>VIS202966</t>
  </si>
  <si>
    <t>VIS200856</t>
  </si>
  <si>
    <t>VIS202016</t>
  </si>
  <si>
    <t>VIS201921</t>
  </si>
  <si>
    <t>VIS202588</t>
  </si>
  <si>
    <t>VIS202212</t>
  </si>
  <si>
    <t>VIS200920</t>
  </si>
  <si>
    <t>VIS200189</t>
  </si>
  <si>
    <t>VIS202400</t>
  </si>
  <si>
    <t>VIS202221</t>
  </si>
  <si>
    <t>VIS200971</t>
  </si>
  <si>
    <t>VIS202436</t>
  </si>
  <si>
    <t>VIS201772</t>
  </si>
  <si>
    <t>VIS200862</t>
  </si>
  <si>
    <t>VIS201975</t>
  </si>
  <si>
    <t>VIS202969</t>
  </si>
  <si>
    <t>VIS202839</t>
  </si>
  <si>
    <t>VIS200829</t>
  </si>
  <si>
    <t>VIS202647</t>
  </si>
  <si>
    <t>VIS200138</t>
  </si>
  <si>
    <t>VIS200968</t>
  </si>
  <si>
    <t>VIS201371</t>
  </si>
  <si>
    <t>VIS201662</t>
  </si>
  <si>
    <t>VIS200718</t>
  </si>
  <si>
    <t>VIS200245</t>
  </si>
  <si>
    <t>VIS200201</t>
  </si>
  <si>
    <t>VIS200455</t>
  </si>
  <si>
    <t>VIS202957</t>
  </si>
  <si>
    <t>VIS202949</t>
  </si>
  <si>
    <t>VIS201152</t>
  </si>
  <si>
    <t>VIS200116</t>
  </si>
  <si>
    <t>VIS201479</t>
  </si>
  <si>
    <t>VIS200731</t>
  </si>
  <si>
    <t>VIS200218</t>
  </si>
  <si>
    <t>VIS201789</t>
  </si>
  <si>
    <t>VIS201654</t>
  </si>
  <si>
    <t>VIS200865</t>
  </si>
  <si>
    <t>VIS202154</t>
  </si>
  <si>
    <t>VIS201889</t>
  </si>
  <si>
    <t>VIS202388</t>
  </si>
  <si>
    <t>VIS201660</t>
  </si>
  <si>
    <t>VIS202124</t>
  </si>
  <si>
    <t>VIS200205</t>
  </si>
  <si>
    <t>VIS202982</t>
  </si>
  <si>
    <t>VIS201299</t>
  </si>
  <si>
    <t>VIS202782</t>
  </si>
  <si>
    <t>VIS200299</t>
  </si>
  <si>
    <t>VIS200707</t>
  </si>
  <si>
    <t>VIS202181</t>
  </si>
  <si>
    <t>VIS202882</t>
  </si>
  <si>
    <t>VIS201136</t>
  </si>
  <si>
    <t>VIS202679</t>
  </si>
  <si>
    <t>VIS202213</t>
  </si>
  <si>
    <t>VIS201443</t>
  </si>
  <si>
    <t>VIS201483</t>
  </si>
  <si>
    <t>VIS201437</t>
  </si>
  <si>
    <t>VIS202014</t>
  </si>
  <si>
    <t>VIS201228</t>
  </si>
  <si>
    <t>VIS202691</t>
  </si>
  <si>
    <t>VIS202901</t>
  </si>
  <si>
    <t>VIS202380</t>
  </si>
  <si>
    <t>VIS200041</t>
  </si>
  <si>
    <t>VIS202362</t>
  </si>
  <si>
    <t>VIS200684</t>
  </si>
  <si>
    <t>VIS202835</t>
  </si>
  <si>
    <t>VIS202260</t>
  </si>
  <si>
    <t>VIS200799</t>
  </si>
  <si>
    <t>VIS202732</t>
  </si>
  <si>
    <t>VIS202866</t>
  </si>
  <si>
    <t>VIS201277</t>
  </si>
  <si>
    <t>VIS201346</t>
  </si>
  <si>
    <t>VIS201127</t>
  </si>
  <si>
    <t>VIS201865</t>
  </si>
  <si>
    <t>VIS201843</t>
  </si>
  <si>
    <t>VIS201416</t>
  </si>
  <si>
    <t>VIS200704</t>
  </si>
  <si>
    <t>VIS200771</t>
  </si>
  <si>
    <t>VIS201335</t>
  </si>
  <si>
    <t>VIS200527</t>
  </si>
  <si>
    <t>VIS200488</t>
  </si>
  <si>
    <t>VIS201349</t>
  </si>
  <si>
    <t>VIS201730</t>
  </si>
  <si>
    <t>VIS202095</t>
  </si>
  <si>
    <t>VIS201755</t>
  </si>
  <si>
    <t>VIS200901</t>
  </si>
  <si>
    <t>VIS201551</t>
  </si>
  <si>
    <t>VIS202676</t>
  </si>
  <si>
    <t>VIS202559</t>
  </si>
  <si>
    <t>VIS202797</t>
  </si>
  <si>
    <t>VIS201411</t>
  </si>
  <si>
    <t>VIS200679</t>
  </si>
  <si>
    <t>VIS201776</t>
  </si>
  <si>
    <t>VIS200221</t>
  </si>
  <si>
    <t>VIS202840</t>
  </si>
  <si>
    <t>VIS200993</t>
  </si>
  <si>
    <t>VIS202083</t>
  </si>
  <si>
    <t>VIS200550</t>
  </si>
  <si>
    <t>VIS200417</t>
  </si>
  <si>
    <t>VIS202115</t>
  </si>
  <si>
    <t>VIS201681</t>
  </si>
  <si>
    <t>VIS200044</t>
  </si>
  <si>
    <t>VIS200355</t>
  </si>
  <si>
    <t>VIS200810</t>
  </si>
  <si>
    <t>VIS202527</t>
  </si>
  <si>
    <t>VIS200793</t>
  </si>
  <si>
    <t>VIS200178</t>
  </si>
  <si>
    <t>VIS202892</t>
  </si>
  <si>
    <t>VIS201008</t>
  </si>
  <si>
    <t>VIS201553</t>
  </si>
  <si>
    <t>VIS202740</t>
  </si>
  <si>
    <t>VIS201226</t>
  </si>
  <si>
    <t>VIS200581</t>
  </si>
  <si>
    <t>VIS200251</t>
  </si>
  <si>
    <t>VIS201682</t>
  </si>
  <si>
    <t>VIS201379</t>
  </si>
  <si>
    <t>VIS202242</t>
  </si>
  <si>
    <t>VIS200518</t>
  </si>
  <si>
    <t>VIS201685</t>
  </si>
  <si>
    <t>VIS202844</t>
  </si>
  <si>
    <t>VIS202225</t>
  </si>
  <si>
    <t>VIS201561</t>
  </si>
  <si>
    <t>VIS201741</t>
  </si>
  <si>
    <t>VIS202665</t>
  </si>
  <si>
    <t>VIS200032</t>
  </si>
  <si>
    <t>VIS202637</t>
  </si>
  <si>
    <t>VIS201826</t>
  </si>
  <si>
    <t>VIS200559</t>
  </si>
  <si>
    <t>VIS201949</t>
  </si>
  <si>
    <t>VIS202917</t>
  </si>
  <si>
    <t>VIS201630</t>
  </si>
  <si>
    <t>VIS201003</t>
  </si>
  <si>
    <t>VIS202416</t>
  </si>
  <si>
    <t>VIS201523</t>
  </si>
  <si>
    <t>VIS202498</t>
  </si>
  <si>
    <t>VIS200264</t>
  </si>
  <si>
    <t>VIS200184</t>
  </si>
  <si>
    <t>VIS200406</t>
  </si>
  <si>
    <t>VIS200911</t>
  </si>
  <si>
    <t>VIS201936</t>
  </si>
  <si>
    <t>VIS201231</t>
  </si>
  <si>
    <t>VIS202664</t>
  </si>
  <si>
    <t>VIS201526</t>
  </si>
  <si>
    <t>VIS202872</t>
  </si>
  <si>
    <t>VIS201631</t>
  </si>
  <si>
    <t>VIS201632</t>
  </si>
  <si>
    <t>VIS201417</t>
  </si>
  <si>
    <t>VIS200494</t>
  </si>
  <si>
    <t>VIS202715</t>
  </si>
  <si>
    <t>VIS202420</t>
  </si>
  <si>
    <t>VIS200008</t>
  </si>
  <si>
    <t>VIS202992</t>
  </si>
  <si>
    <t>VIS200427</t>
  </si>
  <si>
    <t>VIS201393</t>
  </si>
  <si>
    <t>VIS200402</t>
  </si>
  <si>
    <t>VIS201238</t>
  </si>
  <si>
    <t>VIS202571</t>
  </si>
  <si>
    <t>VIS202426</t>
  </si>
  <si>
    <t>VIS202810</t>
  </si>
  <si>
    <t>VIS202258</t>
  </si>
  <si>
    <t>VIS201366</t>
  </si>
  <si>
    <t>VIS202312</t>
  </si>
  <si>
    <t>VIS201061</t>
  </si>
  <si>
    <t>VIS201354</t>
  </si>
  <si>
    <t>VIS202525</t>
  </si>
  <si>
    <t>VIS201233</t>
  </si>
  <si>
    <t>VIS200004</t>
  </si>
  <si>
    <t>VIS201293</t>
  </si>
  <si>
    <t>VIS200682</t>
  </si>
  <si>
    <t>VIS201937</t>
  </si>
  <si>
    <t>VIS201024</t>
  </si>
  <si>
    <t>VIS200014</t>
  </si>
  <si>
    <t>VIS202184</t>
  </si>
  <si>
    <t>VIS201362</t>
  </si>
  <si>
    <t>VIS200365</t>
  </si>
  <si>
    <t>VIS202004</t>
  </si>
  <si>
    <t>VIS201982</t>
  </si>
  <si>
    <t>VIS200547</t>
  </si>
  <si>
    <t>VIS202990</t>
  </si>
  <si>
    <t>VIS201427</t>
  </si>
  <si>
    <t>VIS201666</t>
  </si>
  <si>
    <t>VIS201971</t>
  </si>
  <si>
    <t>VIS200519</t>
  </si>
  <si>
    <t>VIS200883</t>
  </si>
  <si>
    <t>VIS200161</t>
  </si>
  <si>
    <t>VIS200099</t>
  </si>
  <si>
    <t>VIS200112</t>
  </si>
  <si>
    <t>VIS202089</t>
  </si>
  <si>
    <t>VIS201075</t>
  </si>
  <si>
    <t>VIS201386</t>
  </si>
  <si>
    <t>VIS202382</t>
  </si>
  <si>
    <t>VIS201103</t>
  </si>
  <si>
    <t>VIS200003</t>
  </si>
  <si>
    <t>VIS200690</t>
  </si>
  <si>
    <t>VIS202200</t>
  </si>
  <si>
    <t>VIS200146</t>
  </si>
  <si>
    <t>VIS201775</t>
  </si>
  <si>
    <t>VIS201114</t>
  </si>
  <si>
    <t>VIS201609</t>
  </si>
  <si>
    <t>VIS202768</t>
  </si>
  <si>
    <t>VIS201559</t>
  </si>
  <si>
    <t>VIS202152</t>
  </si>
  <si>
    <t>VIS200565</t>
  </si>
  <si>
    <t>VIS202614</t>
  </si>
  <si>
    <t>VIS202605</t>
  </si>
  <si>
    <t>VIS201806</t>
  </si>
  <si>
    <t>VIS200643</t>
  </si>
  <si>
    <t>VIS200648</t>
  </si>
  <si>
    <t>VIS202302</t>
  </si>
  <si>
    <t>VIS200960</t>
  </si>
  <si>
    <t>VIS202707</t>
  </si>
  <si>
    <t>VIS202444</t>
  </si>
  <si>
    <t>VIS200020</t>
  </si>
  <si>
    <t>VIS202026</t>
  </si>
  <si>
    <t>VIS200726</t>
  </si>
  <si>
    <t>VIS200444</t>
  </si>
  <si>
    <t>VIS200988</t>
  </si>
  <si>
    <t>VIS200396</t>
  </si>
  <si>
    <t>VIS202603</t>
  </si>
  <si>
    <t>VIS201522</t>
  </si>
  <si>
    <t>VIS201550</t>
  </si>
  <si>
    <t>VIS202996</t>
  </si>
  <si>
    <t>VIS200848</t>
  </si>
  <si>
    <t>VIS202683</t>
  </si>
  <si>
    <t>VIS201276</t>
  </si>
  <si>
    <t>VIS202094</t>
  </si>
  <si>
    <t>VIS202494</t>
  </si>
  <si>
    <t>VIS202096</t>
  </si>
  <si>
    <t>VIS202891</t>
  </si>
  <si>
    <t>VIS201113</t>
  </si>
  <si>
    <t>VIS200127</t>
  </si>
  <si>
    <t>VIS200275</t>
  </si>
  <si>
    <t>VIS201500</t>
  </si>
  <si>
    <t>VIS200287</t>
  </si>
  <si>
    <t>VIS200500</t>
  </si>
  <si>
    <t>VIS202758</t>
  </si>
  <si>
    <t>VIS200795</t>
  </si>
  <si>
    <t>VIS200315</t>
  </si>
  <si>
    <t>VIS202677</t>
  </si>
  <si>
    <t>VIS201723</t>
  </si>
  <si>
    <t>VIS202071</t>
  </si>
  <si>
    <t>VIS200011</t>
  </si>
  <si>
    <t>VIS200890</t>
  </si>
  <si>
    <t>VIS202224</t>
  </si>
  <si>
    <t>VIS201812</t>
  </si>
  <si>
    <t>VIS202220</t>
  </si>
  <si>
    <t>VIS200070</t>
  </si>
  <si>
    <t>VIS201106</t>
  </si>
  <si>
    <t>VIS200174</t>
  </si>
  <si>
    <t>VIS200678</t>
  </si>
  <si>
    <t>VIS202554</t>
  </si>
  <si>
    <t>VIS200169</t>
  </si>
  <si>
    <t>VIS200439</t>
  </si>
  <si>
    <t>VIS201828</t>
  </si>
  <si>
    <t>VIS201680</t>
  </si>
  <si>
    <t>VIS202321</t>
  </si>
  <si>
    <t>VIS201208</t>
  </si>
  <si>
    <t>VIS202773</t>
  </si>
  <si>
    <t>VIS202134</t>
  </si>
  <si>
    <t>VIS201044</t>
  </si>
  <si>
    <t>VIS202822</t>
  </si>
  <si>
    <t>VIS202041</t>
  </si>
  <si>
    <t>VIS201431</t>
  </si>
  <si>
    <t>VIS201202</t>
  </si>
  <si>
    <t>VIS201199</t>
  </si>
  <si>
    <t>VIS202310</t>
  </si>
  <si>
    <t>VIS200558</t>
  </si>
  <si>
    <t>VIS200769</t>
  </si>
  <si>
    <t>VIS201830</t>
  </si>
  <si>
    <t>VIS201880</t>
  </si>
  <si>
    <t>VIS202199</t>
  </si>
  <si>
    <t>VIS200023</t>
  </si>
  <si>
    <t>VIS202471</t>
  </si>
  <si>
    <t>VIS201855</t>
  </si>
  <si>
    <t>VIS202119</t>
  </si>
  <si>
    <t>VIS201301</t>
  </si>
  <si>
    <t>VIS202336</t>
  </si>
  <si>
    <t>VIS200912</t>
  </si>
  <si>
    <t>VIS200466</t>
  </si>
  <si>
    <t>VIS200839</t>
  </si>
  <si>
    <t>VIS201515</t>
  </si>
  <si>
    <t>VIS201326</t>
  </si>
  <si>
    <t>VIS200416</t>
  </si>
  <si>
    <t>VIS202084</t>
  </si>
  <si>
    <t>VIS200366</t>
  </si>
  <si>
    <t>VIS200094</t>
  </si>
  <si>
    <t>VIS202975</t>
  </si>
  <si>
    <t>VIS202630</t>
  </si>
  <si>
    <t>VIS202143</t>
  </si>
  <si>
    <t>VIS202027</t>
  </si>
  <si>
    <t>VIS201001</t>
  </si>
  <si>
    <t>VIS202477</t>
  </si>
  <si>
    <t>VIS202114</t>
  </si>
  <si>
    <t>VIS202007</t>
  </si>
  <si>
    <t>VIS200819</t>
  </si>
  <si>
    <t>VIS201864</t>
  </si>
  <si>
    <t>VIS201648</t>
  </si>
  <si>
    <t>VIS200320</t>
  </si>
  <si>
    <t>VIS201087</t>
  </si>
  <si>
    <t>VIS202828</t>
  </si>
  <si>
    <t>VIS201731</t>
  </si>
  <si>
    <t>VIS202780</t>
  </si>
  <si>
    <t>VIS200931</t>
  </si>
  <si>
    <t>VIS201139</t>
  </si>
  <si>
    <t>VIS202245</t>
  </si>
  <si>
    <t>VIS202186</t>
  </si>
  <si>
    <t>VIS202292</t>
  </si>
  <si>
    <t>VIS202171</t>
  </si>
  <si>
    <t>VIS201289</t>
  </si>
  <si>
    <t>VIS200652</t>
  </si>
  <si>
    <t>VIS200373</t>
  </si>
  <si>
    <t>VIS201298</t>
  </si>
  <si>
    <t>VIS201578</t>
  </si>
  <si>
    <t>VIS201825</t>
  </si>
  <si>
    <t>VIS200048</t>
  </si>
  <si>
    <t>VIS201851</t>
  </si>
  <si>
    <t>VIS201947</t>
  </si>
  <si>
    <t>VIS202613</t>
  </si>
  <si>
    <t>VIS200600</t>
  </si>
  <si>
    <t>VIS202188</t>
  </si>
  <si>
    <t>VIS200042</t>
  </si>
  <si>
    <t>VIS200173</t>
  </si>
  <si>
    <t>VIS201131</t>
  </si>
  <si>
    <t>VIS202300</t>
  </si>
  <si>
    <t>VIS201895</t>
  </si>
  <si>
    <t>VIS201257</t>
  </si>
  <si>
    <t>VIS202316</t>
  </si>
  <si>
    <t>VIS201409</t>
  </si>
  <si>
    <t>VIS200548</t>
  </si>
  <si>
    <t>VIS200397</t>
  </si>
  <si>
    <t>VIS202856</t>
  </si>
  <si>
    <t>VIS202763</t>
  </si>
  <si>
    <t>VIS201110</t>
  </si>
  <si>
    <t>VIS202017</t>
  </si>
  <si>
    <t>VIS201877</t>
  </si>
  <si>
    <t>VIS201185</t>
  </si>
  <si>
    <t>VIS201082</t>
  </si>
  <si>
    <t>VIS202040</t>
  </si>
  <si>
    <t>VIS202462</t>
  </si>
  <si>
    <t>VIS200482</t>
  </si>
  <si>
    <t>VIS202636</t>
  </si>
  <si>
    <t>VIS201378</t>
  </si>
  <si>
    <t>VIS200692</t>
  </si>
  <si>
    <t>VIS201389</t>
  </si>
  <si>
    <t>VIS200302</t>
  </si>
  <si>
    <t>VIS202991</t>
  </si>
  <si>
    <t>VIS201913</t>
  </si>
  <si>
    <t>VIS202387</t>
  </si>
  <si>
    <t>VIS200608</t>
  </si>
  <si>
    <t>VIS201792</t>
  </si>
  <si>
    <t>VIS200012</t>
  </si>
  <si>
    <t>VIS202916</t>
  </si>
  <si>
    <t>VIS202562</t>
  </si>
  <si>
    <t>VIS200873</t>
  </si>
  <si>
    <t>VIS201705</t>
  </si>
  <si>
    <t>VIS200647</t>
  </si>
  <si>
    <t>VIS201097</t>
  </si>
  <si>
    <t>VIS200250</t>
  </si>
  <si>
    <t>VIS200627</t>
  </si>
  <si>
    <t>VIS201595</t>
  </si>
  <si>
    <t>VIS200262</t>
  </si>
  <si>
    <t>VIS201037</t>
  </si>
  <si>
    <t>VIS202963</t>
  </si>
  <si>
    <t>VIS201646</t>
  </si>
  <si>
    <t>VIS202557</t>
  </si>
  <si>
    <t>VIS200802</t>
  </si>
  <si>
    <t>VIS202786</t>
  </si>
  <si>
    <t>VIS201976</t>
  </si>
  <si>
    <t>VIS202384</t>
  </si>
  <si>
    <t>VIS200095</t>
  </si>
  <si>
    <t>VIS201332</t>
  </si>
  <si>
    <t>VIS202796</t>
  </si>
  <si>
    <t>VIS200650</t>
  </si>
  <si>
    <t>VIS201603</t>
  </si>
  <si>
    <t>VIS201599</t>
  </si>
  <si>
    <t>VIS202783</t>
  </si>
  <si>
    <t>VIS200149</t>
  </si>
  <si>
    <t>VIS200084</t>
  </si>
  <si>
    <t>VIS201958</t>
  </si>
  <si>
    <t>VIS202195</t>
  </si>
  <si>
    <t>VIS200754</t>
  </si>
  <si>
    <t>VIS202994</t>
  </si>
  <si>
    <t>VIS200999</t>
  </si>
  <si>
    <t>VIS201412</t>
  </si>
  <si>
    <t>VIS202409</t>
  </si>
  <si>
    <t>VIS201016</t>
  </si>
  <si>
    <t>VIS201430</t>
  </si>
  <si>
    <t>VIS200651</t>
  </si>
  <si>
    <t>VIS200586</t>
  </si>
  <si>
    <t>VIS201702</t>
  </si>
  <si>
    <t>VIS201511</t>
  </si>
  <si>
    <t>VIS202716</t>
  </si>
  <si>
    <t>VIS201926</t>
  </si>
  <si>
    <t>VIS200739</t>
  </si>
  <si>
    <t>VIS201179</t>
  </si>
  <si>
    <t>VIS201637</t>
  </si>
  <si>
    <t>VIS201321</t>
  </si>
  <si>
    <t>VIS200573</t>
  </si>
  <si>
    <t>VIS202280</t>
  </si>
  <si>
    <t>VIS200378</t>
  </si>
  <si>
    <t>VIS201341</t>
  </si>
  <si>
    <t>VIS200569</t>
  </si>
  <si>
    <t>VIS200276</t>
  </si>
  <si>
    <t>VIS200067</t>
  </si>
  <si>
    <t>VIS202599</t>
  </si>
  <si>
    <t>VIS200978</t>
  </si>
  <si>
    <t>VIS200026</t>
  </si>
  <si>
    <t>VIS201138</t>
  </si>
  <si>
    <t>VIS201834</t>
  </si>
  <si>
    <t>VIS202251</t>
  </si>
  <si>
    <t>VIS202130</t>
  </si>
  <si>
    <t>VIS200545</t>
  </si>
  <si>
    <t>VIS201373</t>
  </si>
  <si>
    <t>VIS201239</t>
  </si>
  <si>
    <t>VIS202611</t>
  </si>
  <si>
    <t>VIS201821</t>
  </si>
  <si>
    <t>VIS201994</t>
  </si>
  <si>
    <t>VIS201203</t>
  </si>
  <si>
    <t>VIS200593</t>
  </si>
  <si>
    <t>VIS201117</t>
  </si>
  <si>
    <t>VIS200513</t>
  </si>
  <si>
    <t>VIS200028</t>
  </si>
  <si>
    <t>VIS200387</t>
  </si>
  <si>
    <t>VIS201355</t>
  </si>
  <si>
    <t>VIS201316</t>
  </si>
  <si>
    <t>VIS202290</t>
  </si>
  <si>
    <t>VIS200530</t>
  </si>
  <si>
    <t>VIS202641</t>
  </si>
  <si>
    <t>VIS202131</t>
  </si>
  <si>
    <t>VIS201628</t>
  </si>
  <si>
    <t>VIS202522</t>
  </si>
  <si>
    <t>VIS201928</t>
  </si>
  <si>
    <t>VIS200985</t>
  </si>
  <si>
    <t>VIS200546</t>
  </si>
  <si>
    <t>VIS202508</t>
  </si>
  <si>
    <t>VIS201119</t>
  </si>
  <si>
    <t>VIS200212</t>
  </si>
  <si>
    <t>VIS200428</t>
  </si>
  <si>
    <t>VIS202650</t>
  </si>
  <si>
    <t>VIS200015</t>
  </si>
  <si>
    <t>VIS200864</t>
  </si>
  <si>
    <t>VIS202049</t>
  </si>
  <si>
    <t>VIS201611</t>
  </si>
  <si>
    <t>VIS202219</t>
  </si>
  <si>
    <t>VIS202709</t>
  </si>
  <si>
    <t>VIS200424</t>
  </si>
  <si>
    <t>VIS200465</t>
  </si>
  <si>
    <t>VIS202204</t>
  </si>
  <si>
    <t>VIS200167</t>
  </si>
  <si>
    <t>VIS200420</t>
  </si>
  <si>
    <t>VIS200729</t>
  </si>
  <si>
    <t>VIS201512</t>
  </si>
  <si>
    <t>VIS202025</t>
  </si>
  <si>
    <t>VIS200270</t>
  </si>
  <si>
    <t>VIS202829</t>
  </si>
  <si>
    <t>VIS202954</t>
  </si>
  <si>
    <t>VIS200467</t>
  </si>
  <si>
    <t>VIS201863</t>
  </si>
  <si>
    <t>VIS201222</t>
  </si>
  <si>
    <t>VIS202761</t>
  </si>
  <si>
    <t>VIS201845</t>
  </si>
  <si>
    <t>VIS200915</t>
  </si>
  <si>
    <t>VIS200076</t>
  </si>
  <si>
    <t>VIS202461</t>
  </si>
  <si>
    <t>VIS201820</t>
  </si>
  <si>
    <t>VIS201873</t>
  </si>
  <si>
    <t>VIS200638</t>
  </si>
  <si>
    <t>VIS201989</t>
  </si>
  <si>
    <t>VIS202692</t>
  </si>
  <si>
    <t>VIS201773</t>
  </si>
  <si>
    <t>VIS201013</t>
  </si>
  <si>
    <t>VIS202140</t>
  </si>
  <si>
    <t>VIS202659</t>
  </si>
  <si>
    <t>VIS201861</t>
  </si>
  <si>
    <t>VIS202158</t>
  </si>
  <si>
    <t>VIS200235</t>
  </si>
  <si>
    <t>VIS201856</t>
  </si>
  <si>
    <t>VIS202648</t>
  </si>
  <si>
    <t>VIS201878</t>
  </si>
  <si>
    <t>VIS200307</t>
  </si>
  <si>
    <t>VIS201823</t>
  </si>
  <si>
    <t>VIS201402</t>
  </si>
  <si>
    <t>VIS200961</t>
  </si>
  <si>
    <t>VIS201619</t>
  </si>
  <si>
    <t>VIS201687</t>
  </si>
  <si>
    <t>VIS201871</t>
  </si>
  <si>
    <t>VIS202868</t>
  </si>
  <si>
    <t>VIS202595</t>
  </si>
  <si>
    <t>VIS202021</t>
  </si>
  <si>
    <t>VIS201055</t>
  </si>
  <si>
    <t>VIS202412</t>
  </si>
  <si>
    <t>VIS200377</t>
  </si>
  <si>
    <t>VIS202793</t>
  </si>
  <si>
    <t>VIS201965</t>
  </si>
  <si>
    <t>VIS201151</t>
  </si>
  <si>
    <t>VIS201875</t>
  </si>
  <si>
    <t>VIS202853</t>
  </si>
  <si>
    <t>VIS202673</t>
  </si>
  <si>
    <t>VIS200703</t>
  </si>
  <si>
    <t>VIS202149</t>
  </si>
  <si>
    <t>VIS201841</t>
  </si>
  <si>
    <t>VIS202569</t>
  </si>
  <si>
    <t>VIS202268</t>
  </si>
  <si>
    <t>VIS200668</t>
  </si>
  <si>
    <t>VIS200932</t>
  </si>
  <si>
    <t>VIS202644</t>
  </si>
  <si>
    <t>VIS202117</t>
  </si>
  <si>
    <t>VIS202717</t>
  </si>
  <si>
    <t>VIS200172</t>
  </si>
  <si>
    <t>VIS202480</t>
  </si>
  <si>
    <t>VIS202731</t>
  </si>
  <si>
    <t>VIS202197</t>
  </si>
  <si>
    <t>VIS201260</t>
  </si>
  <si>
    <t>VIS200481</t>
  </si>
  <si>
    <t>VIS202330</t>
  </si>
  <si>
    <t>VIS201866</t>
  </si>
  <si>
    <t>VIS200385</t>
  </si>
  <si>
    <t>VIS202995</t>
  </si>
  <si>
    <t>VIS202257</t>
  </si>
  <si>
    <t>VIS200340</t>
  </si>
  <si>
    <t>VIS201636</t>
  </si>
  <si>
    <t>VIS202646</t>
  </si>
  <si>
    <t>VIS202847</t>
  </si>
  <si>
    <t>VIS202386</t>
  </si>
  <si>
    <t>VIS201090</t>
  </si>
  <si>
    <t>VIS201932</t>
  </si>
  <si>
    <t>VIS200521</t>
  </si>
  <si>
    <t>VIS201860</t>
  </si>
  <si>
    <t>VIS201963</t>
  </si>
  <si>
    <t>VIS201656</t>
  </si>
  <si>
    <t>VIS201612</t>
  </si>
  <si>
    <t>VIS200389</t>
  </si>
  <si>
    <t>VIS201077</t>
  </si>
  <si>
    <t>VIS201253</t>
  </si>
  <si>
    <t>VIS200035</t>
  </si>
  <si>
    <t>VIS202334</t>
  </si>
  <si>
    <t>VIS200622</t>
  </si>
  <si>
    <t>VIS200314</t>
  </si>
  <si>
    <t>VIS201031</t>
  </si>
  <si>
    <t>VIS201137</t>
  </si>
  <si>
    <t>VIS202366</t>
  </si>
  <si>
    <t>VIS201334</t>
  </si>
  <si>
    <t>VIS202809</t>
  </si>
  <si>
    <t>VIS201325</t>
  </si>
  <si>
    <t>VIS202227</t>
  </si>
  <si>
    <t>VIS201556</t>
  </si>
  <si>
    <t>VIS200715</t>
  </si>
  <si>
    <t>VIS202988</t>
  </si>
  <si>
    <t>VIS201886</t>
  </si>
  <si>
    <t>VIS202109</t>
  </si>
  <si>
    <t>VIS200452</t>
  </si>
  <si>
    <t>VIS201676</t>
  </si>
  <si>
    <t>VIS201535</t>
  </si>
  <si>
    <t>VIS202678</t>
  </si>
  <si>
    <t>VIS201212</t>
  </si>
  <si>
    <t>VIS200162</t>
  </si>
  <si>
    <t>VIS201168</t>
  </si>
  <si>
    <t>VIS200728</t>
  </si>
  <si>
    <t>VIS201555</t>
  </si>
  <si>
    <t>VIS201395</t>
  </si>
  <si>
    <t>VIS202405</t>
  </si>
  <si>
    <t>VIS202301</t>
  </si>
  <si>
    <t>VIS201399</t>
  </si>
  <si>
    <t>VIS200096</t>
  </si>
  <si>
    <t>VIS200244</t>
  </si>
  <si>
    <t>VIS202805</t>
  </si>
  <si>
    <t>VIS202161</t>
  </si>
  <si>
    <t>VIS200526</t>
  </si>
  <si>
    <t>VIS201778</t>
  </si>
  <si>
    <t>VIS201450</t>
  </si>
  <si>
    <t>VIS201109</t>
  </si>
  <si>
    <t>VIS200136</t>
  </si>
  <si>
    <t>VIS201440</t>
  </si>
  <si>
    <t>VIS202060</t>
  </si>
  <si>
    <t>VIS202439</t>
  </si>
  <si>
    <t>VIS201874</t>
  </si>
  <si>
    <t>VIS201908</t>
  </si>
  <si>
    <t>VIS201187</t>
  </si>
  <si>
    <t>VIS201415</t>
  </si>
  <si>
    <t>VIS202864</t>
  </si>
  <si>
    <t>VIS200505</t>
  </si>
  <si>
    <t>VIS202038</t>
  </si>
  <si>
    <t>VIS201306</t>
  </si>
  <si>
    <t>VIS202540</t>
  </si>
  <si>
    <t>VIS200293</t>
  </si>
  <si>
    <t>VIS200206</t>
  </si>
  <si>
    <t>VIS200806</t>
  </si>
  <si>
    <t>VIS201256</t>
  </si>
  <si>
    <t>VIS202288</t>
  </si>
  <si>
    <t>VIS201981</t>
  </si>
  <si>
    <t>VIS200713</t>
  </si>
  <si>
    <t>VIS201915</t>
  </si>
  <si>
    <t>VIS202127</t>
  </si>
  <si>
    <t>VIS200882</t>
  </si>
  <si>
    <t>VIS201935</t>
  </si>
  <si>
    <t>VIS200400</t>
  </si>
  <si>
    <t>VIS200157</t>
  </si>
  <si>
    <t>VIS201532</t>
  </si>
  <si>
    <t>VIS200491</t>
  </si>
  <si>
    <t>VIS200291</t>
  </si>
  <si>
    <t>VIS201883</t>
  </si>
  <si>
    <t>VIS201363</t>
  </si>
  <si>
    <t>VIS202728</t>
  </si>
  <si>
    <t>VIS201734</t>
  </si>
  <si>
    <t>VIS200401</t>
  </si>
  <si>
    <t>VIS201180</t>
  </si>
  <si>
    <t>VIS201410</t>
  </si>
  <si>
    <t>VIS200179</t>
  </si>
  <si>
    <t>VIS200921</t>
  </si>
  <si>
    <t>VIS201688</t>
  </si>
  <si>
    <t>VIS200078</t>
  </si>
  <si>
    <t>VIS202947</t>
  </si>
  <si>
    <t>VIS201116</t>
  </si>
  <si>
    <t>VIS200694</t>
  </si>
  <si>
    <t>VIS202367</t>
  </si>
  <si>
    <t>VIS202532</t>
  </si>
  <si>
    <t>VIS202246</t>
  </si>
  <si>
    <t>VIS200817</t>
  </si>
  <si>
    <t>VIS200711</t>
  </si>
  <si>
    <t>VIS202668</t>
  </si>
  <si>
    <t>VIS201046</t>
  </si>
  <si>
    <t>VIS202486</t>
  </si>
  <si>
    <t>VIS202984</t>
  </si>
  <si>
    <t>VIS200133</t>
  </si>
  <si>
    <t>VIS200814</t>
  </si>
  <si>
    <t>VIS202694</t>
  </si>
  <si>
    <t>VIS201770</t>
  </si>
  <si>
    <t>VIS201565</t>
  </si>
  <si>
    <t>VIS200899</t>
  </si>
  <si>
    <t>VIS202455</t>
  </si>
  <si>
    <t>VIS202202</t>
  </si>
  <si>
    <t>VIS201029</t>
  </si>
  <si>
    <t>VIS202326</t>
  </si>
  <si>
    <t>VIS201339</t>
  </si>
  <si>
    <t>VIS200115</t>
  </si>
  <si>
    <t>VIS201232</t>
  </si>
  <si>
    <t>VIS200596</t>
  </si>
  <si>
    <t>VIS202023</t>
  </si>
  <si>
    <t>VIS201929</t>
  </si>
  <si>
    <t>VIS201357</t>
  </si>
  <si>
    <t>VIS200208</t>
  </si>
  <si>
    <t>VIS202766</t>
  </si>
  <si>
    <t>VIS202633</t>
  </si>
  <si>
    <t>VIS201032</t>
  </si>
  <si>
    <t>VIS201246</t>
  </si>
  <si>
    <t>VIS200468</t>
  </si>
  <si>
    <t>VIS200539</t>
  </si>
  <si>
    <t>VIS201539</t>
  </si>
  <si>
    <t>VIS200835</t>
  </si>
  <si>
    <t>VIS202576</t>
  </si>
  <si>
    <t>VIS201940</t>
  </si>
  <si>
    <t>VIS200239</t>
  </si>
  <si>
    <t>VIS201577</t>
  </si>
  <si>
    <t>VIS200688</t>
  </si>
  <si>
    <t>VIS200241</t>
  </si>
  <si>
    <t>VIS202505</t>
  </si>
  <si>
    <t>VIS202467</t>
  </si>
  <si>
    <t>VIS200263</t>
  </si>
  <si>
    <t>VIS201938</t>
  </si>
  <si>
    <t>VIS201961</t>
  </si>
  <si>
    <t>VIS202478</t>
  </si>
  <si>
    <t>VIS202250</t>
  </si>
  <si>
    <t>VIS202231</t>
  </si>
  <si>
    <t>VIS201344</t>
  </si>
  <si>
    <t>VIS200177</t>
  </si>
  <si>
    <t>VIS200936</t>
  </si>
  <si>
    <t>VIS200306</t>
  </si>
  <si>
    <t>VIS201012</t>
  </si>
  <si>
    <t>VIS201225</t>
  </si>
  <si>
    <t>VIS200082</t>
  </si>
  <si>
    <t>VIS202206</t>
  </si>
  <si>
    <t>VIS200085</t>
  </si>
  <si>
    <t>VIS201727</t>
  </si>
  <si>
    <t>VIS200153</t>
  </si>
  <si>
    <t>VIS201178</t>
  </si>
  <si>
    <t>VIS201429</t>
  </si>
  <si>
    <t>VIS201933</t>
  </si>
  <si>
    <t>VIS202681</t>
  </si>
  <si>
    <t>VIS202173</t>
  </si>
  <si>
    <t>VIS200522</t>
  </si>
  <si>
    <t>VIS201441</t>
  </si>
  <si>
    <t>VIS201749</t>
  </si>
  <si>
    <t>VIS201405</t>
  </si>
  <si>
    <t>VIS200823</t>
  </si>
  <si>
    <t>VIS202043</t>
  </si>
  <si>
    <t>VIS200619</t>
  </si>
  <si>
    <t>VIS201007</t>
  </si>
  <si>
    <t>VIS200710</t>
  </si>
  <si>
    <t>VIS201817</t>
  </si>
  <si>
    <t>VIS200738</t>
  </si>
  <si>
    <t>VIS201501</t>
  </si>
  <si>
    <t>VIS202401</t>
  </si>
  <si>
    <t>VIS201053</t>
  </si>
  <si>
    <t>VIS201459</t>
  </si>
  <si>
    <t>VIS200966</t>
  </si>
  <si>
    <t>VIS200523</t>
  </si>
  <si>
    <t>VIS200906</t>
  </si>
  <si>
    <t>VIS202948</t>
  </si>
  <si>
    <t>VIS201722</t>
  </si>
  <si>
    <t>VIS200285</t>
  </si>
  <si>
    <t>VIS202785</t>
  </si>
  <si>
    <t>VIS200778</t>
  </si>
  <si>
    <t>VIS202531</t>
  </si>
  <si>
    <t>VIS200375</t>
  </si>
  <si>
    <t>VIS200841</t>
  </si>
  <si>
    <t>VIS200298</t>
  </si>
  <si>
    <t>VIS200826</t>
  </si>
  <si>
    <t>VIS201272</t>
  </si>
  <si>
    <t>VIS200305</t>
  </si>
  <si>
    <t>VIS201043</t>
  </si>
  <si>
    <t>VIS200043</t>
  </si>
  <si>
    <t>VIS202169</t>
  </si>
  <si>
    <t>VIS202020</t>
  </si>
  <si>
    <t>VIS201569</t>
  </si>
  <si>
    <t>VIS201067</t>
  </si>
  <si>
    <t>VIS202762</t>
  </si>
  <si>
    <t>VIS201649</t>
  </si>
  <si>
    <t>VIS202744</t>
  </si>
  <si>
    <t>VIS201579</t>
  </si>
  <si>
    <t>VIS202894</t>
  </si>
  <si>
    <t>VIS201956</t>
  </si>
  <si>
    <t>VIS202621</t>
  </si>
  <si>
    <t>VIS201623</t>
  </si>
  <si>
    <t>VIS200656</t>
  </si>
  <si>
    <t>VIS201250</t>
  </si>
  <si>
    <t>VIS202518</t>
  </si>
  <si>
    <t>VIS202339</t>
  </si>
  <si>
    <t>VIS200698</t>
  </si>
  <si>
    <t>VIS202671</t>
  </si>
  <si>
    <t>VIS200033</t>
  </si>
  <si>
    <t>VIS200685</t>
  </si>
  <si>
    <t>VIS200000</t>
  </si>
  <si>
    <t>VIS201159</t>
  </si>
  <si>
    <t>VIS201489</t>
  </si>
  <si>
    <t>VIS202273</t>
  </si>
  <si>
    <t>VIS201214</t>
  </si>
  <si>
    <t>VIS201763</t>
  </si>
  <si>
    <t>VIS200022</t>
  </si>
  <si>
    <t>VIS200243</t>
  </si>
  <si>
    <t>VIS202314</t>
  </si>
  <si>
    <t>VIS200885</t>
  </si>
  <si>
    <t>VIS202834</t>
  </si>
  <si>
    <t>VIS202929</t>
  </si>
  <si>
    <t>VIS200944</t>
  </si>
  <si>
    <t>VIS201072</t>
  </si>
  <si>
    <t>VIS202857</t>
  </si>
  <si>
    <t>VIS202070</t>
  </si>
  <si>
    <t>VIS201419</t>
  </si>
  <si>
    <t>VIS202511</t>
  </si>
  <si>
    <t>VIS201356</t>
  </si>
  <si>
    <t>VIS202800</t>
  </si>
  <si>
    <t>VIS202775</t>
  </si>
  <si>
    <t>VIS201491</t>
  </si>
  <si>
    <t>VIS200853</t>
  </si>
  <si>
    <t>VIS201977</t>
  </si>
  <si>
    <t>VIS202704</t>
  </si>
  <si>
    <t>VIS202912</t>
  </si>
  <si>
    <t>VIS202517</t>
  </si>
  <si>
    <t>VIS201746</t>
  </si>
  <si>
    <t>VIS200982</t>
  </si>
  <si>
    <t>VIS202028</t>
  </si>
  <si>
    <t>VIS202039</t>
  </si>
  <si>
    <t>VIS202209</t>
  </si>
  <si>
    <t>VIS201398</t>
  </si>
  <si>
    <t>VIS202924</t>
  </si>
  <si>
    <t>VIS201894</t>
  </si>
  <si>
    <t>VIS201088</t>
  </si>
  <si>
    <t>VIS200928</t>
  </si>
  <si>
    <t>VIS200859</t>
  </si>
  <si>
    <t>VIS201693</t>
  </si>
  <si>
    <t>VIS201227</t>
  </si>
  <si>
    <t>VIS202574</t>
  </si>
  <si>
    <t>VIS201848</t>
  </si>
  <si>
    <t>VIS201706</t>
  </si>
  <si>
    <t>VIS200996</t>
  </si>
  <si>
    <t>VIS200144</t>
  </si>
  <si>
    <t>VIS202967</t>
  </si>
  <si>
    <t>VIS201248</t>
  </si>
  <si>
    <t>VIS202736</t>
  </si>
  <si>
    <t>VIS201521</t>
  </si>
  <si>
    <t>VIS202354</t>
  </si>
  <si>
    <t>VIS202730</t>
  </si>
  <si>
    <t>VIS202217</t>
  </si>
  <si>
    <t>VIS201683</t>
  </si>
  <si>
    <t>VIS200354</t>
  </si>
  <si>
    <t>VIS202482</t>
  </si>
  <si>
    <t>VIS200413</t>
  </si>
  <si>
    <t>VIS200962</t>
  </si>
  <si>
    <t>VIS200230</t>
  </si>
  <si>
    <t>VIS201524</t>
  </si>
  <si>
    <t>VIS200240</t>
  </si>
  <si>
    <t>VIS202447</t>
  </si>
  <si>
    <t>VIS201650</t>
  </si>
  <si>
    <t>VIS202253</t>
  </si>
  <si>
    <t>VIS201005</t>
  </si>
  <si>
    <t>VIS200290</t>
  </si>
  <si>
    <t>VIS200001</t>
  </si>
  <si>
    <t>VIS201984</t>
  </si>
  <si>
    <t>VIS200328</t>
  </si>
  <si>
    <t>VIS202976</t>
  </si>
  <si>
    <t>VIS200926</t>
  </si>
  <si>
    <t>VIS202451</t>
  </si>
  <si>
    <t>VIS201560</t>
  </si>
  <si>
    <t>VIS200261</t>
  </si>
  <si>
    <t>VIS200388</t>
  </si>
  <si>
    <t>VIS202192</t>
  </si>
  <si>
    <t>VIS202488</t>
  </si>
  <si>
    <t>VIS200842</t>
  </si>
  <si>
    <t>VIS200640</t>
  </si>
  <si>
    <t>VIS202234</t>
  </si>
  <si>
    <t>VIS201076</t>
  </si>
  <si>
    <t>VIS202403</t>
  </si>
  <si>
    <t>VIS202293</t>
  </si>
  <si>
    <t>VIS202820</t>
  </si>
  <si>
    <t>VIS200434</t>
  </si>
  <si>
    <t>VIS202838</t>
  </si>
  <si>
    <t>VIS202230</t>
  </si>
  <si>
    <t>VIS202042</t>
  </si>
  <si>
    <t>VIS202106</t>
  </si>
  <si>
    <t>VIS200443</t>
  </si>
  <si>
    <t>VIS202408</t>
  </si>
  <si>
    <t>VIS200959</t>
  </si>
  <si>
    <t>VIS202097</t>
  </si>
  <si>
    <t>VIS201336</t>
  </si>
  <si>
    <t>VIS201510</t>
  </si>
  <si>
    <t>VIS202981</t>
  </si>
  <si>
    <t>VIS200395</t>
  </si>
  <si>
    <t>VIS202787</t>
  </si>
  <si>
    <t>VIS202177</t>
  </si>
  <si>
    <t>VIS202262</t>
  </si>
  <si>
    <t>VIS202322</t>
  </si>
  <si>
    <t>VIS201036</t>
  </si>
  <si>
    <t>VIS202680</t>
  </si>
  <si>
    <t>VIS202940</t>
  </si>
  <si>
    <t>VIS202282</t>
  </si>
  <si>
    <t>VIS200830</t>
  </si>
  <si>
    <t>VIS200952</t>
  </si>
  <si>
    <t>VIS202520</t>
  </si>
  <si>
    <t>VIS200238</t>
  </si>
  <si>
    <t>VIS200956</t>
  </si>
  <si>
    <t>VIS202781</t>
  </si>
  <si>
    <t>VIS202395</t>
  </si>
  <si>
    <t>VIS201653</t>
  </si>
  <si>
    <t>VIS202289</t>
  </si>
  <si>
    <t>VIS201320</t>
  </si>
  <si>
    <t>VIS202619</t>
  </si>
  <si>
    <t>VIS200436</t>
  </si>
  <si>
    <t>VIS201558</t>
  </si>
  <si>
    <t>VIS200577</t>
  </si>
  <si>
    <t>VIS201149</t>
  </si>
  <si>
    <t>VIS200918</t>
  </si>
  <si>
    <t>VIS201787</t>
  </si>
  <si>
    <t>VIS202104</t>
  </si>
  <si>
    <t>VIS200501</t>
  </si>
  <si>
    <t>VIS202686</t>
  </si>
  <si>
    <t>VIS200348</t>
  </si>
  <si>
    <t>VIS200382</t>
  </si>
  <si>
    <t>PAT6581</t>
  </si>
  <si>
    <t>PAT5010</t>
  </si>
  <si>
    <t>PAT6047</t>
  </si>
  <si>
    <t>PAT6827</t>
  </si>
  <si>
    <t>PAT6391</t>
  </si>
  <si>
    <t>PAT6590</t>
  </si>
  <si>
    <t>PAT5927</t>
  </si>
  <si>
    <t>PAT6908</t>
  </si>
  <si>
    <t>PAT5989</t>
  </si>
  <si>
    <t>PAT6700</t>
  </si>
  <si>
    <t>PAT5076</t>
  </si>
  <si>
    <t>PAT6057</t>
  </si>
  <si>
    <t>PAT6473</t>
  </si>
  <si>
    <t>PAT6323</t>
  </si>
  <si>
    <t>PAT6376</t>
  </si>
  <si>
    <t>PAT6067</t>
  </si>
  <si>
    <t>PAT6509</t>
  </si>
  <si>
    <t>PAT5504</t>
  </si>
  <si>
    <t>PAT5700</t>
  </si>
  <si>
    <t>PAT5322</t>
  </si>
  <si>
    <t>PAT6765</t>
  </si>
  <si>
    <t>PAT6050</t>
  </si>
  <si>
    <t>PAT5614</t>
  </si>
  <si>
    <t>PAT5049</t>
  </si>
  <si>
    <t>PAT6719</t>
  </si>
  <si>
    <t>PAT5225</t>
  </si>
  <si>
    <t>PAT5143</t>
  </si>
  <si>
    <t>PAT5883</t>
  </si>
  <si>
    <t>PAT6092</t>
  </si>
  <si>
    <t>PAT5618</t>
  </si>
  <si>
    <t>PAT6017</t>
  </si>
  <si>
    <t>PAT5952</t>
  </si>
  <si>
    <t>PAT6246</t>
  </si>
  <si>
    <t>PAT6679</t>
  </si>
  <si>
    <t>PAT6425</t>
  </si>
  <si>
    <t>PAT6957</t>
  </si>
  <si>
    <t>PAT5464</t>
  </si>
  <si>
    <t>PAT6792</t>
  </si>
  <si>
    <t>PAT5917</t>
  </si>
  <si>
    <t>PAT6920</t>
  </si>
  <si>
    <t>PAT5710</t>
  </si>
  <si>
    <t>PAT6944</t>
  </si>
  <si>
    <t>PAT5479</t>
  </si>
  <si>
    <t>PAT5827</t>
  </si>
  <si>
    <t>PAT6433</t>
  </si>
  <si>
    <t>PAT5199</t>
  </si>
  <si>
    <t>PAT5043</t>
  </si>
  <si>
    <t>PAT6190</t>
  </si>
  <si>
    <t>PAT5135</t>
  </si>
  <si>
    <t>PAT5386</t>
  </si>
  <si>
    <t>PAT5496</t>
  </si>
  <si>
    <t>PAT6344</t>
  </si>
  <si>
    <t>PAT5811</t>
  </si>
  <si>
    <t>PAT5962</t>
  </si>
  <si>
    <t>PAT5730</t>
  </si>
  <si>
    <t>PAT6958</t>
  </si>
  <si>
    <t>PAT5935</t>
  </si>
  <si>
    <t>PAT5462</t>
  </si>
  <si>
    <t>PAT5181</t>
  </si>
  <si>
    <t>PAT6144</t>
  </si>
  <si>
    <t>PAT6889</t>
  </si>
  <si>
    <t>PAT5051</t>
  </si>
  <si>
    <t>PAT5703</t>
  </si>
  <si>
    <t>PAT6404</t>
  </si>
  <si>
    <t>PAT5647</t>
  </si>
  <si>
    <t>PAT5951</t>
  </si>
  <si>
    <t>PAT6389</t>
  </si>
  <si>
    <t>PAT6555</t>
  </si>
  <si>
    <t>PAT5443</t>
  </si>
  <si>
    <t>PAT5729</t>
  </si>
  <si>
    <t>PAT5738</t>
  </si>
  <si>
    <t>PAT5368</t>
  </si>
  <si>
    <t>PAT5857</t>
  </si>
  <si>
    <t>PAT5773</t>
  </si>
  <si>
    <t>PAT6745</t>
  </si>
  <si>
    <t>PAT6751</t>
  </si>
  <si>
    <t>PAT6570</t>
  </si>
  <si>
    <t>PAT5867</t>
  </si>
  <si>
    <t>PAT5289</t>
  </si>
  <si>
    <t>PAT5115</t>
  </si>
  <si>
    <t>PAT5269</t>
  </si>
  <si>
    <t>PAT6535</t>
  </si>
  <si>
    <t>PAT5816</t>
  </si>
  <si>
    <t>PAT6946</t>
  </si>
  <si>
    <t>PAT5431</t>
  </si>
  <si>
    <t>PAT5899</t>
  </si>
  <si>
    <t>PAT6041</t>
  </si>
  <si>
    <t>PAT5530</t>
  </si>
  <si>
    <t>PAT5915</t>
  </si>
  <si>
    <t>PAT6635</t>
  </si>
  <si>
    <t>PAT5432</t>
  </si>
  <si>
    <t>PAT5384</t>
  </si>
  <si>
    <t>PAT5638</t>
  </si>
  <si>
    <t>PAT6561</t>
  </si>
  <si>
    <t>PAT6589</t>
  </si>
  <si>
    <t>PAT6049</t>
  </si>
  <si>
    <t>PAT5676</t>
  </si>
  <si>
    <t>PAT6416</t>
  </si>
  <si>
    <t>PAT6654</t>
  </si>
  <si>
    <t>PAT6292</t>
  </si>
  <si>
    <t>PAT5318</t>
  </si>
  <si>
    <t>PAT5537</t>
  </si>
  <si>
    <t>PAT6568</t>
  </si>
  <si>
    <t>PAT6014</t>
  </si>
  <si>
    <t>PAT6204</t>
  </si>
  <si>
    <t>PAT5555</t>
  </si>
  <si>
    <t>PAT5216</t>
  </si>
  <si>
    <t>PAT5090</t>
  </si>
  <si>
    <t>PAT5524</t>
  </si>
  <si>
    <t>PAT5361</t>
  </si>
  <si>
    <t>PAT6791</t>
  </si>
  <si>
    <t>PAT5445</t>
  </si>
  <si>
    <t>PAT6253</t>
  </si>
  <si>
    <t>PAT5109</t>
  </si>
  <si>
    <t>PAT5048</t>
  </si>
  <si>
    <t>PAT5046</t>
  </si>
  <si>
    <t>PAT6975</t>
  </si>
  <si>
    <t>PAT5652</t>
  </si>
  <si>
    <t>PAT5459</t>
  </si>
  <si>
    <t>PAT5544</t>
  </si>
  <si>
    <t>PAT6856</t>
  </si>
  <si>
    <t>PAT6140</t>
  </si>
  <si>
    <t>PAT6166</t>
  </si>
  <si>
    <t>PAT6782</t>
  </si>
  <si>
    <t>PAT6013</t>
  </si>
  <si>
    <t>PAT6258</t>
  </si>
  <si>
    <t>PAT5900</t>
  </si>
  <si>
    <t>PAT5323</t>
  </si>
  <si>
    <t>PAT6177</t>
  </si>
  <si>
    <t>PAT5120</t>
  </si>
  <si>
    <t>PAT5252</t>
  </si>
  <si>
    <t>PAT5248</t>
  </si>
  <si>
    <t>PAT5240</t>
  </si>
  <si>
    <t>PAT5501</t>
  </si>
  <si>
    <t>PAT5528</t>
  </si>
  <si>
    <t>PAT6408</t>
  </si>
  <si>
    <t>PAT6449</t>
  </si>
  <si>
    <t>PAT6198</t>
  </si>
  <si>
    <t>PAT5079</t>
  </si>
  <si>
    <t>PAT6636</t>
  </si>
  <si>
    <t>PAT6441</t>
  </si>
  <si>
    <t>PAT6312</t>
  </si>
  <si>
    <t>PAT5442</t>
  </si>
  <si>
    <t>PAT6809</t>
  </si>
  <si>
    <t>PAT6805</t>
  </si>
  <si>
    <t>PAT6271</t>
  </si>
  <si>
    <t>PAT5873</t>
  </si>
  <si>
    <t>PAT6800</t>
  </si>
  <si>
    <t>PAT6898</t>
  </si>
  <si>
    <t>PAT6417</t>
  </si>
  <si>
    <t>PAT5769</t>
  </si>
  <si>
    <t>PAT5030</t>
  </si>
  <si>
    <t>PAT5203</t>
  </si>
  <si>
    <t>PAT5191</t>
  </si>
  <si>
    <t>PAT6653</t>
  </si>
  <si>
    <t>PAT5131</t>
  </si>
  <si>
    <t>PAT6220</t>
  </si>
  <si>
    <t>PAT6951</t>
  </si>
  <si>
    <t>PAT6075</t>
  </si>
  <si>
    <t>PAT5932</t>
  </si>
  <si>
    <t>PAT6634</t>
  </si>
  <si>
    <t>PAT6798</t>
  </si>
  <si>
    <t>PAT6842</t>
  </si>
  <si>
    <t>PAT6051</t>
  </si>
  <si>
    <t>PAT6001</t>
  </si>
  <si>
    <t>PAT5959</t>
  </si>
  <si>
    <t>PAT6871</t>
  </si>
  <si>
    <t>PAT5979</t>
  </si>
  <si>
    <t>PAT5268</t>
  </si>
  <si>
    <t>PAT6297</t>
  </si>
  <si>
    <t>PAT6155</t>
  </si>
  <si>
    <t>PAT5206</t>
  </si>
  <si>
    <t>PAT5763</t>
  </si>
  <si>
    <t>PAT6260</t>
  </si>
  <si>
    <t>PAT5921</t>
  </si>
  <si>
    <t>PAT6667</t>
  </si>
  <si>
    <t>PAT5687</t>
  </si>
  <si>
    <t>PAT5081</t>
  </si>
  <si>
    <t>PAT5311</t>
  </si>
  <si>
    <t>PAT5649</t>
  </si>
  <si>
    <t>PAT6307</t>
  </si>
  <si>
    <t>PAT5229</t>
  </si>
  <si>
    <t>PAT6339</t>
  </si>
  <si>
    <t>PAT5454</t>
  </si>
  <si>
    <t>PAT6230</t>
  </si>
  <si>
    <t>PAT5937</t>
  </si>
  <si>
    <t>PAT5540</t>
  </si>
  <si>
    <t>PAT6537</t>
  </si>
  <si>
    <t>PAT6676</t>
  </si>
  <si>
    <t>PAT6280</t>
  </si>
  <si>
    <t>PAT6545</t>
  </si>
  <si>
    <t>PAT6741</t>
  </si>
  <si>
    <t>PAT5281</t>
  </si>
  <si>
    <t>PAT5982</t>
  </si>
  <si>
    <t>PAT5034</t>
  </si>
  <si>
    <t>PAT6981</t>
  </si>
  <si>
    <t>PAT6420</t>
  </si>
  <si>
    <t>PAT6748</t>
  </si>
  <si>
    <t>PAT6503</t>
  </si>
  <si>
    <t>PAT5006</t>
  </si>
  <si>
    <t>PAT5807</t>
  </si>
  <si>
    <t>PAT6987</t>
  </si>
  <si>
    <t>PAT6205</t>
  </si>
  <si>
    <t>PAT5797</t>
  </si>
  <si>
    <t>PAT5788</t>
  </si>
  <si>
    <t>PAT6622</t>
  </si>
  <si>
    <t>PAT5762</t>
  </si>
  <si>
    <t>PAT6156</t>
  </si>
  <si>
    <t>PAT5292</t>
  </si>
  <si>
    <t>PAT5290</t>
  </si>
  <si>
    <t>PAT6949</t>
  </si>
  <si>
    <t>PAT5965</t>
  </si>
  <si>
    <t>PAT6563</t>
  </si>
  <si>
    <t>PAT6236</t>
  </si>
  <si>
    <t>PAT6034</t>
  </si>
  <si>
    <t>PAT5916</t>
  </si>
  <si>
    <t>PAT6675</t>
  </si>
  <si>
    <t>PAT5230</t>
  </si>
  <si>
    <t>PAT5954</t>
  </si>
  <si>
    <t>PAT6390</t>
  </si>
  <si>
    <t>PAT5004</t>
  </si>
  <si>
    <t>PAT6678</t>
  </si>
  <si>
    <t>PAT5511</t>
  </si>
  <si>
    <t>PAT5060</t>
  </si>
  <si>
    <t>PAT5650</t>
  </si>
  <si>
    <t>PAT6350</t>
  </si>
  <si>
    <t>PAT5458</t>
  </si>
  <si>
    <t>PAT6399</t>
  </si>
  <si>
    <t>PAT6743</t>
  </si>
  <si>
    <t>PAT5011</t>
  </si>
  <si>
    <t>PAT6943</t>
  </si>
  <si>
    <t>PAT6439</t>
  </si>
  <si>
    <t>PAT6478</t>
  </si>
  <si>
    <t>PAT5821</t>
  </si>
  <si>
    <t>PAT5775</t>
  </si>
  <si>
    <t>PAT6189</t>
  </si>
  <si>
    <t>PAT5985</t>
  </si>
  <si>
    <t>PAT5612</t>
  </si>
  <si>
    <t>PAT6556</t>
  </si>
  <si>
    <t>PAT6213</t>
  </si>
  <si>
    <t>PAT5097</t>
  </si>
  <si>
    <t>PAT5929</t>
  </si>
  <si>
    <t>PAT6074</t>
  </si>
  <si>
    <t>PAT5847</t>
  </si>
  <si>
    <t>PAT6915</t>
  </si>
  <si>
    <t>PAT5232</t>
  </si>
  <si>
    <t>PAT6080</t>
  </si>
  <si>
    <t>PAT5673</t>
  </si>
  <si>
    <t>PAT5065</t>
  </si>
  <si>
    <t>PAT6118</t>
  </si>
  <si>
    <t>PAT5107</t>
  </si>
  <si>
    <t>PAT5541</t>
  </si>
  <si>
    <t>PAT6099</t>
  </si>
  <si>
    <t>PAT6081</t>
  </si>
  <si>
    <t>PAT5801</t>
  </si>
  <si>
    <t>PAT5023</t>
  </si>
  <si>
    <t>PAT6659</t>
  </si>
  <si>
    <t>PAT5204</t>
  </si>
  <si>
    <t>PAT6158</t>
  </si>
  <si>
    <t>PAT6072</t>
  </si>
  <si>
    <t>PAT5101</t>
  </si>
  <si>
    <t>PAT6996</t>
  </si>
  <si>
    <t>PAT5785</t>
  </si>
  <si>
    <t>PAT6539</t>
  </si>
  <si>
    <t>PAT5092</t>
  </si>
  <si>
    <t>PAT6984</t>
  </si>
  <si>
    <t>PAT5188</t>
  </si>
  <si>
    <t>PAT6022</t>
  </si>
  <si>
    <t>PAT5167</t>
  </si>
  <si>
    <t>PAT6123</t>
  </si>
  <si>
    <t>PAT6234</t>
  </si>
  <si>
    <t>PAT5702</t>
  </si>
  <si>
    <t>PAT5679</t>
  </si>
  <si>
    <t>PAT5522</t>
  </si>
  <si>
    <t>PAT5686</t>
  </si>
  <si>
    <t>PAT5505</t>
  </si>
  <si>
    <t>PAT6865</t>
  </si>
  <si>
    <t>PAT6757</t>
  </si>
  <si>
    <t>PAT6059</t>
  </si>
  <si>
    <t>PAT6415</t>
  </si>
  <si>
    <t>PAT6553</t>
  </si>
  <si>
    <t>PAT6298</t>
  </si>
  <si>
    <t>PAT6900</t>
  </si>
  <si>
    <t>PAT6276</t>
  </si>
  <si>
    <t>PAT6760</t>
  </si>
  <si>
    <t>PAT6744</t>
  </si>
  <si>
    <t>PAT5461</t>
  </si>
  <si>
    <t>PAT6547</t>
  </si>
  <si>
    <t>PAT5349</t>
  </si>
  <si>
    <t>PAT5586</t>
  </si>
  <si>
    <t>PAT6830</t>
  </si>
  <si>
    <t>PAT5447</t>
  </si>
  <si>
    <t>PAT5713</t>
  </si>
  <si>
    <t>PAT6358</t>
  </si>
  <si>
    <t>PAT5055</t>
  </si>
  <si>
    <t>PAT6548</t>
  </si>
  <si>
    <t>PAT5565</t>
  </si>
  <si>
    <t>PAT5105</t>
  </si>
  <si>
    <t>PAT5850</t>
  </si>
  <si>
    <t>PAT5440</t>
  </si>
  <si>
    <t>PAT5792</t>
  </si>
  <si>
    <t>PAT5288</t>
  </si>
  <si>
    <t>PAT6995</t>
  </si>
  <si>
    <t>PAT6926</t>
  </si>
  <si>
    <t>PAT6655</t>
  </si>
  <si>
    <t>PAT5342</t>
  </si>
  <si>
    <t>PAT5995</t>
  </si>
  <si>
    <t>PAT5334</t>
  </si>
  <si>
    <t>PAT5482</t>
  </si>
  <si>
    <t>PAT5645</t>
  </si>
  <si>
    <t>PAT6437</t>
  </si>
  <si>
    <t>PAT5254</t>
  </si>
  <si>
    <t>PAT5455</t>
  </si>
  <si>
    <t>PAT5073</t>
  </si>
  <si>
    <t>PAT6689</t>
  </si>
  <si>
    <t>PAT6642</t>
  </si>
  <si>
    <t>PAT6282</t>
  </si>
  <si>
    <t>PAT5742</t>
  </si>
  <si>
    <t>PAT5578</t>
  </si>
  <si>
    <t>PAT6770</t>
  </si>
  <si>
    <t>PAT5324</t>
  </si>
  <si>
    <t>PAT6470</t>
  </si>
  <si>
    <t>PAT6112</t>
  </si>
  <si>
    <t>PAT6005</t>
  </si>
  <si>
    <t>PAT5037</t>
  </si>
  <si>
    <t>PAT5054</t>
  </si>
  <si>
    <t>PAT6378</t>
  </si>
  <si>
    <t>PAT6052</t>
  </si>
  <si>
    <t>PAT5520</t>
  </si>
  <si>
    <t>PAT5539</t>
  </si>
  <si>
    <t>PAT6978</t>
  </si>
  <si>
    <t>PAT6004</t>
  </si>
  <si>
    <t>PAT6879</t>
  </si>
  <si>
    <t>PAT5552</t>
  </si>
  <si>
    <t>PAT6874</t>
  </si>
  <si>
    <t>PAT6637</t>
  </si>
  <si>
    <t>PAT5958</t>
  </si>
  <si>
    <t>PAT6976</t>
  </si>
  <si>
    <t>PAT6200</t>
  </si>
  <si>
    <t>PAT6816</t>
  </si>
  <si>
    <t>PAT6119</t>
  </si>
  <si>
    <t>PAT6736</t>
  </si>
  <si>
    <t>PAT6217</t>
  </si>
  <si>
    <t>PAT5044</t>
  </si>
  <si>
    <t>PAT6472</t>
  </si>
  <si>
    <t>PAT6986</t>
  </si>
  <si>
    <t>PAT5759</t>
  </si>
  <si>
    <t>PAT6558</t>
  </si>
  <si>
    <t>PAT6542</t>
  </si>
  <si>
    <t>PAT5428</t>
  </si>
  <si>
    <t>PAT5211</t>
  </si>
  <si>
    <t>PAT5497</t>
  </si>
  <si>
    <t>PAT5307</t>
  </si>
  <si>
    <t>PAT6966</t>
  </si>
  <si>
    <t>PAT5607</t>
  </si>
  <si>
    <t>PAT6361</t>
  </si>
  <si>
    <t>PAT5752</t>
  </si>
  <si>
    <t>PAT6813</t>
  </si>
  <si>
    <t>PAT5859</t>
  </si>
  <si>
    <t>PAT5416</t>
  </si>
  <si>
    <t>PAT5309</t>
  </si>
  <si>
    <t>PAT5680</t>
  </si>
  <si>
    <t>PAT6481</t>
  </si>
  <si>
    <t>PAT6076</t>
  </si>
  <si>
    <t>PAT6272</t>
  </si>
  <si>
    <t>PAT6195</t>
  </si>
  <si>
    <t>PAT6285</t>
  </si>
  <si>
    <t>PAT6690</t>
  </si>
  <si>
    <t>PAT6427</t>
  </si>
  <si>
    <t>PAT6505</t>
  </si>
  <si>
    <t>PAT6998</t>
  </si>
  <si>
    <t>PAT5516</t>
  </si>
  <si>
    <t>PAT5197</t>
  </si>
  <si>
    <t>PAT6146</t>
  </si>
  <si>
    <t>PAT5195</t>
  </si>
  <si>
    <t>PAT5567</t>
  </si>
  <si>
    <t>PAT6647</t>
  </si>
  <si>
    <t>PAT5536</t>
  </si>
  <si>
    <t>PAT5358</t>
  </si>
  <si>
    <t>PAT6426</t>
  </si>
  <si>
    <t>PAT5192</t>
  </si>
  <si>
    <t>PAT5352</t>
  </si>
  <si>
    <t>PAT5936</t>
  </si>
  <si>
    <t>PAT5971</t>
  </si>
  <si>
    <t>PAT5991</t>
  </si>
  <si>
    <t>PAT6381</t>
  </si>
  <si>
    <t>PAT6348</t>
  </si>
  <si>
    <t>PAT5273</t>
  </si>
  <si>
    <t>PAT5527</t>
  </si>
  <si>
    <t>PAT6102</t>
  </si>
  <si>
    <t>PAT6495</t>
  </si>
  <si>
    <t>PAT6772</t>
  </si>
  <si>
    <t>PAT6603</t>
  </si>
  <si>
    <t>PAT6511</t>
  </si>
  <si>
    <t>PAT6094</t>
  </si>
  <si>
    <t>PAT5067</t>
  </si>
  <si>
    <t>PAT5625</t>
  </si>
  <si>
    <t>PAT5356</t>
  </si>
  <si>
    <t>PAT6804</t>
  </si>
  <si>
    <t>PAT5335</t>
  </si>
  <si>
    <t>PAT5723</t>
  </si>
  <si>
    <t>PAT5262</t>
  </si>
  <si>
    <t>PAT5566</t>
  </si>
  <si>
    <t>PAT5839</t>
  </si>
  <si>
    <t>PAT5896</t>
  </si>
  <si>
    <t>PAT6763</t>
  </si>
  <si>
    <t>PAT5284</t>
  </si>
  <si>
    <t>PAT5321</t>
  </si>
  <si>
    <t>PAT5350</t>
  </si>
  <si>
    <t>PAT6962</t>
  </si>
  <si>
    <t>PAT6925</t>
  </si>
  <si>
    <t>PAT5755</t>
  </si>
  <si>
    <t>PAT6668</t>
  </si>
  <si>
    <t>PAT5149</t>
  </si>
  <si>
    <t>PAT5163</t>
  </si>
  <si>
    <t>PAT6438</t>
  </si>
  <si>
    <t>PAT6262</t>
  </si>
  <si>
    <t>PAT5059</t>
  </si>
  <si>
    <t>PAT6243</t>
  </si>
  <si>
    <t>PAT5162</t>
  </si>
  <si>
    <t>PAT6289</t>
  </si>
  <si>
    <t>PAT5495</t>
  </si>
  <si>
    <t>PAT6825</t>
  </si>
  <si>
    <t>PAT6235</t>
  </si>
  <si>
    <t>PAT6026</t>
  </si>
  <si>
    <t>PAT6063</t>
  </si>
  <si>
    <t>PAT5750</t>
  </si>
  <si>
    <t>PAT6237</t>
  </si>
  <si>
    <t>PAT6684</t>
  </si>
  <si>
    <t>PAT6930</t>
  </si>
  <si>
    <t>PAT6767</t>
  </si>
  <si>
    <t>PAT6529</t>
  </si>
  <si>
    <t>PAT5992</t>
  </si>
  <si>
    <t>PAT5662</t>
  </si>
  <si>
    <t>PAT5375</t>
  </si>
  <si>
    <t>PAT6384</t>
  </si>
  <si>
    <t>PAT5906</t>
  </si>
  <si>
    <t>PAT5132</t>
  </si>
  <si>
    <t>PAT6619</t>
  </si>
  <si>
    <t>PAT5249</t>
  </si>
  <si>
    <t>PAT6528</t>
  </si>
  <si>
    <t>PAT6487</t>
  </si>
  <si>
    <t>PAT5904</t>
  </si>
  <si>
    <t>PAT6841</t>
  </si>
  <si>
    <t>PAT5000</t>
  </si>
  <si>
    <t>PAT5178</t>
  </si>
  <si>
    <t>PAT5122</t>
  </si>
  <si>
    <t>PAT6020</t>
  </si>
  <si>
    <t>PAT6326</t>
  </si>
  <si>
    <t>PAT6602</t>
  </si>
  <si>
    <t>PAT5100</t>
  </si>
  <si>
    <t>PAT6241</t>
  </si>
  <si>
    <t>PAT6411</t>
  </si>
  <si>
    <t>PAT5830</t>
  </si>
  <si>
    <t>PAT6532</t>
  </si>
  <si>
    <t>PAT6580</t>
  </si>
  <si>
    <t>PAT6248</t>
  </si>
  <si>
    <t>PAT6899</t>
  </si>
  <si>
    <t>PAT6822</t>
  </si>
  <si>
    <t>PAT6445</t>
  </si>
  <si>
    <t>PAT6940</t>
  </si>
  <si>
    <t>PAT5701</t>
  </si>
  <si>
    <t>PAT5022</t>
  </si>
  <si>
    <t>PAT6630</t>
  </si>
  <si>
    <t>PAT5874</t>
  </si>
  <si>
    <t>PAT5844</t>
  </si>
  <si>
    <t>PAT6681</t>
  </si>
  <si>
    <t>PAT6706</t>
  </si>
  <si>
    <t>PAT6643</t>
  </si>
  <si>
    <t>PAT5575</t>
  </si>
  <si>
    <t>PAT6793</t>
  </si>
  <si>
    <t>PAT5658</t>
  </si>
  <si>
    <t>PAT6662</t>
  </si>
  <si>
    <t>PAT5810</t>
  </si>
  <si>
    <t>PAT5205</t>
  </si>
  <si>
    <t>PAT5242</t>
  </si>
  <si>
    <t>PAT6259</t>
  </si>
  <si>
    <t>PAT5580</t>
  </si>
  <si>
    <t>PAT5123</t>
  </si>
  <si>
    <t>PAT5776</t>
  </si>
  <si>
    <t>PAT6787</t>
  </si>
  <si>
    <t>PAT6814</t>
  </si>
  <si>
    <t>PAT5031</t>
  </si>
  <si>
    <t>PAT6171</t>
  </si>
  <si>
    <t>PAT5367</t>
  </si>
  <si>
    <t>PAT5685</t>
  </si>
  <si>
    <t>PAT5457</t>
  </si>
  <si>
    <t>PAT5675</t>
  </si>
  <si>
    <t>PAT6510</t>
  </si>
  <si>
    <t>PAT6694</t>
  </si>
  <si>
    <t>PAT5998</t>
  </si>
  <si>
    <t>PAT5656</t>
  </si>
  <si>
    <t>PAT6187</t>
  </si>
  <si>
    <t>PAT5877</t>
  </si>
  <si>
    <t>PAT5619</t>
  </si>
  <si>
    <t>PAT6341</t>
  </si>
  <si>
    <t>PAT5102</t>
  </si>
  <si>
    <t>PAT6828</t>
  </si>
  <si>
    <t>PAT6661</t>
  </si>
  <si>
    <t>PAT6154</t>
  </si>
  <si>
    <t>PAT6591</t>
  </si>
  <si>
    <t>PAT6374</t>
  </si>
  <si>
    <t>PAT6336</t>
  </si>
  <si>
    <t>PAT5739</t>
  </si>
  <si>
    <t>PAT6351</t>
  </si>
  <si>
    <t>PAT5315</t>
  </si>
  <si>
    <t>PAT6673</t>
  </si>
  <si>
    <t>PAT6859</t>
  </si>
  <si>
    <t>PAT6360</t>
  </si>
  <si>
    <t>PAT6073</t>
  </si>
  <si>
    <t>PAT6269</t>
  </si>
  <si>
    <t>PAT6500</t>
  </si>
  <si>
    <t>PAT6565</t>
  </si>
  <si>
    <t>PAT6061</t>
  </si>
  <si>
    <t>PAT5187</t>
  </si>
  <si>
    <t>PAT5310</t>
  </si>
  <si>
    <t>PAT5699</t>
  </si>
  <si>
    <t>PAT5813</t>
  </si>
  <si>
    <t>PAT6515</t>
  </si>
  <si>
    <t>PAT6688</t>
  </si>
  <si>
    <t>PAT5236</t>
  </si>
  <si>
    <t>PAT5876</t>
  </si>
  <si>
    <t>PAT6698</t>
  </si>
  <si>
    <t>PAT5783</t>
  </si>
  <si>
    <t>PAT5705</t>
  </si>
  <si>
    <t>PAT5040</t>
  </si>
  <si>
    <t>PAT5510</t>
  </si>
  <si>
    <t>PAT6109</t>
  </si>
  <si>
    <t>PAT6448</t>
  </si>
  <si>
    <t>PAT5235</t>
  </si>
  <si>
    <t>PAT5061</t>
  </si>
  <si>
    <t>PAT6424</t>
  </si>
  <si>
    <t>PAT5688</t>
  </si>
  <si>
    <t>PAT5395</t>
  </si>
  <si>
    <t>PAT5542</t>
  </si>
  <si>
    <t>PAT6970</t>
  </si>
  <si>
    <t>PAT6990</t>
  </si>
  <si>
    <t>PAT6299</t>
  </si>
  <si>
    <t>PAT6228</t>
  </si>
  <si>
    <t>PAT6097</t>
  </si>
  <si>
    <t>PAT5823</t>
  </si>
  <si>
    <t>PAT6270</t>
  </si>
  <si>
    <t>PAT5227</t>
  </si>
  <si>
    <t>PAT6329</t>
  </si>
  <si>
    <t>PAT5806</t>
  </si>
  <si>
    <t>PAT6518</t>
  </si>
  <si>
    <t>PAT5838</t>
  </si>
  <si>
    <t>PAT5355</t>
  </si>
  <si>
    <t>PAT5793</t>
  </si>
  <si>
    <t>PAT5351</t>
  </si>
  <si>
    <t>PAT5155</t>
  </si>
  <si>
    <t>PAT5845</t>
  </si>
  <si>
    <t>PAT5579</t>
  </si>
  <si>
    <t>PAT5892</t>
  </si>
  <si>
    <t>PAT5303</t>
  </si>
  <si>
    <t>PAT5467</t>
  </si>
  <si>
    <t>PAT5914</t>
  </si>
  <si>
    <t>PAT6284</t>
  </si>
  <si>
    <t>PAT6682</t>
  </si>
  <si>
    <t>PAT6789</t>
  </si>
  <si>
    <t>PAT5714</t>
  </si>
  <si>
    <t>PAT5653</t>
  </si>
  <si>
    <t>PAT6969</t>
  </si>
  <si>
    <t>PAT6209</t>
  </si>
  <si>
    <t>PAT6941</t>
  </si>
  <si>
    <t>PAT5648</t>
  </si>
  <si>
    <t>PAT6579</t>
  </si>
  <si>
    <t>PAT5466</t>
  </si>
  <si>
    <t>PAT5843</t>
  </si>
  <si>
    <t>PAT5753</t>
  </si>
  <si>
    <t>PAT6905</t>
  </si>
  <si>
    <t>PAT6343</t>
  </si>
  <si>
    <t>PAT6801</t>
  </si>
  <si>
    <t>PAT5406</t>
  </si>
  <si>
    <t>PAT6136</t>
  </si>
  <si>
    <t>PAT5449</t>
  </si>
  <si>
    <t>PAT5774</t>
  </si>
  <si>
    <t>PAT5450</t>
  </si>
  <si>
    <t>PAT5519</t>
  </si>
  <si>
    <t>PAT6263</t>
  </si>
  <si>
    <t>PAT5024</t>
  </si>
  <si>
    <t>PAT6145</t>
  </si>
  <si>
    <t>PAT6991</t>
  </si>
  <si>
    <t>PAT5185</t>
  </si>
  <si>
    <t>PAT6392</t>
  </si>
  <si>
    <t>PAT5573</t>
  </si>
  <si>
    <t>PAT6666</t>
  </si>
  <si>
    <t>PAT5468</t>
  </si>
  <si>
    <t>PAT5339</t>
  </si>
  <si>
    <t>PAT6363</t>
  </si>
  <si>
    <t>PAT5491</t>
  </si>
  <si>
    <t>PAT6114</t>
  </si>
  <si>
    <t>PAT6283</t>
  </si>
  <si>
    <t>PAT6032</t>
  </si>
  <si>
    <t>PAT6977</t>
  </si>
  <si>
    <t>PAT5925</t>
  </si>
  <si>
    <t>PAT6192</t>
  </si>
  <si>
    <t>PAT5328</t>
  </si>
  <si>
    <t>PAT5069</t>
  </si>
  <si>
    <t>PAT5604</t>
  </si>
  <si>
    <t>PAT5427</t>
  </si>
  <si>
    <t>PAT5415</t>
  </si>
  <si>
    <t>PAT5409</t>
  </si>
  <si>
    <t>PAT6917</t>
  </si>
  <si>
    <t>PAT6837</t>
  </si>
  <si>
    <t>PAT6621</t>
  </si>
  <si>
    <t>PAT6774</t>
  </si>
  <si>
    <t>PAT6203</t>
  </si>
  <si>
    <t>PAT5860</t>
  </si>
  <si>
    <t>PAT6290</t>
  </si>
  <si>
    <t>PAT6615</t>
  </si>
  <si>
    <t>PAT5864</t>
  </si>
  <si>
    <t>PAT6279</t>
  </si>
  <si>
    <t>PAT6012</t>
  </si>
  <si>
    <t>PAT6447</t>
  </si>
  <si>
    <t>PAT5923</t>
  </si>
  <si>
    <t>PAT6211</t>
  </si>
  <si>
    <t>PAT6139</t>
  </si>
  <si>
    <t>PAT6759</t>
  </si>
  <si>
    <t>PAT5364</t>
  </si>
  <si>
    <t>PAT5159</t>
  </si>
  <si>
    <t>PAT5948</t>
  </si>
  <si>
    <t>PAT6452</t>
  </si>
  <si>
    <t>PAT6892</t>
  </si>
  <si>
    <t>PAT5709</t>
  </si>
  <si>
    <t>PAT6149</t>
  </si>
  <si>
    <t>PAT6685</t>
  </si>
  <si>
    <t>PAT6069</t>
  </si>
  <si>
    <t>PAT6890</t>
  </si>
  <si>
    <t>PAT5451</t>
  </si>
  <si>
    <t>PAT6172</t>
  </si>
  <si>
    <t>PAT6435</t>
  </si>
  <si>
    <t>PAT6866</t>
  </si>
  <si>
    <t>PAT6794</t>
  </si>
  <si>
    <t>PAT5704</t>
  </si>
  <si>
    <t>PAT6349</t>
  </si>
  <si>
    <t>PAT5301</t>
  </si>
  <si>
    <t>PAT6019</t>
  </si>
  <si>
    <t>PAT5799</t>
  </si>
  <si>
    <t>PAT6504</t>
  </si>
  <si>
    <t>PAT5241</t>
  </si>
  <si>
    <t>PAT5377</t>
  </si>
  <si>
    <t>PAT6854</t>
  </si>
  <si>
    <t>PAT6486</t>
  </si>
  <si>
    <t>PAT5366</t>
  </si>
  <si>
    <t>PAT6462</t>
  </si>
  <si>
    <t>PAT5434</t>
  </si>
  <si>
    <t>PAT6913</t>
  </si>
  <si>
    <t>PAT6469</t>
  </si>
  <si>
    <t>PAT6405</t>
  </si>
  <si>
    <t>PAT5487</t>
  </si>
  <si>
    <t>PAT5347</t>
  </si>
  <si>
    <t>PAT6993</t>
  </si>
  <si>
    <t>PAT6931</t>
  </si>
  <si>
    <t>PAT6028</t>
  </si>
  <si>
    <t>PAT6994</t>
  </si>
  <si>
    <t>PAT6812</t>
  </si>
  <si>
    <t>PAT6811</t>
  </si>
  <si>
    <t>PAT5933</t>
  </si>
  <si>
    <t>PAT5852</t>
  </si>
  <si>
    <t>PAT6788</t>
  </si>
  <si>
    <t>PAT6729</t>
  </si>
  <si>
    <t>PAT5606</t>
  </si>
  <si>
    <t>PAT6264</t>
  </si>
  <si>
    <t>PAT6638</t>
  </si>
  <si>
    <t>PAT5772</t>
  </si>
  <si>
    <t>PAT6838</t>
  </si>
  <si>
    <t>PAT6247</t>
  </si>
  <si>
    <t>PAT5646</t>
  </si>
  <si>
    <t>PAT5986</t>
  </si>
  <si>
    <t>PAT5085</t>
  </si>
  <si>
    <t>PAT6861</t>
  </si>
  <si>
    <t>PAT6907</t>
  </si>
  <si>
    <t>PAT6159</t>
  </si>
  <si>
    <t>PAT5014</t>
  </si>
  <si>
    <t>PAT5110</t>
  </si>
  <si>
    <t>PAT5005</t>
  </si>
  <si>
    <t>PAT6714</t>
  </si>
  <si>
    <t>PAT6721</t>
  </si>
  <si>
    <t>PAT6125</t>
  </si>
  <si>
    <t>PAT6006</t>
  </si>
  <si>
    <t>PAT6549</t>
  </si>
  <si>
    <t>PAT5854</t>
  </si>
  <si>
    <t>PAT5712</t>
  </si>
  <si>
    <t>PAT5594</t>
  </si>
  <si>
    <t>PAT5791</t>
  </si>
  <si>
    <t>PAT6724</t>
  </si>
  <si>
    <t>PAT5949</t>
  </si>
  <si>
    <t>PAT5693</t>
  </si>
  <si>
    <t>PAT6440</t>
  </si>
  <si>
    <t>PAT5183</t>
  </si>
  <si>
    <t>PAT6616</t>
  </si>
  <si>
    <t>PAT6734</t>
  </si>
  <si>
    <t>PAT6450</t>
  </si>
  <si>
    <t>PAT6784</t>
  </si>
  <si>
    <t>PAT5460</t>
  </si>
  <si>
    <t>PAT6266</t>
  </si>
  <si>
    <t>PAT5058</t>
  </si>
  <si>
    <t>PAT5470</t>
  </si>
  <si>
    <t>PAT6732</t>
  </si>
  <si>
    <t>PAT5608</t>
  </si>
  <si>
    <t>PAT5706</t>
  </si>
  <si>
    <t>PAT5266</t>
  </si>
  <si>
    <t>PAT6992</t>
  </si>
  <si>
    <t>PAT5820</t>
  </si>
  <si>
    <t>PAT6168</t>
  </si>
  <si>
    <t>PAT5944</t>
  </si>
  <si>
    <t>PAT6294</t>
  </si>
  <si>
    <t>PAT5039</t>
  </si>
  <si>
    <t>PAT6021</t>
  </si>
  <si>
    <t>PAT6319</t>
  </si>
  <si>
    <t>PAT6540</t>
  </si>
  <si>
    <t>PAT5306</t>
  </si>
  <si>
    <t>PAT6407</t>
  </si>
  <si>
    <t>PAT5137</t>
  </si>
  <si>
    <t>PAT6106</t>
  </si>
  <si>
    <t>PAT6883</t>
  </si>
  <si>
    <t>PAT6552</t>
  </si>
  <si>
    <t>PAT6567</t>
  </si>
  <si>
    <t>PAT6398</t>
  </si>
  <si>
    <t>PAT5999</t>
  </si>
  <si>
    <t>PAT6918</t>
  </si>
  <si>
    <t>PAT6436</t>
  </si>
  <si>
    <t>PAT6536</t>
  </si>
  <si>
    <t>PAT5990</t>
  </si>
  <si>
    <t>PAT6002</t>
  </si>
  <si>
    <t>PAT6003</t>
  </si>
  <si>
    <t>PAT6523</t>
  </si>
  <si>
    <t>PAT5373</t>
  </si>
  <si>
    <t>PAT6660</t>
  </si>
  <si>
    <t>PAT6755</t>
  </si>
  <si>
    <t>PAT5637</t>
  </si>
  <si>
    <t>PAT6157</t>
  </si>
  <si>
    <t>PAT5817</t>
  </si>
  <si>
    <t>PAT6429</t>
  </si>
  <si>
    <t>PAT6802</t>
  </si>
  <si>
    <t>PAT5865</t>
  </si>
  <si>
    <t>PAT6147</t>
  </si>
  <si>
    <t>PAT6797</t>
  </si>
  <si>
    <t>PAT6631</t>
  </si>
  <si>
    <t>PAT5478</t>
  </si>
  <si>
    <t>PAT5250</t>
  </si>
  <si>
    <t>PAT5581</t>
  </si>
  <si>
    <t>PAT6188</t>
  </si>
  <si>
    <t>PAT6826</t>
  </si>
  <si>
    <t>PAT6997</t>
  </si>
  <si>
    <t>PAT5642</t>
  </si>
  <si>
    <t>PAT5804</t>
  </si>
  <si>
    <t>PAT5583</t>
  </si>
  <si>
    <t>PAT6932</t>
  </si>
  <si>
    <t>PAT6735</t>
  </si>
  <si>
    <t>PAT5639</t>
  </si>
  <si>
    <t>PAT6227</t>
  </si>
  <si>
    <t>PAT6711</t>
  </si>
  <si>
    <t>PAT5518</t>
  </si>
  <si>
    <t>PAT5661</t>
  </si>
  <si>
    <t>PAT6880</t>
  </si>
  <si>
    <t>PAT5754</t>
  </si>
  <si>
    <t>PAT6393</t>
  </si>
  <si>
    <t>PAT5408</t>
  </si>
  <si>
    <t>PAT5063</t>
  </si>
  <si>
    <t>PAT5141</t>
  </si>
  <si>
    <t>PAT5571</t>
  </si>
  <si>
    <t>PAT5692</t>
  </si>
  <si>
    <t>PAT6321</t>
  </si>
  <si>
    <t>PAT6627</t>
  </si>
  <si>
    <t>PAT5894</t>
  </si>
  <si>
    <t>PAT5970</t>
  </si>
  <si>
    <t>PAT5547</t>
  </si>
  <si>
    <t>PAT5728</t>
  </si>
  <si>
    <t>PAT6208</t>
  </si>
  <si>
    <t>PAT5190</t>
  </si>
  <si>
    <t>PAT5826</t>
  </si>
  <si>
    <t>PAT5283</t>
  </si>
  <si>
    <t>PAT6982</t>
  </si>
  <si>
    <t>PAT5572</t>
  </si>
  <si>
    <t>PAT6387</t>
  </si>
  <si>
    <t>PAT5221</t>
  </si>
  <si>
    <t>PAT5798</t>
  </si>
  <si>
    <t>PAT6780</t>
  </si>
  <si>
    <t>PAT5036</t>
  </si>
  <si>
    <t>PAT5088</t>
  </si>
  <si>
    <t>PAT5885</t>
  </si>
  <si>
    <t>PAT5670</t>
  </si>
  <si>
    <t>PAT6650</t>
  </si>
  <si>
    <t>PAT6604</t>
  </si>
  <si>
    <t>PAT5743</t>
  </si>
  <si>
    <t>PAT5887</t>
  </si>
  <si>
    <t>PAT6409</t>
  </si>
  <si>
    <t>PAT6197</t>
  </si>
  <si>
    <t>PAT5070</t>
  </si>
  <si>
    <t>PAT6508</t>
  </si>
  <si>
    <t>PAT6956</t>
  </si>
  <si>
    <t>PAT5126</t>
  </si>
  <si>
    <t>PAT6645</t>
  </si>
  <si>
    <t>PAT5331</t>
  </si>
  <si>
    <t>PAT5761</t>
  </si>
  <si>
    <t>PAT5568</t>
  </si>
  <si>
    <t>PAT5980</t>
  </si>
  <si>
    <t>PAT5737</t>
  </si>
  <si>
    <t>PAT6226</t>
  </si>
  <si>
    <t>PAT6365</t>
  </si>
  <si>
    <t>PAT6071</t>
  </si>
  <si>
    <t>PAT6421</t>
  </si>
  <si>
    <t>PAT6249</t>
  </si>
  <si>
    <t>PAT6394</t>
  </si>
  <si>
    <t>PAT6044</t>
  </si>
  <si>
    <t>PAT6846</t>
  </si>
  <si>
    <t>PAT6672</t>
  </si>
  <si>
    <t>PAT5127</t>
  </si>
  <si>
    <t>PAT5502</t>
  </si>
  <si>
    <t>PAT5276</t>
  </si>
  <si>
    <t>PAT5987</t>
  </si>
  <si>
    <t>PAT6624</t>
  </si>
  <si>
    <t>PAT6455</t>
  </si>
  <si>
    <t>PAT5920</t>
  </si>
  <si>
    <t>PAT5570</t>
  </si>
  <si>
    <t>PAT5486</t>
  </si>
  <si>
    <t>PAT5905</t>
  </si>
  <si>
    <t>PAT6091</t>
  </si>
  <si>
    <t>PAT5930</t>
  </si>
  <si>
    <t>PAT6937</t>
  </si>
  <si>
    <t>PAT6781</t>
  </si>
  <si>
    <t>PAT6608</t>
  </si>
  <si>
    <t>PAT6727</t>
  </si>
  <si>
    <t>PAT6868</t>
  </si>
  <si>
    <t>PAT6300</t>
  </si>
  <si>
    <t>PAT6461</t>
  </si>
  <si>
    <t>PAT6795</t>
  </si>
  <si>
    <t>PAT5683</t>
  </si>
  <si>
    <t>PAT5052</t>
  </si>
  <si>
    <t>PAT6578</t>
  </si>
  <si>
    <t>PAT6845</t>
  </si>
  <si>
    <t>PAT5376</t>
  </si>
  <si>
    <t>PAT5026</t>
  </si>
  <si>
    <t>PAT6507</t>
  </si>
  <si>
    <t>PAT5477</t>
  </si>
  <si>
    <t>PAT5814</t>
  </si>
  <si>
    <t>PAT6657</t>
  </si>
  <si>
    <t>PAT5035</t>
  </si>
  <si>
    <t>PAT6835</t>
  </si>
  <si>
    <t>PAT5050</t>
  </si>
  <si>
    <t>PAT5603</t>
  </si>
  <si>
    <t>PAT6194</t>
  </si>
  <si>
    <t>PAT6128</t>
  </si>
  <si>
    <t>PAT5694</t>
  </si>
  <si>
    <t>PAT5483</t>
  </si>
  <si>
    <t>PAT5104</t>
  </si>
  <si>
    <t>PAT6691</t>
  </si>
  <si>
    <t>PAT6335</t>
  </si>
  <si>
    <t>PAT6103</t>
  </si>
  <si>
    <t>PAT6820</t>
  </si>
  <si>
    <t>PAT5433</t>
  </si>
  <si>
    <t>PAT5960</t>
  </si>
  <si>
    <t>PAT6664</t>
  </si>
  <si>
    <t>PAT5151</t>
  </si>
  <si>
    <t>PAT6965</t>
  </si>
  <si>
    <t>PAT5747</t>
  </si>
  <si>
    <t>PAT6534</t>
  </si>
  <si>
    <t>PAT5599</t>
  </si>
  <si>
    <t>PAT5981</t>
  </si>
  <si>
    <t>PAT6848</t>
  </si>
  <si>
    <t>PAT6430</t>
  </si>
  <si>
    <t>PAT6596</t>
  </si>
  <si>
    <t>PAT5082</t>
  </si>
  <si>
    <t>PAT6464</t>
  </si>
  <si>
    <t>PAT5320</t>
  </si>
  <si>
    <t>PAT6878</t>
  </si>
  <si>
    <t>PAT6709</t>
  </si>
  <si>
    <t>PAT5963</t>
  </si>
  <si>
    <t>PAT5778</t>
  </si>
  <si>
    <t>PAT5756</t>
  </si>
  <si>
    <t>PAT5316</t>
  </si>
  <si>
    <t>PAT6639</t>
  </si>
  <si>
    <t>PAT6465</t>
  </si>
  <si>
    <t>PAT5245</t>
  </si>
  <si>
    <t>PAT6522</t>
  </si>
  <si>
    <t>PAT6402</t>
  </si>
  <si>
    <t>PAT5802</t>
  </si>
  <si>
    <t>PAT6942</t>
  </si>
  <si>
    <t>PAT6098</t>
  </si>
  <si>
    <t>PAT6400</t>
  </si>
  <si>
    <t>PAT6295</t>
  </si>
  <si>
    <t>PAT5299</t>
  </si>
  <si>
    <t>PAT5220</t>
  </si>
  <si>
    <t>PAT6030</t>
  </si>
  <si>
    <t>PAT6910</t>
  </si>
  <si>
    <t>PAT5977</t>
  </si>
  <si>
    <t>PAT6196</t>
  </si>
  <si>
    <t>PAT6557</t>
  </si>
  <si>
    <t>PAT5280</t>
  </si>
  <si>
    <t>PAT6618</t>
  </si>
  <si>
    <t>PAT6218</t>
  </si>
  <si>
    <t>PAT6887</t>
  </si>
  <si>
    <t>PAT6705</t>
  </si>
  <si>
    <t>PAT6819</t>
  </si>
  <si>
    <t>PAT6766</t>
  </si>
  <si>
    <t>PAT5605</t>
  </si>
  <si>
    <t>PAT6506</t>
  </si>
  <si>
    <t>PAT5771</t>
  </si>
  <si>
    <t>PAT5842</t>
  </si>
  <si>
    <t>PAT6571</t>
  </si>
  <si>
    <t>PAT6974</t>
  </si>
  <si>
    <t>PAT5118</t>
  </si>
  <si>
    <t>PAT6231</t>
  </si>
  <si>
    <t>PAT5629</t>
  </si>
  <si>
    <t>PAT6474</t>
  </si>
  <si>
    <t>PAT5621</t>
  </si>
  <si>
    <t>PAT6938</t>
  </si>
  <si>
    <t>PAT6058</t>
  </si>
  <si>
    <t>PAT6412</t>
  </si>
  <si>
    <t>PAT6212</t>
  </si>
  <si>
    <t>PAT5893</t>
  </si>
  <si>
    <t>PAT5330</t>
  </si>
  <si>
    <t>PAT5660</t>
  </si>
  <si>
    <t>PAT6338</t>
  </si>
  <si>
    <t>PAT5021</t>
  </si>
  <si>
    <t>PAT6869</t>
  </si>
  <si>
    <t>PAT5237</t>
  </si>
  <si>
    <t>PAT5389</t>
  </si>
  <si>
    <t>PAT5758</t>
  </si>
  <si>
    <t>PAT5628</t>
  </si>
  <si>
    <t>PAT6726</t>
  </si>
  <si>
    <t>PAT5012</t>
  </si>
  <si>
    <t>PAT6936</t>
  </si>
  <si>
    <t>PAT5154</t>
  </si>
  <si>
    <t>PAT5770</t>
  </si>
  <si>
    <t>PAT6221</t>
  </si>
  <si>
    <t>PAT6922</t>
  </si>
  <si>
    <t>PAT5509</t>
  </si>
  <si>
    <t>PAT5765</t>
  </si>
  <si>
    <t>PAT6164</t>
  </si>
  <si>
    <t>PAT5751</t>
  </si>
  <si>
    <t>PAT6896</t>
  </si>
  <si>
    <t>PAT6960</t>
  </si>
  <si>
    <t>PAT5194</t>
  </si>
  <si>
    <t>PAT5332</t>
  </si>
  <si>
    <t>PAT6527</t>
  </si>
  <si>
    <t>PAT6605</t>
  </si>
  <si>
    <t>PAT6493</t>
  </si>
  <si>
    <t>PAT5514</t>
  </si>
  <si>
    <t>PAT6575</t>
  </si>
  <si>
    <t>PAT5488</t>
  </si>
  <si>
    <t>PAT6179</t>
  </si>
  <si>
    <t>PAT6562</t>
  </si>
  <si>
    <t>PAT5298</t>
  </si>
  <si>
    <t>PAT6779</t>
  </si>
  <si>
    <t>PAT6180</t>
  </si>
  <si>
    <t>PAT5654</t>
  </si>
  <si>
    <t>PAT6521</t>
  </si>
  <si>
    <t>PAT5667</t>
  </si>
  <si>
    <t>PAT6422</t>
  </si>
  <si>
    <t>PAT5717</t>
  </si>
  <si>
    <t>PAT5420</t>
  </si>
  <si>
    <t>PAT6310</t>
  </si>
  <si>
    <t>PAT5474</t>
  </si>
  <si>
    <t>PAT6953</t>
  </si>
  <si>
    <t>PAT5898</t>
  </si>
  <si>
    <t>PAT5611</t>
  </si>
  <si>
    <t>PAT6597</t>
  </si>
  <si>
    <t>PAT5463</t>
  </si>
  <si>
    <t>PAT6720</t>
  </si>
  <si>
    <t>PAT5875</t>
  </si>
  <si>
    <t>PAT5707</t>
  </si>
  <si>
    <t>PAT5380</t>
  </si>
  <si>
    <t>PAT5114</t>
  </si>
  <si>
    <t>PAT5410</t>
  </si>
  <si>
    <t>PAT5378</t>
  </si>
  <si>
    <t>PAT6564</t>
  </si>
  <si>
    <t>PAT6888</t>
  </si>
  <si>
    <t>PAT5786</t>
  </si>
  <si>
    <t>PAT5777</t>
  </si>
  <si>
    <t>PAT6573</t>
  </si>
  <si>
    <t>PAT6723</t>
  </si>
  <si>
    <t>PAT5563</t>
  </si>
  <si>
    <t>PAT5733</t>
  </si>
  <si>
    <t>PAT5210</t>
  </si>
  <si>
    <t>PAT6038</t>
  </si>
  <si>
    <t>PAT5895</t>
  </si>
  <si>
    <t>PAT5731</t>
  </si>
  <si>
    <t>PAT5363</t>
  </si>
  <si>
    <t>PAT6291</t>
  </si>
  <si>
    <t>PAT6680</t>
  </si>
  <si>
    <t>PAT6124</t>
  </si>
  <si>
    <t>PAT6897</t>
  </si>
  <si>
    <t>PAT5564</t>
  </si>
  <si>
    <t>PAT6677</t>
  </si>
  <si>
    <t>PAT6576</t>
  </si>
  <si>
    <t>PAT6652</t>
  </si>
  <si>
    <t>PAT5353</t>
  </si>
  <si>
    <t>PAT5715</t>
  </si>
  <si>
    <t>PAT5278</t>
  </si>
  <si>
    <t>PAT6858</t>
  </si>
  <si>
    <t>PAT5258</t>
  </si>
  <si>
    <t>PAT6325</t>
  </si>
  <si>
    <t>PAT6379</t>
  </si>
  <si>
    <t>PAT6881</t>
  </si>
  <si>
    <t>PAT5596</t>
  </si>
  <si>
    <t>PAT5732</t>
  </si>
  <si>
    <t>PAT6143</t>
  </si>
  <si>
    <t>PAT6163</t>
  </si>
  <si>
    <t>PAT6525</t>
  </si>
  <si>
    <t>PAT5374</t>
  </si>
  <si>
    <t>PAT6353</t>
  </si>
  <si>
    <t>PAT6132</t>
  </si>
  <si>
    <t>PAT6963</t>
  </si>
  <si>
    <t>PAT6928</t>
  </si>
  <si>
    <t>PAT6355</t>
  </si>
  <si>
    <t>PAT6785</t>
  </si>
  <si>
    <t>PAT5293</t>
  </si>
  <si>
    <t>PAT5271</t>
  </si>
  <si>
    <t>PAT6625</t>
  </si>
  <si>
    <t>PAT5222</t>
  </si>
  <si>
    <t>PAT6560</t>
  </si>
  <si>
    <t>PAT6829</t>
  </si>
  <si>
    <t>PAT5591</t>
  </si>
  <si>
    <t>PAT5180</t>
  </si>
  <si>
    <t>PAT5471</t>
  </si>
  <si>
    <t>PAT6919</t>
  </si>
  <si>
    <t>PAT6082</t>
  </si>
  <si>
    <t>PAT5659</t>
  </si>
  <si>
    <t>PAT5808</t>
  </si>
  <si>
    <t>PAT6600</t>
  </si>
  <si>
    <t>PAT5969</t>
  </si>
  <si>
    <t>PAT5513</t>
  </si>
  <si>
    <t>PAT5841</t>
  </si>
  <si>
    <t>PAT5393</t>
  </si>
  <si>
    <t>PAT6122</t>
  </si>
  <si>
    <t>PAT6366</t>
  </si>
  <si>
    <t>PAT6053</t>
  </si>
  <si>
    <t>PAT6988</t>
  </si>
  <si>
    <t>PAT6526</t>
  </si>
  <si>
    <t>PAT5956</t>
  </si>
  <si>
    <t>PAT6971</t>
  </si>
  <si>
    <t>PAT6121</t>
  </si>
  <si>
    <t>PAT5392</t>
  </si>
  <si>
    <t>PAT5277</t>
  </si>
  <si>
    <t>PAT5166</t>
  </si>
  <si>
    <t>PAT5314</t>
  </si>
  <si>
    <t>PAT5498</t>
  </si>
  <si>
    <t>PAT5015</t>
  </si>
  <si>
    <t>PAT6699</t>
  </si>
  <si>
    <t>PAT5880</t>
  </si>
  <si>
    <t>PAT5908</t>
  </si>
  <si>
    <t>PAT5481</t>
  </si>
  <si>
    <t>PAT6475</t>
  </si>
  <si>
    <t>PAT6141</t>
  </si>
  <si>
    <t>PAT5253</t>
  </si>
  <si>
    <t>PAT6546</t>
  </si>
  <si>
    <t>PAT6152</t>
  </si>
  <si>
    <t>PAT5485</t>
  </si>
  <si>
    <t>PAT6129</t>
  </si>
  <si>
    <t>PAT5401</t>
  </si>
  <si>
    <t>PAT5901</t>
  </si>
  <si>
    <t>PAT6233</t>
  </si>
  <si>
    <t>PAT5627</t>
  </si>
  <si>
    <t>PAT6009</t>
  </si>
  <si>
    <t>PAT5243</t>
  </si>
  <si>
    <t>PAT6491</t>
  </si>
  <si>
    <t>PAT5029</t>
  </si>
  <si>
    <t>PAT6512</t>
  </si>
  <si>
    <t>PAT5424</t>
  </si>
  <si>
    <t>PAT5888</t>
  </si>
  <si>
    <t>PAT6514</t>
  </si>
  <si>
    <t>PAT5134</t>
  </si>
  <si>
    <t>PAT5526</t>
  </si>
  <si>
    <t>PAT5009</t>
  </si>
  <si>
    <t>PAT6954</t>
  </si>
  <si>
    <t>PAT6377</t>
  </si>
  <si>
    <t>PAT5002</t>
  </si>
  <si>
    <t>PAT5184</t>
  </si>
  <si>
    <t>PAT5089</t>
  </si>
  <si>
    <t>PAT6686</t>
  </si>
  <si>
    <t>PAT5422</t>
  </si>
  <si>
    <t>PAT6151</t>
  </si>
  <si>
    <t>PAT6133</t>
  </si>
  <si>
    <t>PAT5588</t>
  </si>
  <si>
    <t>PAT5886</t>
  </si>
  <si>
    <t>PAT5644</t>
  </si>
  <si>
    <t>PAT5388</t>
  </si>
  <si>
    <t>PAT5837</t>
  </si>
  <si>
    <t>PAT5369</t>
  </si>
  <si>
    <t>PAT5633</t>
  </si>
  <si>
    <t>PAT6113</t>
  </si>
  <si>
    <t>PAT6873</t>
  </si>
  <si>
    <t>PAT5255</t>
  </si>
  <si>
    <t>PAT5889</t>
  </si>
  <si>
    <t>PAT6606</t>
  </si>
  <si>
    <t>PAT6626</t>
  </si>
  <si>
    <t>PAT6077</t>
  </si>
  <si>
    <t>PAT5133</t>
  </si>
  <si>
    <t>PAT5950</t>
  </si>
  <si>
    <t>PAT6039</t>
  </si>
  <si>
    <t>PAT6268</t>
  </si>
  <si>
    <t>PAT6046</t>
  </si>
  <si>
    <t>PAT5214</t>
  </si>
  <si>
    <t>PAT5086</t>
  </si>
  <si>
    <t>PAT6713</t>
  </si>
  <si>
    <t>PAT6018</t>
  </si>
  <si>
    <t>PAT6885</t>
  </si>
  <si>
    <t>PAT5168</t>
  </si>
  <si>
    <t>PAT5193</t>
  </si>
  <si>
    <t>PAT6497</t>
  </si>
  <si>
    <t>PAT6167</t>
  </si>
  <si>
    <t>PAT5064</t>
  </si>
  <si>
    <t>PAT5866</t>
  </si>
  <si>
    <t>PAT5600</t>
  </si>
  <si>
    <t>PAT6101</t>
  </si>
  <si>
    <t>PAT5831</t>
  </si>
  <si>
    <t>PAT6467</t>
  </si>
  <si>
    <t>PAT5592</t>
  </si>
  <si>
    <t>PAT5942</t>
  </si>
  <si>
    <t>PAT5726</t>
  </si>
  <si>
    <t>PAT6418</t>
  </si>
  <si>
    <t>PAT6201</t>
  </si>
  <si>
    <t>PAT5233</t>
  </si>
  <si>
    <t>PAT5430</t>
  </si>
  <si>
    <t>PAT5622</t>
  </si>
  <si>
    <t>PAT6108</t>
  </si>
  <si>
    <t>PAT5557</t>
  </si>
  <si>
    <t>PAT5150</t>
  </si>
  <si>
    <t>PAT5196</t>
  </si>
  <si>
    <t>PAT6215</t>
  </si>
  <si>
    <t>PAT5834</t>
  </si>
  <si>
    <t>PAT5760</t>
  </si>
  <si>
    <t>PAT5884</t>
  </si>
  <si>
    <t>PAT6753</t>
  </si>
  <si>
    <t>PAT5217</t>
  </si>
  <si>
    <t>PAT5515</t>
  </si>
  <si>
    <t>PAT5341</t>
  </si>
  <si>
    <t>PAT5946</t>
  </si>
  <si>
    <t>PAT5265</t>
  </si>
  <si>
    <t>PAT6396</t>
  </si>
  <si>
    <t>PAT6042</t>
  </si>
  <si>
    <t>PAT5251</t>
  </si>
  <si>
    <t>PAT6173</t>
  </si>
  <si>
    <t>PAT6796</t>
  </si>
  <si>
    <t>PAT6000</t>
  </si>
  <si>
    <t>PAT5882</t>
  </si>
  <si>
    <t>PAT5595</t>
  </si>
  <si>
    <t>PAT6313</t>
  </si>
  <si>
    <t>PAT5872</t>
  </si>
  <si>
    <t>PAT5001</t>
  </si>
  <si>
    <t>PAT5344</t>
  </si>
  <si>
    <t>PAT6090</t>
  </si>
  <si>
    <t>PAT6308</t>
  </si>
  <si>
    <t>PAT6016</t>
  </si>
  <si>
    <t>PAT6368</t>
  </si>
  <si>
    <t>PAT6007</t>
  </si>
  <si>
    <t>PAT6342</t>
  </si>
  <si>
    <t>PAT6494</t>
  </si>
  <si>
    <t>PAT5689</t>
  </si>
  <si>
    <t>PAT6383</t>
  </si>
  <si>
    <t>PAT6832</t>
  </si>
  <si>
    <t>PAT5919</t>
  </si>
  <si>
    <t>PAT6463</t>
  </si>
  <si>
    <t>PAT6587</t>
  </si>
  <si>
    <t>PAT5558</t>
  </si>
  <si>
    <t>PAT6831</t>
  </si>
  <si>
    <t>PAT5543</t>
  </si>
  <si>
    <t>PAT5291</t>
  </si>
  <si>
    <t>PAT6799</t>
  </si>
  <si>
    <t>PAT6914</t>
  </si>
  <si>
    <t>PAT5152</t>
  </si>
  <si>
    <t>PAT5407</t>
  </si>
  <si>
    <t>PAT5790</t>
  </si>
  <si>
    <t>PAT6577</t>
  </si>
  <si>
    <t>PAT6293</t>
  </si>
  <si>
    <t>PAT6844</t>
  </si>
  <si>
    <t>PAT6769</t>
  </si>
  <si>
    <t>PAT5209</t>
  </si>
  <si>
    <t>PAT5848</t>
  </si>
  <si>
    <t>PAT5038</t>
  </si>
  <si>
    <t>PAT5711</t>
  </si>
  <si>
    <t>PAT5961</t>
  </si>
  <si>
    <t>PAT5584</t>
  </si>
  <si>
    <t>PAT6111</t>
  </si>
  <si>
    <t>PAT5047</t>
  </si>
  <si>
    <t>PAT6867</t>
  </si>
  <si>
    <t>PAT5129</t>
  </si>
  <si>
    <t>PAT6314</t>
  </si>
  <si>
    <t>PAT5053</t>
  </si>
  <si>
    <t>PAT5444</t>
  </si>
  <si>
    <t>PAT6979</t>
  </si>
  <si>
    <t>PAT5435</t>
  </si>
  <si>
    <t>PAT6836</t>
  </si>
  <si>
    <t>PAT6199</t>
  </si>
  <si>
    <t>PAT5238</t>
  </si>
  <si>
    <t>PAT6431</t>
  </si>
  <si>
    <t>PAT6037</t>
  </si>
  <si>
    <t>PAT6170</t>
  </si>
  <si>
    <t>PAT6457</t>
  </si>
  <si>
    <t>PAT5968</t>
  </si>
  <si>
    <t>PAT6783</t>
  </si>
  <si>
    <t>PAT6414</t>
  </si>
  <si>
    <t>PAT5156</t>
  </si>
  <si>
    <t>PAT6085</t>
  </si>
  <si>
    <t>PAT5226</t>
  </si>
  <si>
    <t>PAT5257</t>
  </si>
  <si>
    <t>PAT6707</t>
  </si>
  <si>
    <t>PAT5294</t>
  </si>
  <si>
    <t>PAT5108</t>
  </si>
  <si>
    <t>PAT6015</t>
  </si>
  <si>
    <t>PAT5176</t>
  </si>
  <si>
    <t>PAT6658</t>
  </si>
  <si>
    <t>PAT6824</t>
  </si>
  <si>
    <t>PAT6089</t>
  </si>
  <si>
    <t>PAT6257</t>
  </si>
  <si>
    <t>PAT5381</t>
  </si>
  <si>
    <t>PAT6968</t>
  </si>
  <si>
    <t>PAT6169</t>
  </si>
  <si>
    <t>PAT6884</t>
  </si>
  <si>
    <t>PAT6126</t>
  </si>
  <si>
    <t>PAT5263</t>
  </si>
  <si>
    <t>PAT5641</t>
  </si>
  <si>
    <t>PAT5094</t>
  </si>
  <si>
    <t>PAT6174</t>
  </si>
  <si>
    <t>PAT5405</t>
  </si>
  <si>
    <t>PAT6530</t>
  </si>
  <si>
    <t>PAT5480</t>
  </si>
  <si>
    <t>PAT6923</t>
  </si>
  <si>
    <t>PAT5597</t>
  </si>
  <si>
    <t>PAT6670</t>
  </si>
  <si>
    <t>PAT5974</t>
  </si>
  <si>
    <t>PAT6593</t>
  </si>
  <si>
    <t>PAT6287</t>
  </si>
  <si>
    <t>PAT5657</t>
  </si>
  <si>
    <t>PAT6434</t>
  </si>
  <si>
    <t>PAT5500</t>
  </si>
  <si>
    <t>PAT6086</t>
  </si>
  <si>
    <t>PAT6322</t>
  </si>
  <si>
    <t>PAT5879</t>
  </si>
  <si>
    <t>PAT6367</t>
  </si>
  <si>
    <t>PAT5274</t>
  </si>
  <si>
    <t>PAT5533</t>
  </si>
  <si>
    <t>PAT5313</t>
  </si>
  <si>
    <t>PAT6544</t>
  </si>
  <si>
    <t>PAT6550</t>
  </si>
  <si>
    <t>PAT6588</t>
  </si>
  <si>
    <t>PAT5697</t>
  </si>
  <si>
    <t>PAT5718</t>
  </si>
  <si>
    <t>PAT6251</t>
  </si>
  <si>
    <t>PAT6701</t>
  </si>
  <si>
    <t>PAT6725</t>
  </si>
  <si>
    <t>PAT6331</t>
  </si>
  <si>
    <t>PAT5071</t>
  </si>
  <si>
    <t>PAT5535</t>
  </si>
  <si>
    <t>PAT5836</t>
  </si>
  <si>
    <t>PAT5613</t>
  </si>
  <si>
    <t>PAT5593</t>
  </si>
  <si>
    <t>PAT5436</t>
  </si>
  <si>
    <t>PAT5365</t>
  </si>
  <si>
    <t>PAT6610</t>
  </si>
  <si>
    <t>PAT6327</t>
  </si>
  <si>
    <t>PAT6644</t>
  </si>
  <si>
    <t>PAT5362</t>
  </si>
  <si>
    <t>PAT6823</t>
  </si>
  <si>
    <t>PAT5664</t>
  </si>
  <si>
    <t>PAT5626</t>
  </si>
  <si>
    <t>PAT6369</t>
  </si>
  <si>
    <t>PAT5684</t>
  </si>
  <si>
    <t>PAT6921</t>
  </si>
  <si>
    <t>PAT6115</t>
  </si>
  <si>
    <t>PAT5172</t>
  </si>
  <si>
    <t>PAT5941</t>
  </si>
  <si>
    <t>PAT5746</t>
  </si>
  <si>
    <t>PAT6773</t>
  </si>
  <si>
    <t>PAT5033</t>
  </si>
  <si>
    <t>PAT5201</t>
  </si>
  <si>
    <t>PAT5402</t>
  </si>
  <si>
    <t>PAT6559</t>
  </si>
  <si>
    <t>PAT6244</t>
  </si>
  <si>
    <t>PAT6444</t>
  </si>
  <si>
    <t>PAT5438</t>
  </si>
  <si>
    <t>PAT6359</t>
  </si>
  <si>
    <t>PAT5084</t>
  </si>
  <si>
    <t>PAT5740</t>
  </si>
  <si>
    <t>PAT6775</t>
  </si>
  <si>
    <t>PAT5868</t>
  </si>
  <si>
    <t>PAT6296</t>
  </si>
  <si>
    <t>PAT6185</t>
  </si>
  <si>
    <t>PAT5260</t>
  </si>
  <si>
    <t>PAT6397</t>
  </si>
  <si>
    <t>PAT6375</t>
  </si>
  <si>
    <t>PAT6839</t>
  </si>
  <si>
    <t>PAT5809</t>
  </si>
  <si>
    <t>PAT5042</t>
  </si>
  <si>
    <t>PAT6267</t>
  </si>
  <si>
    <t>PAT5678</t>
  </si>
  <si>
    <t>PAT6612</t>
  </si>
  <si>
    <t>PAT5779</t>
  </si>
  <si>
    <t>PAT5326</t>
  </si>
  <si>
    <t>PAT6048</t>
  </si>
  <si>
    <t>PAT6543</t>
  </si>
  <si>
    <t>PAT6079</t>
  </si>
  <si>
    <t>PAT6516</t>
  </si>
  <si>
    <t>PAT6909</t>
  </si>
  <si>
    <t>PAT5620</t>
  </si>
  <si>
    <t>PAT5967</t>
  </si>
  <si>
    <t>PAT5734</t>
  </si>
  <si>
    <t>PAT6332</t>
  </si>
  <si>
    <t>PAT5636</t>
  </si>
  <si>
    <t>PAT6985</t>
  </si>
  <si>
    <t>PAT6380</t>
  </si>
  <si>
    <t>PAT6611</t>
  </si>
  <si>
    <t>PAT5285</t>
  </si>
  <si>
    <t>PAT6980</t>
  </si>
  <si>
    <t>PAT5708</t>
  </si>
  <si>
    <t>PAT6023</t>
  </si>
  <si>
    <t>PAT6056</t>
  </si>
  <si>
    <t>PAT6649</t>
  </si>
  <si>
    <t>PAT5413</t>
  </si>
  <si>
    <t>PAT5279</t>
  </si>
  <si>
    <t>PAT5456</t>
  </si>
  <si>
    <t>PAT5805</t>
  </si>
  <si>
    <t>PAT5007</t>
  </si>
  <si>
    <t>PAT5078</t>
  </si>
  <si>
    <t>PAT5161</t>
  </si>
  <si>
    <t>PAT5346</t>
  </si>
  <si>
    <t>PAT5602</t>
  </si>
  <si>
    <t>PAT6894</t>
  </si>
  <si>
    <t>PAT6554</t>
  </si>
  <si>
    <t>PAT6029</t>
  </si>
  <si>
    <t>PAT6316</t>
  </si>
  <si>
    <t>PAT6749</t>
  </si>
  <si>
    <t>PAT5534</t>
  </si>
  <si>
    <t>PAT5531</t>
  </si>
  <si>
    <t>PAT6403</t>
  </si>
  <si>
    <t>PAT6499</t>
  </si>
  <si>
    <t>PAT6947</t>
  </si>
  <si>
    <t>PAT5357</t>
  </si>
  <si>
    <t>PAT5016</t>
  </si>
  <si>
    <t>PAT6640</t>
  </si>
  <si>
    <t>PAT5940</t>
  </si>
  <si>
    <t>PAT5780</t>
  </si>
  <si>
    <t>PAT5964</t>
  </si>
  <si>
    <t>PAT6480</t>
  </si>
  <si>
    <t>PAT5121</t>
  </si>
  <si>
    <t>PAT6671</t>
  </si>
  <si>
    <t>PAT5855</t>
  </si>
  <si>
    <t>PAT5116</t>
  </si>
  <si>
    <t>PAT5383</t>
  </si>
  <si>
    <t>PAT6419</t>
  </si>
  <si>
    <t>PAT5550</t>
  </si>
  <si>
    <t>PAT6317</t>
  </si>
  <si>
    <t>PAT6517</t>
  </si>
  <si>
    <t>PAT6364</t>
  </si>
  <si>
    <t>PAT6406</t>
  </si>
  <si>
    <t>PAT6582</t>
  </si>
  <si>
    <t>PAT5931</t>
  </si>
  <si>
    <t>PAT6202</t>
  </si>
  <si>
    <t>PAT6648</t>
  </si>
  <si>
    <t>PAT5119</t>
  </si>
  <si>
    <t>PAT5312</t>
  </si>
  <si>
    <t>PAT5984</t>
  </si>
  <si>
    <t>PAT5585</t>
  </si>
  <si>
    <t>PAT6093</t>
  </si>
  <si>
    <t>PAT5532</t>
  </si>
  <si>
    <t>PAT6183</t>
  </si>
  <si>
    <t>PAT6054</t>
  </si>
  <si>
    <t>PAT5907</t>
  </si>
  <si>
    <t>PAT6708</t>
  </si>
  <si>
    <t>PAT6695</t>
  </si>
  <si>
    <t>PAT6161</t>
  </si>
  <si>
    <t>PAT5902</t>
  </si>
  <si>
    <t>PAT6786</t>
  </si>
  <si>
    <t>PAT5173</t>
  </si>
  <si>
    <t>PAT6674</t>
  </si>
  <si>
    <t>PAT6110</t>
  </si>
  <si>
    <t>PAT5390</t>
  </si>
  <si>
    <t>PAT6127</t>
  </si>
  <si>
    <t>PAT6255</t>
  </si>
  <si>
    <t>PAT6989</t>
  </si>
  <si>
    <t>PAT5861</t>
  </si>
  <si>
    <t>PAT6345</t>
  </si>
  <si>
    <t>PAT5764</t>
  </si>
  <si>
    <t>PAT6068</t>
  </si>
  <si>
    <t>PAT5997</t>
  </si>
  <si>
    <t>PAT6513</t>
  </si>
  <si>
    <t>PAT6722</t>
  </si>
  <si>
    <t>PAT6716</t>
  </si>
  <si>
    <t>PAT5556</t>
  </si>
  <si>
    <t>PAT5098</t>
  </si>
  <si>
    <t>PAT5897</t>
  </si>
  <si>
    <t>PAT5400</t>
  </si>
  <si>
    <t>PAT6533</t>
  </si>
  <si>
    <t>PAT6768</t>
  </si>
  <si>
    <t>PAT5189</t>
  </si>
  <si>
    <t>PAT6519</t>
  </si>
  <si>
    <t>PAT5212</t>
  </si>
  <si>
    <t>PAT5329</t>
  </si>
  <si>
    <t>PAT5587</t>
  </si>
  <si>
    <t>PAT5425</t>
  </si>
  <si>
    <t>PAT5815</t>
  </si>
  <si>
    <t>PAT5853</t>
  </si>
  <si>
    <t>PAT5665</t>
  </si>
  <si>
    <t>PAT6502</t>
  </si>
  <si>
    <t>PAT6860</t>
  </si>
  <si>
    <t>PAT5182</t>
  </si>
  <si>
    <t>PAT6538</t>
  </si>
  <si>
    <t>PAT5634</t>
  </si>
  <si>
    <t>PAT5549</t>
  </si>
  <si>
    <t>PAT5640</t>
  </si>
  <si>
    <t>PAT5077</t>
  </si>
  <si>
    <t>PAT6482</t>
  </si>
  <si>
    <t>PAT5720</t>
  </si>
  <si>
    <t>PAT6628</t>
  </si>
  <si>
    <t>PAT6045</t>
  </si>
  <si>
    <t>PAT5972</t>
  </si>
  <si>
    <t>PAT5569</t>
  </si>
  <si>
    <t>PAT5561</t>
  </si>
  <si>
    <t>PAT6738</t>
  </si>
  <si>
    <t>PAT5635</t>
  </si>
  <si>
    <t>PAT5270</t>
  </si>
  <si>
    <t>PAT6855</t>
  </si>
  <si>
    <t>PAT6137</t>
  </si>
  <si>
    <t>PAT5032</t>
  </si>
  <si>
    <t>PAT6651</t>
  </si>
  <si>
    <t>PAT5512</t>
  </si>
  <si>
    <t>PAT5768</t>
  </si>
  <si>
    <t>PAT5075</t>
  </si>
  <si>
    <t>PAT6250</t>
  </si>
  <si>
    <t>PAT5441</t>
  </si>
  <si>
    <t>PAT6223</t>
  </si>
  <si>
    <t>PAT5066</t>
  </si>
  <si>
    <t>PAT5924</t>
  </si>
  <si>
    <t>PAT6959</t>
  </si>
  <si>
    <t>PAT6065</t>
  </si>
  <si>
    <t>PAT5370</t>
  </si>
  <si>
    <t>PAT5651</t>
  </si>
  <si>
    <t>PAT5912</t>
  </si>
  <si>
    <t>PAT6876</t>
  </si>
  <si>
    <t>PAT5825</t>
  </si>
  <si>
    <t>PAT6324</t>
  </si>
  <si>
    <t>PAT6275</t>
  </si>
  <si>
    <t>PAT5412</t>
  </si>
  <si>
    <t>PAT5091</t>
  </si>
  <si>
    <t>PAT6301</t>
  </si>
  <si>
    <t>PAT5517</t>
  </si>
  <si>
    <t>PAT6891</t>
  </si>
  <si>
    <t>PAT5157</t>
  </si>
  <si>
    <t>PAT5796</t>
  </si>
  <si>
    <t>PAT6027</t>
  </si>
  <si>
    <t>PAT5822</t>
  </si>
  <si>
    <t>PAT5828</t>
  </si>
  <si>
    <t>PAT6584</t>
  </si>
  <si>
    <t>PAT5493</t>
  </si>
  <si>
    <t>PAT6043</t>
  </si>
  <si>
    <t>PAT6850</t>
  </si>
  <si>
    <t>PAT6460</t>
  </si>
  <si>
    <t>PAT6623</t>
  </si>
  <si>
    <t>PAT6895</t>
  </si>
  <si>
    <t>PAT5165</t>
  </si>
  <si>
    <t>PAT6703</t>
  </si>
  <si>
    <t>PAT6758</t>
  </si>
  <si>
    <t>PAT5170</t>
  </si>
  <si>
    <t>PAT6489</t>
  </si>
  <si>
    <t>PAT5213</t>
  </si>
  <si>
    <t>PAT5851</t>
  </si>
  <si>
    <t>PAT6214</t>
  </si>
  <si>
    <t>PAT5103</t>
  </si>
  <si>
    <t>PAT6893</t>
  </si>
  <si>
    <t>PAT5113</t>
  </si>
  <si>
    <t>PAT5957</t>
  </si>
  <si>
    <t>PAT6614</t>
  </si>
  <si>
    <t>PAT5490</t>
  </si>
  <si>
    <t>PAT5391</t>
  </si>
  <si>
    <t>PAT5890</t>
  </si>
  <si>
    <t>PAT5719</t>
  </si>
  <si>
    <t>PAT5003</t>
  </si>
  <si>
    <t>PAT6347</t>
  </si>
  <si>
    <t>PAT6286</t>
  </si>
  <si>
    <t>PAT6609</t>
  </si>
  <si>
    <t>PAT5028</t>
  </si>
  <si>
    <t>PAT6595</t>
  </si>
  <si>
    <t>PAT6232</t>
  </si>
  <si>
    <t>PAT5139</t>
  </si>
  <si>
    <t>PAT6245</t>
  </si>
  <si>
    <t>PAT5394</t>
  </si>
  <si>
    <t>PAT6904</t>
  </si>
  <si>
    <t>PAT5247</t>
  </si>
  <si>
    <t>PAT5682</t>
  </si>
  <si>
    <t>PAT5782</t>
  </si>
  <si>
    <t>PAT6592</t>
  </si>
  <si>
    <t>PAT6371</t>
  </si>
  <si>
    <t>PAT5674</t>
  </si>
  <si>
    <t>PAT5074</t>
  </si>
  <si>
    <t>PAT5757</t>
  </si>
  <si>
    <t>PAT5224</t>
  </si>
  <si>
    <t>PAT5446</t>
  </si>
  <si>
    <t>PAT5983</t>
  </si>
  <si>
    <t>PAT6687</t>
  </si>
  <si>
    <t>PAT5396</t>
  </si>
  <si>
    <t>PAT5019</t>
  </si>
  <si>
    <t>PAT6656</t>
  </si>
  <si>
    <t>PAT5340</t>
  </si>
  <si>
    <t>PAT5417</t>
  </si>
  <si>
    <t>PAT6501</t>
  </si>
  <si>
    <t>PAT5643</t>
  </si>
  <si>
    <t>PAT6939</t>
  </si>
  <si>
    <t>PAT5429</t>
  </si>
  <si>
    <t>PAT5630</t>
  </si>
  <si>
    <t>PAT6372</t>
  </si>
  <si>
    <t>PAT6710</t>
  </si>
  <si>
    <t>PAT5267</t>
  </si>
  <si>
    <t>PAT6853</t>
  </si>
  <si>
    <t>PAT5727</t>
  </si>
  <si>
    <t>PAT5404</t>
  </si>
  <si>
    <t>PAT5909</t>
  </si>
  <si>
    <t>PAT5325</t>
  </si>
  <si>
    <t>PAT5582</t>
  </si>
  <si>
    <t>PAT6906</t>
  </si>
  <si>
    <t>PAT5411</t>
  </si>
  <si>
    <t>PAT5164</t>
  </si>
  <si>
    <t>PAT6356</t>
  </si>
  <si>
    <t>PAT5062</t>
  </si>
  <si>
    <t>PAT5057</t>
  </si>
  <si>
    <t>PAT5256</t>
  </si>
  <si>
    <t>PAT6182</t>
  </si>
  <si>
    <t>PAT5996</t>
  </si>
  <si>
    <t>PAT6875</t>
  </si>
  <si>
    <t>PAT6852</t>
  </si>
  <si>
    <t>PAT6138</t>
  </si>
  <si>
    <t>PAT6598</t>
  </si>
  <si>
    <t>PAT6334</t>
  </si>
  <si>
    <t>PAT6847</t>
  </si>
  <si>
    <t>PAT6100</t>
  </si>
  <si>
    <t>PAT5800</t>
  </si>
  <si>
    <t>PAT5207</t>
  </si>
  <si>
    <t>PAT5741</t>
  </si>
  <si>
    <t>PAT6967</t>
  </si>
  <si>
    <t>PAT5020</t>
  </si>
  <si>
    <t>PAT6524</t>
  </si>
  <si>
    <t>PAT6972</t>
  </si>
  <si>
    <t>PAT6810</t>
  </si>
  <si>
    <t>PAT5735</t>
  </si>
  <si>
    <t>PAT5548</t>
  </si>
  <si>
    <t>PAT6955</t>
  </si>
  <si>
    <t>PAT5215</t>
  </si>
  <si>
    <t>PAT6817</t>
  </si>
  <si>
    <t>PAT5348</t>
  </si>
  <si>
    <t>PAT5748</t>
  </si>
  <si>
    <t>PAT6373</t>
  </si>
  <si>
    <t>PAT5871</t>
  </si>
  <si>
    <t>PAT5677</t>
  </si>
  <si>
    <t>PAT6193</t>
  </si>
  <si>
    <t>PAT5698</t>
  </si>
  <si>
    <t>PAT6599</t>
  </si>
  <si>
    <t>PAT5953</t>
  </si>
  <si>
    <t>PAT5371</t>
  </si>
  <si>
    <t>PAT6120</t>
  </si>
  <si>
    <t>PAT5922</t>
  </si>
  <si>
    <t>PAT6834</t>
  </si>
  <si>
    <t>PAT6333</t>
  </si>
  <si>
    <t>PAT6148</t>
  </si>
  <si>
    <t>PAT6036</t>
  </si>
  <si>
    <t>PAT6354</t>
  </si>
  <si>
    <t>PAT5724</t>
  </si>
  <si>
    <t>PAT6818</t>
  </si>
  <si>
    <t>PAT6761</t>
  </si>
  <si>
    <t>PAT6715</t>
  </si>
  <si>
    <t>PAT5080</t>
  </si>
  <si>
    <t>PAT5529</t>
  </si>
  <si>
    <t>PAT5158</t>
  </si>
  <si>
    <t>PAT6104</t>
  </si>
  <si>
    <t>PAT6541</t>
  </si>
  <si>
    <t>PAT5148</t>
  </si>
  <si>
    <t>PAT5072</t>
  </si>
  <si>
    <t>Karthik Patel</t>
  </si>
  <si>
    <t>Aarav Mishra</t>
  </si>
  <si>
    <t>Priya Sharma</t>
  </si>
  <si>
    <t>Rohan Reddy</t>
  </si>
  <si>
    <t>Neha Mishra</t>
  </si>
  <si>
    <t>Arjun Bose</t>
  </si>
  <si>
    <t>Vivaan Nair</t>
  </si>
  <si>
    <t>Kavya Gupta</t>
  </si>
  <si>
    <t>Deepa Reddy</t>
  </si>
  <si>
    <t>Ananya Reddy</t>
  </si>
  <si>
    <t>Siddharth Kumar</t>
  </si>
  <si>
    <t>Rohan Das</t>
  </si>
  <si>
    <t>Aarav Kumar</t>
  </si>
  <si>
    <t>Neha Singh</t>
  </si>
  <si>
    <t>Aditya Nagar</t>
  </si>
  <si>
    <t>Rohan Jose</t>
  </si>
  <si>
    <t>Siddharth Jose</t>
  </si>
  <si>
    <t>Vishal Das</t>
  </si>
  <si>
    <t>Neha Jose</t>
  </si>
  <si>
    <t>Vivaan Sharma</t>
  </si>
  <si>
    <t>Rahul Gupta</t>
  </si>
  <si>
    <t>Vivaan Singh</t>
  </si>
  <si>
    <t>Kavya Nair</t>
  </si>
  <si>
    <t>Aishwarya Singh</t>
  </si>
  <si>
    <t>Priya Gupta</t>
  </si>
  <si>
    <t>Aditya Patel</t>
  </si>
  <si>
    <t>Kavya Kumar</t>
  </si>
  <si>
    <t>Manisha Singh</t>
  </si>
  <si>
    <t>Kavya Bose</t>
  </si>
  <si>
    <t>Vishal Iyer</t>
  </si>
  <si>
    <t>Aishwarya Nagar</t>
  </si>
  <si>
    <t>Manisha Gupta</t>
  </si>
  <si>
    <t>Aarav Das</t>
  </si>
  <si>
    <t>Aarav Bose</t>
  </si>
  <si>
    <t>Aditya Kumar</t>
  </si>
  <si>
    <t>Aarav Jose</t>
  </si>
  <si>
    <t>Aishwarya Nair</t>
  </si>
  <si>
    <t>Rahul Nagar</t>
  </si>
  <si>
    <t>Arjun Jose</t>
  </si>
  <si>
    <t>Ananya Nair</t>
  </si>
  <si>
    <t>Aishwarya Iyer</t>
  </si>
  <si>
    <t>Deepa Patel</t>
  </si>
  <si>
    <t>Aditya Iyer</t>
  </si>
  <si>
    <t>Aarav Singh</t>
  </si>
  <si>
    <t>Anil Khan</t>
  </si>
  <si>
    <t>Ishaan Reddy</t>
  </si>
  <si>
    <t>Siddharth Khan</t>
  </si>
  <si>
    <t>Aishwarya Gupta</t>
  </si>
  <si>
    <t>Karthik Nair</t>
  </si>
  <si>
    <t>Kavya Patel</t>
  </si>
  <si>
    <t>Kavya Singh</t>
  </si>
  <si>
    <t>Shruti Nair</t>
  </si>
  <si>
    <t>Rahul Reddy</t>
  </si>
  <si>
    <t>Siddharth Nair</t>
  </si>
  <si>
    <t>Siddharth Das</t>
  </si>
  <si>
    <t>Ananya Nagar</t>
  </si>
  <si>
    <t>Anil Gupta</t>
  </si>
  <si>
    <t>Anil Mishra</t>
  </si>
  <si>
    <t>Vishal Singh</t>
  </si>
  <si>
    <t>Kavya Sharma</t>
  </si>
  <si>
    <t>Aditya Gupta</t>
  </si>
  <si>
    <t>Arjun Das</t>
  </si>
  <si>
    <t>Arjun Singh</t>
  </si>
  <si>
    <t>Kavya Das</t>
  </si>
  <si>
    <t>Deepa Iyer</t>
  </si>
  <si>
    <t>Shruti Patel</t>
  </si>
  <si>
    <t>Rohan Gupta</t>
  </si>
  <si>
    <t>Sangeetha Bose</t>
  </si>
  <si>
    <t>Ananya Iyer</t>
  </si>
  <si>
    <t>Sangeetha Sharma</t>
  </si>
  <si>
    <t>Anil Nair</t>
  </si>
  <si>
    <t>Siddharth Nagar</t>
  </si>
  <si>
    <t>Vishal Jose</t>
  </si>
  <si>
    <t>Aditya Khan</t>
  </si>
  <si>
    <t>Aishwarya Sharma</t>
  </si>
  <si>
    <t>Ananya Gupta</t>
  </si>
  <si>
    <t>Anil Kumar</t>
  </si>
  <si>
    <t>Arjun Reddy</t>
  </si>
  <si>
    <t>Shruti Mishra</t>
  </si>
  <si>
    <t>Priya Nagar</t>
  </si>
  <si>
    <t>Vishal Nair</t>
  </si>
  <si>
    <t>Karthik Reddy</t>
  </si>
  <si>
    <t>Vishal Mishra</t>
  </si>
  <si>
    <t>Priya Mishra</t>
  </si>
  <si>
    <t>Manisha Bose</t>
  </si>
  <si>
    <t>Arjun Patel</t>
  </si>
  <si>
    <t>Rohan Bose</t>
  </si>
  <si>
    <t>Siddharth Reddy</t>
  </si>
  <si>
    <t>Ishaan Singh</t>
  </si>
  <si>
    <t>Rahul Singh</t>
  </si>
  <si>
    <t>Priya Bose</t>
  </si>
  <si>
    <t>Sangeetha Patel</t>
  </si>
  <si>
    <t>Ananya Das</t>
  </si>
  <si>
    <t>Kavya Mishra</t>
  </si>
  <si>
    <t>Aishwarya Das</t>
  </si>
  <si>
    <t>Priya Kumar</t>
  </si>
  <si>
    <t>Priya Patel</t>
  </si>
  <si>
    <t>Shruti Das</t>
  </si>
  <si>
    <t>Rahul Das</t>
  </si>
  <si>
    <t>Manisha Sharma</t>
  </si>
  <si>
    <t>Rohan Nagar</t>
  </si>
  <si>
    <t>Aarav Reddy</t>
  </si>
  <si>
    <t>Ishaan Mishra</t>
  </si>
  <si>
    <t>Aditya Jose</t>
  </si>
  <si>
    <t>Anil Singh</t>
  </si>
  <si>
    <t>Vivaan Nagar</t>
  </si>
  <si>
    <t>Ishaan Nair</t>
  </si>
  <si>
    <t>Sangeetha Das</t>
  </si>
  <si>
    <t>Arjun Iyer</t>
  </si>
  <si>
    <t>Arjun Kumar</t>
  </si>
  <si>
    <t>Rohan Patel</t>
  </si>
  <si>
    <t>Rohan Sharma</t>
  </si>
  <si>
    <t>Siddharth Gupta</t>
  </si>
  <si>
    <t>Deepa Bose</t>
  </si>
  <si>
    <t>Arjun Sharma</t>
  </si>
  <si>
    <t>Aarav Khan</t>
  </si>
  <si>
    <t>Vivaan Das</t>
  </si>
  <si>
    <t>Ishaan Sharma</t>
  </si>
  <si>
    <t>Ishaan Gupta</t>
  </si>
  <si>
    <t>Priya Iyer</t>
  </si>
  <si>
    <t>Karthik Singh</t>
  </si>
  <si>
    <t>Deepa Jose</t>
  </si>
  <si>
    <t>Arjun Mishra</t>
  </si>
  <si>
    <t>Shruti Sharma</t>
  </si>
  <si>
    <t>Priya Reddy</t>
  </si>
  <si>
    <t>Aditya Bose</t>
  </si>
  <si>
    <t>Sangeetha Singh</t>
  </si>
  <si>
    <t>Siddharth Mishra</t>
  </si>
  <si>
    <t>Deepa Singh</t>
  </si>
  <si>
    <t>Kavya Iyer</t>
  </si>
  <si>
    <t>Neha Kumar</t>
  </si>
  <si>
    <t>Siddharth Bose</t>
  </si>
  <si>
    <t>Shruti Gupta</t>
  </si>
  <si>
    <t>Ishaan Patel</t>
  </si>
  <si>
    <t>Aishwarya Patel</t>
  </si>
  <si>
    <t>Ishaan Iyer</t>
  </si>
  <si>
    <t>Deepa Nagar</t>
  </si>
  <si>
    <t>Neha Patel</t>
  </si>
  <si>
    <t>Aditya Singh</t>
  </si>
  <si>
    <t>Aarav Iyer</t>
  </si>
  <si>
    <t>Anil Sharma</t>
  </si>
  <si>
    <t>Aditya Sharma</t>
  </si>
  <si>
    <t>Rohan Mishra</t>
  </si>
  <si>
    <t>Karthik Nagar</t>
  </si>
  <si>
    <t>Rohan Nair</t>
  </si>
  <si>
    <t>Ananya Sharma</t>
  </si>
  <si>
    <t>Sangeetha Reddy</t>
  </si>
  <si>
    <t>Rahul Bose</t>
  </si>
  <si>
    <t>Deepa Das</t>
  </si>
  <si>
    <t>Ishaan Bose</t>
  </si>
  <si>
    <t>Neha Nair</t>
  </si>
  <si>
    <t>Deepa Khan</t>
  </si>
  <si>
    <t>Neha Bose</t>
  </si>
  <si>
    <t>Aarav Nair</t>
  </si>
  <si>
    <t>Rahul Nair</t>
  </si>
  <si>
    <t>Arjun Nagar</t>
  </si>
  <si>
    <t>Aarav Sharma</t>
  </si>
  <si>
    <t>Neha Reddy</t>
  </si>
  <si>
    <t>Shruti Reddy</t>
  </si>
  <si>
    <t>Priya Singh</t>
  </si>
  <si>
    <t>Ananya Singh</t>
  </si>
  <si>
    <t>Priya Jose</t>
  </si>
  <si>
    <t>Arjun Nair</t>
  </si>
  <si>
    <t>Shruti Bose</t>
  </si>
  <si>
    <t>Vivaan Patel</t>
  </si>
  <si>
    <t>Anil Bose</t>
  </si>
  <si>
    <t>Neha Gupta</t>
  </si>
  <si>
    <t>Vishal Sharma</t>
  </si>
  <si>
    <t>Rahul Khan</t>
  </si>
  <si>
    <t>Aishwarya Khan</t>
  </si>
  <si>
    <t>Deepa Sharma</t>
  </si>
  <si>
    <t>Manisha Mishra</t>
  </si>
  <si>
    <t>Vivaan Khan</t>
  </si>
  <si>
    <t>Ananya Mishra</t>
  </si>
  <si>
    <t>Siddharth Patel</t>
  </si>
  <si>
    <t>Karthik Gupta</t>
  </si>
  <si>
    <t>Neha Das</t>
  </si>
  <si>
    <t>Shruti Jose</t>
  </si>
  <si>
    <t>Manisha Khan</t>
  </si>
  <si>
    <t>Karthik Khan</t>
  </si>
  <si>
    <t>Manisha Nagar</t>
  </si>
  <si>
    <t>Manisha Reddy</t>
  </si>
  <si>
    <t>Vivaan Kumar</t>
  </si>
  <si>
    <t>Ishaan Khan</t>
  </si>
  <si>
    <t>Vishal Nagar</t>
  </si>
  <si>
    <t>Vishal Bose</t>
  </si>
  <si>
    <t>Deepa Gupta</t>
  </si>
  <si>
    <t>Vishal Gupta</t>
  </si>
  <si>
    <t>Rohan Singh</t>
  </si>
  <si>
    <t>Sangeetha Mishra</t>
  </si>
  <si>
    <t>Deepa Mishra</t>
  </si>
  <si>
    <t>Manisha Iyer</t>
  </si>
  <si>
    <t>Kavya Khan</t>
  </si>
  <si>
    <t>Aditya Reddy</t>
  </si>
  <si>
    <t>Anil Jose</t>
  </si>
  <si>
    <t>Anil Reddy</t>
  </si>
  <si>
    <t>Ishaan Das</t>
  </si>
  <si>
    <t>Vivaan Gupta</t>
  </si>
  <si>
    <t>Kavya Nagar</t>
  </si>
  <si>
    <t>Manisha Nair</t>
  </si>
  <si>
    <t>Rohan Khan</t>
  </si>
  <si>
    <t>Neha Nagar</t>
  </si>
  <si>
    <t>Sangeetha Khan</t>
  </si>
  <si>
    <t>Vishal Patel</t>
  </si>
  <si>
    <t>Shruti Khan</t>
  </si>
  <si>
    <t>Rohan Iyer</t>
  </si>
  <si>
    <t>Manisha Das</t>
  </si>
  <si>
    <t>Ishaan Nagar</t>
  </si>
  <si>
    <t>Aditya Nair</t>
  </si>
  <si>
    <t>Ananya Patel</t>
  </si>
  <si>
    <t>Vivaan Mishra</t>
  </si>
  <si>
    <t>Siddharth Sharma</t>
  </si>
  <si>
    <t>Aditya Das</t>
  </si>
  <si>
    <t>Karthik Kumar</t>
  </si>
  <si>
    <t>Priya Das</t>
  </si>
  <si>
    <t>Karthik Iyer</t>
  </si>
  <si>
    <t>Ananya Khan</t>
  </si>
  <si>
    <t>Shruti Iyer</t>
  </si>
  <si>
    <t>Vivaan Jose</t>
  </si>
  <si>
    <t>Rahul Kumar</t>
  </si>
  <si>
    <t>Vishal Reddy</t>
  </si>
  <si>
    <t>Karthik Jose</t>
  </si>
  <si>
    <t>Aarav Gupta</t>
  </si>
  <si>
    <t>Priya Nair</t>
  </si>
  <si>
    <t>Sangeetha Jose</t>
  </si>
  <si>
    <t>Aditya Mishra</t>
  </si>
  <si>
    <t>Aishwarya Kumar</t>
  </si>
  <si>
    <t>Ananya Jose</t>
  </si>
  <si>
    <t>Sangeetha Nagar</t>
  </si>
  <si>
    <t>Karthik Bose</t>
  </si>
  <si>
    <t>Sangeetha Gupta</t>
  </si>
  <si>
    <t>Aishwarya Mishra</t>
  </si>
  <si>
    <t>Aishwarya Bose</t>
  </si>
  <si>
    <t>Manisha Patel</t>
  </si>
  <si>
    <t>Rahul Sharma</t>
  </si>
  <si>
    <t>Siddharth Iyer</t>
  </si>
  <si>
    <t>Kavya Reddy</t>
  </si>
  <si>
    <t>Vivaan Iyer</t>
  </si>
  <si>
    <t>Vishal Khan</t>
  </si>
  <si>
    <t>Priya Khan</t>
  </si>
  <si>
    <t>Aishwarya Reddy</t>
  </si>
  <si>
    <t>Rahul Jose</t>
  </si>
  <si>
    <t>Arjun Khan</t>
  </si>
  <si>
    <t>Rahul Mishra</t>
  </si>
  <si>
    <t>Deepa Kumar</t>
  </si>
  <si>
    <t>Anil Nagar</t>
  </si>
  <si>
    <t>Arjun Gupta</t>
  </si>
  <si>
    <t>Anil Iyer</t>
  </si>
  <si>
    <t>Siddharth Singh</t>
  </si>
  <si>
    <t>Aarav Patel</t>
  </si>
  <si>
    <t>Anil Patel</t>
  </si>
  <si>
    <t>Karthik Sharma</t>
  </si>
  <si>
    <t>Vivaan Bose</t>
  </si>
  <si>
    <t>Neha Iyer</t>
  </si>
  <si>
    <t>Rohan Kumar</t>
  </si>
  <si>
    <t>Karthik Mishra</t>
  </si>
  <si>
    <t>Neha Khan</t>
  </si>
  <si>
    <t>Kavya Jose</t>
  </si>
  <si>
    <t>Anil Das</t>
  </si>
  <si>
    <t>Manisha Kumar</t>
  </si>
  <si>
    <t>Sangeetha Nair</t>
  </si>
  <si>
    <t>Neha Sharma</t>
  </si>
  <si>
    <t>Shruti Nagar</t>
  </si>
  <si>
    <t>Ishaan Jose</t>
  </si>
  <si>
    <t>Rahul Iyer</t>
  </si>
  <si>
    <t>Shruti Singh</t>
  </si>
  <si>
    <t>Vivaan Reddy</t>
  </si>
  <si>
    <t>Ishaan Kumar</t>
  </si>
  <si>
    <t>Aishwarya Jose</t>
  </si>
  <si>
    <t>Vishal Kumar</t>
  </si>
  <si>
    <t>Ananya Bose</t>
  </si>
  <si>
    <t>Rahul Patel</t>
  </si>
  <si>
    <t>Manisha Jose</t>
  </si>
  <si>
    <t>Shruti Kumar</t>
  </si>
  <si>
    <t>Deepa Nair</t>
  </si>
  <si>
    <t>Karthik Das</t>
  </si>
  <si>
    <t>Aarav Nagar</t>
  </si>
  <si>
    <t>Ananya Kumar</t>
  </si>
  <si>
    <t>Sangeetha Iyer</t>
  </si>
  <si>
    <t>Sangeetha Kumar</t>
  </si>
  <si>
    <t>Male</t>
  </si>
  <si>
    <t>Female</t>
  </si>
  <si>
    <t>Other</t>
  </si>
  <si>
    <t>Kolkata</t>
  </si>
  <si>
    <t>Ahmedabad</t>
  </si>
  <si>
    <t>Pune</t>
  </si>
  <si>
    <t>Kochi</t>
  </si>
  <si>
    <t>Trichy</t>
  </si>
  <si>
    <t>Mumbai</t>
  </si>
  <si>
    <t>Lucknow</t>
  </si>
  <si>
    <t>Coimbatore</t>
  </si>
  <si>
    <t>Chennai</t>
  </si>
  <si>
    <t>Noida</t>
  </si>
  <si>
    <t>Madurai</t>
  </si>
  <si>
    <t>Jaipur</t>
  </si>
  <si>
    <t>Delhi</t>
  </si>
  <si>
    <t>Hyderabad</t>
  </si>
  <si>
    <t>Bengaluru</t>
  </si>
  <si>
    <t>West Bengal</t>
  </si>
  <si>
    <t>Gujarat</t>
  </si>
  <si>
    <t>Maharashtra</t>
  </si>
  <si>
    <t>Kerala</t>
  </si>
  <si>
    <t>Tamil Nadu</t>
  </si>
  <si>
    <t>Uttar Pradesh</t>
  </si>
  <si>
    <t>Rajasthan</t>
  </si>
  <si>
    <t>Telangana</t>
  </si>
  <si>
    <t>Karnataka</t>
  </si>
  <si>
    <t>Cardiology</t>
  </si>
  <si>
    <t>Pediatrics</t>
  </si>
  <si>
    <t>Orthopedics</t>
  </si>
  <si>
    <t>Ophthalmology</t>
  </si>
  <si>
    <t>Neurology</t>
  </si>
  <si>
    <t>General Medicine</t>
  </si>
  <si>
    <t>Dermatology</t>
  </si>
  <si>
    <t>Psychiatry</t>
  </si>
  <si>
    <t>Gynecology</t>
  </si>
  <si>
    <t>ENT</t>
  </si>
  <si>
    <t>Dr. Nikhil</t>
  </si>
  <si>
    <t>Dr. Suri</t>
  </si>
  <si>
    <t>Dr. Ramesh</t>
  </si>
  <si>
    <t>Dr. Pallavi</t>
  </si>
  <si>
    <t>Dr. Bhavana</t>
  </si>
  <si>
    <t>Dr. Anand</t>
  </si>
  <si>
    <t>Dr. Ravi</t>
  </si>
  <si>
    <t>Dr. Anu</t>
  </si>
  <si>
    <t>Dr. Lalitha</t>
  </si>
  <si>
    <t>Dr. Priya</t>
  </si>
  <si>
    <t>Dr. Surya</t>
  </si>
  <si>
    <t>Dr. Sneha</t>
  </si>
  <si>
    <t>Dr. Manoj</t>
  </si>
  <si>
    <t>Dr. Arvind</t>
  </si>
  <si>
    <t>Dr. Shailesh</t>
  </si>
  <si>
    <t>Dr. Meena</t>
  </si>
  <si>
    <t>Dr. Leela</t>
  </si>
  <si>
    <t>Dr. Kusum</t>
  </si>
  <si>
    <t>Dr. Kavitha</t>
  </si>
  <si>
    <t>Dr. Varun</t>
  </si>
  <si>
    <t>Dr. Karthik</t>
  </si>
  <si>
    <t>E11</t>
  </si>
  <si>
    <t>H10</t>
  </si>
  <si>
    <t>J45</t>
  </si>
  <si>
    <t>J00</t>
  </si>
  <si>
    <t>I10</t>
  </si>
  <si>
    <t>L40</t>
  </si>
  <si>
    <t>M54</t>
  </si>
  <si>
    <t>N39</t>
  </si>
  <si>
    <t>K21</t>
  </si>
  <si>
    <t>F41</t>
  </si>
  <si>
    <t>Medication</t>
  </si>
  <si>
    <t>Minor Surgery</t>
  </si>
  <si>
    <t>Observation</t>
  </si>
  <si>
    <t>Minor Procedure</t>
  </si>
  <si>
    <t>Surgery</t>
  </si>
  <si>
    <t>Counselling</t>
  </si>
  <si>
    <t>Prescription Refill</t>
  </si>
  <si>
    <t>Physiotherapy</t>
  </si>
  <si>
    <t>OPD</t>
  </si>
  <si>
    <t>Emergency</t>
  </si>
  <si>
    <t>Teleconsultation</t>
  </si>
  <si>
    <t>IPD</t>
  </si>
  <si>
    <t>Cash</t>
  </si>
  <si>
    <t>UPI</t>
  </si>
  <si>
    <t>Credit Card</t>
  </si>
  <si>
    <t>Debit Card</t>
  </si>
  <si>
    <t>Net Banking</t>
  </si>
  <si>
    <t>No</t>
  </si>
  <si>
    <t>Yes</t>
  </si>
  <si>
    <t>Z111</t>
  </si>
  <si>
    <t xml:space="preserve">Age_Group </t>
  </si>
  <si>
    <r>
      <rPr>
        <b/>
        <sz val="12"/>
        <color theme="1"/>
        <rFont val="Calibri"/>
        <family val="2"/>
        <scheme val="minor"/>
      </rPr>
      <t>Bill_Category</t>
    </r>
    <r>
      <rPr>
        <sz val="12"/>
        <color theme="1"/>
        <rFont val="Calibri"/>
        <family val="2"/>
        <scheme val="minor"/>
      </rPr>
      <t xml:space="preserve">  </t>
    </r>
  </si>
  <si>
    <r>
      <rPr>
        <b/>
        <sz val="12"/>
        <color theme="1"/>
        <rFont val="Calibri"/>
        <family val="2"/>
        <scheme val="minor"/>
      </rPr>
      <t>Stay_Status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</si>
  <si>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>Average Bill Amount</t>
    </r>
    <r>
      <rPr>
        <sz val="12"/>
        <color theme="1"/>
        <rFont val="Calibri"/>
        <family val="2"/>
        <scheme val="minor"/>
      </rPr>
      <t xml:space="preserve"> </t>
    </r>
  </si>
  <si>
    <t>Count Insurance</t>
  </si>
  <si>
    <r>
      <rPr>
        <b/>
        <sz val="12"/>
        <color theme="1"/>
        <rFont val="Calibri"/>
        <family val="2"/>
        <scheme val="minor"/>
      </rPr>
      <t>maximum bill amount</t>
    </r>
    <r>
      <rPr>
        <sz val="12"/>
        <color theme="1"/>
        <rFont val="Calibri"/>
        <family val="2"/>
        <scheme val="minor"/>
      </rPr>
      <t xml:space="preserve"> </t>
    </r>
  </si>
  <si>
    <t xml:space="preserve">Number of Female Patients </t>
  </si>
  <si>
    <t>z5f</t>
  </si>
  <si>
    <t>Row Labels</t>
  </si>
  <si>
    <t>Grand Total</t>
  </si>
  <si>
    <t>Sum of Bill_Amount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</si>
</sst>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2" fillId="3" borderId="0" xfId="0" applyFont="1" applyFill="1"/>
    <xf numFmtId="14" fontId="0" fillId="0" borderId="0" xfId="0" applyNumberFormat="1"/>
    <xf numFmtId="0" fontId="1" fillId="3" borderId="1" xfId="0" applyNumberFormat="1" applyFont="1" applyFill="1" applyBorder="1" applyAlignment="1">
      <alignment horizontal="center" vertical="top"/>
    </xf>
    <xf numFmtId="0" fontId="0" fillId="0" borderId="0" xfId="0" applyNumberFormat="1"/>
    <xf numFmtId="0" fontId="1" fillId="2" borderId="0" xfId="0" applyFont="1" applyFill="1"/>
    <xf numFmtId="0" fontId="3" fillId="3" borderId="1" xfId="0" applyFont="1" applyFill="1" applyBorder="1" applyAlignment="1">
      <alignment horizontal="center" vertical="top"/>
    </xf>
    <xf numFmtId="0" fontId="4" fillId="0" borderId="0" xfId="0" applyFont="1"/>
    <xf numFmtId="0" fontId="0" fillId="0" borderId="0" xfId="0" applyFont="1"/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[FINAL PROJECT DATA ANALYTICS Sheet 1.xlsx]Sheet2!PivotTable3</c:name>
    <c:fmtId val="1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7902996500437444"/>
          <c:y val="0.15729184893554973"/>
          <c:w val="0.50763801399825026"/>
          <c:h val="0.65529673374161568"/>
        </c:manualLayout>
      </c:layout>
      <c:barChart>
        <c:barDir val="bar"/>
        <c:grouping val="clustere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Sheet2!$A$4:$A$14</c:f>
              <c:strCache>
                <c:ptCount val="10"/>
                <c:pt idx="0">
                  <c:v>Cardiology</c:v>
                </c:pt>
                <c:pt idx="1">
                  <c:v>Dermatology</c:v>
                </c:pt>
                <c:pt idx="2">
                  <c:v>ENT</c:v>
                </c:pt>
                <c:pt idx="3">
                  <c:v>General Medicine</c:v>
                </c:pt>
                <c:pt idx="4">
                  <c:v>Gynecology</c:v>
                </c:pt>
                <c:pt idx="5">
                  <c:v>Neurology</c:v>
                </c:pt>
                <c:pt idx="6">
                  <c:v>Ophthalmology</c:v>
                </c:pt>
                <c:pt idx="7">
                  <c:v>Orthopedics</c:v>
                </c:pt>
                <c:pt idx="8">
                  <c:v>Pediatrics</c:v>
                </c:pt>
                <c:pt idx="9">
                  <c:v>Psychiatry</c:v>
                </c:pt>
              </c:strCache>
            </c:strRef>
          </c:cat>
          <c:val>
            <c:numRef>
              <c:f>Sheet2!$B$4:$B$14</c:f>
              <c:numCache>
                <c:formatCode>"₹"\ #,##0.00</c:formatCode>
                <c:ptCount val="10"/>
                <c:pt idx="0">
                  <c:v>2063352.7999999998</c:v>
                </c:pt>
                <c:pt idx="1">
                  <c:v>1936444.9199999988</c:v>
                </c:pt>
                <c:pt idx="2">
                  <c:v>1813648.5499999989</c:v>
                </c:pt>
                <c:pt idx="3">
                  <c:v>2086532.0300000012</c:v>
                </c:pt>
                <c:pt idx="4">
                  <c:v>1912873.5199999993</c:v>
                </c:pt>
                <c:pt idx="5">
                  <c:v>2032275.4300000004</c:v>
                </c:pt>
                <c:pt idx="6">
                  <c:v>1993165.3399999987</c:v>
                </c:pt>
                <c:pt idx="7">
                  <c:v>1982693.9499999983</c:v>
                </c:pt>
                <c:pt idx="8">
                  <c:v>2151248.350000001</c:v>
                </c:pt>
                <c:pt idx="9">
                  <c:v>2157022.9200000013</c:v>
                </c:pt>
              </c:numCache>
            </c:numRef>
          </c:val>
        </c:ser>
        <c:axId val="92897280"/>
        <c:axId val="92898816"/>
      </c:barChart>
      <c:catAx>
        <c:axId val="92897280"/>
        <c:scaling>
          <c:orientation val="minMax"/>
        </c:scaling>
        <c:axPos val="l"/>
        <c:tickLblPos val="nextTo"/>
        <c:crossAx val="92898816"/>
        <c:crosses val="autoZero"/>
        <c:auto val="1"/>
        <c:lblAlgn val="ctr"/>
        <c:lblOffset val="100"/>
      </c:catAx>
      <c:valAx>
        <c:axId val="92898816"/>
        <c:scaling>
          <c:orientation val="minMax"/>
        </c:scaling>
        <c:axPos val="b"/>
        <c:majorGridlines/>
        <c:numFmt formatCode="&quot;₹&quot;\ #,##0.00" sourceLinked="1"/>
        <c:tickLblPos val="nextTo"/>
        <c:crossAx val="92897280"/>
        <c:crosses val="autoZero"/>
        <c:crossBetween val="between"/>
        <c:dispUnits>
          <c:builtInUnit val="thousands"/>
        </c:dispUnits>
      </c:valAx>
    </c:plotArea>
    <c:plotVisOnly val="1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2</xdr:row>
      <xdr:rowOff>9525</xdr:rowOff>
    </xdr:from>
    <xdr:to>
      <xdr:col>9</xdr:col>
      <xdr:colOff>133350</xdr:colOff>
      <xdr:row>14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68.172188078701" createdVersion="3" refreshedVersion="3" minRefreshableVersion="3" recordCount="3000">
  <cacheSource type="worksheet">
    <worksheetSource ref="A1:AA3001" sheet="Sheet1"/>
  </cacheSource>
  <cacheFields count="27">
    <cacheField name="Visit_ID" numFmtId="0">
      <sharedItems/>
    </cacheField>
    <cacheField name="Date" numFmtId="14">
      <sharedItems containsSemiMixedTypes="0" containsNonDate="0" containsDate="1" containsString="0" minDate="2024-01-01T00:00:00" maxDate="2025-11-06T00:00:00"/>
    </cacheField>
    <cacheField name="Patient_ID" numFmtId="0">
      <sharedItems/>
    </cacheField>
    <cacheField name="Patient_Name" numFmtId="0">
      <sharedItems/>
    </cacheField>
    <cacheField name="Gender" numFmtId="0">
      <sharedItems/>
    </cacheField>
    <cacheField name="Age" numFmtId="0">
      <sharedItems containsSemiMixedTypes="0" containsString="0" containsNumber="1" minValue="0" maxValue="95"/>
    </cacheField>
    <cacheField name="City" numFmtId="0">
      <sharedItems/>
    </cacheField>
    <cacheField name="State" numFmtId="0">
      <sharedItems/>
    </cacheField>
    <cacheField name="Department" numFmtId="0">
      <sharedItems count="10">
        <s v="Cardiology"/>
        <s v="Pediatrics"/>
        <s v="Orthopedics"/>
        <s v="Ophthalmology"/>
        <s v="Neurology"/>
        <s v="General Medicine"/>
        <s v="Dermatology"/>
        <s v="Psychiatry"/>
        <s v="Gynecology"/>
        <s v="ENT"/>
      </sharedItems>
    </cacheField>
    <cacheField name="Doctor" numFmtId="0">
      <sharedItems/>
    </cacheField>
    <cacheField name="Diagnosis_Code" numFmtId="0">
      <sharedItems/>
    </cacheField>
    <cacheField name="Treatment" numFmtId="0">
      <sharedItems/>
    </cacheField>
    <cacheField name="Visit_Type" numFmtId="0">
      <sharedItems/>
    </cacheField>
    <cacheField name="Bill_Amount" numFmtId="0">
      <sharedItems containsSemiMixedTypes="0" containsString="0" containsNumber="1" minValue="52.97" maxValue="45628.09"/>
    </cacheField>
    <cacheField name="Payment_Mode" numFmtId="0">
      <sharedItems/>
    </cacheField>
    <cacheField name="z5f" numFmtId="0">
      <sharedItems/>
    </cacheField>
    <cacheField name="Length_of_Stay" numFmtId="0">
      <sharedItems containsString="0" containsBlank="1" containsNumber="1" containsInteger="1" minValue="1" maxValue="12"/>
    </cacheField>
    <cacheField name="Followup_Days" numFmtId="0">
      <sharedItems containsString="0" containsBlank="1" containsNumber="1" containsInteger="1" minValue="7" maxValue="90"/>
    </cacheField>
    <cacheField name="Age_Group " numFmtId="0">
      <sharedItems/>
    </cacheField>
    <cacheField name="Bill_Category  " numFmtId="0">
      <sharedItems/>
    </cacheField>
    <cacheField name="Stay_Status " numFmtId="0">
      <sharedItems/>
    </cacheField>
    <cacheField name="Visit_Type2" numFmtId="0">
      <sharedItems containsBlank="1"/>
    </cacheField>
    <cacheField name="Average Bill Amount " numFmtId="0">
      <sharedItems containsString="0" containsBlank="1" containsNumber="1" minValue="4973.8168672839583" maxValue="10200.642226720651"/>
    </cacheField>
    <cacheField name="Count Insurance" numFmtId="0">
      <sharedItems containsString="0" containsBlank="1" containsNumber="1" containsInteger="1" minValue="592" maxValue="592"/>
    </cacheField>
    <cacheField name="maximum bill amount " numFmtId="0">
      <sharedItems containsString="0" containsBlank="1" containsNumber="1" minValue="45628.09" maxValue="45628.09"/>
    </cacheField>
    <cacheField name="Gender2" numFmtId="0">
      <sharedItems containsBlank="1"/>
    </cacheField>
    <cacheField name="Number of Female Patients " numFmtId="0">
      <sharedItems containsString="0" containsBlank="1" containsNumber="1" containsInteger="1" minValue="137" maxValue="14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s v="VIS201537"/>
    <d v="2025-03-26T00:00:00"/>
    <s v="PAT6581"/>
    <s v="Karthik Patel"/>
    <s v="Male"/>
    <n v="25"/>
    <s v="Kolkata"/>
    <s v="West Bengal"/>
    <x v="0"/>
    <s v="Dr. Nikhil"/>
    <s v="E11"/>
    <s v="Medication"/>
    <s v="OPD"/>
    <n v="124.49"/>
    <s v="Cash"/>
    <s v="No"/>
    <m/>
    <n v="14"/>
    <s v="Adult"/>
    <s v="Low"/>
    <s v="Short Days"/>
    <m/>
    <m/>
    <m/>
    <m/>
    <m/>
    <m/>
  </r>
  <r>
    <s v="VIS201134"/>
    <d v="2025-04-27T00:00:00"/>
    <s v="PAT5010"/>
    <s v="Aarav Mishra"/>
    <s v="Female"/>
    <n v="25"/>
    <s v="Kolkata"/>
    <s v="West Bengal"/>
    <x v="0"/>
    <s v="Dr. Nikhil"/>
    <s v="H10"/>
    <s v="Minor Surgery"/>
    <s v="Emergency"/>
    <n v="15686.56"/>
    <s v="UPI"/>
    <s v="No"/>
    <m/>
    <n v="14"/>
    <s v="Adult"/>
    <s v="High"/>
    <s v="Short Days"/>
    <s v="OPD"/>
    <n v="4973.8168672839583"/>
    <n v="592"/>
    <n v="45628.09"/>
    <s v="Female"/>
    <n v="137"/>
  </r>
  <r>
    <s v="VIS202688"/>
    <d v="2025-03-04T00:00:00"/>
    <s v="PAT6047"/>
    <s v="Priya Sharma"/>
    <s v="Male"/>
    <n v="40"/>
    <s v="Ahmedabad"/>
    <s v="Gujarat"/>
    <x v="1"/>
    <s v="Dr. Suri"/>
    <s v="J45"/>
    <s v="Observation"/>
    <s v="Teleconsultation"/>
    <n v="8996.7099999999991"/>
    <s v="Insurance"/>
    <s v="Yes"/>
    <m/>
    <m/>
    <s v="Adult"/>
    <s v="Medium"/>
    <s v="Short Days"/>
    <s v="Emergency"/>
    <n v="10200.642226720651"/>
    <m/>
    <m/>
    <s v="Male"/>
    <n v="145"/>
  </r>
  <r>
    <s v="VIS201831"/>
    <d v="2024-08-19T00:00:00"/>
    <s v="PAT6827"/>
    <s v="Rohan Reddy"/>
    <s v="Female"/>
    <n v="24"/>
    <s v="Pune"/>
    <s v="Maharashtra"/>
    <x v="2"/>
    <s v="Dr. Ramesh"/>
    <s v="J00"/>
    <s v="Observation"/>
    <s v="OPD"/>
    <n v="1348.96"/>
    <s v="Credit Card"/>
    <s v="No"/>
    <m/>
    <n v="30"/>
    <s v="Adult"/>
    <s v="Low"/>
    <s v="Short Days"/>
    <s v="Teleconsultation"/>
    <n v="9838.5424068323009"/>
    <m/>
    <m/>
    <m/>
    <m/>
  </r>
  <r>
    <s v="VIS200543"/>
    <d v="2025-06-25T00:00:00"/>
    <s v="PAT6391"/>
    <s v="Neha Mishra"/>
    <s v="Female"/>
    <n v="35"/>
    <s v="Kolkata"/>
    <s v="West Bengal"/>
    <x v="3"/>
    <s v="Dr. Pallavi"/>
    <s v="I10"/>
    <s v="Minor Procedure"/>
    <s v="Teleconsultation"/>
    <n v="15975.72"/>
    <s v="Cash"/>
    <s v="No"/>
    <m/>
    <n v="90"/>
    <s v="Adult"/>
    <s v="High"/>
    <s v="Short Days"/>
    <s v="IPD"/>
    <n v="9724.7144242424256"/>
    <m/>
    <m/>
    <m/>
    <m/>
  </r>
  <r>
    <s v="VIS202278"/>
    <d v="2024-01-16T00:00:00"/>
    <s v="PAT6590"/>
    <s v="Arjun Bose"/>
    <s v="Female"/>
    <n v="27"/>
    <s v="Kochi"/>
    <s v="Kerala"/>
    <x v="4"/>
    <s v="Dr. Bhavana"/>
    <s v="H10"/>
    <s v="Surgery"/>
    <s v="Emergency"/>
    <n v="6817.87"/>
    <s v="Cash"/>
    <s v="No"/>
    <m/>
    <n v="30"/>
    <s v="Adult"/>
    <s v="Medium"/>
    <s v="Short Days"/>
    <m/>
    <m/>
    <m/>
    <m/>
    <m/>
    <m/>
  </r>
  <r>
    <s v="VIS201000"/>
    <d v="2024-05-11T00:00:00"/>
    <s v="PAT5927"/>
    <s v="Vivaan Nair"/>
    <s v="Male"/>
    <n v="12"/>
    <s v="Kochi"/>
    <s v="Kerala"/>
    <x v="2"/>
    <s v="Dr. Ramesh"/>
    <s v="L40"/>
    <s v="Medication"/>
    <s v="IPD"/>
    <n v="12915.34"/>
    <s v="Debit Card"/>
    <s v="No"/>
    <n v="9"/>
    <n v="90"/>
    <s v="Child"/>
    <s v="High"/>
    <s v="Long Days"/>
    <m/>
    <m/>
    <m/>
    <m/>
    <m/>
    <m/>
  </r>
  <r>
    <s v="VIS202347"/>
    <d v="2025-01-24T00:00:00"/>
    <s v="PAT6908"/>
    <s v="Kavya Gupta"/>
    <s v="Male"/>
    <n v="54"/>
    <s v="Trichy"/>
    <s v="Tamil Nadu"/>
    <x v="4"/>
    <s v="Dr. Bhavana"/>
    <s v="M54"/>
    <s v="Surgery"/>
    <s v="OPD"/>
    <n v="9962.24"/>
    <s v="Debit Card"/>
    <s v="No"/>
    <m/>
    <n v="30"/>
    <s v="Middle-Aged"/>
    <s v="Medium"/>
    <s v="Short Days"/>
    <m/>
    <m/>
    <m/>
    <m/>
    <m/>
    <m/>
  </r>
  <r>
    <s v="VIS201743"/>
    <d v="2025-01-02T00:00:00"/>
    <s v="PAT5989"/>
    <s v="Deepa Reddy"/>
    <s v="Male"/>
    <n v="19"/>
    <s v="Kochi"/>
    <s v="Kerala"/>
    <x v="1"/>
    <s v="Dr. Suri"/>
    <s v="J00"/>
    <s v="Counselling"/>
    <s v="OPD"/>
    <n v="222.02"/>
    <s v="UPI"/>
    <s v="No"/>
    <m/>
    <n v="14"/>
    <s v="Adult"/>
    <s v="Low"/>
    <s v="Short Days"/>
    <m/>
    <m/>
    <m/>
    <m/>
    <m/>
    <m/>
  </r>
  <r>
    <s v="VIS200567"/>
    <d v="2025-10-24T00:00:00"/>
    <s v="PAT6700"/>
    <s v="Aarav Mishra"/>
    <s v="Female"/>
    <n v="41"/>
    <s v="Mumbai"/>
    <s v="Maharashtra"/>
    <x v="1"/>
    <s v="Dr. Suri"/>
    <s v="I10"/>
    <s v="Prescription Refill"/>
    <s v="OPD"/>
    <n v="2476.1999999999998"/>
    <s v="Credit Card"/>
    <s v="No"/>
    <m/>
    <n v="90"/>
    <s v="Middle-Aged"/>
    <s v="Low"/>
    <s v="Short Days"/>
    <m/>
    <m/>
    <m/>
    <m/>
    <m/>
    <m/>
  </r>
  <r>
    <s v="VIS201943"/>
    <d v="2024-07-20T00:00:00"/>
    <s v="PAT5076"/>
    <s v="Ananya Reddy"/>
    <s v="Female"/>
    <n v="28"/>
    <s v="Ahmedabad"/>
    <s v="Gujarat"/>
    <x v="3"/>
    <s v="Dr. Anand"/>
    <s v="I10"/>
    <s v="Minor Procedure"/>
    <s v="IPD"/>
    <n v="12558.55"/>
    <s v="Cash"/>
    <s v="No"/>
    <n v="8"/>
    <n v="7"/>
    <s v="Adult"/>
    <s v="High"/>
    <s v="Long Days"/>
    <m/>
    <m/>
    <m/>
    <m/>
    <m/>
    <m/>
  </r>
  <r>
    <s v="VIS202266"/>
    <d v="2024-03-23T00:00:00"/>
    <s v="PAT6057"/>
    <s v="Siddharth Kumar"/>
    <s v="Female"/>
    <n v="54"/>
    <s v="Lucknow"/>
    <s v="Uttar Pradesh"/>
    <x v="5"/>
    <s v="Dr. Ravi"/>
    <s v="N39"/>
    <s v="Medication"/>
    <s v="OPD"/>
    <n v="927.49"/>
    <s v="Insurance"/>
    <s v="Yes"/>
    <m/>
    <m/>
    <s v="Middle-Aged"/>
    <s v="Low"/>
    <s v="Short Days"/>
    <m/>
    <m/>
    <m/>
    <m/>
    <m/>
    <m/>
  </r>
  <r>
    <s v="VIS201485"/>
    <d v="2024-03-28T00:00:00"/>
    <s v="PAT6473"/>
    <s v="Rohan Das"/>
    <s v="Female"/>
    <n v="50"/>
    <s v="Ahmedabad"/>
    <s v="Gujarat"/>
    <x v="1"/>
    <s v="Dr. Suri"/>
    <s v="J45"/>
    <s v="Surgery"/>
    <s v="OPD"/>
    <n v="6694.18"/>
    <s v="Debit Card"/>
    <s v="No"/>
    <m/>
    <n v="7"/>
    <s v="Middle-Aged"/>
    <s v="Medium"/>
    <s v="Short Days"/>
    <m/>
    <m/>
    <m/>
    <m/>
    <m/>
    <m/>
  </r>
  <r>
    <s v="VIS202515"/>
    <d v="2025-05-19T00:00:00"/>
    <s v="PAT6323"/>
    <s v="Aarav Kumar"/>
    <s v="Female"/>
    <n v="30"/>
    <s v="Coimbatore"/>
    <s v="Tamil Nadu"/>
    <x v="3"/>
    <s v="Dr. Pallavi"/>
    <s v="H10"/>
    <s v="Observation"/>
    <s v="OPD"/>
    <n v="1739.66"/>
    <s v="Cash"/>
    <s v="No"/>
    <m/>
    <n v="90"/>
    <s v="Adult"/>
    <s v="Low"/>
    <s v="Short Days"/>
    <m/>
    <m/>
    <m/>
    <m/>
    <m/>
    <m/>
  </r>
  <r>
    <s v="VIS200098"/>
    <d v="2024-07-27T00:00:00"/>
    <s v="PAT6376"/>
    <s v="Neha Singh"/>
    <s v="Female"/>
    <n v="17"/>
    <s v="Kolkata"/>
    <s v="West Bengal"/>
    <x v="1"/>
    <s v="Dr. Anu"/>
    <s v="N39"/>
    <s v="Minor Procedure"/>
    <s v="Teleconsultation"/>
    <n v="5557.15"/>
    <s v="Insurance"/>
    <s v="Yes"/>
    <m/>
    <n v="30"/>
    <s v="Child"/>
    <s v="Medium"/>
    <s v="Short Days"/>
    <m/>
    <m/>
    <m/>
    <m/>
    <m/>
    <m/>
  </r>
  <r>
    <s v="VIS202122"/>
    <d v="2024-01-21T00:00:00"/>
    <s v="PAT6067"/>
    <s v="Aditya Nagar"/>
    <s v="Male"/>
    <n v="39"/>
    <s v="Lucknow"/>
    <s v="Uttar Pradesh"/>
    <x v="6"/>
    <s v="Dr. Lalitha"/>
    <s v="K21"/>
    <s v="Medication"/>
    <s v="Teleconsultation"/>
    <n v="17379.23"/>
    <s v="Cash"/>
    <s v="No"/>
    <m/>
    <n v="30"/>
    <s v="Adult"/>
    <s v="High"/>
    <s v="Short Days"/>
    <m/>
    <m/>
    <m/>
    <m/>
    <m/>
    <m/>
  </r>
  <r>
    <s v="VIS200175"/>
    <d v="2024-02-05T00:00:00"/>
    <s v="PAT6509"/>
    <s v="Rohan Jose"/>
    <s v="Male"/>
    <n v="43"/>
    <s v="Chennai"/>
    <s v="Tamil Nadu"/>
    <x v="6"/>
    <s v="Dr. Priya"/>
    <s v="M54"/>
    <s v="Observation"/>
    <s v="OPD"/>
    <n v="2400.89"/>
    <s v="UPI"/>
    <s v="No"/>
    <m/>
    <n v="7"/>
    <s v="Middle-Aged"/>
    <s v="Low"/>
    <s v="Short Days"/>
    <m/>
    <m/>
    <m/>
    <m/>
    <m/>
    <m/>
  </r>
  <r>
    <s v="VIS202156"/>
    <d v="2025-08-21T00:00:00"/>
    <s v="PAT5504"/>
    <s v="Siddharth Jose"/>
    <s v="Male"/>
    <n v="28"/>
    <s v="Chennai"/>
    <s v="Tamil Nadu"/>
    <x v="5"/>
    <s v="Dr. Ravi"/>
    <s v="J45"/>
    <s v="Counselling"/>
    <s v="Emergency"/>
    <n v="11871.58"/>
    <s v="Debit Card"/>
    <s v="No"/>
    <m/>
    <n v="7"/>
    <s v="Adult"/>
    <s v="High"/>
    <s v="Short Days"/>
    <m/>
    <m/>
    <m/>
    <m/>
    <m/>
    <m/>
  </r>
  <r>
    <s v="VIS201529"/>
    <d v="2024-11-25T00:00:00"/>
    <s v="PAT5700"/>
    <s v="Vishal Das"/>
    <s v="Male"/>
    <n v="22"/>
    <s v="Kochi"/>
    <s v="Kerala"/>
    <x v="1"/>
    <s v="Dr. Anu"/>
    <s v="I10"/>
    <s v="Observation"/>
    <s v="OPD"/>
    <n v="3883.98"/>
    <s v="Cash"/>
    <s v="No"/>
    <m/>
    <n v="14"/>
    <s v="Adult"/>
    <s v="Low"/>
    <s v="Short Days"/>
    <m/>
    <m/>
    <m/>
    <m/>
    <m/>
    <m/>
  </r>
  <r>
    <s v="VIS201183"/>
    <d v="2024-02-21T00:00:00"/>
    <s v="PAT5322"/>
    <s v="Neha Jose"/>
    <s v="Female"/>
    <n v="33"/>
    <s v="Mumbai"/>
    <s v="Maharashtra"/>
    <x v="7"/>
    <s v="Dr. Surya"/>
    <s v="J45"/>
    <s v="Minor Procedure"/>
    <s v="OPD"/>
    <n v="4099.1899999999996"/>
    <s v="Insurance"/>
    <s v="Yes"/>
    <m/>
    <m/>
    <s v="Adult"/>
    <s v="Low"/>
    <s v="Short Days"/>
    <m/>
    <m/>
    <m/>
    <m/>
    <m/>
    <m/>
  </r>
  <r>
    <s v="VIS202855"/>
    <d v="2024-05-19T00:00:00"/>
    <s v="PAT6765"/>
    <s v="Vivaan Sharma"/>
    <s v="Male"/>
    <n v="40"/>
    <s v="Coimbatore"/>
    <s v="Tamil Nadu"/>
    <x v="6"/>
    <s v="Dr. Lalitha"/>
    <s v="I10"/>
    <s v="Medication"/>
    <s v="OPD"/>
    <n v="6510.5"/>
    <s v="Cash"/>
    <s v="No"/>
    <m/>
    <n v="90"/>
    <s v="Adult"/>
    <s v="Medium"/>
    <s v="Short Days"/>
    <m/>
    <m/>
    <m/>
    <m/>
    <m/>
    <m/>
  </r>
  <r>
    <s v="VIS200687"/>
    <d v="2025-04-06T00:00:00"/>
    <s v="PAT6050"/>
    <s v="Rahul Gupta"/>
    <s v="Male"/>
    <n v="53"/>
    <s v="Noida"/>
    <s v="Uttar Pradesh"/>
    <x v="1"/>
    <s v="Dr. Suri"/>
    <s v="M54"/>
    <s v="Minor Surgery"/>
    <s v="OPD"/>
    <n v="12756.15"/>
    <s v="UPI"/>
    <s v="No"/>
    <m/>
    <m/>
    <s v="Middle-Aged"/>
    <s v="High"/>
    <s v="Short Days"/>
    <m/>
    <m/>
    <m/>
    <m/>
    <m/>
    <m/>
  </r>
  <r>
    <s v="VIS202824"/>
    <d v="2024-10-23T00:00:00"/>
    <s v="PAT5614"/>
    <s v="Siddharth Jose"/>
    <s v="Male"/>
    <n v="16"/>
    <s v="Kolkata"/>
    <s v="West Bengal"/>
    <x v="8"/>
    <s v="Dr. Sneha"/>
    <s v="H10"/>
    <s v="Surgery"/>
    <s v="Teleconsultation"/>
    <n v="5060.38"/>
    <s v="Cash"/>
    <s v="No"/>
    <m/>
    <n v="30"/>
    <s v="Child"/>
    <s v="Medium"/>
    <s v="Short Days"/>
    <m/>
    <m/>
    <m/>
    <m/>
    <m/>
    <m/>
  </r>
  <r>
    <s v="VIS202338"/>
    <d v="2024-09-10T00:00:00"/>
    <s v="PAT5049"/>
    <s v="Vivaan Singh"/>
    <s v="Female"/>
    <n v="18"/>
    <s v="Madurai"/>
    <s v="Tamil Nadu"/>
    <x v="1"/>
    <s v="Dr. Anu"/>
    <s v="L40"/>
    <s v="Counselling"/>
    <s v="OPD"/>
    <n v="1817.27"/>
    <s v="Debit Card"/>
    <s v="No"/>
    <m/>
    <m/>
    <s v="Adult"/>
    <s v="Low"/>
    <s v="Short Days"/>
    <m/>
    <m/>
    <m/>
    <m/>
    <m/>
    <m/>
  </r>
  <r>
    <s v="VIS201464"/>
    <d v="2025-06-10T00:00:00"/>
    <s v="PAT6719"/>
    <s v="Kavya Nair"/>
    <s v="Female"/>
    <n v="34"/>
    <s v="Pune"/>
    <s v="Maharashtra"/>
    <x v="2"/>
    <s v="Dr. Manoj"/>
    <s v="M54"/>
    <s v="Medication"/>
    <s v="OPD"/>
    <n v="2111.87"/>
    <s v="Debit Card"/>
    <s v="No"/>
    <m/>
    <n v="30"/>
    <s v="Adult"/>
    <s v="Low"/>
    <s v="Short Days"/>
    <m/>
    <m/>
    <m/>
    <m/>
    <m/>
    <m/>
  </r>
  <r>
    <s v="VIS200719"/>
    <d v="2024-12-29T00:00:00"/>
    <s v="PAT5225"/>
    <s v="Aishwarya Singh"/>
    <s v="Male"/>
    <n v="67"/>
    <s v="Mumbai"/>
    <s v="Maharashtra"/>
    <x v="3"/>
    <s v="Dr. Anand"/>
    <s v="E11"/>
    <s v="Medication"/>
    <s v="Teleconsultation"/>
    <n v="18690.2"/>
    <s v="Credit Card"/>
    <s v="No"/>
    <m/>
    <n v="30"/>
    <s v="Senior"/>
    <s v="High"/>
    <s v="Short Days"/>
    <m/>
    <m/>
    <m/>
    <m/>
    <m/>
    <m/>
  </r>
  <r>
    <s v="VIS202370"/>
    <d v="2025-05-20T00:00:00"/>
    <s v="PAT5143"/>
    <s v="Priya Gupta"/>
    <s v="Male"/>
    <n v="28"/>
    <s v="Kolkata"/>
    <s v="West Bengal"/>
    <x v="5"/>
    <s v="Dr. Ravi"/>
    <s v="J45"/>
    <s v="Surgery"/>
    <s v="Emergency"/>
    <n v="14945.12"/>
    <s v="Insurance"/>
    <s v="Yes"/>
    <m/>
    <m/>
    <s v="Adult"/>
    <s v="High"/>
    <s v="Short Days"/>
    <m/>
    <m/>
    <m/>
    <m/>
    <m/>
    <m/>
  </r>
  <r>
    <s v="VIS202626"/>
    <d v="2024-06-08T00:00:00"/>
    <s v="PAT5883"/>
    <s v="Aditya Patel"/>
    <s v="Female"/>
    <n v="41"/>
    <s v="Noida"/>
    <s v="Uttar Pradesh"/>
    <x v="4"/>
    <s v="Dr. Bhavana"/>
    <s v="J00"/>
    <s v="Prescription Refill"/>
    <s v="OPD"/>
    <n v="3250.94"/>
    <s v="Debit Card"/>
    <s v="No"/>
    <m/>
    <n v="7"/>
    <s v="Middle-Aged"/>
    <s v="Low"/>
    <s v="Short Days"/>
    <m/>
    <m/>
    <m/>
    <m/>
    <m/>
    <m/>
  </r>
  <r>
    <s v="VIS200664"/>
    <d v="2025-04-04T00:00:00"/>
    <s v="PAT6719"/>
    <s v="Kavya Kumar"/>
    <s v="Male"/>
    <n v="50"/>
    <s v="Madurai"/>
    <s v="Tamil Nadu"/>
    <x v="1"/>
    <s v="Dr. Suri"/>
    <s v="J00"/>
    <s v="Minor Procedure"/>
    <s v="Teleconsultation"/>
    <n v="6520.13"/>
    <s v="Insurance"/>
    <s v="Yes"/>
    <m/>
    <m/>
    <s v="Middle-Aged"/>
    <s v="Medium"/>
    <s v="Short Days"/>
    <m/>
    <m/>
    <m/>
    <m/>
    <m/>
    <m/>
  </r>
  <r>
    <s v="VIS200554"/>
    <d v="2025-08-30T00:00:00"/>
    <s v="PAT6092"/>
    <s v="Manisha Singh"/>
    <s v="Male"/>
    <n v="67"/>
    <s v="Coimbatore"/>
    <s v="Tamil Nadu"/>
    <x v="9"/>
    <s v="Dr. Arvind"/>
    <s v="E11"/>
    <s v="Minor Procedure"/>
    <s v="Emergency"/>
    <n v="7598.98"/>
    <s v="Net Banking"/>
    <s v="No"/>
    <m/>
    <n v="30"/>
    <s v="Senior"/>
    <s v="Medium"/>
    <s v="Short Days"/>
    <m/>
    <m/>
    <m/>
    <m/>
    <m/>
    <m/>
  </r>
  <r>
    <s v="VIS202583"/>
    <d v="2024-07-06T00:00:00"/>
    <s v="PAT5618"/>
    <s v="Neha Jose"/>
    <s v="Male"/>
    <n v="54"/>
    <s v="Jaipur"/>
    <s v="Rajasthan"/>
    <x v="0"/>
    <s v="Dr. Shailesh"/>
    <s v="E11"/>
    <s v="Minor Procedure"/>
    <s v="Emergency"/>
    <n v="5534.49"/>
    <s v="Credit Card"/>
    <s v="No"/>
    <m/>
    <n v="14"/>
    <s v="Middle-Aged"/>
    <s v="Medium"/>
    <s v="Short Days"/>
    <m/>
    <m/>
    <m/>
    <m/>
    <m/>
    <m/>
  </r>
  <r>
    <s v="VIS200969"/>
    <d v="2024-04-06T00:00:00"/>
    <s v="PAT6017"/>
    <s v="Kavya Bose"/>
    <s v="Female"/>
    <n v="71"/>
    <s v="Delhi"/>
    <s v="Delhi"/>
    <x v="1"/>
    <s v="Dr. Anu"/>
    <s v="L40"/>
    <s v="Surgery"/>
    <s v="OPD"/>
    <n v="3402.53"/>
    <s v="UPI"/>
    <s v="No"/>
    <m/>
    <n v="30"/>
    <s v="Senior"/>
    <s v="Low"/>
    <s v="Short Days"/>
    <m/>
    <m/>
    <m/>
    <m/>
    <m/>
    <m/>
  </r>
  <r>
    <s v="VIS200904"/>
    <d v="2025-04-13T00:00:00"/>
    <s v="PAT5952"/>
    <s v="Vishal Iyer"/>
    <s v="Female"/>
    <n v="41"/>
    <s v="Madurai"/>
    <s v="Tamil Nadu"/>
    <x v="2"/>
    <s v="Dr. Manoj"/>
    <s v="E11"/>
    <s v="Minor Procedure"/>
    <s v="OPD"/>
    <n v="10779.59"/>
    <s v="Insurance"/>
    <s v="Yes"/>
    <m/>
    <n v="7"/>
    <s v="Middle-Aged"/>
    <s v="High"/>
    <s v="Short Days"/>
    <m/>
    <m/>
    <m/>
    <m/>
    <m/>
    <m/>
  </r>
  <r>
    <s v="VIS202737"/>
    <d v="2024-05-25T00:00:00"/>
    <s v="PAT6246"/>
    <s v="Aishwarya Nagar"/>
    <s v="Male"/>
    <n v="22"/>
    <s v="Kolkata"/>
    <s v="West Bengal"/>
    <x v="5"/>
    <s v="Dr. Meena"/>
    <s v="J45"/>
    <s v="Prescription Refill"/>
    <s v="OPD"/>
    <n v="2659.73"/>
    <s v="Debit Card"/>
    <s v="No"/>
    <m/>
    <n v="14"/>
    <s v="Adult"/>
    <s v="Low"/>
    <s v="Short Days"/>
    <m/>
    <m/>
    <m/>
    <m/>
    <m/>
    <m/>
  </r>
  <r>
    <s v="VIS200273"/>
    <d v="2025-07-09T00:00:00"/>
    <s v="PAT6679"/>
    <s v="Manisha Gupta"/>
    <s v="Male"/>
    <n v="40"/>
    <s v="Noida"/>
    <s v="Uttar Pradesh"/>
    <x v="2"/>
    <s v="Dr. Manoj"/>
    <s v="F41"/>
    <s v="Minor Surgery"/>
    <s v="OPD"/>
    <n v="4942.83"/>
    <s v="Insurance"/>
    <s v="Yes"/>
    <m/>
    <m/>
    <s v="Adult"/>
    <s v="Low"/>
    <s v="Short Days"/>
    <m/>
    <m/>
    <m/>
    <m/>
    <m/>
    <m/>
  </r>
  <r>
    <s v="VIS201305"/>
    <d v="2025-07-17T00:00:00"/>
    <s v="PAT6425"/>
    <s v="Aarav Das"/>
    <s v="Male"/>
    <n v="0"/>
    <s v="Noida"/>
    <s v="Uttar Pradesh"/>
    <x v="0"/>
    <s v="Dr. Shailesh"/>
    <s v="I10"/>
    <s v="Minor Procedure"/>
    <s v="OPD"/>
    <n v="8783.49"/>
    <s v="UPI"/>
    <s v="No"/>
    <m/>
    <n v="14"/>
    <s v="Child"/>
    <s v="Medium"/>
    <s v="Short Days"/>
    <m/>
    <m/>
    <m/>
    <m/>
    <m/>
    <m/>
  </r>
  <r>
    <s v="VIS201953"/>
    <d v="2024-02-06T00:00:00"/>
    <s v="PAT6957"/>
    <s v="Aarav Bose"/>
    <s v="Female"/>
    <n v="12"/>
    <s v="Madurai"/>
    <s v="Tamil Nadu"/>
    <x v="7"/>
    <s v="Dr. Leela"/>
    <s v="E11"/>
    <s v="Minor Procedure"/>
    <s v="OPD"/>
    <n v="6078.78"/>
    <s v="Debit Card"/>
    <s v="No"/>
    <m/>
    <m/>
    <s v="Child"/>
    <s v="Medium"/>
    <s v="Short Days"/>
    <m/>
    <m/>
    <m/>
    <m/>
    <m/>
    <m/>
  </r>
  <r>
    <s v="VIS201390"/>
    <d v="2024-07-11T00:00:00"/>
    <s v="PAT5464"/>
    <s v="Aditya Kumar"/>
    <s v="Female"/>
    <n v="43"/>
    <s v="Pune"/>
    <s v="Maharashtra"/>
    <x v="9"/>
    <s v="Dr. Kusum"/>
    <s v="L40"/>
    <s v="Counselling"/>
    <s v="OPD"/>
    <n v="5197"/>
    <s v="UPI"/>
    <s v="No"/>
    <m/>
    <n v="14"/>
    <s v="Middle-Aged"/>
    <s v="Medium"/>
    <s v="Short Days"/>
    <m/>
    <m/>
    <m/>
    <m/>
    <m/>
    <m/>
  </r>
  <r>
    <s v="VIS201765"/>
    <d v="2024-04-19T00:00:00"/>
    <s v="PAT6792"/>
    <s v="Aarav Jose"/>
    <s v="Male"/>
    <n v="70"/>
    <s v="Kolkata"/>
    <s v="West Bengal"/>
    <x v="6"/>
    <s v="Dr. Lalitha"/>
    <s v="L40"/>
    <s v="Medication"/>
    <s v="IPD"/>
    <n v="8821.57"/>
    <s v="Insurance"/>
    <s v="Yes"/>
    <n v="8"/>
    <m/>
    <s v="Senior"/>
    <s v="Medium"/>
    <s v="Long Days"/>
    <m/>
    <m/>
    <m/>
    <m/>
    <m/>
    <m/>
  </r>
  <r>
    <s v="VIS200780"/>
    <d v="2024-05-08T00:00:00"/>
    <s v="PAT5917"/>
    <s v="Aishwarya Nair"/>
    <s v="Female"/>
    <n v="90"/>
    <s v="Ahmedabad"/>
    <s v="Gujarat"/>
    <x v="9"/>
    <s v="Dr. Arvind"/>
    <s v="J00"/>
    <s v="Surgery"/>
    <s v="Teleconsultation"/>
    <n v="9407.35"/>
    <s v="Cash"/>
    <s v="No"/>
    <m/>
    <n v="90"/>
    <s v="Senior"/>
    <s v="Medium"/>
    <s v="Short Days"/>
    <m/>
    <m/>
    <m/>
    <m/>
    <m/>
    <m/>
  </r>
  <r>
    <s v="VIS202759"/>
    <d v="2024-08-24T00:00:00"/>
    <s v="PAT6920"/>
    <s v="Rahul Nagar"/>
    <s v="Male"/>
    <n v="36"/>
    <s v="Jaipur"/>
    <s v="Rajasthan"/>
    <x v="1"/>
    <s v="Dr. Anu"/>
    <s v="K21"/>
    <s v="Counselling"/>
    <s v="OPD"/>
    <n v="8379.48"/>
    <s v="Insurance"/>
    <s v="Yes"/>
    <m/>
    <n v="14"/>
    <s v="Adult"/>
    <s v="Medium"/>
    <s v="Short Days"/>
    <m/>
    <m/>
    <m/>
    <m/>
    <m/>
    <m/>
  </r>
  <r>
    <s v="VIS202107"/>
    <d v="2024-05-05T00:00:00"/>
    <s v="PAT5710"/>
    <s v="Arjun Jose"/>
    <s v="Male"/>
    <n v="70"/>
    <s v="Trichy"/>
    <s v="Tamil Nadu"/>
    <x v="5"/>
    <s v="Dr. Meena"/>
    <s v="F41"/>
    <s v="Physiotherapy"/>
    <s v="OPD"/>
    <n v="540.16999999999996"/>
    <s v="Cash"/>
    <s v="No"/>
    <m/>
    <n v="14"/>
    <s v="Senior"/>
    <s v="Low"/>
    <s v="Short Days"/>
    <m/>
    <m/>
    <m/>
    <m/>
    <m/>
    <m/>
  </r>
  <r>
    <s v="VIS202541"/>
    <d v="2024-03-21T00:00:00"/>
    <s v="PAT6944"/>
    <s v="Ananya Nair"/>
    <s v="Other"/>
    <n v="39"/>
    <s v="Hyderabad"/>
    <s v="Telangana"/>
    <x v="9"/>
    <s v="Dr. Kusum"/>
    <s v="J00"/>
    <s v="Minor Procedure"/>
    <s v="OPD"/>
    <n v="5500.53"/>
    <s v="Cash"/>
    <s v="No"/>
    <m/>
    <n v="14"/>
    <s v="Adult"/>
    <s v="Medium"/>
    <s v="Short Days"/>
    <m/>
    <m/>
    <m/>
    <m/>
    <m/>
    <m/>
  </r>
  <r>
    <s v="VIS202313"/>
    <d v="2024-01-21T00:00:00"/>
    <s v="PAT5479"/>
    <s v="Aishwarya Iyer"/>
    <s v="Male"/>
    <n v="49"/>
    <s v="Coimbatore"/>
    <s v="Tamil Nadu"/>
    <x v="4"/>
    <s v="Dr. Bhavana"/>
    <s v="M54"/>
    <s v="Surgery"/>
    <s v="OPD"/>
    <n v="7857.45"/>
    <s v="UPI"/>
    <s v="No"/>
    <m/>
    <m/>
    <s v="Middle-Aged"/>
    <s v="Medium"/>
    <s v="Short Days"/>
    <m/>
    <m/>
    <m/>
    <m/>
    <m/>
    <m/>
  </r>
  <r>
    <s v="VIS200485"/>
    <d v="2025-08-10T00:00:00"/>
    <s v="PAT5827"/>
    <s v="Deepa Patel"/>
    <s v="Male"/>
    <n v="40"/>
    <s v="Jaipur"/>
    <s v="Rajasthan"/>
    <x v="9"/>
    <s v="Dr. Arvind"/>
    <s v="K21"/>
    <s v="Surgery"/>
    <s v="OPD"/>
    <n v="19294.580000000002"/>
    <s v="Credit Card"/>
    <s v="No"/>
    <m/>
    <n v="7"/>
    <s v="Adult"/>
    <s v="High"/>
    <s v="Short Days"/>
    <m/>
    <m/>
    <m/>
    <m/>
    <m/>
    <m/>
  </r>
  <r>
    <s v="VIS201391"/>
    <d v="2024-12-17T00:00:00"/>
    <s v="PAT6433"/>
    <s v="Aditya Iyer"/>
    <s v="Female"/>
    <n v="49"/>
    <s v="Ahmedabad"/>
    <s v="Gujarat"/>
    <x v="6"/>
    <s v="Dr. Lalitha"/>
    <s v="I10"/>
    <s v="Observation"/>
    <s v="OPD"/>
    <n v="5819.97"/>
    <s v="Cash"/>
    <s v="No"/>
    <m/>
    <n v="7"/>
    <s v="Middle-Aged"/>
    <s v="Medium"/>
    <s v="Short Days"/>
    <m/>
    <m/>
    <m/>
    <m/>
    <m/>
    <m/>
  </r>
  <r>
    <s v="VIS201839"/>
    <d v="2024-06-16T00:00:00"/>
    <s v="PAT5199"/>
    <s v="Aarav Singh"/>
    <s v="Female"/>
    <n v="32"/>
    <s v="Kolkata"/>
    <s v="West Bengal"/>
    <x v="8"/>
    <s v="Dr. Sneha"/>
    <s v="J00"/>
    <s v="Prescription Refill"/>
    <s v="OPD"/>
    <n v="5011.25"/>
    <s v="Debit Card"/>
    <s v="No"/>
    <m/>
    <n v="14"/>
    <s v="Adult"/>
    <s v="Medium"/>
    <s v="Short Days"/>
    <m/>
    <m/>
    <m/>
    <m/>
    <m/>
    <m/>
  </r>
  <r>
    <s v="VIS201672"/>
    <d v="2024-05-01T00:00:00"/>
    <s v="PAT5043"/>
    <s v="Anil Khan"/>
    <s v="Male"/>
    <n v="15"/>
    <s v="Chennai"/>
    <s v="Tamil Nadu"/>
    <x v="0"/>
    <s v="Dr. Nikhil"/>
    <s v="J00"/>
    <s v="Prescription Refill"/>
    <s v="OPD"/>
    <n v="11359.14"/>
    <s v="Credit Card"/>
    <s v="No"/>
    <m/>
    <m/>
    <s v="Child"/>
    <s v="High"/>
    <s v="Short Days"/>
    <m/>
    <m/>
    <m/>
    <m/>
    <m/>
    <m/>
  </r>
  <r>
    <s v="VIS202952"/>
    <d v="2024-07-20T00:00:00"/>
    <s v="PAT6190"/>
    <s v="Ishaan Reddy"/>
    <s v="Male"/>
    <n v="30"/>
    <s v="Pune"/>
    <s v="Maharashtra"/>
    <x v="9"/>
    <s v="Dr. Arvind"/>
    <s v="I10"/>
    <s v="Observation"/>
    <s v="Teleconsultation"/>
    <n v="6199.63"/>
    <s v="Cash"/>
    <s v="No"/>
    <m/>
    <n v="7"/>
    <s v="Adult"/>
    <s v="Medium"/>
    <s v="Short Days"/>
    <m/>
    <m/>
    <m/>
    <m/>
    <m/>
    <m/>
  </r>
  <r>
    <s v="VIS202881"/>
    <d v="2024-03-21T00:00:00"/>
    <s v="PAT5135"/>
    <s v="Siddharth Khan"/>
    <s v="Male"/>
    <n v="37"/>
    <s v="Lucknow"/>
    <s v="Uttar Pradesh"/>
    <x v="8"/>
    <s v="Dr. Kavitha"/>
    <s v="L40"/>
    <s v="Observation"/>
    <s v="OPD"/>
    <n v="14068.55"/>
    <s v="Net Banking"/>
    <s v="No"/>
    <m/>
    <m/>
    <s v="Adult"/>
    <s v="High"/>
    <s v="Short Days"/>
    <m/>
    <m/>
    <m/>
    <m/>
    <m/>
    <m/>
  </r>
  <r>
    <s v="VIS202902"/>
    <d v="2025-10-04T00:00:00"/>
    <s v="PAT5386"/>
    <s v="Aishwarya Gupta"/>
    <s v="Female"/>
    <n v="69"/>
    <s v="Delhi"/>
    <s v="Delhi"/>
    <x v="3"/>
    <s v="Dr. Pallavi"/>
    <s v="K21"/>
    <s v="Physiotherapy"/>
    <s v="Emergency"/>
    <n v="12669.41"/>
    <s v="Debit Card"/>
    <s v="No"/>
    <m/>
    <m/>
    <s v="Senior"/>
    <s v="High"/>
    <s v="Short Days"/>
    <m/>
    <m/>
    <m/>
    <m/>
    <m/>
    <m/>
  </r>
  <r>
    <s v="VIS200021"/>
    <d v="2024-11-28T00:00:00"/>
    <s v="PAT5496"/>
    <s v="Karthik Nair"/>
    <s v="Female"/>
    <n v="39"/>
    <s v="Coimbatore"/>
    <s v="Tamil Nadu"/>
    <x v="3"/>
    <s v="Dr. Pallavi"/>
    <s v="M54"/>
    <s v="Prescription Refill"/>
    <s v="OPD"/>
    <n v="4795.29"/>
    <s v="Debit Card"/>
    <s v="No"/>
    <m/>
    <n v="30"/>
    <s v="Adult"/>
    <s v="Low"/>
    <s v="Short Days"/>
    <m/>
    <m/>
    <m/>
    <m/>
    <m/>
    <m/>
  </r>
  <r>
    <s v="VIS201100"/>
    <d v="2024-04-17T00:00:00"/>
    <s v="PAT6344"/>
    <s v="Kavya Patel"/>
    <s v="Female"/>
    <n v="58"/>
    <s v="Delhi"/>
    <s v="Delhi"/>
    <x v="5"/>
    <s v="Dr. Meena"/>
    <s v="N39"/>
    <s v="Surgery"/>
    <s v="OPD"/>
    <n v="1760.32"/>
    <s v="Insurance"/>
    <s v="Yes"/>
    <m/>
    <n v="7"/>
    <s v="Middle-Aged"/>
    <s v="Low"/>
    <s v="Short Days"/>
    <m/>
    <m/>
    <m/>
    <m/>
    <m/>
    <m/>
  </r>
  <r>
    <s v="VIS201694"/>
    <d v="2025-07-02T00:00:00"/>
    <s v="PAT5811"/>
    <s v="Kavya Singh"/>
    <s v="Female"/>
    <n v="26"/>
    <s v="Trichy"/>
    <s v="Tamil Nadu"/>
    <x v="1"/>
    <s v="Dr. Suri"/>
    <s v="J00"/>
    <s v="Physiotherapy"/>
    <s v="OPD"/>
    <n v="5335.22"/>
    <s v="Credit Card"/>
    <s v="No"/>
    <m/>
    <n v="30"/>
    <s v="Adult"/>
    <s v="Medium"/>
    <s v="Short Days"/>
    <m/>
    <m/>
    <m/>
    <m/>
    <m/>
    <m/>
  </r>
  <r>
    <s v="VIS201517"/>
    <d v="2025-07-07T00:00:00"/>
    <s v="PAT5962"/>
    <s v="Shruti Nair"/>
    <s v="Male"/>
    <n v="58"/>
    <s v="Noida"/>
    <s v="Uttar Pradesh"/>
    <x v="6"/>
    <s v="Dr. Priya"/>
    <s v="K21"/>
    <s v="Surgery"/>
    <s v="OPD"/>
    <n v="6501.46"/>
    <s v="Insurance"/>
    <s v="Yes"/>
    <m/>
    <m/>
    <s v="Middle-Aged"/>
    <s v="Medium"/>
    <s v="Short Days"/>
    <m/>
    <m/>
    <m/>
    <m/>
    <m/>
    <m/>
  </r>
  <r>
    <s v="VIS202100"/>
    <d v="2024-08-29T00:00:00"/>
    <s v="PAT6590"/>
    <s v="Rahul Reddy"/>
    <s v="Female"/>
    <n v="62"/>
    <s v="Kolkata"/>
    <s v="West Bengal"/>
    <x v="3"/>
    <s v="Dr. Pallavi"/>
    <s v="F41"/>
    <s v="Minor Procedure"/>
    <s v="OPD"/>
    <n v="5701.87"/>
    <s v="Cash"/>
    <s v="No"/>
    <m/>
    <n v="90"/>
    <s v="Senior"/>
    <s v="Medium"/>
    <s v="Short Days"/>
    <m/>
    <m/>
    <m/>
    <m/>
    <m/>
    <m/>
  </r>
  <r>
    <s v="VIS200786"/>
    <d v="2024-05-14T00:00:00"/>
    <s v="PAT5730"/>
    <s v="Siddharth Nair"/>
    <s v="Female"/>
    <n v="50"/>
    <s v="Hyderabad"/>
    <s v="Telangana"/>
    <x v="5"/>
    <s v="Dr. Meena"/>
    <s v="H10"/>
    <s v="Medication"/>
    <s v="OPD"/>
    <n v="1499.65"/>
    <s v="UPI"/>
    <s v="No"/>
    <m/>
    <m/>
    <s v="Middle-Aged"/>
    <s v="Low"/>
    <s v="Short Days"/>
    <m/>
    <m/>
    <m/>
    <m/>
    <m/>
    <m/>
  </r>
  <r>
    <s v="VIS200579"/>
    <d v="2024-05-29T00:00:00"/>
    <s v="PAT6958"/>
    <s v="Aarav Bose"/>
    <s v="Female"/>
    <n v="54"/>
    <s v="Trichy"/>
    <s v="Tamil Nadu"/>
    <x v="3"/>
    <s v="Dr. Anand"/>
    <s v="J00"/>
    <s v="Observation"/>
    <s v="OPD"/>
    <n v="1619.06"/>
    <s v="Credit Card"/>
    <s v="No"/>
    <m/>
    <m/>
    <s v="Middle-Aged"/>
    <s v="Low"/>
    <s v="Short Days"/>
    <m/>
    <m/>
    <m/>
    <m/>
    <m/>
    <m/>
  </r>
  <r>
    <s v="VIS200617"/>
    <d v="2025-10-10T00:00:00"/>
    <s v="PAT5935"/>
    <s v="Shruti Nair"/>
    <s v="Female"/>
    <n v="70"/>
    <s v="Ahmedabad"/>
    <s v="Gujarat"/>
    <x v="4"/>
    <s v="Dr. Bhavana"/>
    <s v="E11"/>
    <s v="Minor Surgery"/>
    <s v="OPD"/>
    <n v="6406.08"/>
    <s v="UPI"/>
    <s v="No"/>
    <m/>
    <n v="14"/>
    <s v="Senior"/>
    <s v="Medium"/>
    <s v="Short Days"/>
    <m/>
    <m/>
    <m/>
    <m/>
    <m/>
    <m/>
  </r>
  <r>
    <s v="VIS201910"/>
    <d v="2025-07-24T00:00:00"/>
    <s v="PAT5462"/>
    <s v="Shruti Nair"/>
    <s v="Female"/>
    <n v="58"/>
    <s v="Hyderabad"/>
    <s v="Telangana"/>
    <x v="4"/>
    <s v="Dr. Varun"/>
    <s v="L40"/>
    <s v="Observation"/>
    <s v="OPD"/>
    <n v="2199.69"/>
    <s v="Insurance"/>
    <s v="Yes"/>
    <m/>
    <n v="30"/>
    <s v="Middle-Aged"/>
    <s v="Low"/>
    <s v="Short Days"/>
    <m/>
    <m/>
    <m/>
    <m/>
    <m/>
    <m/>
  </r>
  <r>
    <s v="VIS202295"/>
    <d v="2025-04-03T00:00:00"/>
    <s v="PAT5181"/>
    <s v="Siddharth Das"/>
    <s v="Male"/>
    <n v="19"/>
    <s v="Kolkata"/>
    <s v="West Bengal"/>
    <x v="0"/>
    <s v="Dr. Shailesh"/>
    <s v="M54"/>
    <s v="Observation"/>
    <s v="OPD"/>
    <n v="3582.55"/>
    <s v="Cash"/>
    <s v="No"/>
    <m/>
    <n v="7"/>
    <s v="Adult"/>
    <s v="Low"/>
    <s v="Short Days"/>
    <m/>
    <m/>
    <m/>
    <m/>
    <m/>
    <m/>
  </r>
  <r>
    <s v="VIS202710"/>
    <d v="2024-08-06T00:00:00"/>
    <s v="PAT6144"/>
    <s v="Ananya Nagar"/>
    <s v="Male"/>
    <n v="76"/>
    <s v="Kolkata"/>
    <s v="West Bengal"/>
    <x v="4"/>
    <s v="Dr. Varun"/>
    <s v="N39"/>
    <s v="Physiotherapy"/>
    <s v="OPD"/>
    <n v="5786.76"/>
    <s v="Insurance"/>
    <s v="Yes"/>
    <m/>
    <n v="30"/>
    <s v="Senior"/>
    <s v="Medium"/>
    <s v="Short Days"/>
    <m/>
    <m/>
    <m/>
    <m/>
    <m/>
    <m/>
  </r>
  <r>
    <s v="VIS202423"/>
    <d v="2024-03-15T00:00:00"/>
    <s v="PAT6958"/>
    <s v="Anil Gupta"/>
    <s v="Female"/>
    <n v="42"/>
    <s v="Noida"/>
    <s v="Uttar Pradesh"/>
    <x v="7"/>
    <s v="Dr. Surya"/>
    <s v="I10"/>
    <s v="Prescription Refill"/>
    <s v="OPD"/>
    <n v="2785.54"/>
    <s v="Insurance"/>
    <s v="Yes"/>
    <m/>
    <n v="14"/>
    <s v="Middle-Aged"/>
    <s v="Low"/>
    <s v="Short Days"/>
    <m/>
    <m/>
    <m/>
    <m/>
    <m/>
    <m/>
  </r>
  <r>
    <s v="VIS202815"/>
    <d v="2024-10-22T00:00:00"/>
    <s v="PAT6889"/>
    <s v="Anil Mishra"/>
    <s v="Female"/>
    <n v="69"/>
    <s v="Jaipur"/>
    <s v="Rajasthan"/>
    <x v="5"/>
    <s v="Dr. Meena"/>
    <s v="M54"/>
    <s v="Physiotherapy"/>
    <s v="OPD"/>
    <n v="5983.22"/>
    <s v="Debit Card"/>
    <s v="No"/>
    <m/>
    <m/>
    <s v="Senior"/>
    <s v="Medium"/>
    <s v="Short Days"/>
    <m/>
    <m/>
    <m/>
    <m/>
    <m/>
    <m/>
  </r>
  <r>
    <s v="VIS201547"/>
    <d v="2025-03-21T00:00:00"/>
    <s v="PAT5051"/>
    <s v="Vishal Singh"/>
    <s v="Male"/>
    <n v="42"/>
    <s v="Pune"/>
    <s v="Maharashtra"/>
    <x v="5"/>
    <s v="Dr. Meena"/>
    <s v="L40"/>
    <s v="Prescription Refill"/>
    <s v="OPD"/>
    <n v="537.44000000000005"/>
    <s v="Credit Card"/>
    <s v="No"/>
    <m/>
    <n v="14"/>
    <s v="Middle-Aged"/>
    <s v="Low"/>
    <s v="Short Days"/>
    <m/>
    <m/>
    <m/>
    <m/>
    <m/>
    <m/>
  </r>
  <r>
    <s v="VIS201496"/>
    <d v="2024-12-14T00:00:00"/>
    <s v="PAT5703"/>
    <s v="Kavya Sharma"/>
    <s v="Female"/>
    <n v="6"/>
    <s v="Lucknow"/>
    <s v="Uttar Pradesh"/>
    <x v="7"/>
    <s v="Dr. Surya"/>
    <s v="I10"/>
    <s v="Prescription Refill"/>
    <s v="Teleconsultation"/>
    <n v="5573.02"/>
    <s v="Credit Card"/>
    <s v="No"/>
    <m/>
    <n v="30"/>
    <s v="Child"/>
    <s v="Medium"/>
    <s v="Short Days"/>
    <m/>
    <m/>
    <m/>
    <m/>
    <m/>
    <m/>
  </r>
  <r>
    <s v="VIS201145"/>
    <d v="2024-10-26T00:00:00"/>
    <s v="PAT6404"/>
    <s v="Aditya Gupta"/>
    <s v="Female"/>
    <n v="36"/>
    <s v="Coimbatore"/>
    <s v="Tamil Nadu"/>
    <x v="7"/>
    <s v="Dr. Leela"/>
    <s v="I10"/>
    <s v="Counselling"/>
    <s v="Teleconsultation"/>
    <n v="8418.58"/>
    <s v="Insurance"/>
    <s v="Yes"/>
    <m/>
    <n v="7"/>
    <s v="Adult"/>
    <s v="Medium"/>
    <s v="Short Days"/>
    <m/>
    <m/>
    <m/>
    <m/>
    <m/>
    <m/>
  </r>
  <r>
    <s v="VIS201552"/>
    <d v="2024-07-04T00:00:00"/>
    <s v="PAT5647"/>
    <s v="Vivaan Sharma"/>
    <s v="Male"/>
    <n v="56"/>
    <s v="Bengaluru"/>
    <s v="Karnataka"/>
    <x v="5"/>
    <s v="Dr. Ravi"/>
    <s v="J00"/>
    <s v="Surgery"/>
    <s v="OPD"/>
    <n v="4925.9399999999996"/>
    <s v="Insurance"/>
    <s v="Yes"/>
    <m/>
    <n v="30"/>
    <s v="Middle-Aged"/>
    <s v="Low"/>
    <s v="Short Days"/>
    <m/>
    <m/>
    <m/>
    <m/>
    <m/>
    <m/>
  </r>
  <r>
    <s v="VIS201294"/>
    <d v="2024-06-06T00:00:00"/>
    <s v="PAT5951"/>
    <s v="Arjun Das"/>
    <s v="Male"/>
    <n v="40"/>
    <s v="Chennai"/>
    <s v="Tamil Nadu"/>
    <x v="4"/>
    <s v="Dr. Varun"/>
    <s v="M54"/>
    <s v="Physiotherapy"/>
    <s v="OPD"/>
    <n v="1992.28"/>
    <s v="Credit Card"/>
    <s v="No"/>
    <m/>
    <m/>
    <s v="Adult"/>
    <s v="Low"/>
    <s v="Short Days"/>
    <m/>
    <m/>
    <m/>
    <m/>
    <m/>
    <m/>
  </r>
  <r>
    <s v="VIS201708"/>
    <d v="2024-02-18T00:00:00"/>
    <s v="PAT6389"/>
    <s v="Arjun Singh"/>
    <s v="Female"/>
    <n v="26"/>
    <s v="Jaipur"/>
    <s v="Rajasthan"/>
    <x v="3"/>
    <s v="Dr. Pallavi"/>
    <s v="K21"/>
    <s v="Physiotherapy"/>
    <s v="OPD"/>
    <n v="6522.62"/>
    <s v="Cash"/>
    <s v="No"/>
    <m/>
    <m/>
    <s v="Adult"/>
    <s v="Medium"/>
    <s v="Short Days"/>
    <m/>
    <m/>
    <m/>
    <m/>
    <m/>
    <m/>
  </r>
  <r>
    <s v="VIS202695"/>
    <d v="2025-08-15T00:00:00"/>
    <s v="PAT6555"/>
    <s v="Kavya Das"/>
    <s v="Male"/>
    <n v="33"/>
    <s v="Coimbatore"/>
    <s v="Tamil Nadu"/>
    <x v="0"/>
    <s v="Dr. Nikhil"/>
    <s v="J00"/>
    <s v="Prescription Refill"/>
    <s v="Teleconsultation"/>
    <n v="5409.73"/>
    <s v="Insurance"/>
    <s v="Yes"/>
    <m/>
    <m/>
    <s v="Adult"/>
    <s v="Medium"/>
    <s v="Short Days"/>
    <m/>
    <m/>
    <m/>
    <m/>
    <m/>
    <m/>
  </r>
  <r>
    <s v="VIS200333"/>
    <d v="2024-01-08T00:00:00"/>
    <s v="PAT5443"/>
    <s v="Deepa Iyer"/>
    <s v="Female"/>
    <n v="50"/>
    <s v="Chennai"/>
    <s v="Tamil Nadu"/>
    <x v="4"/>
    <s v="Dr. Bhavana"/>
    <s v="K21"/>
    <s v="Minor Surgery"/>
    <s v="OPD"/>
    <n v="5634.37"/>
    <s v="Insurance"/>
    <s v="Yes"/>
    <m/>
    <n v="14"/>
    <s v="Middle-Aged"/>
    <s v="Medium"/>
    <s v="Short Days"/>
    <m/>
    <m/>
    <m/>
    <m/>
    <m/>
    <m/>
  </r>
  <r>
    <s v="VIS200152"/>
    <d v="2025-01-17T00:00:00"/>
    <s v="PAT5729"/>
    <s v="Shruti Patel"/>
    <s v="Male"/>
    <n v="37"/>
    <s v="Jaipur"/>
    <s v="Rajasthan"/>
    <x v="6"/>
    <s v="Dr. Priya"/>
    <s v="J00"/>
    <s v="Minor Surgery"/>
    <s v="OPD"/>
    <n v="2986.92"/>
    <s v="Cash"/>
    <s v="No"/>
    <m/>
    <n v="30"/>
    <s v="Adult"/>
    <s v="Low"/>
    <s v="Short Days"/>
    <m/>
    <m/>
    <m/>
    <m/>
    <m/>
    <m/>
  </r>
  <r>
    <s v="VIS200018"/>
    <d v="2024-02-23T00:00:00"/>
    <s v="PAT5738"/>
    <s v="Karthik Patel"/>
    <s v="Female"/>
    <n v="25"/>
    <s v="Lucknow"/>
    <s v="Uttar Pradesh"/>
    <x v="8"/>
    <s v="Dr. Kavitha"/>
    <s v="K21"/>
    <s v="Surgery"/>
    <s v="Teleconsultation"/>
    <n v="15061.13"/>
    <s v="Insurance"/>
    <s v="Yes"/>
    <m/>
    <n v="14"/>
    <s v="Adult"/>
    <s v="High"/>
    <s v="Short Days"/>
    <m/>
    <m/>
    <m/>
    <m/>
    <m/>
    <m/>
  </r>
  <r>
    <s v="VIS202255"/>
    <d v="2024-08-23T00:00:00"/>
    <s v="PAT5368"/>
    <s v="Rohan Gupta"/>
    <s v="Male"/>
    <n v="46"/>
    <s v="Kolkata"/>
    <s v="West Bengal"/>
    <x v="2"/>
    <s v="Dr. Ramesh"/>
    <s v="E11"/>
    <s v="Observation"/>
    <s v="Teleconsultation"/>
    <n v="12619.47"/>
    <s v="Debit Card"/>
    <s v="No"/>
    <m/>
    <n v="90"/>
    <s v="Middle-Aged"/>
    <s v="High"/>
    <s v="Short Days"/>
    <m/>
    <m/>
    <m/>
    <m/>
    <m/>
    <m/>
  </r>
  <r>
    <s v="VIS201465"/>
    <d v="2025-02-15T00:00:00"/>
    <s v="PAT5857"/>
    <s v="Aishwarya Gupta"/>
    <s v="Male"/>
    <n v="39"/>
    <s v="Madurai"/>
    <s v="Tamil Nadu"/>
    <x v="3"/>
    <s v="Dr. Anand"/>
    <s v="J45"/>
    <s v="Minor Procedure"/>
    <s v="OPD"/>
    <n v="3392.3"/>
    <s v="Credit Card"/>
    <s v="No"/>
    <m/>
    <m/>
    <s v="Adult"/>
    <s v="Low"/>
    <s v="Short Days"/>
    <m/>
    <m/>
    <m/>
    <m/>
    <m/>
    <m/>
  </r>
  <r>
    <s v="VIS202208"/>
    <d v="2024-07-19T00:00:00"/>
    <s v="PAT5773"/>
    <s v="Sangeetha Bose"/>
    <s v="Female"/>
    <n v="36"/>
    <s v="Mumbai"/>
    <s v="Maharashtra"/>
    <x v="4"/>
    <s v="Dr. Bhavana"/>
    <s v="M54"/>
    <s v="Counselling"/>
    <s v="IPD"/>
    <n v="6852.29"/>
    <s v="Insurance"/>
    <s v="Yes"/>
    <n v="6"/>
    <m/>
    <s v="Adult"/>
    <s v="Medium"/>
    <s v="Long Days"/>
    <m/>
    <m/>
    <m/>
    <m/>
    <m/>
    <m/>
  </r>
  <r>
    <s v="VIS202597"/>
    <d v="2024-09-06T00:00:00"/>
    <s v="PAT6745"/>
    <s v="Ananya Iyer"/>
    <s v="Female"/>
    <n v="42"/>
    <s v="Lucknow"/>
    <s v="Uttar Pradesh"/>
    <x v="0"/>
    <s v="Dr. Nikhil"/>
    <s v="I10"/>
    <s v="Prescription Refill"/>
    <s v="Emergency"/>
    <n v="15398.39"/>
    <s v="Debit Card"/>
    <s v="No"/>
    <m/>
    <m/>
    <s v="Middle-Aged"/>
    <s v="High"/>
    <s v="Short Days"/>
    <m/>
    <m/>
    <m/>
    <m/>
    <m/>
    <m/>
  </r>
  <r>
    <s v="VIS200108"/>
    <d v="2024-11-05T00:00:00"/>
    <s v="PAT6751"/>
    <s v="Sangeetha Sharma"/>
    <s v="Female"/>
    <n v="58"/>
    <s v="Lucknow"/>
    <s v="Uttar Pradesh"/>
    <x v="4"/>
    <s v="Dr. Varun"/>
    <s v="I10"/>
    <s v="Counselling"/>
    <s v="Teleconsultation"/>
    <n v="7199.95"/>
    <s v="Cash"/>
    <s v="No"/>
    <m/>
    <m/>
    <s v="Middle-Aged"/>
    <s v="Medium"/>
    <s v="Short Days"/>
    <m/>
    <m/>
    <m/>
    <m/>
    <m/>
    <m/>
  </r>
  <r>
    <s v="VIS200104"/>
    <d v="2024-09-29T00:00:00"/>
    <s v="PAT6570"/>
    <s v="Anil Nair"/>
    <s v="Male"/>
    <n v="35"/>
    <s v="Mumbai"/>
    <s v="Maharashtra"/>
    <x v="5"/>
    <s v="Dr. Karthik"/>
    <s v="J45"/>
    <s v="Observation"/>
    <s v="Teleconsultation"/>
    <n v="15928.17"/>
    <s v="Net Banking"/>
    <s v="No"/>
    <m/>
    <n v="7"/>
    <s v="Adult"/>
    <s v="High"/>
    <s v="Short Days"/>
    <m/>
    <m/>
    <m/>
    <m/>
    <m/>
    <m/>
  </r>
  <r>
    <s v="VIS200257"/>
    <d v="2024-08-02T00:00:00"/>
    <s v="PAT6144"/>
    <s v="Aarav Das"/>
    <s v="Male"/>
    <n v="50"/>
    <s v="Bengaluru"/>
    <s v="Karnataka"/>
    <x v="1"/>
    <s v="Dr. Anu"/>
    <s v="J00"/>
    <s v="Prescription Refill"/>
    <s v="Teleconsultation"/>
    <n v="25716.080000000002"/>
    <s v="UPI"/>
    <s v="No"/>
    <m/>
    <n v="30"/>
    <s v="Middle-Aged"/>
    <s v="High"/>
    <s v="Short Days"/>
    <m/>
    <m/>
    <m/>
    <m/>
    <m/>
    <m/>
  </r>
  <r>
    <s v="VIS200880"/>
    <d v="2024-06-15T00:00:00"/>
    <s v="PAT5867"/>
    <s v="Siddharth Nagar"/>
    <s v="Female"/>
    <n v="43"/>
    <s v="Madurai"/>
    <s v="Tamil Nadu"/>
    <x v="4"/>
    <s v="Dr. Varun"/>
    <s v="J45"/>
    <s v="Medication"/>
    <s v="OPD"/>
    <n v="3479"/>
    <s v="Debit Card"/>
    <s v="No"/>
    <m/>
    <n v="30"/>
    <s v="Middle-Aged"/>
    <s v="Low"/>
    <s v="Short Days"/>
    <m/>
    <m/>
    <m/>
    <m/>
    <m/>
    <m/>
  </r>
  <r>
    <s v="VIS201172"/>
    <d v="2025-06-21T00:00:00"/>
    <s v="PAT5289"/>
    <s v="Vishal Jose"/>
    <s v="Male"/>
    <n v="63"/>
    <s v="Madurai"/>
    <s v="Tamil Nadu"/>
    <x v="3"/>
    <s v="Dr. Anand"/>
    <s v="I10"/>
    <s v="Observation"/>
    <s v="OPD"/>
    <n v="16433.05"/>
    <s v="Debit Card"/>
    <s v="No"/>
    <m/>
    <n v="30"/>
    <s v="Senior"/>
    <s v="High"/>
    <s v="Short Days"/>
    <m/>
    <m/>
    <m/>
    <m/>
    <m/>
    <m/>
  </r>
  <r>
    <s v="VIS202914"/>
    <d v="2024-10-23T00:00:00"/>
    <s v="PAT5115"/>
    <s v="Aditya Khan"/>
    <s v="Male"/>
    <n v="83"/>
    <s v="Coimbatore"/>
    <s v="Tamil Nadu"/>
    <x v="0"/>
    <s v="Dr. Nikhil"/>
    <s v="J00"/>
    <s v="Minor Surgery"/>
    <s v="Teleconsultation"/>
    <n v="7523.89"/>
    <s v="UPI"/>
    <s v="No"/>
    <m/>
    <n v="30"/>
    <s v="Senior"/>
    <s v="Medium"/>
    <s v="Short Days"/>
    <m/>
    <m/>
    <m/>
    <m/>
    <m/>
    <m/>
  </r>
  <r>
    <s v="VIS200851"/>
    <d v="2025-06-10T00:00:00"/>
    <s v="PAT5269"/>
    <s v="Aishwarya Sharma"/>
    <s v="Male"/>
    <n v="7"/>
    <s v="Lucknow"/>
    <s v="Uttar Pradesh"/>
    <x v="0"/>
    <s v="Dr. Nikhil"/>
    <s v="J00"/>
    <s v="Observation"/>
    <s v="OPD"/>
    <n v="784.3"/>
    <s v="Insurance"/>
    <s v="Yes"/>
    <m/>
    <m/>
    <s v="Child"/>
    <s v="Low"/>
    <s v="Short Days"/>
    <m/>
    <m/>
    <m/>
    <m/>
    <m/>
    <m/>
  </r>
  <r>
    <s v="VIS202306"/>
    <d v="2024-06-04T00:00:00"/>
    <s v="PAT6535"/>
    <s v="Ananya Gupta"/>
    <s v="Female"/>
    <n v="41"/>
    <s v="Hyderabad"/>
    <s v="Telangana"/>
    <x v="2"/>
    <s v="Dr. Manoj"/>
    <s v="L40"/>
    <s v="Medication"/>
    <s v="OPD"/>
    <n v="2198.77"/>
    <s v="UPI"/>
    <s v="No"/>
    <m/>
    <n v="7"/>
    <s v="Middle-Aged"/>
    <s v="Low"/>
    <s v="Short Days"/>
    <m/>
    <m/>
    <m/>
    <m/>
    <m/>
    <m/>
  </r>
  <r>
    <s v="VIS202720"/>
    <d v="2025-08-10T00:00:00"/>
    <s v="PAT5816"/>
    <s v="Anil Kumar"/>
    <s v="Female"/>
    <n v="31"/>
    <s v="Jaipur"/>
    <s v="Rajasthan"/>
    <x v="4"/>
    <s v="Dr. Varun"/>
    <s v="I10"/>
    <s v="Surgery"/>
    <s v="OPD"/>
    <n v="7691.67"/>
    <s v="Cash"/>
    <s v="No"/>
    <m/>
    <m/>
    <s v="Adult"/>
    <s v="Medium"/>
    <s v="Short Days"/>
    <m/>
    <m/>
    <m/>
    <m/>
    <m/>
    <m/>
  </r>
  <r>
    <s v="VIS202584"/>
    <d v="2024-08-26T00:00:00"/>
    <s v="PAT5462"/>
    <s v="Arjun Reddy"/>
    <s v="Female"/>
    <n v="0"/>
    <s v="Bengaluru"/>
    <s v="Karnataka"/>
    <x v="3"/>
    <s v="Dr. Pallavi"/>
    <s v="J45"/>
    <s v="Physiotherapy"/>
    <s v="OPD"/>
    <n v="1344.85"/>
    <s v="Cash"/>
    <s v="No"/>
    <m/>
    <n v="14"/>
    <s v="Child"/>
    <s v="Low"/>
    <s v="Short Days"/>
    <m/>
    <m/>
    <m/>
    <m/>
    <m/>
    <m/>
  </r>
  <r>
    <s v="VIS200490"/>
    <d v="2024-09-07T00:00:00"/>
    <s v="PAT6946"/>
    <s v="Priya Sharma"/>
    <s v="Male"/>
    <n v="7"/>
    <s v="Noida"/>
    <s v="Uttar Pradesh"/>
    <x v="6"/>
    <s v="Dr. Lalitha"/>
    <s v="K21"/>
    <s v="Physiotherapy"/>
    <s v="OPD"/>
    <n v="9117.9500000000007"/>
    <s v="Insurance"/>
    <s v="Yes"/>
    <m/>
    <n v="7"/>
    <s v="Child"/>
    <s v="Medium"/>
    <s v="Short Days"/>
    <m/>
    <m/>
    <m/>
    <m/>
    <m/>
    <m/>
  </r>
  <r>
    <s v="VIS201617"/>
    <d v="2024-12-30T00:00:00"/>
    <s v="PAT5431"/>
    <s v="Shruti Mishra"/>
    <s v="Female"/>
    <n v="58"/>
    <s v="Kolkata"/>
    <s v="West Bengal"/>
    <x v="2"/>
    <s v="Dr. Ramesh"/>
    <s v="L40"/>
    <s v="Counselling"/>
    <s v="Teleconsultation"/>
    <n v="8644.7000000000007"/>
    <s v="UPI"/>
    <s v="No"/>
    <m/>
    <m/>
    <s v="Middle-Aged"/>
    <s v="Medium"/>
    <s v="Short Days"/>
    <m/>
    <m/>
    <m/>
    <m/>
    <m/>
    <m/>
  </r>
  <r>
    <s v="VIS201107"/>
    <d v="2024-08-17T00:00:00"/>
    <s v="PAT5899"/>
    <s v="Priya Nagar"/>
    <s v="Female"/>
    <n v="54"/>
    <s v="Trichy"/>
    <s v="Tamil Nadu"/>
    <x v="5"/>
    <s v="Dr. Karthik"/>
    <s v="L40"/>
    <s v="Counselling"/>
    <s v="Teleconsultation"/>
    <n v="8477.7000000000007"/>
    <s v="Insurance"/>
    <s v="Yes"/>
    <m/>
    <n v="7"/>
    <s v="Middle-Aged"/>
    <s v="Medium"/>
    <s v="Short Days"/>
    <m/>
    <m/>
    <m/>
    <m/>
    <m/>
    <m/>
  </r>
  <r>
    <s v="VIS201482"/>
    <d v="2024-08-30T00:00:00"/>
    <s v="PAT6041"/>
    <s v="Vishal Nair"/>
    <s v="Male"/>
    <n v="22"/>
    <s v="Coimbatore"/>
    <s v="Tamil Nadu"/>
    <x v="0"/>
    <s v="Dr. Shailesh"/>
    <s v="E11"/>
    <s v="Counselling"/>
    <s v="OPD"/>
    <n v="2065"/>
    <s v="Insurance"/>
    <s v="Yes"/>
    <m/>
    <m/>
    <s v="Adult"/>
    <s v="Low"/>
    <s v="Short Days"/>
    <m/>
    <m/>
    <m/>
    <m/>
    <m/>
    <m/>
  </r>
  <r>
    <s v="VIS201051"/>
    <d v="2025-08-25T00:00:00"/>
    <s v="PAT5530"/>
    <s v="Karthik Reddy"/>
    <s v="Male"/>
    <n v="49"/>
    <s v="Hyderabad"/>
    <s v="Telangana"/>
    <x v="1"/>
    <s v="Dr. Suri"/>
    <s v="J45"/>
    <s v="Medication"/>
    <s v="OPD"/>
    <n v="1673"/>
    <s v="Insurance"/>
    <s v="Yes"/>
    <m/>
    <m/>
    <s v="Middle-Aged"/>
    <s v="Low"/>
    <s v="Short Days"/>
    <m/>
    <m/>
    <m/>
    <m/>
    <m/>
    <m/>
  </r>
  <r>
    <s v="VIS201121"/>
    <d v="2024-04-25T00:00:00"/>
    <s v="PAT5915"/>
    <s v="Vishal Mishra"/>
    <s v="Male"/>
    <n v="36"/>
    <s v="Jaipur"/>
    <s v="Rajasthan"/>
    <x v="9"/>
    <s v="Dr. Arvind"/>
    <s v="I10"/>
    <s v="Prescription Refill"/>
    <s v="OPD"/>
    <n v="907.13"/>
    <s v="Cash"/>
    <s v="No"/>
    <m/>
    <m/>
    <s v="Adult"/>
    <s v="Low"/>
    <s v="Short Days"/>
    <m/>
    <m/>
    <m/>
    <m/>
    <m/>
    <m/>
  </r>
  <r>
    <s v="VIS201329"/>
    <d v="2024-07-09T00:00:00"/>
    <s v="PAT6635"/>
    <s v="Priya Mishra"/>
    <s v="Male"/>
    <n v="39"/>
    <s v="Hyderabad"/>
    <s v="Telangana"/>
    <x v="0"/>
    <s v="Dr. Nikhil"/>
    <s v="I10"/>
    <s v="Minor Procedure"/>
    <s v="OPD"/>
    <n v="680.64"/>
    <s v="UPI"/>
    <s v="No"/>
    <m/>
    <n v="7"/>
    <s v="Adult"/>
    <s v="Low"/>
    <s v="Short Days"/>
    <m/>
    <m/>
    <m/>
    <m/>
    <m/>
    <m/>
  </r>
  <r>
    <s v="VIS200471"/>
    <d v="2024-11-30T00:00:00"/>
    <s v="PAT5432"/>
    <s v="Manisha Bose"/>
    <s v="Female"/>
    <n v="51"/>
    <s v="Delhi"/>
    <s v="Delhi"/>
    <x v="8"/>
    <s v="Dr. Sneha"/>
    <s v="N39"/>
    <s v="Surgery"/>
    <s v="OPD"/>
    <n v="3718.96"/>
    <s v="Debit Card"/>
    <s v="No"/>
    <m/>
    <m/>
    <s v="Middle-Aged"/>
    <s v="Low"/>
    <s v="Short Days"/>
    <m/>
    <m/>
    <m/>
    <m/>
    <m/>
    <m/>
  </r>
  <r>
    <s v="VIS200838"/>
    <d v="2024-04-05T00:00:00"/>
    <s v="PAT5384"/>
    <s v="Arjun Patel"/>
    <s v="Male"/>
    <n v="15"/>
    <s v="Ahmedabad"/>
    <s v="Gujarat"/>
    <x v="2"/>
    <s v="Dr. Manoj"/>
    <s v="K21"/>
    <s v="Surgery"/>
    <s v="OPD"/>
    <n v="1905.5"/>
    <s v="Net Banking"/>
    <s v="No"/>
    <m/>
    <m/>
    <s v="Child"/>
    <s v="Low"/>
    <s v="Short Days"/>
    <m/>
    <m/>
    <m/>
    <m/>
    <m/>
    <m/>
  </r>
  <r>
    <s v="VIS200846"/>
    <d v="2025-08-08T00:00:00"/>
    <s v="PAT5638"/>
    <s v="Ananya Reddy"/>
    <s v="Male"/>
    <n v="47"/>
    <s v="Pune"/>
    <s v="Maharashtra"/>
    <x v="7"/>
    <s v="Dr. Leela"/>
    <s v="F41"/>
    <s v="Observation"/>
    <s v="OPD"/>
    <n v="1972.42"/>
    <s v="Debit Card"/>
    <s v="No"/>
    <m/>
    <m/>
    <s v="Middle-Aged"/>
    <s v="Low"/>
    <s v="Short Days"/>
    <m/>
    <m/>
    <m/>
    <m/>
    <m/>
    <m/>
  </r>
  <r>
    <s v="VIS201507"/>
    <d v="2024-10-25T00:00:00"/>
    <s v="PAT6473"/>
    <s v="Aishwarya Gupta"/>
    <s v="Female"/>
    <n v="22"/>
    <s v="Coimbatore"/>
    <s v="Tamil Nadu"/>
    <x v="8"/>
    <s v="Dr. Kavitha"/>
    <s v="J00"/>
    <s v="Surgery"/>
    <s v="OPD"/>
    <n v="300.35000000000002"/>
    <s v="Debit Card"/>
    <s v="No"/>
    <m/>
    <n v="7"/>
    <s v="Adult"/>
    <s v="Low"/>
    <s v="Short Days"/>
    <m/>
    <m/>
    <m/>
    <m/>
    <m/>
    <m/>
  </r>
  <r>
    <s v="VIS202174"/>
    <d v="2025-10-30T00:00:00"/>
    <s v="PAT6561"/>
    <s v="Rohan Bose"/>
    <s v="Other"/>
    <n v="30"/>
    <s v="Jaipur"/>
    <s v="Rajasthan"/>
    <x v="3"/>
    <s v="Dr. Pallavi"/>
    <s v="I10"/>
    <s v="Surgery"/>
    <s v="OPD"/>
    <n v="398.02"/>
    <s v="Cash"/>
    <s v="No"/>
    <m/>
    <m/>
    <s v="Adult"/>
    <s v="Low"/>
    <s v="Short Days"/>
    <m/>
    <m/>
    <m/>
    <m/>
    <m/>
    <m/>
  </r>
  <r>
    <s v="VIS201814"/>
    <d v="2024-09-08T00:00:00"/>
    <s v="PAT6589"/>
    <s v="Siddharth Reddy"/>
    <s v="Female"/>
    <n v="10"/>
    <s v="Kolkata"/>
    <s v="West Bengal"/>
    <x v="9"/>
    <s v="Dr. Kusum"/>
    <s v="K21"/>
    <s v="Prescription Refill"/>
    <s v="OPD"/>
    <n v="4436.34"/>
    <s v="Net Banking"/>
    <s v="No"/>
    <m/>
    <n v="30"/>
    <s v="Child"/>
    <s v="Low"/>
    <s v="Short Days"/>
    <m/>
    <m/>
    <m/>
    <m/>
    <m/>
    <m/>
  </r>
  <r>
    <s v="VIS200676"/>
    <d v="2024-09-11T00:00:00"/>
    <s v="PAT6049"/>
    <s v="Karthik Patel"/>
    <s v="Female"/>
    <n v="79"/>
    <s v="Kochi"/>
    <s v="Kerala"/>
    <x v="8"/>
    <s v="Dr. Kavitha"/>
    <s v="K21"/>
    <s v="Surgery"/>
    <s v="OPD"/>
    <n v="912.92"/>
    <s v="Cash"/>
    <s v="No"/>
    <m/>
    <m/>
    <s v="Senior"/>
    <s v="Low"/>
    <s v="Short Days"/>
    <m/>
    <m/>
    <m/>
    <m/>
    <m/>
    <m/>
  </r>
  <r>
    <s v="VIS200705"/>
    <d v="2025-03-21T00:00:00"/>
    <s v="PAT5676"/>
    <s v="Ishaan Singh"/>
    <s v="Female"/>
    <n v="63"/>
    <s v="Coimbatore"/>
    <s v="Tamil Nadu"/>
    <x v="3"/>
    <s v="Dr. Pallavi"/>
    <s v="E11"/>
    <s v="Minor Procedure"/>
    <s v="OPD"/>
    <n v="2216.1999999999998"/>
    <s v="Debit Card"/>
    <s v="No"/>
    <m/>
    <n v="14"/>
    <s v="Senior"/>
    <s v="Low"/>
    <s v="Short Days"/>
    <m/>
    <m/>
    <m/>
    <m/>
    <m/>
    <m/>
  </r>
  <r>
    <s v="VIS200691"/>
    <d v="2024-12-10T00:00:00"/>
    <s v="PAT6416"/>
    <s v="Rahul Singh"/>
    <s v="Male"/>
    <n v="8"/>
    <s v="Delhi"/>
    <s v="Delhi"/>
    <x v="7"/>
    <s v="Dr. Leela"/>
    <s v="F41"/>
    <s v="Prescription Refill"/>
    <s v="OPD"/>
    <n v="6099.7"/>
    <s v="Debit Card"/>
    <s v="No"/>
    <m/>
    <m/>
    <s v="Child"/>
    <s v="Medium"/>
    <s v="Short Days"/>
    <m/>
    <m/>
    <m/>
    <m/>
    <m/>
    <m/>
  </r>
  <r>
    <s v="VIS201862"/>
    <d v="2024-03-24T00:00:00"/>
    <s v="PAT6654"/>
    <s v="Priya Bose"/>
    <s v="Female"/>
    <n v="46"/>
    <s v="Trichy"/>
    <s v="Tamil Nadu"/>
    <x v="9"/>
    <s v="Dr. Kusum"/>
    <s v="J00"/>
    <s v="Observation"/>
    <s v="OPD"/>
    <n v="1501.85"/>
    <s v="Credit Card"/>
    <s v="No"/>
    <m/>
    <n v="90"/>
    <s v="Middle-Aged"/>
    <s v="Low"/>
    <s v="Short Days"/>
    <m/>
    <m/>
    <m/>
    <m/>
    <m/>
    <m/>
  </r>
  <r>
    <s v="VIS201716"/>
    <d v="2024-04-14T00:00:00"/>
    <s v="PAT6292"/>
    <s v="Sangeetha Patel"/>
    <s v="Female"/>
    <n v="31"/>
    <s v="Coimbatore"/>
    <s v="Tamil Nadu"/>
    <x v="5"/>
    <s v="Dr. Karthik"/>
    <s v="J45"/>
    <s v="Minor Surgery"/>
    <s v="Teleconsultation"/>
    <n v="15290.84"/>
    <s v="Cash"/>
    <s v="No"/>
    <m/>
    <n v="14"/>
    <s v="Adult"/>
    <s v="High"/>
    <s v="Short Days"/>
    <m/>
    <m/>
    <m/>
    <m/>
    <m/>
    <m/>
  </r>
  <r>
    <s v="VIS202726"/>
    <d v="2025-01-23T00:00:00"/>
    <s v="PAT5318"/>
    <s v="Ananya Das"/>
    <s v="Other"/>
    <n v="32"/>
    <s v="Kolkata"/>
    <s v="West Bengal"/>
    <x v="6"/>
    <s v="Dr. Lalitha"/>
    <s v="I10"/>
    <s v="Physiotherapy"/>
    <s v="Teleconsultation"/>
    <n v="9221.4699999999993"/>
    <s v="Cash"/>
    <s v="No"/>
    <m/>
    <n v="14"/>
    <s v="Adult"/>
    <s v="Medium"/>
    <s v="Short Days"/>
    <m/>
    <m/>
    <m/>
    <m/>
    <m/>
    <m/>
  </r>
  <r>
    <s v="VIS201045"/>
    <d v="2025-01-17T00:00:00"/>
    <s v="PAT5537"/>
    <s v="Kavya Mishra"/>
    <s v="Female"/>
    <n v="48"/>
    <s v="Hyderabad"/>
    <s v="Telangana"/>
    <x v="1"/>
    <s v="Dr. Suri"/>
    <s v="L40"/>
    <s v="Counselling"/>
    <s v="OPD"/>
    <n v="6919.12"/>
    <s v="Credit Card"/>
    <s v="No"/>
    <m/>
    <n v="7"/>
    <s v="Middle-Aged"/>
    <s v="Medium"/>
    <s v="Short Days"/>
    <m/>
    <m/>
    <m/>
    <m/>
    <m/>
    <m/>
  </r>
  <r>
    <s v="VIS201099"/>
    <d v="2024-03-11T00:00:00"/>
    <s v="PAT6568"/>
    <s v="Aishwarya Das"/>
    <s v="Female"/>
    <n v="13"/>
    <s v="Trichy"/>
    <s v="Tamil Nadu"/>
    <x v="8"/>
    <s v="Dr. Sneha"/>
    <s v="J00"/>
    <s v="Minor Surgery"/>
    <s v="OPD"/>
    <n v="5059.0200000000004"/>
    <s v="UPI"/>
    <s v="No"/>
    <m/>
    <m/>
    <s v="Child"/>
    <s v="Medium"/>
    <s v="Short Days"/>
    <m/>
    <m/>
    <m/>
    <m/>
    <m/>
    <m/>
  </r>
  <r>
    <s v="VIS201645"/>
    <d v="2024-07-02T00:00:00"/>
    <s v="PAT6014"/>
    <s v="Priya Kumar"/>
    <s v="Female"/>
    <n v="40"/>
    <s v="Trichy"/>
    <s v="Tamil Nadu"/>
    <x v="1"/>
    <s v="Dr. Anu"/>
    <s v="F41"/>
    <s v="Counselling"/>
    <s v="Teleconsultation"/>
    <n v="11865.58"/>
    <s v="UPI"/>
    <s v="No"/>
    <m/>
    <n v="14"/>
    <s v="Adult"/>
    <s v="High"/>
    <s v="Short Days"/>
    <m/>
    <m/>
    <m/>
    <m/>
    <m/>
    <m/>
  </r>
  <r>
    <s v="VIS202587"/>
    <d v="2025-04-21T00:00:00"/>
    <s v="PAT6204"/>
    <s v="Priya Patel"/>
    <s v="Male"/>
    <n v="33"/>
    <s v="Noida"/>
    <s v="Uttar Pradesh"/>
    <x v="6"/>
    <s v="Dr. Lalitha"/>
    <s v="E11"/>
    <s v="Minor Procedure"/>
    <s v="Teleconsultation"/>
    <n v="10313.879999999999"/>
    <s v="Credit Card"/>
    <s v="No"/>
    <m/>
    <m/>
    <s v="Adult"/>
    <s v="High"/>
    <s v="Short Days"/>
    <m/>
    <m/>
    <m/>
    <m/>
    <m/>
    <m/>
  </r>
  <r>
    <s v="VIS201054"/>
    <d v="2025-10-25T00:00:00"/>
    <s v="PAT5555"/>
    <s v="Shruti Das"/>
    <s v="Male"/>
    <n v="53"/>
    <s v="Delhi"/>
    <s v="Delhi"/>
    <x v="0"/>
    <s v="Dr. Nikhil"/>
    <s v="M54"/>
    <s v="Medication"/>
    <s v="IPD"/>
    <n v="7064.67"/>
    <s v="Debit Card"/>
    <s v="No"/>
    <n v="5"/>
    <n v="7"/>
    <s v="Middle-Aged"/>
    <s v="Medium"/>
    <s v="Short Days"/>
    <m/>
    <m/>
    <m/>
    <m/>
    <m/>
    <m/>
  </r>
  <r>
    <s v="VIS201964"/>
    <d v="2025-10-07T00:00:00"/>
    <s v="PAT5216"/>
    <s v="Rahul Das"/>
    <s v="Male"/>
    <n v="49"/>
    <s v="Bengaluru"/>
    <s v="Karnataka"/>
    <x v="0"/>
    <s v="Dr. Shailesh"/>
    <s v="I10"/>
    <s v="Medication"/>
    <s v="OPD"/>
    <n v="5251.59"/>
    <s v="Debit Card"/>
    <s v="No"/>
    <m/>
    <n v="7"/>
    <s v="Middle-Aged"/>
    <s v="Medium"/>
    <s v="Short Days"/>
    <m/>
    <m/>
    <m/>
    <m/>
    <m/>
    <m/>
  </r>
  <r>
    <s v="VIS201126"/>
    <d v="2025-04-06T00:00:00"/>
    <s v="PAT5090"/>
    <s v="Ananya Nagar"/>
    <s v="Female"/>
    <n v="16"/>
    <s v="Hyderabad"/>
    <s v="Telangana"/>
    <x v="2"/>
    <s v="Dr. Ramesh"/>
    <s v="M54"/>
    <s v="Counselling"/>
    <s v="OPD"/>
    <n v="89.31"/>
    <s v="UPI"/>
    <s v="No"/>
    <m/>
    <m/>
    <s v="Child"/>
    <s v="Low"/>
    <s v="Short Days"/>
    <m/>
    <m/>
    <m/>
    <m/>
    <m/>
    <m/>
  </r>
  <r>
    <s v="VIS201620"/>
    <d v="2024-12-30T00:00:00"/>
    <s v="PAT5524"/>
    <s v="Manisha Sharma"/>
    <s v="Male"/>
    <n v="49"/>
    <s v="Kolkata"/>
    <s v="West Bengal"/>
    <x v="8"/>
    <s v="Dr. Sneha"/>
    <s v="K21"/>
    <s v="Medication"/>
    <s v="OPD"/>
    <n v="457.02"/>
    <s v="Cash"/>
    <s v="No"/>
    <m/>
    <n v="7"/>
    <s v="Middle-Aged"/>
    <s v="Low"/>
    <s v="Short Days"/>
    <m/>
    <m/>
    <m/>
    <m/>
    <m/>
    <m/>
  </r>
  <r>
    <s v="VIS201498"/>
    <d v="2025-01-10T00:00:00"/>
    <s v="PAT5361"/>
    <s v="Rohan Nagar"/>
    <s v="Female"/>
    <n v="51"/>
    <s v="Kolkata"/>
    <s v="West Bengal"/>
    <x v="0"/>
    <s v="Dr. Nikhil"/>
    <s v="I10"/>
    <s v="Surgery"/>
    <s v="OPD"/>
    <n v="1289.99"/>
    <s v="Credit Card"/>
    <s v="No"/>
    <m/>
    <n v="14"/>
    <s v="Middle-Aged"/>
    <s v="Low"/>
    <s v="Short Days"/>
    <m/>
    <m/>
    <m/>
    <m/>
    <m/>
    <m/>
  </r>
  <r>
    <s v="VIS202970"/>
    <d v="2025-09-09T00:00:00"/>
    <s v="PAT6791"/>
    <s v="Aarav Reddy"/>
    <s v="Female"/>
    <n v="56"/>
    <s v="Chennai"/>
    <s v="Tamil Nadu"/>
    <x v="8"/>
    <s v="Dr. Kavitha"/>
    <s v="J00"/>
    <s v="Observation"/>
    <s v="OPD"/>
    <n v="8533.6200000000008"/>
    <s v="UPI"/>
    <s v="No"/>
    <m/>
    <n v="90"/>
    <s v="Middle-Aged"/>
    <s v="Medium"/>
    <s v="Short Days"/>
    <m/>
    <m/>
    <m/>
    <m/>
    <m/>
    <m/>
  </r>
  <r>
    <s v="VIS201414"/>
    <d v="2025-04-20T00:00:00"/>
    <s v="PAT5445"/>
    <s v="Anil Gupta"/>
    <s v="Female"/>
    <n v="18"/>
    <s v="Coimbatore"/>
    <s v="Tamil Nadu"/>
    <x v="1"/>
    <s v="Dr. Anu"/>
    <s v="F41"/>
    <s v="Physiotherapy"/>
    <s v="OPD"/>
    <n v="11362.25"/>
    <s v="UPI"/>
    <s v="No"/>
    <m/>
    <n v="7"/>
    <s v="Adult"/>
    <s v="High"/>
    <s v="Short Days"/>
    <m/>
    <m/>
    <m/>
    <m/>
    <m/>
    <m/>
  </r>
  <r>
    <s v="VIS202138"/>
    <d v="2025-01-24T00:00:00"/>
    <s v="PAT6253"/>
    <s v="Ishaan Mishra"/>
    <s v="Male"/>
    <n v="36"/>
    <s v="Mumbai"/>
    <s v="Maharashtra"/>
    <x v="8"/>
    <s v="Dr. Sneha"/>
    <s v="E11"/>
    <s v="Minor Surgery"/>
    <s v="Teleconsultation"/>
    <n v="9159.1299999999992"/>
    <s v="Credit Card"/>
    <s v="No"/>
    <m/>
    <n v="7"/>
    <s v="Adult"/>
    <s v="Medium"/>
    <s v="Short Days"/>
    <m/>
    <m/>
    <m/>
    <m/>
    <m/>
    <m/>
  </r>
  <r>
    <s v="VIS202802"/>
    <d v="2025-07-09T00:00:00"/>
    <s v="PAT5109"/>
    <s v="Aditya Jose"/>
    <s v="Female"/>
    <n v="47"/>
    <s v="Chennai"/>
    <s v="Tamil Nadu"/>
    <x v="9"/>
    <s v="Dr. Arvind"/>
    <s v="M54"/>
    <s v="Counselling"/>
    <s v="OPD"/>
    <n v="11409.56"/>
    <s v="Credit Card"/>
    <s v="No"/>
    <m/>
    <m/>
    <s v="Middle-Aged"/>
    <s v="High"/>
    <s v="Short Days"/>
    <m/>
    <m/>
    <m/>
    <m/>
    <m/>
    <m/>
  </r>
  <r>
    <s v="VIS200361"/>
    <d v="2024-08-29T00:00:00"/>
    <s v="PAT5048"/>
    <s v="Anil Singh"/>
    <s v="Male"/>
    <n v="13"/>
    <s v="Mumbai"/>
    <s v="Maharashtra"/>
    <x v="1"/>
    <s v="Dr. Suri"/>
    <s v="E11"/>
    <s v="Physiotherapy"/>
    <s v="Teleconsultation"/>
    <n v="7781.49"/>
    <s v="Insurance"/>
    <s v="Yes"/>
    <m/>
    <m/>
    <s v="Child"/>
    <s v="Medium"/>
    <s v="Short Days"/>
    <m/>
    <m/>
    <m/>
    <m/>
    <m/>
    <m/>
  </r>
  <r>
    <s v="VIS200282"/>
    <d v="2025-01-01T00:00:00"/>
    <s v="PAT5046"/>
    <s v="Rahul Singh"/>
    <s v="Female"/>
    <n v="34"/>
    <s v="Lucknow"/>
    <s v="Uttar Pradesh"/>
    <x v="3"/>
    <s v="Dr. Pallavi"/>
    <s v="E11"/>
    <s v="Surgery"/>
    <s v="OPD"/>
    <n v="3712.36"/>
    <s v="Cash"/>
    <s v="No"/>
    <m/>
    <n v="90"/>
    <s v="Adult"/>
    <s v="Low"/>
    <s v="Short Days"/>
    <m/>
    <m/>
    <m/>
    <m/>
    <m/>
    <m/>
  </r>
  <r>
    <s v="VIS201245"/>
    <d v="2024-03-07T00:00:00"/>
    <s v="PAT6975"/>
    <s v="Aarav Kumar"/>
    <s v="Male"/>
    <n v="74"/>
    <s v="Kochi"/>
    <s v="Kerala"/>
    <x v="3"/>
    <s v="Dr. Pallavi"/>
    <s v="J45"/>
    <s v="Physiotherapy"/>
    <s v="OPD"/>
    <n v="5981.84"/>
    <s v="Net Banking"/>
    <s v="No"/>
    <m/>
    <n v="7"/>
    <s v="Senior"/>
    <s v="Medium"/>
    <s v="Short Days"/>
    <m/>
    <m/>
    <m/>
    <m/>
    <m/>
    <m/>
  </r>
  <r>
    <s v="VIS200058"/>
    <d v="2025-02-09T00:00:00"/>
    <s v="PAT5652"/>
    <s v="Vivaan Nagar"/>
    <s v="Male"/>
    <n v="35"/>
    <s v="Pune"/>
    <s v="Maharashtra"/>
    <x v="1"/>
    <s v="Dr. Anu"/>
    <s v="L40"/>
    <s v="Prescription Refill"/>
    <s v="OPD"/>
    <n v="13176.66"/>
    <s v="Cash"/>
    <s v="No"/>
    <m/>
    <n v="30"/>
    <s v="Adult"/>
    <s v="High"/>
    <s v="Short Days"/>
    <m/>
    <m/>
    <m/>
    <m/>
    <m/>
    <m/>
  </r>
  <r>
    <s v="VIS201513"/>
    <d v="2024-04-23T00:00:00"/>
    <s v="PAT5459"/>
    <s v="Arjun Das"/>
    <s v="Male"/>
    <n v="27"/>
    <s v="Ahmedabad"/>
    <s v="Gujarat"/>
    <x v="4"/>
    <s v="Dr. Varun"/>
    <s v="F41"/>
    <s v="Observation"/>
    <s v="Teleconsultation"/>
    <n v="13069.92"/>
    <s v="Insurance"/>
    <s v="Yes"/>
    <m/>
    <m/>
    <s v="Adult"/>
    <s v="High"/>
    <s v="Short Days"/>
    <m/>
    <m/>
    <m/>
    <m/>
    <m/>
    <m/>
  </r>
  <r>
    <s v="VIS201014"/>
    <d v="2024-05-28T00:00:00"/>
    <s v="PAT5544"/>
    <s v="Ishaan Nair"/>
    <s v="Male"/>
    <n v="70"/>
    <s v="Coimbatore"/>
    <s v="Tamil Nadu"/>
    <x v="8"/>
    <s v="Dr. Kavitha"/>
    <s v="L40"/>
    <s v="Observation"/>
    <s v="OPD"/>
    <n v="6641.05"/>
    <s v="Debit Card"/>
    <s v="No"/>
    <m/>
    <m/>
    <s v="Senior"/>
    <s v="Medium"/>
    <s v="Short Days"/>
    <m/>
    <m/>
    <m/>
    <m/>
    <m/>
    <m/>
  </r>
  <r>
    <s v="VIS202971"/>
    <d v="2024-12-31T00:00:00"/>
    <s v="PAT6856"/>
    <s v="Arjun Bose"/>
    <s v="Male"/>
    <n v="57"/>
    <s v="Madurai"/>
    <s v="Tamil Nadu"/>
    <x v="5"/>
    <s v="Dr. Karthik"/>
    <s v="E11"/>
    <s v="Observation"/>
    <s v="OPD"/>
    <n v="954.68"/>
    <s v="Debit Card"/>
    <s v="No"/>
    <m/>
    <m/>
    <s v="Middle-Aged"/>
    <s v="Low"/>
    <s v="Short Days"/>
    <m/>
    <m/>
    <m/>
    <m/>
    <m/>
    <m/>
  </r>
  <r>
    <s v="VIS201048"/>
    <d v="2024-03-20T00:00:00"/>
    <s v="PAT6140"/>
    <s v="Ishaan Singh"/>
    <s v="Female"/>
    <n v="29"/>
    <s v="Ahmedabad"/>
    <s v="Gujarat"/>
    <x v="7"/>
    <s v="Dr. Surya"/>
    <s v="K21"/>
    <s v="Physiotherapy"/>
    <s v="OPD"/>
    <n v="1259.55"/>
    <s v="UPI"/>
    <s v="No"/>
    <m/>
    <n v="90"/>
    <s v="Adult"/>
    <s v="Low"/>
    <s v="Short Days"/>
    <m/>
    <m/>
    <m/>
    <m/>
    <m/>
    <m/>
  </r>
  <r>
    <s v="VIS201359"/>
    <d v="2024-11-11T00:00:00"/>
    <s v="PAT6166"/>
    <s v="Sangeetha Das"/>
    <s v="Male"/>
    <n v="28"/>
    <s v="Coimbatore"/>
    <s v="Tamil Nadu"/>
    <x v="9"/>
    <s v="Dr. Arvind"/>
    <s v="M54"/>
    <s v="Surgery"/>
    <s v="OPD"/>
    <n v="5952.47"/>
    <s v="UPI"/>
    <s v="No"/>
    <m/>
    <n v="30"/>
    <s v="Adult"/>
    <s v="Medium"/>
    <s v="Short Days"/>
    <m/>
    <m/>
    <m/>
    <m/>
    <m/>
    <m/>
  </r>
  <r>
    <s v="VIS202325"/>
    <d v="2024-08-13T00:00:00"/>
    <s v="PAT6782"/>
    <s v="Siddharth Reddy"/>
    <s v="Male"/>
    <n v="17"/>
    <s v="Lucknow"/>
    <s v="Uttar Pradesh"/>
    <x v="2"/>
    <s v="Dr. Manoj"/>
    <s v="M54"/>
    <s v="Prescription Refill"/>
    <s v="OPD"/>
    <n v="486.31"/>
    <s v="Cash"/>
    <s v="No"/>
    <m/>
    <n v="14"/>
    <s v="Child"/>
    <s v="Low"/>
    <s v="Short Days"/>
    <m/>
    <m/>
    <m/>
    <m/>
    <m/>
    <m/>
  </r>
  <r>
    <s v="VIS200345"/>
    <d v="2024-12-03T00:00:00"/>
    <s v="PAT6013"/>
    <s v="Arjun Iyer"/>
    <s v="Male"/>
    <n v="59"/>
    <s v="Bengaluru"/>
    <s v="Karnataka"/>
    <x v="3"/>
    <s v="Dr. Pallavi"/>
    <s v="J00"/>
    <s v="Physiotherapy"/>
    <s v="OPD"/>
    <n v="11387.33"/>
    <s v="Insurance"/>
    <s v="Yes"/>
    <m/>
    <m/>
    <s v="Middle-Aged"/>
    <s v="High"/>
    <s v="Short Days"/>
    <m/>
    <m/>
    <m/>
    <m/>
    <m/>
    <m/>
  </r>
  <r>
    <s v="VIS202055"/>
    <d v="2025-04-02T00:00:00"/>
    <s v="PAT6258"/>
    <s v="Rahul Singh"/>
    <s v="Female"/>
    <n v="57"/>
    <s v="Pune"/>
    <s v="Maharashtra"/>
    <x v="8"/>
    <s v="Dr. Kavitha"/>
    <s v="M54"/>
    <s v="Medication"/>
    <s v="OPD"/>
    <n v="1131.8699999999999"/>
    <s v="Debit Card"/>
    <s v="No"/>
    <m/>
    <n v="30"/>
    <s v="Middle-Aged"/>
    <s v="Low"/>
    <s v="Short Days"/>
    <m/>
    <m/>
    <m/>
    <m/>
    <m/>
    <m/>
  </r>
  <r>
    <s v="VIS202555"/>
    <d v="2024-07-23T00:00:00"/>
    <s v="PAT5900"/>
    <s v="Arjun Kumar"/>
    <s v="Male"/>
    <n v="31"/>
    <s v="Jaipur"/>
    <s v="Rajasthan"/>
    <x v="2"/>
    <s v="Dr. Manoj"/>
    <s v="L40"/>
    <s v="Medication"/>
    <s v="OPD"/>
    <n v="2374.21"/>
    <s v="Net Banking"/>
    <s v="No"/>
    <m/>
    <n v="30"/>
    <s v="Adult"/>
    <s v="Low"/>
    <s v="Short Days"/>
    <m/>
    <m/>
    <m/>
    <m/>
    <m/>
    <m/>
  </r>
  <r>
    <s v="VIS202754"/>
    <d v="2024-01-12T00:00:00"/>
    <s v="PAT5323"/>
    <s v="Rohan Patel"/>
    <s v="Female"/>
    <n v="41"/>
    <s v="Lucknow"/>
    <s v="Uttar Pradesh"/>
    <x v="7"/>
    <s v="Dr. Surya"/>
    <s v="H10"/>
    <s v="Observation"/>
    <s v="OPD"/>
    <n v="4753.83"/>
    <s v="Insurance"/>
    <s v="Yes"/>
    <m/>
    <n v="90"/>
    <s v="Middle-Aged"/>
    <s v="Low"/>
    <s v="Short Days"/>
    <m/>
    <m/>
    <m/>
    <m/>
    <m/>
    <m/>
  </r>
  <r>
    <s v="VIS201602"/>
    <d v="2024-10-07T00:00:00"/>
    <s v="PAT6177"/>
    <s v="Rohan Sharma"/>
    <s v="Female"/>
    <n v="59"/>
    <s v="Coimbatore"/>
    <s v="Tamil Nadu"/>
    <x v="8"/>
    <s v="Dr. Sneha"/>
    <s v="F41"/>
    <s v="Counselling"/>
    <s v="OPD"/>
    <n v="2054.88"/>
    <s v="Insurance"/>
    <s v="Yes"/>
    <m/>
    <n v="90"/>
    <s v="Middle-Aged"/>
    <s v="Low"/>
    <s v="Short Days"/>
    <m/>
    <m/>
    <m/>
    <m/>
    <m/>
    <m/>
  </r>
  <r>
    <s v="VIS202885"/>
    <d v="2025-03-15T00:00:00"/>
    <s v="PAT5120"/>
    <s v="Siddharth Gupta"/>
    <s v="Male"/>
    <n v="7"/>
    <s v="Ahmedabad"/>
    <s v="Gujarat"/>
    <x v="3"/>
    <s v="Dr. Pallavi"/>
    <s v="J45"/>
    <s v="Observation"/>
    <s v="Teleconsultation"/>
    <n v="9620.4"/>
    <s v="Debit Card"/>
    <s v="No"/>
    <m/>
    <m/>
    <s v="Child"/>
    <s v="Medium"/>
    <s v="Short Days"/>
    <m/>
    <m/>
    <m/>
    <m/>
    <m/>
    <m/>
  </r>
  <r>
    <s v="VIS201854"/>
    <d v="2024-03-15T00:00:00"/>
    <s v="PAT5252"/>
    <s v="Anil Khan"/>
    <s v="Female"/>
    <n v="40"/>
    <s v="Pune"/>
    <s v="Maharashtra"/>
    <x v="5"/>
    <s v="Dr. Meena"/>
    <s v="N39"/>
    <s v="Minor Procedure"/>
    <s v="OPD"/>
    <n v="2622.15"/>
    <s v="Cash"/>
    <s v="No"/>
    <m/>
    <m/>
    <s v="Adult"/>
    <s v="Low"/>
    <s v="Short Days"/>
    <m/>
    <m/>
    <m/>
    <m/>
    <m/>
    <m/>
  </r>
  <r>
    <s v="VIS201679"/>
    <d v="2025-10-25T00:00:00"/>
    <s v="PAT5248"/>
    <s v="Deepa Patel"/>
    <s v="Male"/>
    <n v="63"/>
    <s v="Trichy"/>
    <s v="Tamil Nadu"/>
    <x v="5"/>
    <s v="Dr. Ravi"/>
    <s v="L40"/>
    <s v="Prescription Refill"/>
    <s v="OPD"/>
    <n v="1858.73"/>
    <s v="Cash"/>
    <s v="No"/>
    <m/>
    <n v="14"/>
    <s v="Senior"/>
    <s v="Low"/>
    <s v="Short Days"/>
    <m/>
    <m/>
    <m/>
    <m/>
    <m/>
    <m/>
  </r>
  <r>
    <s v="VIS200192"/>
    <d v="2025-03-15T00:00:00"/>
    <s v="PAT5240"/>
    <s v="Deepa Bose"/>
    <s v="Male"/>
    <n v="67"/>
    <s v="Trichy"/>
    <s v="Tamil Nadu"/>
    <x v="8"/>
    <s v="Dr. Sneha"/>
    <s v="I10"/>
    <s v="Counselling"/>
    <s v="OPD"/>
    <n v="1246.56"/>
    <s v="Credit Card"/>
    <s v="No"/>
    <m/>
    <n v="14"/>
    <s v="Senior"/>
    <s v="Low"/>
    <s v="Short Days"/>
    <m/>
    <m/>
    <m/>
    <m/>
    <m/>
    <m/>
  </r>
  <r>
    <s v="VIS200881"/>
    <d v="2025-03-24T00:00:00"/>
    <s v="PAT5501"/>
    <s v="Aditya Iyer"/>
    <s v="Male"/>
    <n v="44"/>
    <s v="Noida"/>
    <s v="Uttar Pradesh"/>
    <x v="1"/>
    <s v="Dr. Anu"/>
    <s v="J45"/>
    <s v="Counselling"/>
    <s v="Emergency"/>
    <n v="8136.95"/>
    <s v="UPI"/>
    <s v="No"/>
    <m/>
    <n v="30"/>
    <s v="Middle-Aged"/>
    <s v="Medium"/>
    <s v="Short Days"/>
    <m/>
    <m/>
    <m/>
    <m/>
    <m/>
    <m/>
  </r>
  <r>
    <s v="VIS200995"/>
    <d v="2024-04-09T00:00:00"/>
    <s v="PAT5528"/>
    <s v="Arjun Sharma"/>
    <s v="Female"/>
    <n v="55"/>
    <s v="Noida"/>
    <s v="Uttar Pradesh"/>
    <x v="4"/>
    <s v="Dr. Bhavana"/>
    <s v="N39"/>
    <s v="Medication"/>
    <s v="OPD"/>
    <n v="368.81"/>
    <s v="Insurance"/>
    <s v="Yes"/>
    <m/>
    <n v="90"/>
    <s v="Middle-Aged"/>
    <s v="Low"/>
    <s v="Short Days"/>
    <m/>
    <m/>
    <m/>
    <m/>
    <m/>
    <m/>
  </r>
  <r>
    <s v="VIS201930"/>
    <d v="2024-02-19T00:00:00"/>
    <s v="PAT6408"/>
    <s v="Shruti Patel"/>
    <s v="Male"/>
    <n v="11"/>
    <s v="Hyderabad"/>
    <s v="Telangana"/>
    <x v="8"/>
    <s v="Dr. Kavitha"/>
    <s v="N39"/>
    <s v="Physiotherapy"/>
    <s v="Teleconsultation"/>
    <n v="17995.89"/>
    <s v="Credit Card"/>
    <s v="No"/>
    <m/>
    <n v="14"/>
    <s v="Child"/>
    <s v="High"/>
    <s v="Short Days"/>
    <m/>
    <m/>
    <m/>
    <m/>
    <m/>
    <m/>
  </r>
  <r>
    <s v="VIS200446"/>
    <d v="2025-09-20T00:00:00"/>
    <s v="PAT6449"/>
    <s v="Vishal Nair"/>
    <s v="Male"/>
    <n v="28"/>
    <s v="Jaipur"/>
    <s v="Rajasthan"/>
    <x v="4"/>
    <s v="Dr. Bhavana"/>
    <s v="I10"/>
    <s v="Medication"/>
    <s v="Teleconsultation"/>
    <n v="5354.99"/>
    <s v="Credit Card"/>
    <s v="No"/>
    <m/>
    <n v="30"/>
    <s v="Adult"/>
    <s v="Medium"/>
    <s v="Short Days"/>
    <m/>
    <m/>
    <m/>
    <m/>
    <m/>
    <m/>
  </r>
  <r>
    <s v="VIS202945"/>
    <d v="2025-01-22T00:00:00"/>
    <s v="PAT6198"/>
    <s v="Aarav Khan"/>
    <s v="Male"/>
    <n v="29"/>
    <s v="Delhi"/>
    <s v="Delhi"/>
    <x v="5"/>
    <s v="Dr. Karthik"/>
    <s v="J00"/>
    <s v="Minor Surgery"/>
    <s v="Teleconsultation"/>
    <n v="7237.6"/>
    <s v="UPI"/>
    <s v="No"/>
    <m/>
    <n v="30"/>
    <s v="Adult"/>
    <s v="Medium"/>
    <s v="Short Days"/>
    <m/>
    <m/>
    <m/>
    <m/>
    <m/>
    <m/>
  </r>
  <r>
    <s v="VIS200584"/>
    <d v="2024-01-22T00:00:00"/>
    <s v="PAT5079"/>
    <s v="Vivaan Das"/>
    <s v="Female"/>
    <n v="46"/>
    <s v="Delhi"/>
    <s v="Uttar Pradesh"/>
    <x v="1"/>
    <s v="Dr. Suri"/>
    <s v="Z111"/>
    <s v="Counselling"/>
    <s v="IPD"/>
    <n v="13604.11"/>
    <s v="Cash"/>
    <s v="No"/>
    <n v="7"/>
    <n v="7"/>
    <s v="Middle-Aged"/>
    <s v="High"/>
    <s v="Long Days"/>
    <m/>
    <m/>
    <m/>
    <m/>
    <m/>
    <m/>
  </r>
  <r>
    <s v="VIS201712"/>
    <d v="2025-07-06T00:00:00"/>
    <s v="PAT6636"/>
    <s v="Ishaan Sharma"/>
    <s v="Female"/>
    <n v="23"/>
    <s v="Hyderabad"/>
    <s v="Telangana"/>
    <x v="6"/>
    <s v="Dr. Priya"/>
    <s v="N39"/>
    <s v="Counselling"/>
    <s v="OPD"/>
    <n v="4534.51"/>
    <s v="Insurance"/>
    <s v="Yes"/>
    <m/>
    <n v="7"/>
    <s v="Adult"/>
    <s v="Low"/>
    <s v="Short Days"/>
    <m/>
    <m/>
    <m/>
    <m/>
    <m/>
    <m/>
  </r>
  <r>
    <s v="VIS202433"/>
    <d v="2024-01-02T00:00:00"/>
    <s v="PAT6140"/>
    <s v="Ishaan Gupta"/>
    <s v="Male"/>
    <n v="51"/>
    <s v="Hyderabad"/>
    <s v="Telangana"/>
    <x v="3"/>
    <s v="Dr. Anand"/>
    <s v="F41"/>
    <s v="Minor Surgery"/>
    <s v="Emergency"/>
    <n v="6020.94"/>
    <s v="Cash"/>
    <s v="No"/>
    <m/>
    <n v="30"/>
    <s v="Middle-Aged"/>
    <s v="Medium"/>
    <s v="Short Days"/>
    <m/>
    <m/>
    <m/>
    <m/>
    <m/>
    <m/>
  </r>
  <r>
    <s v="VIS202951"/>
    <d v="2025-03-08T00:00:00"/>
    <s v="PAT6441"/>
    <s v="Priya Iyer"/>
    <s v="Female"/>
    <n v="0"/>
    <s v="Bengaluru"/>
    <s v="Karnataka"/>
    <x v="7"/>
    <s v="Dr. Surya"/>
    <s v="H10"/>
    <s v="Minor Procedure"/>
    <s v="Teleconsultation"/>
    <n v="9206.41"/>
    <s v="UPI"/>
    <s v="No"/>
    <m/>
    <n v="7"/>
    <s v="Child"/>
    <s v="Medium"/>
    <s v="Short Days"/>
    <m/>
    <m/>
    <m/>
    <m/>
    <m/>
    <m/>
  </r>
  <r>
    <s v="VIS201492"/>
    <d v="2024-02-07T00:00:00"/>
    <s v="PAT6312"/>
    <s v="Karthik Singh"/>
    <s v="Other"/>
    <n v="45"/>
    <s v="Kochi"/>
    <s v="Kerala"/>
    <x v="5"/>
    <s v="Dr. Ravi"/>
    <s v="I10"/>
    <s v="Minor Surgery"/>
    <s v="OPD"/>
    <n v="8786.52"/>
    <s v="UPI"/>
    <s v="No"/>
    <m/>
    <m/>
    <s v="Middle-Aged"/>
    <s v="Medium"/>
    <s v="Short Days"/>
    <m/>
    <m/>
    <m/>
    <m/>
    <m/>
    <m/>
  </r>
  <r>
    <s v="VIS200209"/>
    <d v="2024-10-18T00:00:00"/>
    <s v="PAT5442"/>
    <s v="Deepa Jose"/>
    <s v="Male"/>
    <n v="10"/>
    <s v="Lucknow"/>
    <s v="Uttar Pradesh"/>
    <x v="6"/>
    <s v="Dr. Lalitha"/>
    <s v="J00"/>
    <s v="Prescription Refill"/>
    <s v="Emergency"/>
    <n v="11308.07"/>
    <s v="UPI"/>
    <s v="No"/>
    <m/>
    <n v="7"/>
    <s v="Child"/>
    <s v="High"/>
    <s v="Short Days"/>
    <m/>
    <m/>
    <m/>
    <m/>
    <m/>
    <m/>
  </r>
  <r>
    <s v="VIS202672"/>
    <d v="2025-10-06T00:00:00"/>
    <s v="PAT6809"/>
    <s v="Arjun Mishra"/>
    <s v="Male"/>
    <n v="39"/>
    <s v="Coimbatore"/>
    <s v="Tamil Nadu"/>
    <x v="7"/>
    <s v="Dr. Surya"/>
    <s v="M54"/>
    <s v="Counselling"/>
    <s v="OPD"/>
    <n v="1641.62"/>
    <s v="Insurance"/>
    <s v="Yes"/>
    <m/>
    <n v="90"/>
    <s v="Adult"/>
    <s v="Low"/>
    <s v="Short Days"/>
    <m/>
    <m/>
    <m/>
    <m/>
    <m/>
    <m/>
  </r>
  <r>
    <s v="VIS202784"/>
    <d v="2024-02-24T00:00:00"/>
    <s v="PAT6805"/>
    <s v="Shruti Sharma"/>
    <s v="Female"/>
    <n v="64"/>
    <s v="Coimbatore"/>
    <s v="Tamil Nadu"/>
    <x v="4"/>
    <s v="Dr. Bhavana"/>
    <s v="J45"/>
    <s v="Medication"/>
    <s v="OPD"/>
    <n v="918.13"/>
    <s v="Cash"/>
    <s v="No"/>
    <m/>
    <m/>
    <s v="Senior"/>
    <s v="Low"/>
    <s v="Short Days"/>
    <m/>
    <m/>
    <m/>
    <m/>
    <m/>
    <m/>
  </r>
  <r>
    <s v="VIS202631"/>
    <d v="2024-10-02T00:00:00"/>
    <s v="PAT6271"/>
    <s v="Priya Reddy"/>
    <s v="Male"/>
    <n v="40"/>
    <s v="Chennai"/>
    <s v="Tamil Nadu"/>
    <x v="3"/>
    <s v="Dr. Anand"/>
    <s v="K21"/>
    <s v="Physiotherapy"/>
    <s v="Emergency"/>
    <n v="6885.25"/>
    <s v="Cash"/>
    <s v="No"/>
    <m/>
    <n v="90"/>
    <s v="Adult"/>
    <s v="Medium"/>
    <s v="Short Days"/>
    <m/>
    <m/>
    <m/>
    <m/>
    <m/>
    <m/>
  </r>
  <r>
    <s v="VIS200831"/>
    <d v="2025-07-13T00:00:00"/>
    <s v="PAT6654"/>
    <s v="Aditya Bose"/>
    <s v="Female"/>
    <n v="51"/>
    <s v="Kochi"/>
    <s v="Kerala"/>
    <x v="5"/>
    <s v="Dr. Ravi"/>
    <s v="M54"/>
    <s v="Counselling"/>
    <s v="OPD"/>
    <n v="1843.99"/>
    <s v="Debit Card"/>
    <s v="No"/>
    <m/>
    <n v="90"/>
    <s v="Middle-Aged"/>
    <s v="Low"/>
    <s v="Short Days"/>
    <m/>
    <m/>
    <m/>
    <m/>
    <m/>
    <m/>
  </r>
  <r>
    <s v="VIS201439"/>
    <d v="2025-02-02T00:00:00"/>
    <s v="PAT5873"/>
    <s v="Siddharth Reddy"/>
    <s v="Male"/>
    <n v="21"/>
    <s v="Noida"/>
    <s v="Uttar Pradesh"/>
    <x v="1"/>
    <s v="Dr. Suri"/>
    <s v="N39"/>
    <s v="Minor Surgery"/>
    <s v="OPD"/>
    <n v="973.36"/>
    <s v="Insurance"/>
    <s v="Yes"/>
    <m/>
    <m/>
    <s v="Adult"/>
    <s v="Low"/>
    <s v="Short Days"/>
    <m/>
    <m/>
    <m/>
    <m/>
    <m/>
    <m/>
  </r>
  <r>
    <s v="VIS200790"/>
    <d v="2025-07-18T00:00:00"/>
    <s v="PAT6800"/>
    <s v="Sangeetha Singh"/>
    <s v="Female"/>
    <n v="27"/>
    <s v="Delhi"/>
    <s v="Delhi"/>
    <x v="9"/>
    <s v="Dr. Kusum"/>
    <s v="N39"/>
    <s v="Physiotherapy"/>
    <s v="OPD"/>
    <n v="11381.11"/>
    <s v="Debit Card"/>
    <s v="No"/>
    <m/>
    <m/>
    <s v="Adult"/>
    <s v="High"/>
    <s v="Short Days"/>
    <m/>
    <m/>
    <m/>
    <m/>
    <m/>
    <m/>
  </r>
  <r>
    <s v="VIS202067"/>
    <d v="2024-06-18T00:00:00"/>
    <s v="PAT6898"/>
    <s v="Deepa Reddy"/>
    <s v="Female"/>
    <n v="44"/>
    <s v="Bengaluru"/>
    <s v="Karnataka"/>
    <x v="2"/>
    <s v="Dr. Ramesh"/>
    <s v="N39"/>
    <s v="Minor Procedure"/>
    <s v="OPD"/>
    <n v="6885.35"/>
    <s v="UPI"/>
    <s v="No"/>
    <m/>
    <m/>
    <s v="Middle-Aged"/>
    <s v="Medium"/>
    <s v="Short Days"/>
    <m/>
    <m/>
    <m/>
    <m/>
    <m/>
    <m/>
  </r>
  <r>
    <s v="VIS200102"/>
    <d v="2024-05-21T00:00:00"/>
    <s v="PAT6417"/>
    <s v="Siddharth Jose"/>
    <s v="Female"/>
    <n v="17"/>
    <s v="Madurai"/>
    <s v="Tamil Nadu"/>
    <x v="4"/>
    <s v="Dr. Varun"/>
    <s v="I10"/>
    <s v="Minor Surgery"/>
    <s v="OPD"/>
    <n v="4599.47"/>
    <s v="Cash"/>
    <s v="No"/>
    <m/>
    <n v="90"/>
    <s v="Child"/>
    <s v="Low"/>
    <s v="Short Days"/>
    <m/>
    <m/>
    <m/>
    <m/>
    <m/>
    <m/>
  </r>
  <r>
    <s v="VIS202136"/>
    <d v="2025-03-19T00:00:00"/>
    <s v="PAT5769"/>
    <s v="Siddharth Mishra"/>
    <s v="Male"/>
    <n v="62"/>
    <s v="Madurai"/>
    <s v="Tamil Nadu"/>
    <x v="7"/>
    <s v="Dr. Leela"/>
    <s v="E11"/>
    <s v="Observation"/>
    <s v="OPD"/>
    <n v="1279.03"/>
    <s v="Debit Card"/>
    <s v="No"/>
    <m/>
    <n v="14"/>
    <s v="Senior"/>
    <s v="Low"/>
    <s v="Short Days"/>
    <m/>
    <m/>
    <m/>
    <m/>
    <m/>
    <m/>
  </r>
  <r>
    <s v="VIS200253"/>
    <d v="2024-02-21T00:00:00"/>
    <s v="PAT5030"/>
    <s v="Deepa Singh"/>
    <s v="Male"/>
    <n v="33"/>
    <s v="Trichy"/>
    <s v="Tamil Nadu"/>
    <x v="0"/>
    <s v="Dr. Shailesh"/>
    <s v="J45"/>
    <s v="Physiotherapy"/>
    <s v="OPD"/>
    <n v="15295.95"/>
    <s v="Insurance"/>
    <s v="Yes"/>
    <m/>
    <n v="7"/>
    <s v="Adult"/>
    <s v="High"/>
    <s v="Short Days"/>
    <m/>
    <m/>
    <m/>
    <m/>
    <m/>
    <m/>
  </r>
  <r>
    <s v="VIS200595"/>
    <d v="2024-11-04T00:00:00"/>
    <s v="PAT5203"/>
    <s v="Deepa Iyer"/>
    <s v="Male"/>
    <n v="15"/>
    <s v="Pune"/>
    <s v="Maharashtra"/>
    <x v="7"/>
    <s v="Dr. Leela"/>
    <s v="H10"/>
    <s v="Minor Surgery"/>
    <s v="Emergency"/>
    <n v="11699.92"/>
    <s v="Cash"/>
    <s v="No"/>
    <m/>
    <n v="7"/>
    <s v="Child"/>
    <s v="High"/>
    <s v="Short Days"/>
    <m/>
    <m/>
    <m/>
    <m/>
    <m/>
    <m/>
  </r>
  <r>
    <s v="VIS200394"/>
    <d v="2025-07-31T00:00:00"/>
    <s v="PAT5191"/>
    <s v="Aditya Kumar"/>
    <s v="Male"/>
    <n v="36"/>
    <s v="Trichy"/>
    <s v="Tamil Nadu"/>
    <x v="0"/>
    <s v="Dr. Shailesh"/>
    <s v="N39"/>
    <s v="Minor Procedure"/>
    <s v="OPD"/>
    <n v="106.12"/>
    <s v="Cash"/>
    <s v="No"/>
    <m/>
    <n v="7"/>
    <s v="Adult"/>
    <s v="Low"/>
    <s v="Short Days"/>
    <m/>
    <m/>
    <m/>
    <m/>
    <m/>
    <m/>
  </r>
  <r>
    <s v="VIS200068"/>
    <d v="2025-04-19T00:00:00"/>
    <s v="PAT6653"/>
    <s v="Sangeetha Singh"/>
    <s v="Female"/>
    <n v="41"/>
    <s v="Delhi"/>
    <s v="Delhi"/>
    <x v="1"/>
    <s v="Dr. Anu"/>
    <s v="L40"/>
    <s v="Physiotherapy"/>
    <s v="Teleconsultation"/>
    <n v="9267.33"/>
    <s v="UPI"/>
    <s v="No"/>
    <m/>
    <n v="30"/>
    <s v="Middle-Aged"/>
    <s v="Medium"/>
    <s v="Short Days"/>
    <m/>
    <m/>
    <m/>
    <m/>
    <m/>
    <m/>
  </r>
  <r>
    <s v="VIS200062"/>
    <d v="2025-05-26T00:00:00"/>
    <s v="PAT5131"/>
    <s v="Kavya Iyer"/>
    <s v="Male"/>
    <n v="45"/>
    <s v="Kochi"/>
    <s v="Kerala"/>
    <x v="8"/>
    <s v="Dr. Kavitha"/>
    <s v="I10"/>
    <s v="Minor Surgery"/>
    <s v="OPD"/>
    <n v="10989.89"/>
    <s v="UPI"/>
    <s v="No"/>
    <m/>
    <m/>
    <s v="Middle-Aged"/>
    <s v="High"/>
    <s v="Short Days"/>
    <m/>
    <m/>
    <m/>
    <m/>
    <m/>
    <m/>
  </r>
  <r>
    <s v="VIS202751"/>
    <d v="2025-08-05T00:00:00"/>
    <s v="PAT6509"/>
    <s v="Neha Kumar"/>
    <s v="Female"/>
    <n v="28"/>
    <s v="Mumbai"/>
    <s v="Maharashtra"/>
    <x v="8"/>
    <s v="Dr. Kavitha"/>
    <s v="J00"/>
    <s v="Counselling"/>
    <s v="OPD"/>
    <n v="5211.67"/>
    <s v="Cash"/>
    <s v="No"/>
    <m/>
    <m/>
    <s v="Adult"/>
    <s v="Medium"/>
    <s v="Short Days"/>
    <m/>
    <m/>
    <m/>
    <m/>
    <m/>
    <m/>
  </r>
  <r>
    <s v="VIS200249"/>
    <d v="2024-07-12T00:00:00"/>
    <s v="PAT6220"/>
    <s v="Arjun Reddy"/>
    <s v="Other"/>
    <n v="49"/>
    <s v="Chennai"/>
    <s v="Tamil Nadu"/>
    <x v="5"/>
    <s v="Dr. Meena"/>
    <s v="K21"/>
    <s v="Observation"/>
    <s v="OPD"/>
    <n v="1327.91"/>
    <s v="Debit Card"/>
    <s v="No"/>
    <m/>
    <n v="30"/>
    <s v="Middle-Aged"/>
    <s v="Low"/>
    <s v="Short Days"/>
    <m/>
    <m/>
    <m/>
    <m/>
    <m/>
    <m/>
  </r>
  <r>
    <s v="VIS201819"/>
    <d v="2024-09-19T00:00:00"/>
    <s v="PAT6951"/>
    <s v="Priya Mishra"/>
    <s v="Male"/>
    <n v="44"/>
    <s v="Coimbatore"/>
    <s v="Tamil Nadu"/>
    <x v="6"/>
    <s v="Dr. Lalitha"/>
    <s v="F41"/>
    <s v="Medication"/>
    <s v="OPD"/>
    <n v="1480.6"/>
    <s v="Insurance"/>
    <s v="Yes"/>
    <m/>
    <m/>
    <s v="Middle-Aged"/>
    <s v="Low"/>
    <s v="Short Days"/>
    <m/>
    <m/>
    <m/>
    <m/>
    <m/>
    <m/>
  </r>
  <r>
    <s v="VIS201096"/>
    <d v="2024-07-07T00:00:00"/>
    <s v="PAT6075"/>
    <s v="Vivaan Sharma"/>
    <s v="Male"/>
    <n v="50"/>
    <s v="Noida"/>
    <s v="Uttar Pradesh"/>
    <x v="9"/>
    <s v="Dr. Kusum"/>
    <s v="J45"/>
    <s v="Observation"/>
    <s v="OPD"/>
    <n v="5643.17"/>
    <s v="Credit Card"/>
    <s v="No"/>
    <m/>
    <m/>
    <s v="Middle-Aged"/>
    <s v="Medium"/>
    <s v="Short Days"/>
    <m/>
    <m/>
    <m/>
    <m/>
    <m/>
    <m/>
  </r>
  <r>
    <s v="VIS202652"/>
    <d v="2024-08-08T00:00:00"/>
    <s v="PAT5932"/>
    <s v="Ishaan Gupta"/>
    <s v="Male"/>
    <n v="72"/>
    <s v="Jaipur"/>
    <s v="Rajasthan"/>
    <x v="5"/>
    <s v="Dr. Karthik"/>
    <s v="M54"/>
    <s v="Prescription Refill"/>
    <s v="Teleconsultation"/>
    <n v="15266.95"/>
    <s v="UPI"/>
    <s v="No"/>
    <m/>
    <m/>
    <s v="Senior"/>
    <s v="High"/>
    <s v="Short Days"/>
    <m/>
    <m/>
    <m/>
    <m/>
    <m/>
    <m/>
  </r>
  <r>
    <s v="VIS202674"/>
    <d v="2025-03-23T00:00:00"/>
    <s v="PAT6473"/>
    <s v="Kavya Gupta"/>
    <s v="Female"/>
    <n v="46"/>
    <s v="Madurai"/>
    <s v="Tamil Nadu"/>
    <x v="7"/>
    <s v="Dr. Surya"/>
    <s v="Z111"/>
    <s v="Observation"/>
    <s v="OPD"/>
    <n v="6688.11"/>
    <s v="Debit Card"/>
    <s v="No"/>
    <m/>
    <n v="7"/>
    <s v="Middle-Aged"/>
    <s v="Medium"/>
    <s v="Short Days"/>
    <m/>
    <m/>
    <m/>
    <m/>
    <m/>
    <m/>
  </r>
  <r>
    <s v="VIS201019"/>
    <d v="2025-01-21T00:00:00"/>
    <s v="PAT6634"/>
    <s v="Siddharth Bose"/>
    <s v="Male"/>
    <n v="48"/>
    <s v="Delhi"/>
    <s v="Delhi"/>
    <x v="8"/>
    <s v="Dr. Kavitha"/>
    <s v="F41"/>
    <s v="Observation"/>
    <s v="OPD"/>
    <n v="3502.25"/>
    <s v="Credit Card"/>
    <s v="No"/>
    <m/>
    <m/>
    <s v="Middle-Aged"/>
    <s v="Low"/>
    <s v="Short Days"/>
    <m/>
    <m/>
    <m/>
    <m/>
    <m/>
    <m/>
  </r>
  <r>
    <s v="VIS201018"/>
    <d v="2025-05-04T00:00:00"/>
    <s v="PAT6798"/>
    <s v="Vishal Das"/>
    <s v="Female"/>
    <n v="21"/>
    <s v="Madurai"/>
    <s v="Tamil Nadu"/>
    <x v="8"/>
    <s v="Dr. Sneha"/>
    <s v="L40"/>
    <s v="Surgery"/>
    <s v="OPD"/>
    <n v="2637.29"/>
    <s v="Cash"/>
    <s v="No"/>
    <m/>
    <n v="7"/>
    <s v="Adult"/>
    <s v="Low"/>
    <s v="Short Days"/>
    <m/>
    <m/>
    <m/>
    <m/>
    <m/>
    <m/>
  </r>
  <r>
    <s v="VIS201375"/>
    <d v="2025-08-30T00:00:00"/>
    <s v="PAT6842"/>
    <s v="Shruti Gupta"/>
    <s v="Male"/>
    <n v="18"/>
    <s v="Mumbai"/>
    <s v="Maharashtra"/>
    <x v="6"/>
    <s v="Dr. Priya"/>
    <s v="N39"/>
    <s v="Minor Procedure"/>
    <s v="OPD"/>
    <n v="3038.35"/>
    <s v="UPI"/>
    <s v="No"/>
    <m/>
    <n v="7"/>
    <s v="Adult"/>
    <s v="Low"/>
    <s v="Short Days"/>
    <m/>
    <m/>
    <m/>
    <m/>
    <m/>
    <m/>
  </r>
  <r>
    <s v="VIS201065"/>
    <d v="2025-10-13T00:00:00"/>
    <s v="PAT6051"/>
    <s v="Ishaan Patel"/>
    <s v="Female"/>
    <n v="55"/>
    <s v="Noida"/>
    <s v="Uttar Pradesh"/>
    <x v="3"/>
    <s v="Dr. Anand"/>
    <s v="H10"/>
    <s v="Prescription Refill"/>
    <s v="OPD"/>
    <n v="2683.47"/>
    <s v="Credit Card"/>
    <s v="No"/>
    <m/>
    <n v="14"/>
    <s v="Middle-Aged"/>
    <s v="Low"/>
    <s v="Short Days"/>
    <m/>
    <m/>
    <m/>
    <m/>
    <m/>
    <m/>
  </r>
  <r>
    <s v="VIS202889"/>
    <d v="2024-02-11T00:00:00"/>
    <s v="PAT5323"/>
    <s v="Aishwarya Patel"/>
    <s v="Female"/>
    <n v="45"/>
    <s v="Mumbai"/>
    <s v="Maharashtra"/>
    <x v="1"/>
    <s v="Dr. Suri"/>
    <s v="E11"/>
    <s v="Prescription Refill"/>
    <s v="Teleconsultation"/>
    <n v="6524.63"/>
    <s v="Credit Card"/>
    <s v="No"/>
    <m/>
    <n v="90"/>
    <s v="Middle-Aged"/>
    <s v="Medium"/>
    <s v="Short Days"/>
    <m/>
    <m/>
    <m/>
    <m/>
    <m/>
    <m/>
  </r>
  <r>
    <s v="VIS201313"/>
    <d v="2024-10-28T00:00:00"/>
    <s v="PAT6001"/>
    <s v="Sangeetha Bose"/>
    <s v="Male"/>
    <n v="34"/>
    <s v="Trichy"/>
    <s v="Tamil Nadu"/>
    <x v="5"/>
    <s v="Dr. Karthik"/>
    <s v="E11"/>
    <s v="Medication"/>
    <s v="OPD"/>
    <n v="4478.5200000000004"/>
    <s v="Insurance"/>
    <s v="Yes"/>
    <m/>
    <n v="7"/>
    <s v="Adult"/>
    <s v="Low"/>
    <s v="Short Days"/>
    <m/>
    <m/>
    <m/>
    <m/>
    <m/>
    <m/>
  </r>
  <r>
    <s v="VIS200301"/>
    <d v="2024-10-23T00:00:00"/>
    <s v="PAT5959"/>
    <s v="Ishaan Iyer"/>
    <s v="Female"/>
    <n v="45"/>
    <s v="Coimbatore"/>
    <s v="Tamil Nadu"/>
    <x v="8"/>
    <s v="Dr. Sneha"/>
    <s v="N39"/>
    <s v="Prescription Refill"/>
    <s v="Teleconsultation"/>
    <n v="6540.08"/>
    <s v="Credit Card"/>
    <s v="No"/>
    <m/>
    <m/>
    <s v="Middle-Aged"/>
    <s v="Medium"/>
    <s v="Short Days"/>
    <m/>
    <m/>
    <m/>
    <m/>
    <m/>
    <m/>
  </r>
  <r>
    <s v="VIS200005"/>
    <d v="2024-03-25T00:00:00"/>
    <s v="PAT6871"/>
    <s v="Deepa Nagar"/>
    <s v="Male"/>
    <n v="32"/>
    <s v="Kochi"/>
    <s v="Kerala"/>
    <x v="9"/>
    <s v="Dr. Kusum"/>
    <s v="I10"/>
    <s v="Prescription Refill"/>
    <s v="OPD"/>
    <n v="6579.1"/>
    <s v="Credit Card"/>
    <s v="No"/>
    <m/>
    <n v="7"/>
    <s v="Adult"/>
    <s v="Medium"/>
    <s v="Short Days"/>
    <m/>
    <m/>
    <m/>
    <m/>
    <m/>
    <m/>
  </r>
  <r>
    <s v="VIS201597"/>
    <d v="2025-07-25T00:00:00"/>
    <s v="PAT6719"/>
    <s v="Aarav Bose"/>
    <s v="Female"/>
    <n v="59"/>
    <s v="Mumbai"/>
    <s v="Maharashtra"/>
    <x v="6"/>
    <s v="Dr. Priya"/>
    <s v="H10"/>
    <s v="Surgery"/>
    <s v="OPD"/>
    <n v="1159.3499999999999"/>
    <s v="Net Banking"/>
    <s v="No"/>
    <m/>
    <m/>
    <s v="Middle-Aged"/>
    <s v="Low"/>
    <s v="Short Days"/>
    <m/>
    <m/>
    <m/>
    <m/>
    <m/>
    <m/>
  </r>
  <r>
    <s v="VIS200139"/>
    <d v="2024-08-28T00:00:00"/>
    <s v="PAT5979"/>
    <s v="Neha Patel"/>
    <s v="Male"/>
    <n v="69"/>
    <s v="Chennai"/>
    <s v="Tamil Nadu"/>
    <x v="2"/>
    <s v="Dr. Ramesh"/>
    <s v="M54"/>
    <s v="Physiotherapy"/>
    <s v="Teleconsultation"/>
    <n v="8915.24"/>
    <s v="UPI"/>
    <s v="No"/>
    <m/>
    <n v="7"/>
    <s v="Senior"/>
    <s v="Medium"/>
    <s v="Short Days"/>
    <m/>
    <m/>
    <m/>
    <m/>
    <m/>
    <m/>
  </r>
  <r>
    <s v="VIS202085"/>
    <d v="2024-01-11T00:00:00"/>
    <s v="PAT5268"/>
    <s v="Aditya Singh"/>
    <s v="Male"/>
    <n v="34"/>
    <s v="Noida"/>
    <s v="Uttar Pradesh"/>
    <x v="0"/>
    <s v="Dr. Nikhil"/>
    <s v="K21"/>
    <s v="Minor Procedure"/>
    <s v="Teleconsultation"/>
    <n v="13189.21"/>
    <s v="Insurance"/>
    <s v="Yes"/>
    <m/>
    <m/>
    <s v="Adult"/>
    <s v="High"/>
    <s v="Short Days"/>
    <m/>
    <m/>
    <m/>
    <m/>
    <m/>
    <m/>
  </r>
  <r>
    <s v="VIS200484"/>
    <d v="2024-01-20T00:00:00"/>
    <s v="PAT6297"/>
    <s v="Aarav Iyer"/>
    <s v="Male"/>
    <n v="35"/>
    <s v="Pune"/>
    <s v="Maharashtra"/>
    <x v="7"/>
    <s v="Dr. Leela"/>
    <s v="N39"/>
    <s v="Counselling"/>
    <s v="OPD"/>
    <n v="7096.79"/>
    <s v="Cash"/>
    <s v="No"/>
    <m/>
    <n v="7"/>
    <s v="Adult"/>
    <s v="Medium"/>
    <s v="Short Days"/>
    <m/>
    <m/>
    <m/>
    <m/>
    <m/>
    <m/>
  </r>
  <r>
    <s v="VIS202113"/>
    <d v="2024-09-10T00:00:00"/>
    <s v="PAT6155"/>
    <s v="Aarav Jose"/>
    <s v="Male"/>
    <n v="46"/>
    <s v="Noida"/>
    <s v="Uttar Pradesh"/>
    <x v="5"/>
    <s v="Dr. Karthik"/>
    <s v="L40"/>
    <s v="Counselling"/>
    <s v="Teleconsultation"/>
    <n v="8200.02"/>
    <s v="Cash"/>
    <s v="No"/>
    <m/>
    <n v="14"/>
    <s v="Middle-Aged"/>
    <s v="Medium"/>
    <s v="Short Days"/>
    <m/>
    <m/>
    <m/>
    <m/>
    <m/>
    <m/>
  </r>
  <r>
    <s v="VIS200630"/>
    <d v="2024-05-07T00:00:00"/>
    <s v="PAT5206"/>
    <s v="Siddharth Reddy"/>
    <s v="Female"/>
    <n v="22"/>
    <s v="Hyderabad"/>
    <s v="Telangana"/>
    <x v="4"/>
    <s v="Dr. Bhavana"/>
    <s v="F41"/>
    <s v="Surgery"/>
    <s v="IPD"/>
    <n v="9071.14"/>
    <s v="Cash"/>
    <s v="No"/>
    <n v="10"/>
    <n v="7"/>
    <s v="Adult"/>
    <s v="Medium"/>
    <s v="Long Days"/>
    <m/>
    <m/>
    <m/>
    <m/>
    <m/>
    <m/>
  </r>
  <r>
    <s v="VIS201166"/>
    <d v="2024-12-16T00:00:00"/>
    <s v="PAT5763"/>
    <s v="Anil Sharma"/>
    <s v="Female"/>
    <n v="27"/>
    <s v="Delhi"/>
    <s v="Kerala"/>
    <x v="6"/>
    <s v="Dr. Priya"/>
    <s v="Z111"/>
    <s v="Counselling"/>
    <s v="Teleconsultation"/>
    <n v="12904.6"/>
    <s v="Debit Card"/>
    <s v="No"/>
    <m/>
    <n v="30"/>
    <s v="Adult"/>
    <s v="High"/>
    <s v="Short Days"/>
    <m/>
    <m/>
    <m/>
    <m/>
    <m/>
    <m/>
  </r>
  <r>
    <s v="VIS200697"/>
    <d v="2025-10-29T00:00:00"/>
    <s v="PAT6260"/>
    <s v="Shruti Mishra"/>
    <s v="Male"/>
    <n v="50"/>
    <s v="Delhi"/>
    <s v="Delhi"/>
    <x v="6"/>
    <s v="Dr. Lalitha"/>
    <s v="E11"/>
    <s v="Minor Procedure"/>
    <s v="Teleconsultation"/>
    <n v="7895.57"/>
    <s v="Credit Card"/>
    <s v="No"/>
    <m/>
    <m/>
    <s v="Middle-Aged"/>
    <s v="Medium"/>
    <s v="Short Days"/>
    <m/>
    <m/>
    <m/>
    <m/>
    <m/>
    <m/>
  </r>
  <r>
    <s v="VIS202566"/>
    <d v="2024-12-07T00:00:00"/>
    <s v="PAT5921"/>
    <s v="Aditya Sharma"/>
    <s v="Female"/>
    <n v="36"/>
    <s v="Pune"/>
    <s v="Maharashtra"/>
    <x v="7"/>
    <s v="Dr. Surya"/>
    <s v="I10"/>
    <s v="Observation"/>
    <s v="OPD"/>
    <n v="1745.17"/>
    <s v="Debit Card"/>
    <s v="No"/>
    <m/>
    <m/>
    <s v="Adult"/>
    <s v="Low"/>
    <s v="Short Days"/>
    <m/>
    <m/>
    <m/>
    <m/>
    <m/>
    <m/>
  </r>
  <r>
    <s v="VIS200180"/>
    <d v="2024-06-21T00:00:00"/>
    <s v="PAT5979"/>
    <s v="Rohan Mishra"/>
    <s v="Male"/>
    <n v="54"/>
    <s v="Kochi"/>
    <s v="Kerala"/>
    <x v="6"/>
    <s v="Dr. Lalitha"/>
    <s v="J45"/>
    <s v="Surgery"/>
    <s v="Teleconsultation"/>
    <n v="7150.21"/>
    <s v="Insurance"/>
    <s v="Yes"/>
    <m/>
    <n v="30"/>
    <s v="Middle-Aged"/>
    <s v="Medium"/>
    <s v="Short Days"/>
    <m/>
    <m/>
    <m/>
    <m/>
    <m/>
    <m/>
  </r>
  <r>
    <s v="VIS200905"/>
    <d v="2024-10-16T00:00:00"/>
    <s v="PAT6667"/>
    <s v="Karthik Nair"/>
    <s v="Male"/>
    <n v="53"/>
    <s v="Bengaluru"/>
    <s v="Karnataka"/>
    <x v="9"/>
    <s v="Dr. Arvind"/>
    <s v="H10"/>
    <s v="Physiotherapy"/>
    <s v="OPD"/>
    <n v="1475.79"/>
    <s v="Insurance"/>
    <s v="Yes"/>
    <m/>
    <n v="7"/>
    <s v="Middle-Aged"/>
    <s v="Low"/>
    <s v="Short Days"/>
    <m/>
    <m/>
    <m/>
    <m/>
    <m/>
    <m/>
  </r>
  <r>
    <s v="VIS202526"/>
    <d v="2024-09-07T00:00:00"/>
    <s v="PAT5687"/>
    <s v="Siddharth Jose"/>
    <s v="Male"/>
    <n v="24"/>
    <s v="Madurai"/>
    <s v="Tamil Nadu"/>
    <x v="4"/>
    <s v="Dr. Bhavana"/>
    <s v="J45"/>
    <s v="Counselling"/>
    <s v="Teleconsultation"/>
    <n v="17416.740000000002"/>
    <s v="UPI"/>
    <s v="No"/>
    <m/>
    <n v="90"/>
    <s v="Adult"/>
    <s v="High"/>
    <s v="Short Days"/>
    <m/>
    <m/>
    <m/>
    <m/>
    <m/>
    <m/>
  </r>
  <r>
    <s v="VIS201290"/>
    <d v="2024-09-06T00:00:00"/>
    <s v="PAT5081"/>
    <s v="Manisha Sharma"/>
    <s v="Male"/>
    <n v="31"/>
    <s v="Noida"/>
    <s v="Uttar Pradesh"/>
    <x v="8"/>
    <s v="Dr. Sneha"/>
    <s v="K21"/>
    <s v="Minor Surgery"/>
    <s v="OPD"/>
    <n v="12219.86"/>
    <s v="UPI"/>
    <s v="No"/>
    <m/>
    <n v="30"/>
    <s v="Adult"/>
    <s v="High"/>
    <s v="Short Days"/>
    <m/>
    <m/>
    <m/>
    <m/>
    <m/>
    <m/>
  </r>
  <r>
    <s v="VIS202627"/>
    <d v="2025-06-20T00:00:00"/>
    <s v="PAT5311"/>
    <s v="Karthik Nagar"/>
    <s v="Male"/>
    <n v="33"/>
    <s v="Pune"/>
    <s v="Maharashtra"/>
    <x v="6"/>
    <s v="Dr. Lalitha"/>
    <s v="L40"/>
    <s v="Medication"/>
    <s v="OPD"/>
    <n v="11994.84"/>
    <s v="UPI"/>
    <s v="No"/>
    <m/>
    <n v="30"/>
    <s v="Adult"/>
    <s v="High"/>
    <s v="Short Days"/>
    <m/>
    <m/>
    <m/>
    <m/>
    <m/>
    <m/>
  </r>
  <r>
    <s v="VIS200321"/>
    <d v="2024-10-02T00:00:00"/>
    <s v="PAT5649"/>
    <s v="Rohan Nair"/>
    <s v="Female"/>
    <n v="44"/>
    <s v="Noida"/>
    <s v="Uttar Pradesh"/>
    <x v="5"/>
    <s v="Dr. Meena"/>
    <s v="I10"/>
    <s v="Minor Procedure"/>
    <s v="OPD"/>
    <n v="2743.01"/>
    <s v="Cash"/>
    <s v="No"/>
    <m/>
    <n v="30"/>
    <s v="Middle-Aged"/>
    <s v="Low"/>
    <s v="Short Days"/>
    <m/>
    <m/>
    <m/>
    <m/>
    <m/>
    <m/>
  </r>
  <r>
    <s v="VIS202746"/>
    <d v="2025-09-01T00:00:00"/>
    <s v="PAT6307"/>
    <s v="Ishaan Patel"/>
    <s v="Other"/>
    <n v="29"/>
    <s v="Kochi"/>
    <s v="Kerala"/>
    <x v="2"/>
    <s v="Dr. Manoj"/>
    <s v="N39"/>
    <s v="Counselling"/>
    <s v="OPD"/>
    <n v="628.9"/>
    <s v="Cash"/>
    <s v="No"/>
    <m/>
    <n v="90"/>
    <s v="Adult"/>
    <s v="Low"/>
    <s v="Short Days"/>
    <m/>
    <m/>
    <m/>
    <m/>
    <m/>
    <m/>
  </r>
  <r>
    <s v="VIS202919"/>
    <d v="2025-06-16T00:00:00"/>
    <s v="PAT5229"/>
    <s v="Ananya Sharma"/>
    <s v="Male"/>
    <n v="32"/>
    <s v="Chennai"/>
    <s v="Tamil Nadu"/>
    <x v="0"/>
    <s v="Dr. Nikhil"/>
    <s v="L40"/>
    <s v="Minor Surgery"/>
    <s v="OPD"/>
    <n v="13926.15"/>
    <s v="Insurance"/>
    <s v="Yes"/>
    <m/>
    <n v="90"/>
    <s v="Adult"/>
    <s v="High"/>
    <s v="Short Days"/>
    <m/>
    <m/>
    <m/>
    <m/>
    <m/>
    <m/>
  </r>
  <r>
    <s v="VIS202087"/>
    <d v="2024-05-03T00:00:00"/>
    <s v="PAT6339"/>
    <s v="Sangeetha Reddy"/>
    <s v="Female"/>
    <n v="20"/>
    <s v="Kochi"/>
    <s v="Kerala"/>
    <x v="4"/>
    <s v="Dr. Varun"/>
    <s v="M54"/>
    <s v="Minor Surgery"/>
    <s v="Teleconsultation"/>
    <n v="5773.29"/>
    <s v="UPI"/>
    <s v="No"/>
    <m/>
    <n v="90"/>
    <s v="Adult"/>
    <s v="Medium"/>
    <s v="Short Days"/>
    <m/>
    <m/>
    <m/>
    <m/>
    <m/>
    <m/>
  </r>
  <r>
    <s v="VIS202713"/>
    <d v="2024-07-01T00:00:00"/>
    <s v="PAT5454"/>
    <s v="Karthik Nair"/>
    <s v="Male"/>
    <n v="41"/>
    <s v="Lucknow"/>
    <s v="Uttar Pradesh"/>
    <x v="1"/>
    <s v="Dr. Anu"/>
    <s v="I10"/>
    <s v="Medication"/>
    <s v="OPD"/>
    <n v="13134.09"/>
    <s v="Net Banking"/>
    <s v="No"/>
    <m/>
    <n v="14"/>
    <s v="Middle-Aged"/>
    <s v="High"/>
    <s v="Short Days"/>
    <m/>
    <m/>
    <m/>
    <m/>
    <m/>
    <m/>
  </r>
  <r>
    <s v="VIS201153"/>
    <d v="2025-10-12T00:00:00"/>
    <s v="PAT6230"/>
    <s v="Rohan Jose"/>
    <s v="Male"/>
    <n v="15"/>
    <s v="Kolkata"/>
    <s v="West Bengal"/>
    <x v="2"/>
    <s v="Dr. Manoj"/>
    <s v="E11"/>
    <s v="Observation"/>
    <s v="OPD"/>
    <n v="912.39"/>
    <s v="UPI"/>
    <s v="No"/>
    <m/>
    <m/>
    <s v="Child"/>
    <s v="Low"/>
    <s v="Short Days"/>
    <m/>
    <m/>
    <m/>
    <m/>
    <m/>
    <m/>
  </r>
  <r>
    <s v="VIS200372"/>
    <d v="2025-01-01T00:00:00"/>
    <s v="PAT5937"/>
    <s v="Ananya Iyer"/>
    <s v="Female"/>
    <n v="16"/>
    <s v="Noida"/>
    <s v="Uttar Pradesh"/>
    <x v="3"/>
    <s v="Dr. Pallavi"/>
    <s v="J00"/>
    <s v="Counselling"/>
    <s v="OPD"/>
    <n v="5121.68"/>
    <s v="Credit Card"/>
    <s v="No"/>
    <m/>
    <m/>
    <s v="Child"/>
    <s v="Medium"/>
    <s v="Short Days"/>
    <m/>
    <m/>
    <m/>
    <m/>
    <m/>
    <m/>
  </r>
  <r>
    <s v="VIS201972"/>
    <d v="2025-06-04T00:00:00"/>
    <s v="PAT5540"/>
    <s v="Rahul Das"/>
    <s v="Female"/>
    <n v="30"/>
    <s v="Bengaluru"/>
    <s v="Karnataka"/>
    <x v="6"/>
    <s v="Dr. Priya"/>
    <s v="J45"/>
    <s v="Medication"/>
    <s v="OPD"/>
    <n v="3383.28"/>
    <s v="Debit Card"/>
    <s v="No"/>
    <m/>
    <n v="30"/>
    <s v="Adult"/>
    <s v="Low"/>
    <s v="Short Days"/>
    <m/>
    <m/>
    <m/>
    <m/>
    <m/>
    <m/>
  </r>
  <r>
    <s v="VIS201229"/>
    <d v="2024-11-18T00:00:00"/>
    <s v="PAT6537"/>
    <s v="Shruti Sharma"/>
    <s v="Male"/>
    <n v="27"/>
    <s v="Mumbai"/>
    <s v="Maharashtra"/>
    <x v="1"/>
    <s v="Dr. Suri"/>
    <s v="J00"/>
    <s v="Surgery"/>
    <s v="OPD"/>
    <n v="10988.56"/>
    <s v="Cash"/>
    <s v="No"/>
    <m/>
    <n v="14"/>
    <s v="Adult"/>
    <s v="High"/>
    <s v="Short Days"/>
    <m/>
    <m/>
    <m/>
    <m/>
    <m/>
    <m/>
  </r>
  <r>
    <s v="VIS202063"/>
    <d v="2024-11-28T00:00:00"/>
    <s v="PAT6676"/>
    <s v="Arjun Iyer"/>
    <s v="Female"/>
    <n v="36"/>
    <s v="Ahmedabad"/>
    <s v="Gujarat"/>
    <x v="9"/>
    <s v="Dr. Arvind"/>
    <s v="L40"/>
    <s v="Prescription Refill"/>
    <s v="Teleconsultation"/>
    <n v="11025.63"/>
    <s v="Credit Card"/>
    <s v="No"/>
    <m/>
    <m/>
    <s v="Adult"/>
    <s v="High"/>
    <s v="Short Days"/>
    <m/>
    <m/>
    <m/>
    <m/>
    <m/>
    <m/>
  </r>
  <r>
    <s v="VIS200580"/>
    <d v="2024-03-06T00:00:00"/>
    <s v="PAT6280"/>
    <s v="Aarav Mishra"/>
    <s v="Female"/>
    <n v="59"/>
    <s v="Bengaluru"/>
    <s v="Karnataka"/>
    <x v="0"/>
    <s v="Dr. Shailesh"/>
    <s v="J00"/>
    <s v="Prescription Refill"/>
    <s v="IPD"/>
    <n v="6586.67"/>
    <s v="Credit Card"/>
    <s v="No"/>
    <n v="6"/>
    <m/>
    <s v="Middle-Aged"/>
    <s v="Medium"/>
    <s v="Long Days"/>
    <m/>
    <m/>
    <m/>
    <m/>
    <m/>
    <m/>
  </r>
  <r>
    <s v="VIS202050"/>
    <d v="2024-06-17T00:00:00"/>
    <s v="PAT6545"/>
    <s v="Aarav Mishra"/>
    <s v="Male"/>
    <n v="44"/>
    <s v="Ahmedabad"/>
    <s v="Gujarat"/>
    <x v="5"/>
    <s v="Dr. Karthik"/>
    <s v="N39"/>
    <s v="Surgery"/>
    <s v="Emergency"/>
    <n v="5624.3"/>
    <s v="Insurance"/>
    <s v="Yes"/>
    <m/>
    <n v="14"/>
    <s v="Middle-Aged"/>
    <s v="Medium"/>
    <s v="Short Days"/>
    <m/>
    <m/>
    <m/>
    <m/>
    <m/>
    <m/>
  </r>
  <r>
    <s v="VIS200507"/>
    <d v="2025-05-28T00:00:00"/>
    <s v="PAT6741"/>
    <s v="Siddharth Bose"/>
    <s v="Female"/>
    <n v="43"/>
    <s v="Bengaluru"/>
    <s v="Karnataka"/>
    <x v="3"/>
    <s v="Dr. Anand"/>
    <s v="I10"/>
    <s v="Minor Surgery"/>
    <s v="OPD"/>
    <n v="468.46"/>
    <s v="Cash"/>
    <s v="No"/>
    <m/>
    <m/>
    <s v="Middle-Aged"/>
    <s v="Low"/>
    <s v="Short Days"/>
    <m/>
    <m/>
    <m/>
    <m/>
    <m/>
    <m/>
  </r>
  <r>
    <s v="VIS201140"/>
    <d v="2024-12-30T00:00:00"/>
    <s v="PAT6676"/>
    <s v="Rahul Bose"/>
    <s v="Female"/>
    <n v="29.5"/>
    <s v="Delhi"/>
    <s v="Tamil Nadu"/>
    <x v="6"/>
    <s v="Dr. Priya"/>
    <s v="Z111"/>
    <s v="Medication"/>
    <s v="Teleconsultation"/>
    <n v="6142.49"/>
    <s v="Insurance"/>
    <s v="Yes"/>
    <m/>
    <m/>
    <s v="Adult"/>
    <s v="Medium"/>
    <s v="Short Days"/>
    <m/>
    <m/>
    <m/>
    <m/>
    <m/>
    <m/>
  </r>
  <r>
    <s v="VIS201474"/>
    <d v="2024-10-07T00:00:00"/>
    <s v="PAT5281"/>
    <s v="Anil Singh"/>
    <s v="Male"/>
    <n v="39"/>
    <s v="Ahmedabad"/>
    <s v="Gujarat"/>
    <x v="5"/>
    <s v="Dr. Karthik"/>
    <s v="L40"/>
    <s v="Medication"/>
    <s v="OPD"/>
    <n v="580.28"/>
    <s v="Insurance"/>
    <s v="Yes"/>
    <m/>
    <n v="90"/>
    <s v="Adult"/>
    <s v="Low"/>
    <s v="Short Days"/>
    <m/>
    <m/>
    <m/>
    <m/>
    <m/>
    <m/>
  </r>
  <r>
    <s v="VIS201912"/>
    <d v="2025-01-01T00:00:00"/>
    <s v="PAT5982"/>
    <s v="Aditya Nagar"/>
    <s v="Female"/>
    <n v="33"/>
    <s v="Mumbai"/>
    <s v="Maharashtra"/>
    <x v="1"/>
    <s v="Dr. Suri"/>
    <s v="H10"/>
    <s v="Medication"/>
    <s v="OPD"/>
    <n v="9558.5300000000007"/>
    <s v="Insurance"/>
    <s v="Yes"/>
    <m/>
    <n v="30"/>
    <s v="Adult"/>
    <s v="Medium"/>
    <s v="Short Days"/>
    <m/>
    <m/>
    <m/>
    <m/>
    <m/>
    <m/>
  </r>
  <r>
    <s v="VIS200675"/>
    <d v="2025-06-01T00:00:00"/>
    <s v="PAT5034"/>
    <s v="Deepa Das"/>
    <s v="Other"/>
    <n v="33"/>
    <s v="Noida"/>
    <s v="Uttar Pradesh"/>
    <x v="2"/>
    <s v="Dr. Ramesh"/>
    <s v="H10"/>
    <s v="Physiotherapy"/>
    <s v="Teleconsultation"/>
    <n v="5927.93"/>
    <s v="Insurance"/>
    <s v="Yes"/>
    <m/>
    <n v="7"/>
    <s v="Adult"/>
    <s v="Medium"/>
    <s v="Short Days"/>
    <m/>
    <m/>
    <m/>
    <m/>
    <m/>
    <m/>
  </r>
  <r>
    <s v="VIS200763"/>
    <d v="2025-10-15T00:00:00"/>
    <s v="PAT6981"/>
    <s v="Kavya Bose"/>
    <s v="Male"/>
    <n v="15"/>
    <s v="Ahmedabad"/>
    <s v="Gujarat"/>
    <x v="4"/>
    <s v="Dr. Varun"/>
    <s v="E11"/>
    <s v="Minor Surgery"/>
    <s v="OPD"/>
    <n v="10821.67"/>
    <s v="UPI"/>
    <s v="No"/>
    <m/>
    <n v="7"/>
    <s v="Child"/>
    <s v="High"/>
    <s v="Short Days"/>
    <m/>
    <m/>
    <m/>
    <m/>
    <m/>
    <m/>
  </r>
  <r>
    <s v="VIS201165"/>
    <d v="2025-09-22T00:00:00"/>
    <s v="PAT6420"/>
    <s v="Aditya Bose"/>
    <s v="Female"/>
    <n v="47"/>
    <s v="Kolkata"/>
    <s v="West Bengal"/>
    <x v="2"/>
    <s v="Dr. Manoj"/>
    <s v="J45"/>
    <s v="Medication"/>
    <s v="OPD"/>
    <n v="10363.23"/>
    <s v="Cash"/>
    <s v="No"/>
    <m/>
    <n v="30"/>
    <s v="Middle-Aged"/>
    <s v="High"/>
    <s v="Short Days"/>
    <m/>
    <m/>
    <m/>
    <m/>
    <m/>
    <m/>
  </r>
  <r>
    <s v="VIS200644"/>
    <d v="2024-03-15T00:00:00"/>
    <s v="PAT6748"/>
    <s v="Priya Bose"/>
    <s v="Male"/>
    <n v="47"/>
    <s v="Noida"/>
    <s v="Uttar Pradesh"/>
    <x v="7"/>
    <s v="Dr. Surya"/>
    <s v="L40"/>
    <s v="Minor Surgery"/>
    <s v="OPD"/>
    <n v="5158.37"/>
    <s v="Insurance"/>
    <s v="Yes"/>
    <m/>
    <m/>
    <s v="Middle-Aged"/>
    <s v="Medium"/>
    <s v="Short Days"/>
    <m/>
    <m/>
    <m/>
    <m/>
    <m/>
    <m/>
  </r>
  <r>
    <s v="VIS201432"/>
    <d v="2024-08-25T00:00:00"/>
    <s v="PAT6503"/>
    <s v="Ishaan Bose"/>
    <s v="Male"/>
    <n v="49"/>
    <s v="Pune"/>
    <s v="Maharashtra"/>
    <x v="9"/>
    <s v="Dr. Kusum"/>
    <s v="E11"/>
    <s v="Prescription Refill"/>
    <s v="OPD"/>
    <n v="2934.47"/>
    <s v="Cash"/>
    <s v="No"/>
    <m/>
    <n v="90"/>
    <s v="Middle-Aged"/>
    <s v="Low"/>
    <s v="Short Days"/>
    <m/>
    <m/>
    <m/>
    <m/>
    <m/>
    <m/>
  </r>
  <r>
    <s v="VIS201750"/>
    <d v="2025-09-04T00:00:00"/>
    <s v="PAT5006"/>
    <s v="Neha Nair"/>
    <s v="Female"/>
    <n v="7"/>
    <s v="Bengaluru"/>
    <s v="Karnataka"/>
    <x v="1"/>
    <s v="Dr. Anu"/>
    <s v="M54"/>
    <s v="Observation"/>
    <s v="OPD"/>
    <n v="6600.24"/>
    <s v="Insurance"/>
    <s v="Yes"/>
    <m/>
    <n v="30"/>
    <s v="Child"/>
    <s v="Medium"/>
    <s v="Short Days"/>
    <m/>
    <m/>
    <m/>
    <m/>
    <m/>
    <m/>
  </r>
  <r>
    <s v="VIS201118"/>
    <d v="2025-04-03T00:00:00"/>
    <s v="PAT5807"/>
    <s v="Deepa Khan"/>
    <s v="Male"/>
    <n v="34"/>
    <s v="Madurai"/>
    <s v="Tamil Nadu"/>
    <x v="2"/>
    <s v="Dr. Manoj"/>
    <s v="I10"/>
    <s v="Minor Surgery"/>
    <s v="OPD"/>
    <n v="16872.07"/>
    <s v="Insurance"/>
    <s v="Yes"/>
    <m/>
    <m/>
    <s v="Adult"/>
    <s v="High"/>
    <s v="Short Days"/>
    <m/>
    <m/>
    <m/>
    <m/>
    <m/>
    <m/>
  </r>
  <r>
    <s v="VIS201797"/>
    <d v="2024-02-11T00:00:00"/>
    <s v="PAT6987"/>
    <s v="Neha Bose"/>
    <s v="Other"/>
    <n v="47"/>
    <s v="Mumbai"/>
    <s v="Maharashtra"/>
    <x v="1"/>
    <s v="Dr. Suri"/>
    <s v="N39"/>
    <s v="Counselling"/>
    <s v="IPD"/>
    <n v="6136.44"/>
    <s v="UPI"/>
    <s v="No"/>
    <n v="5"/>
    <m/>
    <s v="Middle-Aged"/>
    <s v="Medium"/>
    <s v="Short Days"/>
    <m/>
    <m/>
    <m/>
    <m/>
    <m/>
    <m/>
  </r>
  <r>
    <s v="VIS201786"/>
    <d v="2024-02-07T00:00:00"/>
    <s v="PAT6205"/>
    <s v="Ishaan Singh"/>
    <s v="Female"/>
    <n v="40"/>
    <s v="Ahmedabad"/>
    <s v="Gujarat"/>
    <x v="6"/>
    <s v="Dr. Priya"/>
    <s v="K21"/>
    <s v="Physiotherapy"/>
    <s v="Teleconsultation"/>
    <n v="7334.58"/>
    <s v="Credit Card"/>
    <s v="No"/>
    <m/>
    <n v="90"/>
    <s v="Adult"/>
    <s v="Medium"/>
    <s v="Short Days"/>
    <m/>
    <m/>
    <m/>
    <m/>
    <m/>
    <m/>
  </r>
  <r>
    <s v="VIS201695"/>
    <d v="2024-02-23T00:00:00"/>
    <s v="PAT5797"/>
    <s v="Deepa Patel"/>
    <s v="Female"/>
    <n v="55"/>
    <s v="Chennai"/>
    <s v="Tamil Nadu"/>
    <x v="3"/>
    <s v="Dr. Pallavi"/>
    <s v="J00"/>
    <s v="Prescription Refill"/>
    <s v="Teleconsultation"/>
    <n v="6179.28"/>
    <s v="Insurance"/>
    <s v="Yes"/>
    <m/>
    <n v="30"/>
    <s v="Middle-Aged"/>
    <s v="Medium"/>
    <s v="Short Days"/>
    <m/>
    <m/>
    <m/>
    <m/>
    <m/>
    <m/>
  </r>
  <r>
    <s v="VIS200730"/>
    <d v="2025-01-26T00:00:00"/>
    <s v="PAT5788"/>
    <s v="Arjun Jose"/>
    <s v="Female"/>
    <n v="34"/>
    <s v="Coimbatore"/>
    <s v="Tamil Nadu"/>
    <x v="0"/>
    <s v="Dr. Shailesh"/>
    <s v="N39"/>
    <s v="Physiotherapy"/>
    <s v="OPD"/>
    <n v="6028.34"/>
    <s v="UPI"/>
    <s v="No"/>
    <m/>
    <m/>
    <s v="Adult"/>
    <s v="Medium"/>
    <s v="Short Days"/>
    <m/>
    <m/>
    <m/>
    <m/>
    <m/>
    <m/>
  </r>
  <r>
    <s v="VIS200949"/>
    <d v="2025-08-13T00:00:00"/>
    <s v="PAT6622"/>
    <s v="Aarav Nair"/>
    <s v="Female"/>
    <n v="1"/>
    <s v="Chennai"/>
    <s v="Tamil Nadu"/>
    <x v="1"/>
    <s v="Dr. Anu"/>
    <s v="E11"/>
    <s v="Prescription Refill"/>
    <s v="OPD"/>
    <n v="1568.99"/>
    <s v="Insurance"/>
    <s v="Yes"/>
    <m/>
    <m/>
    <s v="Child"/>
    <s v="Low"/>
    <s v="Short Days"/>
    <m/>
    <m/>
    <m/>
    <m/>
    <m/>
    <m/>
  </r>
  <r>
    <s v="VIS202908"/>
    <d v="2024-11-29T00:00:00"/>
    <s v="PAT5762"/>
    <s v="Shruti Das"/>
    <s v="Male"/>
    <n v="0"/>
    <s v="Lucknow"/>
    <s v="Uttar Pradesh"/>
    <x v="7"/>
    <s v="Dr. Leela"/>
    <s v="H10"/>
    <s v="Minor Procedure"/>
    <s v="OPD"/>
    <n v="2910.93"/>
    <s v="Debit Card"/>
    <s v="No"/>
    <m/>
    <m/>
    <s v="Child"/>
    <s v="Low"/>
    <s v="Short Days"/>
    <m/>
    <m/>
    <m/>
    <m/>
    <m/>
    <m/>
  </r>
  <r>
    <s v="VIS200991"/>
    <d v="2025-05-03T00:00:00"/>
    <s v="PAT6156"/>
    <s v="Siddharth Nagar"/>
    <s v="Female"/>
    <n v="40"/>
    <s v="Ahmedabad"/>
    <s v="Gujarat"/>
    <x v="0"/>
    <s v="Dr. Nikhil"/>
    <s v="K21"/>
    <s v="Medication"/>
    <s v="OPD"/>
    <n v="763.61"/>
    <s v="Credit Card"/>
    <s v="No"/>
    <m/>
    <m/>
    <s v="Adult"/>
    <s v="Low"/>
    <s v="Short Days"/>
    <m/>
    <m/>
    <m/>
    <m/>
    <m/>
    <m/>
  </r>
  <r>
    <s v="VIS202418"/>
    <d v="2024-06-14T00:00:00"/>
    <s v="PAT5292"/>
    <s v="Rahul Nair"/>
    <s v="Female"/>
    <n v="53"/>
    <s v="Bengaluru"/>
    <s v="Karnataka"/>
    <x v="1"/>
    <s v="Dr. Suri"/>
    <s v="I10"/>
    <s v="Observation"/>
    <s v="OPD"/>
    <n v="552.44000000000005"/>
    <s v="Debit Card"/>
    <s v="No"/>
    <m/>
    <n v="14"/>
    <s v="Middle-Aged"/>
    <s v="Low"/>
    <s v="Short Days"/>
    <m/>
    <m/>
    <m/>
    <m/>
    <m/>
    <m/>
  </r>
  <r>
    <s v="VIS201925"/>
    <d v="2025-03-27T00:00:00"/>
    <s v="PAT5290"/>
    <s v="Aarav Das"/>
    <s v="Female"/>
    <n v="52"/>
    <s v="Kochi"/>
    <s v="Kerala"/>
    <x v="2"/>
    <s v="Dr. Manoj"/>
    <s v="J45"/>
    <s v="Medication"/>
    <s v="OPD"/>
    <n v="11457.05"/>
    <s v="Net Banking"/>
    <s v="No"/>
    <m/>
    <n v="90"/>
    <s v="Middle-Aged"/>
    <s v="High"/>
    <s v="Short Days"/>
    <m/>
    <m/>
    <m/>
    <m/>
    <m/>
    <m/>
  </r>
  <r>
    <s v="VIS202592"/>
    <d v="2025-05-20T00:00:00"/>
    <s v="PAT6949"/>
    <s v="Rohan Sharma"/>
    <s v="Female"/>
    <n v="23"/>
    <s v="Bengaluru"/>
    <s v="Karnataka"/>
    <x v="8"/>
    <s v="Dr. Sneha"/>
    <s v="N39"/>
    <s v="Physiotherapy"/>
    <s v="OPD"/>
    <n v="2305.6"/>
    <s v="Debit Card"/>
    <s v="No"/>
    <m/>
    <m/>
    <s v="Adult"/>
    <s v="Low"/>
    <s v="Short Days"/>
    <m/>
    <m/>
    <m/>
    <m/>
    <m/>
    <m/>
  </r>
  <r>
    <s v="VIS202036"/>
    <d v="2024-08-11T00:00:00"/>
    <s v="PAT5965"/>
    <s v="Arjun Nagar"/>
    <s v="Female"/>
    <n v="34"/>
    <s v="Noida"/>
    <s v="Uttar Pradesh"/>
    <x v="3"/>
    <s v="Dr. Pallavi"/>
    <s v="J00"/>
    <s v="Physiotherapy"/>
    <s v="OPD"/>
    <n v="2317.91"/>
    <s v="UPI"/>
    <s v="No"/>
    <m/>
    <n v="90"/>
    <s v="Adult"/>
    <s v="Low"/>
    <s v="Short Days"/>
    <m/>
    <m/>
    <m/>
    <m/>
    <m/>
    <m/>
  </r>
  <r>
    <s v="VIS202205"/>
    <d v="2024-01-28T00:00:00"/>
    <s v="PAT6563"/>
    <s v="Aarav Sharma"/>
    <s v="Male"/>
    <n v="67"/>
    <s v="Mumbai"/>
    <s v="Maharashtra"/>
    <x v="9"/>
    <s v="Dr. Arvind"/>
    <s v="E11"/>
    <s v="Minor Surgery"/>
    <s v="OPD"/>
    <n v="160.36000000000001"/>
    <s v="Cash"/>
    <s v="No"/>
    <m/>
    <n v="14"/>
    <s v="Senior"/>
    <s v="Low"/>
    <s v="Short Days"/>
    <m/>
    <m/>
    <m/>
    <m/>
    <m/>
    <m/>
  </r>
  <r>
    <s v="VIS200889"/>
    <d v="2024-08-12T00:00:00"/>
    <s v="PAT6236"/>
    <s v="Neha Reddy"/>
    <s v="Female"/>
    <n v="9"/>
    <s v="Pune"/>
    <s v="Maharashtra"/>
    <x v="8"/>
    <s v="Dr. Kavitha"/>
    <s v="L40"/>
    <s v="Prescription Refill"/>
    <s v="OPD"/>
    <n v="17634.939999999999"/>
    <s v="Debit Card"/>
    <s v="No"/>
    <m/>
    <n v="30"/>
    <s v="Child"/>
    <s v="High"/>
    <s v="Short Days"/>
    <m/>
    <m/>
    <m/>
    <m/>
    <m/>
    <m/>
  </r>
  <r>
    <s v="VIS202390"/>
    <d v="2024-08-05T00:00:00"/>
    <s v="PAT6034"/>
    <s v="Arjun Patel"/>
    <s v="Male"/>
    <n v="44"/>
    <s v="Trichy"/>
    <s v="Tamil Nadu"/>
    <x v="7"/>
    <s v="Dr. Leela"/>
    <s v="J45"/>
    <s v="Medication"/>
    <s v="Teleconsultation"/>
    <n v="21764.92"/>
    <s v="Credit Card"/>
    <s v="No"/>
    <m/>
    <m/>
    <s v="Middle-Aged"/>
    <s v="High"/>
    <s v="Short Days"/>
    <m/>
    <m/>
    <m/>
    <m/>
    <m/>
    <m/>
  </r>
  <r>
    <s v="VIS200204"/>
    <d v="2024-02-23T00:00:00"/>
    <s v="PAT5916"/>
    <s v="Siddharth Khan"/>
    <s v="Male"/>
    <n v="29"/>
    <s v="Mumbai"/>
    <s v="Maharashtra"/>
    <x v="3"/>
    <s v="Dr. Pallavi"/>
    <s v="M54"/>
    <s v="Minor Surgery"/>
    <s v="Teleconsultation"/>
    <n v="10411.27"/>
    <s v="Debit Card"/>
    <s v="No"/>
    <m/>
    <n v="7"/>
    <s v="Adult"/>
    <s v="High"/>
    <s v="Short Days"/>
    <m/>
    <m/>
    <m/>
    <m/>
    <m/>
    <m/>
  </r>
  <r>
    <s v="VIS201610"/>
    <d v="2025-10-04T00:00:00"/>
    <s v="PAT6675"/>
    <s v="Shruti Reddy"/>
    <s v="Female"/>
    <n v="29"/>
    <s v="Noida"/>
    <s v="Uttar Pradesh"/>
    <x v="9"/>
    <s v="Dr. Kusum"/>
    <s v="L40"/>
    <s v="Prescription Refill"/>
    <s v="OPD"/>
    <n v="9729.65"/>
    <s v="Insurance"/>
    <s v="Yes"/>
    <m/>
    <n v="14"/>
    <s v="Adult"/>
    <s v="Medium"/>
    <s v="Short Days"/>
    <m/>
    <m/>
    <m/>
    <m/>
    <m/>
    <m/>
  </r>
  <r>
    <s v="VIS201143"/>
    <d v="2024-10-01T00:00:00"/>
    <s v="PAT5230"/>
    <s v="Priya Singh"/>
    <s v="Female"/>
    <n v="0"/>
    <s v="Kolkata"/>
    <s v="West Bengal"/>
    <x v="3"/>
    <s v="Dr. Anand"/>
    <s v="K21"/>
    <s v="Physiotherapy"/>
    <s v="OPD"/>
    <n v="443.78"/>
    <s v="Credit Card"/>
    <s v="No"/>
    <m/>
    <n v="14"/>
    <s v="Child"/>
    <s v="Low"/>
    <s v="Short Days"/>
    <m/>
    <m/>
    <m/>
    <m/>
    <m/>
    <m/>
  </r>
  <r>
    <s v="VIS201575"/>
    <d v="2024-08-29T00:00:00"/>
    <s v="PAT5954"/>
    <s v="Arjun Reddy"/>
    <s v="Male"/>
    <n v="37"/>
    <s v="Coimbatore"/>
    <s v="Tamil Nadu"/>
    <x v="1"/>
    <s v="Dr. Suri"/>
    <s v="H10"/>
    <s v="Surgery"/>
    <s v="Emergency"/>
    <n v="19469.009999999998"/>
    <s v="Insurance"/>
    <s v="Yes"/>
    <m/>
    <m/>
    <s v="Adult"/>
    <s v="High"/>
    <s v="Short Days"/>
    <m/>
    <m/>
    <m/>
    <m/>
    <m/>
    <m/>
  </r>
  <r>
    <s v="VIS201618"/>
    <d v="2025-09-11T00:00:00"/>
    <s v="PAT6390"/>
    <s v="Ananya Singh"/>
    <s v="Male"/>
    <n v="53"/>
    <s v="Mumbai"/>
    <s v="Maharashtra"/>
    <x v="4"/>
    <s v="Dr. Bhavana"/>
    <s v="J45"/>
    <s v="Surgery"/>
    <s v="Emergency"/>
    <n v="9531.93"/>
    <s v="Credit Card"/>
    <s v="No"/>
    <m/>
    <n v="7"/>
    <s v="Middle-Aged"/>
    <s v="Medium"/>
    <s v="Short Days"/>
    <m/>
    <m/>
    <m/>
    <m/>
    <m/>
    <m/>
  </r>
  <r>
    <s v="VIS202098"/>
    <d v="2025-08-06T00:00:00"/>
    <s v="PAT5004"/>
    <s v="Vishal Jose"/>
    <s v="Female"/>
    <n v="69"/>
    <s v="Pune"/>
    <s v="Maharashtra"/>
    <x v="9"/>
    <s v="Dr. Arvind"/>
    <s v="M54"/>
    <s v="Medication"/>
    <s v="Teleconsultation"/>
    <n v="6905.28"/>
    <s v="Insurance"/>
    <s v="Yes"/>
    <m/>
    <n v="7"/>
    <s v="Senior"/>
    <s v="Medium"/>
    <s v="Short Days"/>
    <m/>
    <m/>
    <m/>
    <m/>
    <m/>
    <m/>
  </r>
  <r>
    <s v="VIS200225"/>
    <d v="2024-01-20T00:00:00"/>
    <s v="PAT6678"/>
    <s v="Deepa Das"/>
    <s v="Female"/>
    <n v="41"/>
    <s v="Kolkata"/>
    <s v="West Bengal"/>
    <x v="8"/>
    <s v="Dr. Kavitha"/>
    <s v="J00"/>
    <s v="Minor Surgery"/>
    <s v="IPD"/>
    <n v="8128.83"/>
    <s v="Cash"/>
    <s v="No"/>
    <n v="5"/>
    <n v="7"/>
    <s v="Middle-Aged"/>
    <s v="Medium"/>
    <s v="Short Days"/>
    <m/>
    <m/>
    <m/>
    <m/>
    <m/>
    <m/>
  </r>
  <r>
    <s v="VIS201530"/>
    <d v="2024-12-01T00:00:00"/>
    <s v="PAT5511"/>
    <s v="Rohan Sharma"/>
    <s v="Male"/>
    <n v="11"/>
    <s v="Hyderabad"/>
    <s v="Telangana"/>
    <x v="2"/>
    <s v="Dr. Manoj"/>
    <s v="L40"/>
    <s v="Minor Procedure"/>
    <s v="Teleconsultation"/>
    <n v="5924.2"/>
    <s v="UPI"/>
    <s v="No"/>
    <m/>
    <m/>
    <s v="Child"/>
    <s v="Medium"/>
    <s v="Short Days"/>
    <m/>
    <m/>
    <m/>
    <m/>
    <m/>
    <m/>
  </r>
  <r>
    <s v="VIS202010"/>
    <d v="2024-03-11T00:00:00"/>
    <s v="PAT5060"/>
    <s v="Aarav Nair"/>
    <s v="Male"/>
    <n v="12"/>
    <s v="Mumbai"/>
    <s v="Maharashtra"/>
    <x v="1"/>
    <s v="Dr. Anu"/>
    <s v="L40"/>
    <s v="Surgery"/>
    <s v="OPD"/>
    <n v="8628.6200000000008"/>
    <s v="Debit Card"/>
    <s v="No"/>
    <m/>
    <n v="90"/>
    <s v="Child"/>
    <s v="Medium"/>
    <s v="Short Days"/>
    <m/>
    <m/>
    <m/>
    <m/>
    <m/>
    <m/>
  </r>
  <r>
    <s v="VIS200756"/>
    <d v="2024-08-13T00:00:00"/>
    <s v="PAT6798"/>
    <s v="Priya Jose"/>
    <s v="Female"/>
    <n v="9"/>
    <s v="Kochi"/>
    <s v="Kerala"/>
    <x v="9"/>
    <s v="Dr. Arvind"/>
    <s v="E11"/>
    <s v="Physiotherapy"/>
    <s v="Teleconsultation"/>
    <n v="11286.5"/>
    <s v="UPI"/>
    <s v="No"/>
    <m/>
    <m/>
    <s v="Child"/>
    <s v="High"/>
    <s v="Short Days"/>
    <m/>
    <m/>
    <m/>
    <m/>
    <m/>
    <m/>
  </r>
  <r>
    <s v="VIS202721"/>
    <d v="2024-05-24T00:00:00"/>
    <s v="PAT5762"/>
    <s v="Arjun Nair"/>
    <s v="Female"/>
    <n v="13"/>
    <s v="Hyderabad"/>
    <s v="Telangana"/>
    <x v="1"/>
    <s v="Dr. Suri"/>
    <s v="E11"/>
    <s v="Prescription Refill"/>
    <s v="OPD"/>
    <n v="3598.5"/>
    <s v="Net Banking"/>
    <s v="No"/>
    <m/>
    <n v="14"/>
    <s v="Child"/>
    <s v="Low"/>
    <s v="Short Days"/>
    <m/>
    <m/>
    <m/>
    <m/>
    <m/>
    <m/>
  </r>
  <r>
    <s v="VIS201780"/>
    <d v="2024-11-04T00:00:00"/>
    <s v="PAT5650"/>
    <s v="Shruti Bose"/>
    <s v="Female"/>
    <n v="0"/>
    <s v="Kochi"/>
    <s v="Kerala"/>
    <x v="7"/>
    <s v="Dr. Surya"/>
    <s v="F41"/>
    <s v="Minor Procedure"/>
    <s v="Teleconsultation"/>
    <n v="6540.89"/>
    <s v="Cash"/>
    <s v="No"/>
    <m/>
    <m/>
    <s v="Child"/>
    <s v="Medium"/>
    <s v="Short Days"/>
    <m/>
    <m/>
    <m/>
    <m/>
    <m/>
    <m/>
  </r>
  <r>
    <s v="VIS200456"/>
    <d v="2025-10-31T00:00:00"/>
    <s v="PAT6350"/>
    <s v="Aarav Nair"/>
    <s v="Male"/>
    <n v="14"/>
    <s v="Jaipur"/>
    <s v="Rajasthan"/>
    <x v="0"/>
    <s v="Dr. Nikhil"/>
    <s v="K21"/>
    <s v="Counselling"/>
    <s v="OPD"/>
    <n v="6391.67"/>
    <s v="Net Banking"/>
    <s v="No"/>
    <m/>
    <n v="90"/>
    <s v="Child"/>
    <s v="Medium"/>
    <s v="Short Days"/>
    <m/>
    <m/>
    <m/>
    <m/>
    <m/>
    <m/>
  </r>
  <r>
    <s v="VIS200288"/>
    <d v="2024-01-28T00:00:00"/>
    <s v="PAT5458"/>
    <s v="Vishal Singh"/>
    <s v="Female"/>
    <n v="50"/>
    <s v="Coimbatore"/>
    <s v="Tamil Nadu"/>
    <x v="7"/>
    <s v="Dr. Surya"/>
    <s v="K21"/>
    <s v="Physiotherapy"/>
    <s v="Teleconsultation"/>
    <n v="8479"/>
    <s v="Debit Card"/>
    <s v="No"/>
    <m/>
    <m/>
    <s v="Middle-Aged"/>
    <s v="Medium"/>
    <s v="Short Days"/>
    <m/>
    <m/>
    <m/>
    <m/>
    <m/>
    <m/>
  </r>
  <r>
    <s v="VIS202620"/>
    <d v="2024-07-06T00:00:00"/>
    <s v="PAT6399"/>
    <s v="Siddharth Bose"/>
    <s v="Female"/>
    <n v="39"/>
    <s v="Lucknow"/>
    <s v="Uttar Pradesh"/>
    <x v="0"/>
    <s v="Dr. Nikhil"/>
    <s v="J45"/>
    <s v="Minor Procedure"/>
    <s v="OPD"/>
    <n v="6381.88"/>
    <s v="Debit Card"/>
    <s v="No"/>
    <m/>
    <n v="90"/>
    <s v="Adult"/>
    <s v="Medium"/>
    <s v="Short Days"/>
    <m/>
    <m/>
    <m/>
    <m/>
    <m/>
    <m/>
  </r>
  <r>
    <s v="VIS200392"/>
    <d v="2025-01-01T00:00:00"/>
    <s v="PAT6743"/>
    <s v="Vivaan Patel"/>
    <s v="Female"/>
    <n v="48"/>
    <s v="Hyderabad"/>
    <s v="Telangana"/>
    <x v="5"/>
    <s v="Dr. Karthik"/>
    <s v="J45"/>
    <s v="Medication"/>
    <s v="Teleconsultation"/>
    <n v="5355.46"/>
    <s v="UPI"/>
    <s v="No"/>
    <m/>
    <m/>
    <s v="Middle-Aged"/>
    <s v="Medium"/>
    <s v="Short Days"/>
    <m/>
    <m/>
    <m/>
    <m/>
    <m/>
    <m/>
  </r>
  <r>
    <s v="VIS201291"/>
    <d v="2025-02-23T00:00:00"/>
    <s v="PAT5011"/>
    <s v="Anil Bose"/>
    <s v="Male"/>
    <n v="49"/>
    <s v="Jaipur"/>
    <s v="Rajasthan"/>
    <x v="8"/>
    <s v="Dr. Sneha"/>
    <s v="J45"/>
    <s v="Surgery"/>
    <s v="Teleconsultation"/>
    <n v="6926.5"/>
    <s v="UPI"/>
    <s v="No"/>
    <m/>
    <n v="7"/>
    <s v="Middle-Aged"/>
    <s v="Medium"/>
    <s v="Short Days"/>
    <m/>
    <m/>
    <m/>
    <m/>
    <m/>
    <m/>
  </r>
  <r>
    <s v="VIS201191"/>
    <d v="2024-10-14T00:00:00"/>
    <s v="PAT6943"/>
    <s v="Vishal Jose"/>
    <s v="Male"/>
    <n v="43"/>
    <s v="Pune"/>
    <s v="Maharashtra"/>
    <x v="1"/>
    <s v="Dr. Suri"/>
    <s v="J00"/>
    <s v="Prescription Refill"/>
    <s v="OPD"/>
    <n v="3668.97"/>
    <s v="UPI"/>
    <s v="No"/>
    <m/>
    <n v="7"/>
    <s v="Middle-Aged"/>
    <s v="Low"/>
    <s v="Short Days"/>
    <m/>
    <m/>
    <m/>
    <m/>
    <m/>
    <m/>
  </r>
  <r>
    <s v="VIS200066"/>
    <d v="2024-11-19T00:00:00"/>
    <s v="PAT6439"/>
    <s v="Priya Iyer"/>
    <s v="Male"/>
    <n v="42"/>
    <s v="Jaipur"/>
    <s v="Rajasthan"/>
    <x v="9"/>
    <s v="Dr. Arvind"/>
    <s v="H10"/>
    <s v="Medication"/>
    <s v="OPD"/>
    <n v="8482.77"/>
    <s v="Debit Card"/>
    <s v="No"/>
    <m/>
    <n v="14"/>
    <s v="Middle-Aged"/>
    <s v="Medium"/>
    <s v="Short Days"/>
    <m/>
    <m/>
    <m/>
    <m/>
    <m/>
    <m/>
  </r>
  <r>
    <s v="VIS201946"/>
    <d v="2025-05-02T00:00:00"/>
    <s v="PAT6478"/>
    <s v="Neha Gupta"/>
    <s v="Male"/>
    <n v="2"/>
    <s v="Noida"/>
    <s v="Uttar Pradesh"/>
    <x v="8"/>
    <s v="Dr. Sneha"/>
    <s v="M54"/>
    <s v="Minor Procedure"/>
    <s v="Teleconsultation"/>
    <n v="7251.49"/>
    <s v="UPI"/>
    <s v="No"/>
    <m/>
    <m/>
    <s v="Child"/>
    <s v="Medium"/>
    <s v="Short Days"/>
    <m/>
    <m/>
    <m/>
    <m/>
    <m/>
    <m/>
  </r>
  <r>
    <s v="VIS200210"/>
    <d v="2024-05-24T00:00:00"/>
    <s v="PAT5821"/>
    <s v="Ishaan Mishra"/>
    <s v="Female"/>
    <n v="61"/>
    <s v="Hyderabad"/>
    <s v="Telangana"/>
    <x v="6"/>
    <s v="Dr. Lalitha"/>
    <s v="I10"/>
    <s v="Minor Surgery"/>
    <s v="OPD"/>
    <n v="4993.26"/>
    <s v="Cash"/>
    <s v="No"/>
    <m/>
    <n v="30"/>
    <s v="Senior"/>
    <s v="Low"/>
    <s v="Short Days"/>
    <m/>
    <m/>
    <m/>
    <m/>
    <m/>
    <m/>
  </r>
  <r>
    <s v="VIS200989"/>
    <d v="2025-09-27T00:00:00"/>
    <s v="PAT5361"/>
    <s v="Vishal Sharma"/>
    <s v="Male"/>
    <n v="52"/>
    <s v="Coimbatore"/>
    <s v="Tamil Nadu"/>
    <x v="8"/>
    <s v="Dr. Kavitha"/>
    <s v="K21"/>
    <s v="Prescription Refill"/>
    <s v="Teleconsultation"/>
    <n v="5691.28"/>
    <s v="Credit Card"/>
    <s v="No"/>
    <m/>
    <m/>
    <s v="Middle-Aged"/>
    <s v="Medium"/>
    <s v="Short Days"/>
    <m/>
    <m/>
    <m/>
    <m/>
    <m/>
    <m/>
  </r>
  <r>
    <s v="VIS202346"/>
    <d v="2024-01-01T00:00:00"/>
    <s v="PAT5775"/>
    <s v="Deepa Reddy"/>
    <s v="Female"/>
    <n v="43"/>
    <s v="Lucknow"/>
    <s v="Uttar Pradesh"/>
    <x v="7"/>
    <s v="Dr. Leela"/>
    <s v="J45"/>
    <s v="Minor Surgery"/>
    <s v="OPD"/>
    <n v="5224.0200000000004"/>
    <s v="UPI"/>
    <s v="No"/>
    <m/>
    <n v="14"/>
    <s v="Middle-Aged"/>
    <s v="Medium"/>
    <s v="Short Days"/>
    <m/>
    <m/>
    <m/>
    <m/>
    <m/>
    <m/>
  </r>
  <r>
    <s v="VIS202909"/>
    <d v="2024-06-09T00:00:00"/>
    <s v="PAT6189"/>
    <s v="Rahul Khan"/>
    <s v="Female"/>
    <n v="17"/>
    <s v="Bengaluru"/>
    <s v="Karnataka"/>
    <x v="7"/>
    <s v="Dr. Surya"/>
    <s v="K21"/>
    <s v="Medication"/>
    <s v="IPD"/>
    <n v="7143.48"/>
    <s v="Debit Card"/>
    <s v="No"/>
    <n v="6"/>
    <n v="30"/>
    <s v="Child"/>
    <s v="Medium"/>
    <s v="Long Days"/>
    <m/>
    <m/>
    <m/>
    <m/>
    <m/>
    <m/>
  </r>
  <r>
    <s v="VIS202905"/>
    <d v="2025-07-11T00:00:00"/>
    <s v="PAT5985"/>
    <s v="Shruti Das"/>
    <s v="Female"/>
    <n v="49"/>
    <s v="Chennai"/>
    <s v="Tamil Nadu"/>
    <x v="1"/>
    <s v="Dr. Anu"/>
    <s v="J00"/>
    <s v="Prescription Refill"/>
    <s v="OPD"/>
    <n v="7441.59"/>
    <s v="UPI"/>
    <s v="No"/>
    <m/>
    <n v="7"/>
    <s v="Middle-Aged"/>
    <s v="Medium"/>
    <s v="Short Days"/>
    <m/>
    <m/>
    <m/>
    <m/>
    <m/>
    <m/>
  </r>
  <r>
    <s v="VIS200681"/>
    <d v="2024-09-13T00:00:00"/>
    <s v="PAT5612"/>
    <s v="Aishwarya Khan"/>
    <s v="Male"/>
    <n v="46"/>
    <s v="Pune"/>
    <s v="Maharashtra"/>
    <x v="4"/>
    <s v="Dr. Bhavana"/>
    <s v="L40"/>
    <s v="Medication"/>
    <s v="Teleconsultation"/>
    <n v="7419.16"/>
    <s v="Cash"/>
    <s v="No"/>
    <m/>
    <m/>
    <s v="Middle-Aged"/>
    <s v="Medium"/>
    <s v="Short Days"/>
    <m/>
    <m/>
    <m/>
    <m/>
    <m/>
    <m/>
  </r>
  <r>
    <s v="VIS201251"/>
    <d v="2025-10-18T00:00:00"/>
    <s v="PAT6556"/>
    <s v="Deepa Reddy"/>
    <s v="Female"/>
    <n v="54"/>
    <s v="Madurai"/>
    <s v="Tamil Nadu"/>
    <x v="0"/>
    <s v="Dr. Nikhil"/>
    <s v="M54"/>
    <s v="Observation"/>
    <s v="OPD"/>
    <n v="172.95"/>
    <s v="Insurance"/>
    <s v="Yes"/>
    <m/>
    <m/>
    <s v="Middle-Aged"/>
    <s v="Low"/>
    <s v="Short Days"/>
    <m/>
    <m/>
    <m/>
    <m/>
    <m/>
    <m/>
  </r>
  <r>
    <s v="VIS202706"/>
    <d v="2024-12-10T00:00:00"/>
    <s v="PAT6213"/>
    <s v="Vivaan Nair"/>
    <s v="Female"/>
    <n v="34"/>
    <s v="Mumbai"/>
    <s v="Maharashtra"/>
    <x v="3"/>
    <s v="Dr. Anand"/>
    <s v="N39"/>
    <s v="Physiotherapy"/>
    <s v="OPD"/>
    <n v="2069.8200000000002"/>
    <s v="Cash"/>
    <s v="No"/>
    <m/>
    <n v="30"/>
    <s v="Adult"/>
    <s v="Low"/>
    <s v="Short Days"/>
    <m/>
    <m/>
    <m/>
    <m/>
    <m/>
    <m/>
  </r>
  <r>
    <s v="VIS202553"/>
    <d v="2024-05-19T00:00:00"/>
    <s v="PAT5097"/>
    <s v="Rohan Gupta"/>
    <s v="Male"/>
    <n v="54"/>
    <s v="Mumbai"/>
    <s v="Maharashtra"/>
    <x v="6"/>
    <s v="Dr. Priya"/>
    <s v="M54"/>
    <s v="Minor Surgery"/>
    <s v="OPD"/>
    <n v="5412.25"/>
    <s v="Cash"/>
    <s v="No"/>
    <m/>
    <m/>
    <s v="Middle-Aged"/>
    <s v="Medium"/>
    <s v="Short Days"/>
    <m/>
    <m/>
    <m/>
    <m/>
    <m/>
    <m/>
  </r>
  <r>
    <s v="VIS201084"/>
    <d v="2024-11-15T00:00:00"/>
    <s v="PAT5929"/>
    <s v="Karthik Nair"/>
    <s v="Male"/>
    <n v="32"/>
    <s v="Delhi"/>
    <s v="Delhi"/>
    <x v="4"/>
    <s v="Dr. Bhavana"/>
    <s v="N39"/>
    <s v="Medication"/>
    <s v="Emergency"/>
    <n v="6001.3"/>
    <s v="Credit Card"/>
    <s v="No"/>
    <m/>
    <n v="90"/>
    <s v="Adult"/>
    <s v="Medium"/>
    <s v="Short Days"/>
    <m/>
    <m/>
    <m/>
    <m/>
    <m/>
    <m/>
  </r>
  <r>
    <s v="VIS201974"/>
    <d v="2024-04-28T00:00:00"/>
    <s v="PAT6189"/>
    <s v="Neha Patel"/>
    <s v="Other"/>
    <n v="17"/>
    <s v="Lucknow"/>
    <s v="Uttar Pradesh"/>
    <x v="7"/>
    <s v="Dr. Leela"/>
    <s v="E11"/>
    <s v="Minor Surgery"/>
    <s v="OPD"/>
    <n v="6302.42"/>
    <s v="Debit Card"/>
    <s v="No"/>
    <m/>
    <n v="7"/>
    <s v="Child"/>
    <s v="Medium"/>
    <s v="Short Days"/>
    <m/>
    <m/>
    <m/>
    <m/>
    <m/>
    <m/>
  </r>
  <r>
    <s v="VIS200976"/>
    <d v="2025-08-17T00:00:00"/>
    <s v="PAT6074"/>
    <s v="Sangeetha Das"/>
    <s v="Male"/>
    <n v="8"/>
    <s v="Lucknow"/>
    <s v="Uttar Pradesh"/>
    <x v="5"/>
    <s v="Dr. Karthik"/>
    <s v="N39"/>
    <s v="Surgery"/>
    <s v="OPD"/>
    <n v="4932.22"/>
    <s v="Cash"/>
    <s v="No"/>
    <m/>
    <n v="14"/>
    <s v="Child"/>
    <s v="Low"/>
    <s v="Short Days"/>
    <m/>
    <m/>
    <m/>
    <m/>
    <m/>
    <m/>
  </r>
  <r>
    <s v="VIS200807"/>
    <d v="2025-01-03T00:00:00"/>
    <s v="PAT5847"/>
    <s v="Siddharth Nair"/>
    <s v="Male"/>
    <n v="57"/>
    <s v="Kochi"/>
    <s v="Kerala"/>
    <x v="3"/>
    <s v="Dr. Pallavi"/>
    <s v="H10"/>
    <s v="Physiotherapy"/>
    <s v="OPD"/>
    <n v="4055.23"/>
    <s v="Cash"/>
    <s v="No"/>
    <m/>
    <n v="14"/>
    <s v="Middle-Aged"/>
    <s v="Low"/>
    <s v="Short Days"/>
    <m/>
    <m/>
    <m/>
    <m/>
    <m/>
    <m/>
  </r>
  <r>
    <s v="VIS200182"/>
    <d v="2024-07-03T00:00:00"/>
    <s v="PAT6915"/>
    <s v="Ananya Reddy"/>
    <s v="Female"/>
    <n v="33"/>
    <s v="Bengaluru"/>
    <s v="Karnataka"/>
    <x v="4"/>
    <s v="Dr. Varun"/>
    <s v="F41"/>
    <s v="Prescription Refill"/>
    <s v="Teleconsultation"/>
    <n v="12139.96"/>
    <s v="Insurance"/>
    <s v="Yes"/>
    <m/>
    <n v="14"/>
    <s v="Adult"/>
    <s v="High"/>
    <s v="Short Days"/>
    <m/>
    <m/>
    <m/>
    <m/>
    <m/>
    <m/>
  </r>
  <r>
    <s v="VIS200255"/>
    <d v="2025-01-22T00:00:00"/>
    <s v="PAT5232"/>
    <s v="Rahul Bose"/>
    <s v="Female"/>
    <n v="47"/>
    <s v="Kolkata"/>
    <s v="West Bengal"/>
    <x v="9"/>
    <s v="Dr. Arvind"/>
    <s v="J00"/>
    <s v="Minor Procedure"/>
    <s v="OPD"/>
    <n v="5379.05"/>
    <s v="Cash"/>
    <s v="No"/>
    <m/>
    <n v="14"/>
    <s v="Middle-Aged"/>
    <s v="Medium"/>
    <s v="Short Days"/>
    <m/>
    <m/>
    <m/>
    <m/>
    <m/>
    <m/>
  </r>
  <r>
    <s v="VIS200871"/>
    <d v="2024-11-21T00:00:00"/>
    <s v="PAT6376"/>
    <s v="Anil Bose"/>
    <s v="Male"/>
    <n v="37"/>
    <s v="Ahmedabad"/>
    <s v="Gujarat"/>
    <x v="4"/>
    <s v="Dr. Varun"/>
    <s v="J45"/>
    <s v="Observation"/>
    <s v="OPD"/>
    <n v="415.7"/>
    <s v="Cash"/>
    <s v="No"/>
    <m/>
    <n v="7"/>
    <s v="Adult"/>
    <s v="Low"/>
    <s v="Short Days"/>
    <m/>
    <m/>
    <m/>
    <m/>
    <m/>
    <m/>
  </r>
  <r>
    <s v="VIS200629"/>
    <d v="2025-02-16T00:00:00"/>
    <s v="PAT6080"/>
    <s v="Kavya Singh"/>
    <s v="Female"/>
    <n v="51"/>
    <s v="Coimbatore"/>
    <s v="Tamil Nadu"/>
    <x v="0"/>
    <s v="Dr. Shailesh"/>
    <s v="I10"/>
    <s v="Prescription Refill"/>
    <s v="OPD"/>
    <n v="215.53"/>
    <s v="UPI"/>
    <s v="No"/>
    <m/>
    <n v="14"/>
    <s v="Middle-Aged"/>
    <s v="Low"/>
    <s v="Short Days"/>
    <m/>
    <m/>
    <m/>
    <m/>
    <m/>
    <m/>
  </r>
  <r>
    <s v="VIS202185"/>
    <d v="2024-10-27T00:00:00"/>
    <s v="PAT5673"/>
    <s v="Siddharth Das"/>
    <s v="Male"/>
    <n v="45"/>
    <s v="Coimbatore"/>
    <s v="Tamil Nadu"/>
    <x v="4"/>
    <s v="Dr. Bhavana"/>
    <s v="J45"/>
    <s v="Observation"/>
    <s v="Teleconsultation"/>
    <n v="11417.9"/>
    <s v="UPI"/>
    <s v="No"/>
    <m/>
    <n v="90"/>
    <s v="Middle-Aged"/>
    <s v="High"/>
    <s v="Short Days"/>
    <m/>
    <m/>
    <m/>
    <m/>
    <m/>
    <m/>
  </r>
  <r>
    <s v="VIS200998"/>
    <d v="2024-08-08T00:00:00"/>
    <s v="PAT5065"/>
    <s v="Ishaan Patel"/>
    <s v="Female"/>
    <n v="8"/>
    <s v="Delhi"/>
    <s v="Delhi"/>
    <x v="7"/>
    <s v="Dr. Surya"/>
    <s v="N39"/>
    <s v="Surgery"/>
    <s v="OPD"/>
    <n v="5905.97"/>
    <s v="Cash"/>
    <s v="No"/>
    <m/>
    <n v="14"/>
    <s v="Child"/>
    <s v="Medium"/>
    <s v="Short Days"/>
    <m/>
    <m/>
    <m/>
    <m/>
    <m/>
    <m/>
  </r>
  <r>
    <s v="VIS201664"/>
    <d v="2025-09-17T00:00:00"/>
    <s v="PAT6118"/>
    <s v="Neha Kumar"/>
    <s v="Female"/>
    <n v="36"/>
    <s v="Madurai"/>
    <s v="Tamil Nadu"/>
    <x v="4"/>
    <s v="Dr. Bhavana"/>
    <s v="J00"/>
    <s v="Medication"/>
    <s v="OPD"/>
    <n v="2749.53"/>
    <s v="Cash"/>
    <s v="No"/>
    <m/>
    <n v="30"/>
    <s v="Adult"/>
    <s v="Low"/>
    <s v="Short Days"/>
    <m/>
    <m/>
    <m/>
    <m/>
    <m/>
    <m/>
  </r>
  <r>
    <s v="VIS201791"/>
    <d v="2024-11-26T00:00:00"/>
    <s v="PAT5107"/>
    <s v="Deepa Sharma"/>
    <s v="Male"/>
    <n v="19"/>
    <s v="Kolkata"/>
    <s v="West Bengal"/>
    <x v="2"/>
    <s v="Dr. Manoj"/>
    <s v="J00"/>
    <s v="Observation"/>
    <s v="OPD"/>
    <n v="6979.38"/>
    <s v="Cash"/>
    <s v="No"/>
    <m/>
    <n v="30"/>
    <s v="Adult"/>
    <s v="Medium"/>
    <s v="Short Days"/>
    <m/>
    <m/>
    <m/>
    <m/>
    <m/>
    <m/>
  </r>
  <r>
    <s v="VIS201125"/>
    <d v="2025-07-04T00:00:00"/>
    <s v="PAT5541"/>
    <s v="Manisha Mishra"/>
    <s v="Female"/>
    <n v="71"/>
    <s v="Delhi"/>
    <s v="Delhi"/>
    <x v="8"/>
    <s v="Dr. Kavitha"/>
    <s v="N39"/>
    <s v="Minor Procedure"/>
    <s v="Emergency"/>
    <n v="11900.88"/>
    <s v="Debit Card"/>
    <s v="No"/>
    <m/>
    <n v="14"/>
    <s v="Senior"/>
    <s v="High"/>
    <s v="Short Days"/>
    <m/>
    <m/>
    <m/>
    <m/>
    <m/>
    <m/>
  </r>
  <r>
    <s v="VIS202935"/>
    <d v="2024-12-23T00:00:00"/>
    <s v="PAT6099"/>
    <s v="Shruti Gupta"/>
    <s v="Male"/>
    <n v="0"/>
    <s v="Jaipur"/>
    <s v="Rajasthan"/>
    <x v="7"/>
    <s v="Dr. Leela"/>
    <s v="H10"/>
    <s v="Counselling"/>
    <s v="OPD"/>
    <n v="1770.11"/>
    <s v="Cash"/>
    <s v="No"/>
    <m/>
    <n v="30"/>
    <s v="Child"/>
    <s v="Low"/>
    <s v="Short Days"/>
    <m/>
    <m/>
    <m/>
    <m/>
    <m/>
    <m/>
  </r>
  <r>
    <s v="VIS202897"/>
    <d v="2024-12-25T00:00:00"/>
    <s v="PAT6081"/>
    <s v="Ananya Reddy"/>
    <s v="Female"/>
    <n v="49"/>
    <s v="Delhi"/>
    <s v="Delhi"/>
    <x v="6"/>
    <s v="Dr. Lalitha"/>
    <s v="H10"/>
    <s v="Observation"/>
    <s v="OPD"/>
    <n v="6828.37"/>
    <s v="Insurance"/>
    <s v="Yes"/>
    <m/>
    <n v="7"/>
    <s v="Middle-Aged"/>
    <s v="Medium"/>
    <s v="Short Days"/>
    <m/>
    <m/>
    <m/>
    <m/>
    <m/>
    <m/>
  </r>
  <r>
    <s v="VIS200508"/>
    <d v="2025-08-17T00:00:00"/>
    <s v="PAT5801"/>
    <s v="Neha Bose"/>
    <s v="Female"/>
    <n v="59"/>
    <s v="Chennai"/>
    <s v="Tamil Nadu"/>
    <x v="0"/>
    <s v="Dr. Shailesh"/>
    <s v="H10"/>
    <s v="Physiotherapy"/>
    <s v="Teleconsultation"/>
    <n v="5912.07"/>
    <s v="Cash"/>
    <s v="No"/>
    <m/>
    <n v="14"/>
    <s v="Middle-Aged"/>
    <s v="Medium"/>
    <s v="Short Days"/>
    <m/>
    <m/>
    <m/>
    <m/>
    <m/>
    <m/>
  </r>
  <r>
    <s v="VIS202365"/>
    <d v="2024-07-15T00:00:00"/>
    <s v="PAT5135"/>
    <s v="Vivaan Khan"/>
    <s v="Male"/>
    <n v="59"/>
    <s v="Kochi"/>
    <s v="Kerala"/>
    <x v="8"/>
    <s v="Dr. Kavitha"/>
    <s v="F41"/>
    <s v="Surgery"/>
    <s v="OPD"/>
    <n v="3015.64"/>
    <s v="Credit Card"/>
    <s v="No"/>
    <m/>
    <n v="30"/>
    <s v="Middle-Aged"/>
    <s v="Low"/>
    <s v="Short Days"/>
    <m/>
    <m/>
    <m/>
    <m/>
    <m/>
    <m/>
  </r>
  <r>
    <s v="VIS201495"/>
    <d v="2024-12-24T00:00:00"/>
    <s v="PAT5023"/>
    <s v="Ishaan Iyer"/>
    <s v="Female"/>
    <n v="53"/>
    <s v="Kochi"/>
    <s v="Kerala"/>
    <x v="7"/>
    <s v="Dr. Surya"/>
    <s v="H10"/>
    <s v="Medication"/>
    <s v="OPD"/>
    <n v="8636.82"/>
    <s v="Credit Card"/>
    <s v="No"/>
    <m/>
    <n v="14"/>
    <s v="Middle-Aged"/>
    <s v="Medium"/>
    <s v="Short Days"/>
    <m/>
    <m/>
    <m/>
    <m/>
    <m/>
    <m/>
  </r>
  <r>
    <s v="VIS201476"/>
    <d v="2024-06-16T00:00:00"/>
    <s v="PAT6659"/>
    <s v="Arjun Jose"/>
    <s v="Male"/>
    <n v="36"/>
    <s v="Delhi"/>
    <s v="Maharashtra"/>
    <x v="1"/>
    <s v="Dr. Anu"/>
    <s v="Z111"/>
    <s v="Physiotherapy"/>
    <s v="OPD"/>
    <n v="11883.74"/>
    <s v="Debit Card"/>
    <s v="No"/>
    <m/>
    <n v="30"/>
    <s v="Adult"/>
    <s v="High"/>
    <s v="Short Days"/>
    <m/>
    <m/>
    <m/>
    <m/>
    <m/>
    <m/>
  </r>
  <r>
    <s v="VIS200422"/>
    <d v="2025-02-05T00:00:00"/>
    <s v="PAT5204"/>
    <s v="Siddharth Bose"/>
    <s v="Female"/>
    <n v="68"/>
    <s v="Chennai"/>
    <s v="Tamil Nadu"/>
    <x v="3"/>
    <s v="Dr. Pallavi"/>
    <s v="L40"/>
    <s v="Medication"/>
    <s v="OPD"/>
    <n v="7909.91"/>
    <s v="Credit Card"/>
    <s v="No"/>
    <m/>
    <n v="30"/>
    <s v="Senior"/>
    <s v="Medium"/>
    <s v="Short Days"/>
    <m/>
    <m/>
    <m/>
    <m/>
    <m/>
    <m/>
  </r>
  <r>
    <s v="VIS201406"/>
    <d v="2024-03-27T00:00:00"/>
    <s v="PAT6158"/>
    <s v="Siddharth Das"/>
    <s v="Male"/>
    <n v="44"/>
    <s v="Pune"/>
    <s v="Maharashtra"/>
    <x v="9"/>
    <s v="Dr. Arvind"/>
    <s v="J45"/>
    <s v="Medication"/>
    <s v="IPD"/>
    <n v="5344.39"/>
    <s v="Debit Card"/>
    <s v="No"/>
    <n v="7"/>
    <n v="30"/>
    <s v="Middle-Aged"/>
    <s v="Medium"/>
    <s v="Long Days"/>
    <m/>
    <m/>
    <m/>
    <m/>
    <m/>
    <m/>
  </r>
  <r>
    <s v="VIS200934"/>
    <d v="2024-10-10T00:00:00"/>
    <s v="PAT6072"/>
    <s v="Ananya Mishra"/>
    <s v="Female"/>
    <n v="43"/>
    <s v="Trichy"/>
    <s v="Tamil Nadu"/>
    <x v="4"/>
    <s v="Dr. Bhavana"/>
    <s v="E11"/>
    <s v="Counselling"/>
    <s v="OPD"/>
    <n v="100.19"/>
    <s v="Cash"/>
    <s v="No"/>
    <m/>
    <m/>
    <s v="Middle-Aged"/>
    <s v="Low"/>
    <s v="Short Days"/>
    <m/>
    <m/>
    <m/>
    <m/>
    <m/>
    <m/>
  </r>
  <r>
    <s v="VIS201606"/>
    <d v="2025-08-17T00:00:00"/>
    <s v="PAT5101"/>
    <s v="Rohan Mishra"/>
    <s v="Male"/>
    <n v="52"/>
    <s v="Trichy"/>
    <s v="Tamil Nadu"/>
    <x v="6"/>
    <s v="Dr. Priya"/>
    <s v="M54"/>
    <s v="Prescription Refill"/>
    <s v="OPD"/>
    <n v="8737.75"/>
    <s v="UPI"/>
    <s v="No"/>
    <m/>
    <n v="7"/>
    <s v="Middle-Aged"/>
    <s v="Medium"/>
    <s v="Short Days"/>
    <m/>
    <m/>
    <m/>
    <m/>
    <m/>
    <m/>
  </r>
  <r>
    <s v="VIS200486"/>
    <d v="2025-10-03T00:00:00"/>
    <s v="PAT6996"/>
    <s v="Siddharth Patel"/>
    <s v="Male"/>
    <n v="55"/>
    <s v="Kolkata"/>
    <s v="West Bengal"/>
    <x v="6"/>
    <s v="Dr. Lalitha"/>
    <s v="J00"/>
    <s v="Medication"/>
    <s v="Emergency"/>
    <n v="14538.77"/>
    <s v="Insurance"/>
    <s v="Yes"/>
    <m/>
    <n v="7"/>
    <s v="Middle-Aged"/>
    <s v="High"/>
    <s v="Short Days"/>
    <m/>
    <m/>
    <m/>
    <m/>
    <m/>
    <m/>
  </r>
  <r>
    <s v="VIS201083"/>
    <d v="2024-08-30T00:00:00"/>
    <s v="PAT5785"/>
    <s v="Karthik Gupta"/>
    <s v="Female"/>
    <n v="47"/>
    <s v="Delhi"/>
    <s v="Delhi"/>
    <x v="0"/>
    <s v="Dr. Shailesh"/>
    <s v="E11"/>
    <s v="Physiotherapy"/>
    <s v="OPD"/>
    <n v="9691.98"/>
    <s v="Net Banking"/>
    <s v="No"/>
    <m/>
    <m/>
    <s v="Middle-Aged"/>
    <s v="Medium"/>
    <s v="Short Days"/>
    <m/>
    <m/>
    <m/>
    <m/>
    <m/>
    <m/>
  </r>
  <r>
    <s v="VIS201572"/>
    <d v="2024-09-15T00:00:00"/>
    <s v="PAT6539"/>
    <s v="Neha Das"/>
    <s v="Female"/>
    <n v="15"/>
    <s v="Kolkata"/>
    <s v="West Bengal"/>
    <x v="0"/>
    <s v="Dr. Nikhil"/>
    <s v="M54"/>
    <s v="Observation"/>
    <s v="Teleconsultation"/>
    <n v="5917.99"/>
    <s v="Credit Card"/>
    <s v="No"/>
    <m/>
    <n v="90"/>
    <s v="Child"/>
    <s v="Medium"/>
    <s v="Short Days"/>
    <m/>
    <m/>
    <m/>
    <m/>
    <m/>
    <m/>
  </r>
  <r>
    <s v="VIS200164"/>
    <d v="2024-06-11T00:00:00"/>
    <s v="PAT6563"/>
    <s v="Rahul Nair"/>
    <s v="Female"/>
    <n v="17"/>
    <s v="Chennai"/>
    <s v="Tamil Nadu"/>
    <x v="4"/>
    <s v="Dr. Bhavana"/>
    <s v="I10"/>
    <s v="Observation"/>
    <s v="OPD"/>
    <n v="15425.87"/>
    <s v="Insurance"/>
    <s v="Yes"/>
    <m/>
    <n v="7"/>
    <s v="Child"/>
    <s v="High"/>
    <s v="Short Days"/>
    <m/>
    <m/>
    <m/>
    <m/>
    <m/>
    <m/>
  </r>
  <r>
    <s v="VIS202563"/>
    <d v="2024-07-28T00:00:00"/>
    <s v="PAT5092"/>
    <s v="Siddharth Mishra"/>
    <s v="Female"/>
    <n v="46"/>
    <s v="Kochi"/>
    <s v="Kerala"/>
    <x v="9"/>
    <s v="Dr. Kusum"/>
    <s v="L40"/>
    <s v="Physiotherapy"/>
    <s v="Teleconsultation"/>
    <n v="6592.24"/>
    <s v="Cash"/>
    <s v="No"/>
    <m/>
    <n v="7"/>
    <s v="Middle-Aged"/>
    <s v="Medium"/>
    <s v="Short Days"/>
    <m/>
    <m/>
    <m/>
    <m/>
    <m/>
    <m/>
  </r>
  <r>
    <s v="VIS200398"/>
    <d v="2025-08-12T00:00:00"/>
    <s v="PAT6984"/>
    <s v="Aditya Nagar"/>
    <s v="Female"/>
    <n v="53"/>
    <s v="Ahmedabad"/>
    <s v="Gujarat"/>
    <x v="9"/>
    <s v="Dr. Arvind"/>
    <s v="M54"/>
    <s v="Counselling"/>
    <s v="OPD"/>
    <n v="5526.91"/>
    <s v="Insurance"/>
    <s v="Yes"/>
    <m/>
    <n v="30"/>
    <s v="Middle-Aged"/>
    <s v="Medium"/>
    <s v="Short Days"/>
    <m/>
    <m/>
    <m/>
    <m/>
    <m/>
    <m/>
  </r>
  <r>
    <s v="VIS200747"/>
    <d v="2024-03-14T00:00:00"/>
    <s v="PAT5188"/>
    <s v="Shruti Jose"/>
    <s v="Male"/>
    <n v="45"/>
    <s v="Noida"/>
    <s v="Uttar Pradesh"/>
    <x v="5"/>
    <s v="Dr. Meena"/>
    <s v="J45"/>
    <s v="Minor Procedure"/>
    <s v="OPD"/>
    <n v="2057.84"/>
    <s v="Cash"/>
    <s v="No"/>
    <m/>
    <n v="90"/>
    <s v="Middle-Aged"/>
    <s v="Low"/>
    <s v="Short Days"/>
    <m/>
    <m/>
    <m/>
    <m/>
    <m/>
    <m/>
  </r>
  <r>
    <s v="VIS200964"/>
    <d v="2024-06-04T00:00:00"/>
    <s v="PAT6022"/>
    <s v="Manisha Khan"/>
    <s v="Female"/>
    <n v="56"/>
    <s v="Kochi"/>
    <s v="Kerala"/>
    <x v="4"/>
    <s v="Dr. Varun"/>
    <s v="J00"/>
    <s v="Medication"/>
    <s v="OPD"/>
    <n v="5975.56"/>
    <s v="Cash"/>
    <s v="No"/>
    <m/>
    <n v="30"/>
    <s v="Middle-Aged"/>
    <s v="Medium"/>
    <s v="Short Days"/>
    <m/>
    <m/>
    <m/>
    <m/>
    <m/>
    <m/>
  </r>
  <r>
    <s v="VIS202147"/>
    <d v="2025-09-22T00:00:00"/>
    <s v="PAT5167"/>
    <s v="Karthik Khan"/>
    <s v="Male"/>
    <n v="65"/>
    <s v="Kochi"/>
    <s v="Kerala"/>
    <x v="9"/>
    <s v="Dr. Arvind"/>
    <s v="L40"/>
    <s v="Prescription Refill"/>
    <s v="OPD"/>
    <n v="1397.02"/>
    <s v="Net Banking"/>
    <s v="No"/>
    <m/>
    <n v="7"/>
    <s v="Senior"/>
    <s v="Low"/>
    <s v="Short Days"/>
    <m/>
    <m/>
    <m/>
    <m/>
    <m/>
    <m/>
  </r>
  <r>
    <s v="VIS201959"/>
    <d v="2024-03-29T00:00:00"/>
    <s v="PAT6123"/>
    <s v="Manisha Nagar"/>
    <s v="Male"/>
    <n v="52"/>
    <s v="Kochi"/>
    <s v="Kerala"/>
    <x v="0"/>
    <s v="Dr. Shailesh"/>
    <s v="H10"/>
    <s v="Observation"/>
    <s v="OPD"/>
    <n v="5561"/>
    <s v="Cash"/>
    <s v="No"/>
    <m/>
    <n v="90"/>
    <s v="Middle-Aged"/>
    <s v="Medium"/>
    <s v="Short Days"/>
    <m/>
    <m/>
    <m/>
    <m/>
    <m/>
    <m/>
  </r>
  <r>
    <s v="VIS202667"/>
    <d v="2025-05-14T00:00:00"/>
    <s v="PAT6234"/>
    <s v="Manisha Reddy"/>
    <s v="Female"/>
    <n v="63"/>
    <s v="Lucknow"/>
    <s v="Uttar Pradesh"/>
    <x v="6"/>
    <s v="Dr. Priya"/>
    <s v="I10"/>
    <s v="Prescription Refill"/>
    <s v="OPD"/>
    <n v="1911.62"/>
    <s v="UPI"/>
    <s v="No"/>
    <m/>
    <n v="90"/>
    <s v="Senior"/>
    <s v="Low"/>
    <s v="Short Days"/>
    <m/>
    <m/>
    <m/>
    <m/>
    <m/>
    <m/>
  </r>
  <r>
    <s v="VIS201438"/>
    <d v="2024-08-29T00:00:00"/>
    <s v="PAT5673"/>
    <s v="Vivaan Kumar"/>
    <s v="Female"/>
    <n v="38"/>
    <s v="Ahmedabad"/>
    <s v="Gujarat"/>
    <x v="2"/>
    <s v="Dr. Manoj"/>
    <s v="F41"/>
    <s v="Medication"/>
    <s v="Emergency"/>
    <n v="9671.32"/>
    <s v="UPI"/>
    <s v="No"/>
    <m/>
    <n v="90"/>
    <s v="Adult"/>
    <s v="Medium"/>
    <s v="Short Days"/>
    <m/>
    <m/>
    <m/>
    <m/>
    <m/>
    <m/>
  </r>
  <r>
    <s v="VIS200121"/>
    <d v="2025-10-08T00:00:00"/>
    <s v="PAT5702"/>
    <s v="Manisha Mishra"/>
    <s v="Male"/>
    <n v="39"/>
    <s v="Hyderabad"/>
    <s v="Telangana"/>
    <x v="2"/>
    <s v="Dr. Manoj"/>
    <s v="J45"/>
    <s v="Minor Procedure"/>
    <s v="OPD"/>
    <n v="317.48"/>
    <s v="Insurance"/>
    <s v="Yes"/>
    <m/>
    <n v="14"/>
    <s v="Adult"/>
    <s v="Low"/>
    <s v="Short Days"/>
    <m/>
    <m/>
    <m/>
    <m/>
    <m/>
    <m/>
  </r>
  <r>
    <s v="VIS201639"/>
    <d v="2024-04-14T00:00:00"/>
    <s v="PAT5679"/>
    <s v="Vivaan Patel"/>
    <s v="Female"/>
    <n v="55"/>
    <s v="Pune"/>
    <s v="Maharashtra"/>
    <x v="1"/>
    <s v="Dr. Suri"/>
    <s v="K21"/>
    <s v="Medication"/>
    <s v="OPD"/>
    <n v="5672.39"/>
    <s v="Debit Card"/>
    <s v="No"/>
    <m/>
    <n v="30"/>
    <s v="Middle-Aged"/>
    <s v="Medium"/>
    <s v="Short Days"/>
    <m/>
    <m/>
    <m/>
    <m/>
    <m/>
    <m/>
  </r>
  <r>
    <s v="VIS200805"/>
    <d v="2024-10-14T00:00:00"/>
    <s v="PAT5522"/>
    <s v="Arjun Nagar"/>
    <s v="Female"/>
    <n v="42"/>
    <s v="Kochi"/>
    <s v="Kerala"/>
    <x v="6"/>
    <s v="Dr. Lalitha"/>
    <s v="I10"/>
    <s v="Prescription Refill"/>
    <s v="OPD"/>
    <n v="5406.62"/>
    <s v="Insurance"/>
    <s v="Yes"/>
    <m/>
    <n v="7"/>
    <s v="Middle-Aged"/>
    <s v="Medium"/>
    <s v="Short Days"/>
    <m/>
    <m/>
    <m/>
    <m/>
    <m/>
    <m/>
  </r>
  <r>
    <s v="VIS200863"/>
    <d v="2025-02-01T00:00:00"/>
    <s v="PAT5686"/>
    <s v="Aarav Khan"/>
    <s v="Male"/>
    <n v="50"/>
    <s v="Coimbatore"/>
    <s v="Tamil Nadu"/>
    <x v="2"/>
    <s v="Dr. Manoj"/>
    <s v="E11"/>
    <s v="Prescription Refill"/>
    <s v="IPD"/>
    <n v="17863.98"/>
    <s v="Credit Card"/>
    <s v="No"/>
    <n v="6"/>
    <m/>
    <s v="Middle-Aged"/>
    <s v="High"/>
    <s v="Long Days"/>
    <m/>
    <m/>
    <m/>
    <m/>
    <m/>
    <m/>
  </r>
  <r>
    <s v="VIS200269"/>
    <d v="2025-01-20T00:00:00"/>
    <s v="PAT5505"/>
    <s v="Deepa Patel"/>
    <s v="Male"/>
    <n v="27"/>
    <s v="Lucknow"/>
    <s v="Uttar Pradesh"/>
    <x v="3"/>
    <s v="Dr. Anand"/>
    <s v="N39"/>
    <s v="Prescription Refill"/>
    <s v="OPD"/>
    <n v="10265.370000000001"/>
    <s v="UPI"/>
    <s v="No"/>
    <m/>
    <n v="90"/>
    <s v="Adult"/>
    <s v="High"/>
    <s v="Short Days"/>
    <m/>
    <m/>
    <m/>
    <m/>
    <m/>
    <m/>
  </r>
  <r>
    <s v="VIS202594"/>
    <d v="2024-06-06T00:00:00"/>
    <s v="PAT6865"/>
    <s v="Anil Sharma"/>
    <s v="Male"/>
    <n v="63"/>
    <s v="Pune"/>
    <s v="Maharashtra"/>
    <x v="0"/>
    <s v="Dr. Shailesh"/>
    <s v="I10"/>
    <s v="Minor Surgery"/>
    <s v="Teleconsultation"/>
    <n v="23604.63"/>
    <s v="UPI"/>
    <s v="No"/>
    <m/>
    <n v="90"/>
    <s v="Senior"/>
    <s v="High"/>
    <s v="Short Days"/>
    <m/>
    <m/>
    <m/>
    <m/>
    <m/>
    <m/>
  </r>
  <r>
    <s v="VIS201242"/>
    <d v="2025-09-27T00:00:00"/>
    <s v="PAT6757"/>
    <s v="Rohan Patel"/>
    <s v="Male"/>
    <n v="50.5"/>
    <s v="Delhi"/>
    <s v="Karnataka"/>
    <x v="2"/>
    <s v="Dr. Ramesh"/>
    <s v="Z111"/>
    <s v="Physiotherapy"/>
    <s v="OPD"/>
    <n v="10901.74"/>
    <s v="Debit Card"/>
    <s v="No"/>
    <m/>
    <n v="14"/>
    <s v="Middle-Aged"/>
    <s v="High"/>
    <s v="Short Days"/>
    <m/>
    <m/>
    <m/>
    <m/>
    <m/>
    <m/>
  </r>
  <r>
    <s v="VIS202256"/>
    <d v="2025-02-05T00:00:00"/>
    <s v="PAT6059"/>
    <s v="Anil Gupta"/>
    <s v="Female"/>
    <n v="48"/>
    <s v="Kolkata"/>
    <s v="West Bengal"/>
    <x v="9"/>
    <s v="Dr. Kusum"/>
    <s v="L40"/>
    <s v="Prescription Refill"/>
    <s v="Emergency"/>
    <n v="5554.48"/>
    <s v="Debit Card"/>
    <s v="No"/>
    <m/>
    <m/>
    <s v="Middle-Aged"/>
    <s v="Medium"/>
    <s v="Short Days"/>
    <m/>
    <m/>
    <m/>
    <m/>
    <m/>
    <m/>
  </r>
  <r>
    <s v="VIS202363"/>
    <d v="2024-12-18T00:00:00"/>
    <s v="PAT6415"/>
    <s v="Rahul Khan"/>
    <s v="Female"/>
    <n v="53"/>
    <s v="Noida"/>
    <s v="Uttar Pradesh"/>
    <x v="0"/>
    <s v="Dr. Shailesh"/>
    <s v="N39"/>
    <s v="Physiotherapy"/>
    <s v="OPD"/>
    <n v="3263.45"/>
    <s v="Debit Card"/>
    <s v="No"/>
    <m/>
    <n v="90"/>
    <s v="Middle-Aged"/>
    <s v="Low"/>
    <s v="Short Days"/>
    <m/>
    <m/>
    <m/>
    <m/>
    <m/>
    <m/>
  </r>
  <r>
    <s v="VIS200737"/>
    <d v="2024-09-10T00:00:00"/>
    <s v="PAT6553"/>
    <s v="Ishaan Khan"/>
    <s v="Male"/>
    <n v="70"/>
    <s v="Pune"/>
    <s v="Maharashtra"/>
    <x v="9"/>
    <s v="Dr. Arvind"/>
    <s v="I10"/>
    <s v="Minor Surgery"/>
    <s v="OPD"/>
    <n v="536.20000000000005"/>
    <s v="Cash"/>
    <s v="No"/>
    <m/>
    <n v="90"/>
    <s v="Senior"/>
    <s v="Low"/>
    <s v="Short Days"/>
    <m/>
    <m/>
    <m/>
    <m/>
    <m/>
    <m/>
  </r>
  <r>
    <s v="VIS200430"/>
    <d v="2024-02-01T00:00:00"/>
    <s v="PAT6298"/>
    <s v="Vishal Nagar"/>
    <s v="Female"/>
    <n v="42"/>
    <s v="Mumbai"/>
    <s v="Maharashtra"/>
    <x v="7"/>
    <s v="Dr. Surya"/>
    <s v="J45"/>
    <s v="Prescription Refill"/>
    <s v="Emergency"/>
    <n v="23402.75"/>
    <s v="Cash"/>
    <s v="No"/>
    <m/>
    <n v="30"/>
    <s v="Middle-Aged"/>
    <s v="High"/>
    <s v="Short Days"/>
    <m/>
    <m/>
    <m/>
    <m/>
    <m/>
    <m/>
  </r>
  <r>
    <s v="VIS201452"/>
    <d v="2025-05-30T00:00:00"/>
    <s v="PAT6900"/>
    <s v="Arjun Mishra"/>
    <s v="Male"/>
    <n v="25"/>
    <s v="Kochi"/>
    <s v="Kerala"/>
    <x v="3"/>
    <s v="Dr. Pallavi"/>
    <s v="H10"/>
    <s v="Observation"/>
    <s v="OPD"/>
    <n v="7094.03"/>
    <s v="UPI"/>
    <s v="No"/>
    <m/>
    <n v="30"/>
    <s v="Adult"/>
    <s v="Medium"/>
    <s v="Short Days"/>
    <m/>
    <m/>
    <m/>
    <m/>
    <m/>
    <m/>
  </r>
  <r>
    <s v="VIS201247"/>
    <d v="2024-03-01T00:00:00"/>
    <s v="PAT6276"/>
    <s v="Priya Patel"/>
    <s v="Male"/>
    <n v="38"/>
    <s v="Pune"/>
    <s v="Maharashtra"/>
    <x v="3"/>
    <s v="Dr. Pallavi"/>
    <s v="F41"/>
    <s v="Minor Procedure"/>
    <s v="OPD"/>
    <n v="2846.28"/>
    <s v="Debit Card"/>
    <s v="No"/>
    <m/>
    <n v="30"/>
    <s v="Adult"/>
    <s v="Low"/>
    <s v="Short Days"/>
    <m/>
    <m/>
    <m/>
    <m/>
    <m/>
    <m/>
  </r>
  <r>
    <s v="VIS201283"/>
    <d v="2024-07-03T00:00:00"/>
    <s v="PAT6760"/>
    <s v="Rohan Sharma"/>
    <s v="Male"/>
    <n v="55"/>
    <s v="Lucknow"/>
    <s v="Uttar Pradesh"/>
    <x v="9"/>
    <s v="Dr. Arvind"/>
    <s v="J45"/>
    <s v="Counselling"/>
    <s v="OPD"/>
    <n v="10797.11"/>
    <s v="Debit Card"/>
    <s v="No"/>
    <m/>
    <n v="90"/>
    <s v="Middle-Aged"/>
    <s v="High"/>
    <s v="Short Days"/>
    <m/>
    <m/>
    <m/>
    <m/>
    <m/>
    <m/>
  </r>
  <r>
    <s v="VIS202157"/>
    <d v="2024-05-21T00:00:00"/>
    <s v="PAT6744"/>
    <s v="Manisha Khan"/>
    <s v="Male"/>
    <n v="31"/>
    <s v="Noida"/>
    <s v="Uttar Pradesh"/>
    <x v="9"/>
    <s v="Dr. Arvind"/>
    <s v="J45"/>
    <s v="Minor Surgery"/>
    <s v="OPD"/>
    <n v="4194.87"/>
    <s v="UPI"/>
    <s v="No"/>
    <m/>
    <n v="7"/>
    <s v="Adult"/>
    <s v="Low"/>
    <s v="Short Days"/>
    <m/>
    <m/>
    <m/>
    <m/>
    <m/>
    <m/>
  </r>
  <r>
    <s v="VIS202524"/>
    <d v="2024-01-24T00:00:00"/>
    <s v="PAT6908"/>
    <s v="Kavya Bose"/>
    <s v="Male"/>
    <n v="36"/>
    <s v="Pune"/>
    <s v="Maharashtra"/>
    <x v="9"/>
    <s v="Dr. Arvind"/>
    <s v="L40"/>
    <s v="Observation"/>
    <s v="OPD"/>
    <n v="14101.39"/>
    <s v="UPI"/>
    <s v="No"/>
    <m/>
    <n v="90"/>
    <s v="Adult"/>
    <s v="High"/>
    <s v="Short Days"/>
    <m/>
    <m/>
    <m/>
    <m/>
    <m/>
    <m/>
  </r>
  <r>
    <s v="VIS202851"/>
    <d v="2025-02-25T00:00:00"/>
    <s v="PAT5461"/>
    <s v="Aditya Sharma"/>
    <s v="Male"/>
    <n v="47"/>
    <s v="Bengaluru"/>
    <s v="Karnataka"/>
    <x v="6"/>
    <s v="Dr. Lalitha"/>
    <s v="F41"/>
    <s v="Physiotherapy"/>
    <s v="OPD"/>
    <n v="4027.07"/>
    <s v="UPI"/>
    <s v="No"/>
    <m/>
    <m/>
    <s v="Middle-Aged"/>
    <s v="Low"/>
    <s v="Short Days"/>
    <m/>
    <m/>
    <m/>
    <m/>
    <m/>
    <m/>
  </r>
  <r>
    <s v="VIS200598"/>
    <d v="2025-04-26T00:00:00"/>
    <s v="PAT6547"/>
    <s v="Karthik Patel"/>
    <s v="Female"/>
    <n v="56"/>
    <s v="Delhi"/>
    <s v="Delhi"/>
    <x v="7"/>
    <s v="Dr. Surya"/>
    <s v="J00"/>
    <s v="Surgery"/>
    <s v="Teleconsultation"/>
    <n v="14808.42"/>
    <s v="Credit Card"/>
    <s v="No"/>
    <m/>
    <n v="14"/>
    <s v="Middle-Aged"/>
    <s v="High"/>
    <s v="Short Days"/>
    <m/>
    <m/>
    <m/>
    <m/>
    <m/>
    <m/>
  </r>
  <r>
    <s v="VIS201970"/>
    <d v="2025-09-15T00:00:00"/>
    <s v="PAT5349"/>
    <s v="Siddharth Das"/>
    <s v="Male"/>
    <n v="39"/>
    <s v="Madurai"/>
    <s v="Tamil Nadu"/>
    <x v="2"/>
    <s v="Dr. Manoj"/>
    <s v="H10"/>
    <s v="Medication"/>
    <s v="OPD"/>
    <n v="1967.87"/>
    <s v="UPI"/>
    <s v="No"/>
    <m/>
    <n v="30"/>
    <s v="Adult"/>
    <s v="Low"/>
    <s v="Short Days"/>
    <m/>
    <m/>
    <m/>
    <m/>
    <m/>
    <m/>
  </r>
  <r>
    <s v="VIS200735"/>
    <d v="2025-05-26T00:00:00"/>
    <s v="PAT6900"/>
    <s v="Vishal Bose"/>
    <s v="Female"/>
    <n v="55"/>
    <s v="Jaipur"/>
    <s v="Rajasthan"/>
    <x v="8"/>
    <s v="Dr. Kavitha"/>
    <s v="Z111"/>
    <s v="Physiotherapy"/>
    <s v="Emergency"/>
    <n v="8185.84"/>
    <s v="Insurance"/>
    <s v="Yes"/>
    <m/>
    <n v="14"/>
    <s v="Middle-Aged"/>
    <s v="Medium"/>
    <s v="Short Days"/>
    <m/>
    <m/>
    <m/>
    <m/>
    <m/>
    <m/>
  </r>
  <r>
    <s v="VIS201996"/>
    <d v="2025-01-13T00:00:00"/>
    <s v="PAT5586"/>
    <s v="Arjun Iyer"/>
    <s v="Male"/>
    <n v="36"/>
    <s v="Bengaluru"/>
    <s v="Karnataka"/>
    <x v="1"/>
    <s v="Dr. Anu"/>
    <s v="M54"/>
    <s v="Physiotherapy"/>
    <s v="Teleconsultation"/>
    <n v="5372.11"/>
    <s v="UPI"/>
    <s v="No"/>
    <m/>
    <n v="90"/>
    <s v="Adult"/>
    <s v="Medium"/>
    <s v="Short Days"/>
    <m/>
    <m/>
    <m/>
    <m/>
    <m/>
    <m/>
  </r>
  <r>
    <s v="VIS200977"/>
    <d v="2025-09-03T00:00:00"/>
    <s v="PAT6830"/>
    <s v="Deepa Gupta"/>
    <s v="Male"/>
    <n v="60"/>
    <s v="Kochi"/>
    <s v="Kerala"/>
    <x v="1"/>
    <s v="Dr. Suri"/>
    <s v="J00"/>
    <s v="Surgery"/>
    <s v="OPD"/>
    <n v="2139.1999999999998"/>
    <s v="Credit Card"/>
    <s v="No"/>
    <m/>
    <n v="30"/>
    <s v="Middle-Aged"/>
    <s v="Low"/>
    <s v="Short Days"/>
    <m/>
    <m/>
    <m/>
    <m/>
    <m/>
    <m/>
  </r>
  <r>
    <s v="VIS202972"/>
    <d v="2024-08-08T00:00:00"/>
    <s v="PAT5447"/>
    <s v="Arjun Iyer"/>
    <s v="Female"/>
    <n v="22"/>
    <s v="Pune"/>
    <s v="Maharashtra"/>
    <x v="0"/>
    <s v="Dr. Nikhil"/>
    <s v="L40"/>
    <s v="Observation"/>
    <s v="OPD"/>
    <n v="5911.31"/>
    <s v="Insurance"/>
    <s v="Yes"/>
    <m/>
    <n v="90"/>
    <s v="Adult"/>
    <s v="Medium"/>
    <s v="Short Days"/>
    <m/>
    <m/>
    <m/>
    <m/>
    <m/>
    <m/>
  </r>
  <r>
    <s v="VIS200588"/>
    <d v="2024-07-19T00:00:00"/>
    <s v="PAT5713"/>
    <s v="Aishwarya Das"/>
    <s v="Male"/>
    <n v="29"/>
    <s v="Hyderabad"/>
    <s v="Telangana"/>
    <x v="3"/>
    <s v="Dr. Anand"/>
    <s v="M54"/>
    <s v="Physiotherapy"/>
    <s v="Teleconsultation"/>
    <n v="11529.82"/>
    <s v="UPI"/>
    <s v="No"/>
    <m/>
    <m/>
    <s v="Adult"/>
    <s v="High"/>
    <s v="Short Days"/>
    <m/>
    <m/>
    <m/>
    <m/>
    <m/>
    <m/>
  </r>
  <r>
    <s v="VIS200222"/>
    <d v="2024-01-06T00:00:00"/>
    <s v="PAT6358"/>
    <s v="Siddharth Khan"/>
    <s v="Female"/>
    <n v="38"/>
    <s v="Kochi"/>
    <s v="Kerala"/>
    <x v="0"/>
    <s v="Dr. Shailesh"/>
    <s v="J45"/>
    <s v="Minor Surgery"/>
    <s v="OPD"/>
    <n v="10820.96"/>
    <s v="UPI"/>
    <s v="No"/>
    <m/>
    <n v="90"/>
    <s v="Adult"/>
    <s v="High"/>
    <s v="Short Days"/>
    <m/>
    <m/>
    <m/>
    <m/>
    <m/>
    <m/>
  </r>
  <r>
    <s v="VIS202552"/>
    <d v="2024-03-28T00:00:00"/>
    <s v="PAT5055"/>
    <s v="Vivaan Das"/>
    <s v="Female"/>
    <n v="64"/>
    <s v="Hyderabad"/>
    <s v="Telangana"/>
    <x v="1"/>
    <s v="Dr. Suri"/>
    <s v="L40"/>
    <s v="Surgery"/>
    <s v="OPD"/>
    <n v="1819.66"/>
    <s v="Cash"/>
    <s v="No"/>
    <m/>
    <n v="14"/>
    <s v="Senior"/>
    <s v="Low"/>
    <s v="Short Days"/>
    <m/>
    <m/>
    <m/>
    <m/>
    <m/>
    <m/>
  </r>
  <r>
    <s v="VIS201788"/>
    <d v="2024-03-25T00:00:00"/>
    <s v="PAT6548"/>
    <s v="Deepa Patel"/>
    <s v="Female"/>
    <n v="23"/>
    <s v="Bengaluru"/>
    <s v="Karnataka"/>
    <x v="7"/>
    <s v="Dr. Leela"/>
    <s v="E11"/>
    <s v="Physiotherapy"/>
    <s v="OPD"/>
    <n v="684.29"/>
    <s v="Cash"/>
    <s v="No"/>
    <m/>
    <m/>
    <s v="Adult"/>
    <s v="Low"/>
    <s v="Short Days"/>
    <m/>
    <m/>
    <m/>
    <m/>
    <m/>
    <m/>
  </r>
  <r>
    <s v="VIS200849"/>
    <d v="2024-02-29T00:00:00"/>
    <s v="PAT5565"/>
    <s v="Siddharth Nagar"/>
    <s v="Female"/>
    <n v="17"/>
    <s v="Hyderabad"/>
    <s v="Telangana"/>
    <x v="7"/>
    <s v="Dr. Leela"/>
    <s v="N39"/>
    <s v="Physiotherapy"/>
    <s v="OPD"/>
    <n v="5988.57"/>
    <s v="Cash"/>
    <s v="No"/>
    <m/>
    <n v="14"/>
    <s v="Child"/>
    <s v="Medium"/>
    <s v="Short Days"/>
    <m/>
    <m/>
    <m/>
    <m/>
    <m/>
    <m/>
  </r>
  <r>
    <s v="VIS200867"/>
    <d v="2025-10-28T00:00:00"/>
    <s v="PAT5105"/>
    <s v="Vishal Gupta"/>
    <s v="Female"/>
    <n v="48"/>
    <s v="Noida"/>
    <s v="Uttar Pradesh"/>
    <x v="5"/>
    <s v="Dr. Ravi"/>
    <s v="J00"/>
    <s v="Physiotherapy"/>
    <s v="Emergency"/>
    <n v="19065.080000000002"/>
    <s v="UPI"/>
    <s v="No"/>
    <m/>
    <n v="30"/>
    <s v="Middle-Aged"/>
    <s v="High"/>
    <s v="Short Days"/>
    <m/>
    <m/>
    <m/>
    <m/>
    <m/>
    <m/>
  </r>
  <r>
    <s v="VIS202074"/>
    <d v="2025-10-19T00:00:00"/>
    <s v="PAT6057"/>
    <s v="Shruti Nair"/>
    <s v="Female"/>
    <n v="54"/>
    <s v="Lucknow"/>
    <s v="Uttar Pradesh"/>
    <x v="2"/>
    <s v="Dr. Manoj"/>
    <s v="K21"/>
    <s v="Prescription Refill"/>
    <s v="OPD"/>
    <n v="3762.27"/>
    <s v="Debit Card"/>
    <s v="No"/>
    <m/>
    <m/>
    <s v="Middle-Aged"/>
    <s v="Low"/>
    <s v="Short Days"/>
    <m/>
    <m/>
    <m/>
    <m/>
    <m/>
    <m/>
  </r>
  <r>
    <s v="VIS201348"/>
    <d v="2025-04-04T00:00:00"/>
    <s v="PAT5850"/>
    <s v="Vishal Gupta"/>
    <s v="Other"/>
    <n v="42"/>
    <s v="Chennai"/>
    <s v="Tamil Nadu"/>
    <x v="4"/>
    <s v="Dr. Bhavana"/>
    <s v="J00"/>
    <s v="Prescription Refill"/>
    <s v="OPD"/>
    <n v="1541.82"/>
    <s v="Cash"/>
    <s v="No"/>
    <m/>
    <n v="90"/>
    <s v="Middle-Aged"/>
    <s v="Low"/>
    <s v="Short Days"/>
    <m/>
    <m/>
    <m/>
    <m/>
    <m/>
    <m/>
  </r>
  <r>
    <s v="VIS200935"/>
    <d v="2025-02-19T00:00:00"/>
    <s v="PAT5440"/>
    <s v="Siddharth Nair"/>
    <s v="Male"/>
    <n v="50"/>
    <s v="Lucknow"/>
    <s v="Uttar Pradesh"/>
    <x v="0"/>
    <s v="Dr. Shailesh"/>
    <s v="K21"/>
    <s v="Prescription Refill"/>
    <s v="OPD"/>
    <n v="592.89"/>
    <s v="UPI"/>
    <s v="No"/>
    <m/>
    <m/>
    <s v="Middle-Aged"/>
    <s v="Low"/>
    <s v="Short Days"/>
    <m/>
    <m/>
    <m/>
    <m/>
    <m/>
    <m/>
  </r>
  <r>
    <s v="VIS202930"/>
    <d v="2024-11-16T00:00:00"/>
    <s v="PAT5792"/>
    <s v="Rohan Singh"/>
    <s v="Female"/>
    <n v="22"/>
    <s v="Trichy"/>
    <s v="Tamil Nadu"/>
    <x v="6"/>
    <s v="Dr. Priya"/>
    <s v="K21"/>
    <s v="Minor Surgery"/>
    <s v="OPD"/>
    <n v="5080.16"/>
    <s v="Insurance"/>
    <s v="Yes"/>
    <m/>
    <n v="14"/>
    <s v="Adult"/>
    <s v="Medium"/>
    <s v="Short Days"/>
    <m/>
    <m/>
    <m/>
    <m/>
    <m/>
    <m/>
  </r>
  <r>
    <s v="VIS202986"/>
    <d v="2025-10-25T00:00:00"/>
    <s v="PAT5288"/>
    <s v="Sangeetha Mishra"/>
    <s v="Male"/>
    <n v="64"/>
    <s v="Mumbai"/>
    <s v="Maharashtra"/>
    <x v="4"/>
    <s v="Dr. Bhavana"/>
    <s v="K21"/>
    <s v="Minor Surgery"/>
    <s v="OPD"/>
    <n v="6113.19"/>
    <s v="Insurance"/>
    <s v="Yes"/>
    <m/>
    <n v="7"/>
    <s v="Senior"/>
    <s v="Medium"/>
    <s v="Short Days"/>
    <m/>
    <m/>
    <m/>
    <m/>
    <m/>
    <m/>
  </r>
  <r>
    <s v="VIS202661"/>
    <d v="2024-08-23T00:00:00"/>
    <s v="PAT6995"/>
    <s v="Vivaan Khan"/>
    <s v="Male"/>
    <n v="29"/>
    <s v="Kolkata"/>
    <s v="West Bengal"/>
    <x v="0"/>
    <s v="Dr. Nikhil"/>
    <s v="K21"/>
    <s v="Prescription Refill"/>
    <s v="OPD"/>
    <n v="3587.42"/>
    <s v="UPI"/>
    <s v="No"/>
    <m/>
    <n v="90"/>
    <s v="Adult"/>
    <s v="Low"/>
    <s v="Short Days"/>
    <m/>
    <m/>
    <m/>
    <m/>
    <m/>
    <m/>
  </r>
  <r>
    <s v="VIS200367"/>
    <d v="2025-05-15T00:00:00"/>
    <s v="PAT6189"/>
    <s v="Aditya Gupta"/>
    <s v="Male"/>
    <n v="16"/>
    <s v="Delhi"/>
    <s v="Delhi"/>
    <x v="3"/>
    <s v="Dr. Anand"/>
    <s v="L40"/>
    <s v="Counselling"/>
    <s v="OPD"/>
    <n v="2588.63"/>
    <s v="Insurance"/>
    <s v="Yes"/>
    <m/>
    <n v="30"/>
    <s v="Child"/>
    <s v="Low"/>
    <s v="Short Days"/>
    <m/>
    <m/>
    <m/>
    <m/>
    <m/>
    <m/>
  </r>
  <r>
    <s v="VIS201890"/>
    <d v="2024-05-28T00:00:00"/>
    <s v="PAT6926"/>
    <s v="Aarav Nair"/>
    <s v="Male"/>
    <n v="47"/>
    <s v="Noida"/>
    <s v="Uttar Pradesh"/>
    <x v="3"/>
    <s v="Dr. Pallavi"/>
    <s v="J00"/>
    <s v="Counselling"/>
    <s v="Teleconsultation"/>
    <n v="7331.67"/>
    <s v="Cash"/>
    <s v="No"/>
    <m/>
    <m/>
    <s v="Middle-Aged"/>
    <s v="Medium"/>
    <s v="Short Days"/>
    <m/>
    <m/>
    <m/>
    <m/>
    <m/>
    <m/>
  </r>
  <r>
    <s v="VIS202318"/>
    <d v="2024-12-05T00:00:00"/>
    <s v="PAT6655"/>
    <s v="Vishal Bose"/>
    <s v="Female"/>
    <n v="24"/>
    <s v="Pune"/>
    <s v="Maharashtra"/>
    <x v="9"/>
    <s v="Dr. Arvind"/>
    <s v="N39"/>
    <s v="Minor Procedure"/>
    <s v="OPD"/>
    <n v="1094.73"/>
    <s v="Cash"/>
    <s v="No"/>
    <m/>
    <n v="7"/>
    <s v="Adult"/>
    <s v="Low"/>
    <s v="Short Days"/>
    <m/>
    <m/>
    <m/>
    <m/>
    <m/>
    <m/>
  </r>
  <r>
    <s v="VIS200056"/>
    <d v="2025-10-26T00:00:00"/>
    <s v="PAT5342"/>
    <s v="Neha Jose"/>
    <s v="Female"/>
    <n v="15"/>
    <s v="Noida"/>
    <s v="Uttar Pradesh"/>
    <x v="7"/>
    <s v="Dr. Leela"/>
    <s v="H10"/>
    <s v="Minor Procedure"/>
    <s v="Teleconsultation"/>
    <n v="7994.97"/>
    <s v="UPI"/>
    <s v="No"/>
    <m/>
    <n v="90"/>
    <s v="Child"/>
    <s v="Medium"/>
    <s v="Short Days"/>
    <m/>
    <m/>
    <m/>
    <m/>
    <m/>
    <m/>
  </r>
  <r>
    <s v="VIS200894"/>
    <d v="2024-02-11T00:00:00"/>
    <s v="PAT5995"/>
    <s v="Ishaan Nair"/>
    <s v="Female"/>
    <n v="37"/>
    <s v="Jaipur"/>
    <s v="Rajasthan"/>
    <x v="1"/>
    <s v="Dr. Anu"/>
    <s v="E11"/>
    <s v="Observation"/>
    <s v="Emergency"/>
    <n v="12615.83"/>
    <s v="UPI"/>
    <s v="No"/>
    <m/>
    <n v="7"/>
    <s v="Adult"/>
    <s v="High"/>
    <s v="Short Days"/>
    <m/>
    <m/>
    <m/>
    <m/>
    <m/>
    <m/>
  </r>
  <r>
    <s v="VIS202315"/>
    <d v="2025-04-19T00:00:00"/>
    <s v="PAT5334"/>
    <s v="Vivaan Singh"/>
    <s v="Female"/>
    <n v="36"/>
    <s v="Bengaluru"/>
    <s v="Karnataka"/>
    <x v="4"/>
    <s v="Dr. Varun"/>
    <s v="H10"/>
    <s v="Physiotherapy"/>
    <s v="OPD"/>
    <n v="269.58999999999997"/>
    <s v="Credit Card"/>
    <s v="No"/>
    <m/>
    <n v="30"/>
    <s v="Adult"/>
    <s v="Low"/>
    <s v="Short Days"/>
    <m/>
    <m/>
    <m/>
    <m/>
    <m/>
    <m/>
  </r>
  <r>
    <s v="VIS202978"/>
    <d v="2024-06-21T00:00:00"/>
    <s v="PAT5482"/>
    <s v="Arjun Das"/>
    <s v="Female"/>
    <n v="29"/>
    <s v="Kolkata"/>
    <s v="West Bengal"/>
    <x v="4"/>
    <s v="Dr. Bhavana"/>
    <s v="N39"/>
    <s v="Physiotherapy"/>
    <s v="Teleconsultation"/>
    <n v="16766.45"/>
    <s v="Credit Card"/>
    <s v="No"/>
    <m/>
    <n v="90"/>
    <s v="Adult"/>
    <s v="High"/>
    <s v="Short Days"/>
    <m/>
    <m/>
    <m/>
    <m/>
    <m/>
    <m/>
  </r>
  <r>
    <s v="VIS202274"/>
    <d v="2025-05-29T00:00:00"/>
    <s v="PAT5645"/>
    <s v="Aarav Bose"/>
    <s v="Female"/>
    <n v="23"/>
    <s v="Hyderabad"/>
    <s v="Telangana"/>
    <x v="1"/>
    <s v="Dr. Anu"/>
    <s v="M54"/>
    <s v="Minor Surgery"/>
    <s v="Teleconsultation"/>
    <n v="13277.13"/>
    <s v="UPI"/>
    <s v="No"/>
    <m/>
    <n v="14"/>
    <s v="Adult"/>
    <s v="High"/>
    <s v="Short Days"/>
    <m/>
    <m/>
    <m/>
    <m/>
    <m/>
    <m/>
  </r>
  <r>
    <s v="VIS200134"/>
    <d v="2025-06-08T00:00:00"/>
    <s v="PAT6437"/>
    <s v="Rohan Nagar"/>
    <s v="Female"/>
    <n v="43"/>
    <s v="Mumbai"/>
    <s v="Maharashtra"/>
    <x v="4"/>
    <s v="Dr. Bhavana"/>
    <s v="H10"/>
    <s v="Surgery"/>
    <s v="Teleconsultation"/>
    <n v="7264.26"/>
    <s v="Insurance"/>
    <s v="Yes"/>
    <m/>
    <m/>
    <s v="Middle-Aged"/>
    <s v="Medium"/>
    <s v="Short Days"/>
    <m/>
    <m/>
    <m/>
    <m/>
    <m/>
    <m/>
  </r>
  <r>
    <s v="VIS202504"/>
    <d v="2025-06-24T00:00:00"/>
    <s v="PAT5254"/>
    <s v="Sangeetha Das"/>
    <s v="Male"/>
    <n v="51"/>
    <s v="Lucknow"/>
    <s v="Uttar Pradesh"/>
    <x v="3"/>
    <s v="Dr. Pallavi"/>
    <s v="F41"/>
    <s v="Minor Procedure"/>
    <s v="OPD"/>
    <n v="2308.9699999999998"/>
    <s v="Cash"/>
    <s v="No"/>
    <m/>
    <m/>
    <s v="Middle-Aged"/>
    <s v="Low"/>
    <s v="Short Days"/>
    <m/>
    <m/>
    <m/>
    <m/>
    <m/>
    <m/>
  </r>
  <r>
    <s v="VIS202276"/>
    <d v="2024-03-13T00:00:00"/>
    <s v="PAT5455"/>
    <s v="Deepa Mishra"/>
    <s v="Female"/>
    <n v="41"/>
    <s v="Pune"/>
    <s v="Maharashtra"/>
    <x v="3"/>
    <s v="Dr. Pallavi"/>
    <s v="K21"/>
    <s v="Observation"/>
    <s v="OPD"/>
    <n v="52.97"/>
    <s v="Insurance"/>
    <s v="Yes"/>
    <m/>
    <m/>
    <s v="Middle-Aged"/>
    <s v="Low"/>
    <s v="Short Days"/>
    <m/>
    <m/>
    <m/>
    <m/>
    <m/>
    <m/>
  </r>
  <r>
    <s v="VIS202610"/>
    <d v="2025-07-02T00:00:00"/>
    <s v="PAT5073"/>
    <s v="Siddharth Mishra"/>
    <s v="Female"/>
    <n v="0"/>
    <s v="Delhi"/>
    <s v="Delhi"/>
    <x v="9"/>
    <s v="Dr. Kusum"/>
    <s v="H10"/>
    <s v="Medication"/>
    <s v="OPD"/>
    <n v="1137.93"/>
    <s v="UPI"/>
    <s v="No"/>
    <m/>
    <m/>
    <s v="Child"/>
    <s v="Low"/>
    <s v="Short Days"/>
    <m/>
    <m/>
    <m/>
    <m/>
    <m/>
    <m/>
  </r>
  <r>
    <s v="VIS202959"/>
    <d v="2025-03-06T00:00:00"/>
    <s v="PAT6689"/>
    <s v="Manisha Iyer"/>
    <s v="Male"/>
    <n v="53"/>
    <s v="Jaipur"/>
    <s v="Rajasthan"/>
    <x v="5"/>
    <s v="Dr. Ravi"/>
    <s v="E11"/>
    <s v="Minor Procedure"/>
    <s v="OPD"/>
    <n v="11124.48"/>
    <s v="Debit Card"/>
    <s v="No"/>
    <m/>
    <n v="7"/>
    <s v="Middle-Aged"/>
    <s v="High"/>
    <s v="Short Days"/>
    <m/>
    <m/>
    <m/>
    <m/>
    <m/>
    <m/>
  </r>
  <r>
    <s v="VIS200053"/>
    <d v="2025-05-17T00:00:00"/>
    <s v="PAT6642"/>
    <s v="Vishal Bose"/>
    <s v="Male"/>
    <n v="11"/>
    <s v="Hyderabad"/>
    <s v="Telangana"/>
    <x v="1"/>
    <s v="Dr. Suri"/>
    <s v="M54"/>
    <s v="Minor Surgery"/>
    <s v="Emergency"/>
    <n v="7507.43"/>
    <s v="UPI"/>
    <s v="No"/>
    <m/>
    <n v="90"/>
    <s v="Child"/>
    <s v="Medium"/>
    <s v="Short Days"/>
    <m/>
    <m/>
    <m/>
    <m/>
    <m/>
    <m/>
  </r>
  <r>
    <s v="VIS202870"/>
    <d v="2024-07-13T00:00:00"/>
    <s v="PAT6282"/>
    <s v="Kavya Khan"/>
    <s v="Female"/>
    <n v="48"/>
    <s v="Kochi"/>
    <s v="Kerala"/>
    <x v="2"/>
    <s v="Dr. Manoj"/>
    <s v="I10"/>
    <s v="Medication"/>
    <s v="Teleconsultation"/>
    <n v="7874.74"/>
    <s v="Credit Card"/>
    <s v="No"/>
    <m/>
    <n v="90"/>
    <s v="Middle-Aged"/>
    <s v="Medium"/>
    <s v="Short Days"/>
    <m/>
    <m/>
    <m/>
    <m/>
    <m/>
    <m/>
  </r>
  <r>
    <s v="VIS202291"/>
    <d v="2024-09-30T00:00:00"/>
    <s v="PAT5742"/>
    <s v="Siddharth Bose"/>
    <s v="Male"/>
    <n v="61"/>
    <s v="Noida"/>
    <s v="Uttar Pradesh"/>
    <x v="0"/>
    <s v="Dr. Nikhil"/>
    <s v="H10"/>
    <s v="Prescription Refill"/>
    <s v="OPD"/>
    <n v="1675.83"/>
    <s v="UPI"/>
    <s v="No"/>
    <m/>
    <n v="90"/>
    <s v="Senior"/>
    <s v="Low"/>
    <s v="Short Days"/>
    <m/>
    <m/>
    <m/>
    <m/>
    <m/>
    <m/>
  </r>
  <r>
    <s v="VIS200226"/>
    <d v="2025-03-11T00:00:00"/>
    <s v="PAT5578"/>
    <s v="Aditya Khan"/>
    <s v="Male"/>
    <n v="50"/>
    <s v="Madurai"/>
    <s v="Tamil Nadu"/>
    <x v="0"/>
    <s v="Dr. Nikhil"/>
    <s v="K21"/>
    <s v="Counselling"/>
    <s v="Teleconsultation"/>
    <n v="5139.6499999999996"/>
    <s v="Insurance"/>
    <s v="Yes"/>
    <m/>
    <n v="90"/>
    <s v="Middle-Aged"/>
    <s v="Medium"/>
    <s v="Short Days"/>
    <m/>
    <m/>
    <m/>
    <m/>
    <m/>
    <m/>
  </r>
  <r>
    <s v="VIS202187"/>
    <d v="2025-04-26T00:00:00"/>
    <s v="PAT6770"/>
    <s v="Aditya Reddy"/>
    <s v="Male"/>
    <n v="48"/>
    <s v="Kochi"/>
    <s v="Kerala"/>
    <x v="1"/>
    <s v="Dr. Suri"/>
    <s v="H10"/>
    <s v="Minor Surgery"/>
    <s v="OPD"/>
    <n v="1747.6"/>
    <s v="Credit Card"/>
    <s v="No"/>
    <m/>
    <n v="14"/>
    <s v="Middle-Aged"/>
    <s v="Low"/>
    <s v="Short Days"/>
    <m/>
    <m/>
    <m/>
    <m/>
    <m/>
    <m/>
  </r>
  <r>
    <s v="VIS201327"/>
    <d v="2024-03-05T00:00:00"/>
    <s v="PAT5324"/>
    <s v="Anil Jose"/>
    <s v="Male"/>
    <n v="7"/>
    <s v="Hyderabad"/>
    <s v="Telangana"/>
    <x v="2"/>
    <s v="Dr. Ramesh"/>
    <s v="J00"/>
    <s v="Prescription Refill"/>
    <s v="Teleconsultation"/>
    <n v="9178.1200000000008"/>
    <s v="Cash"/>
    <s v="No"/>
    <m/>
    <n v="30"/>
    <s v="Child"/>
    <s v="Medium"/>
    <s v="Short Days"/>
    <m/>
    <m/>
    <m/>
    <m/>
    <m/>
    <m/>
  </r>
  <r>
    <s v="VIS200418"/>
    <d v="2024-05-24T00:00:00"/>
    <s v="PAT6470"/>
    <s v="Priya Mishra"/>
    <s v="Female"/>
    <n v="40"/>
    <s v="Mumbai"/>
    <s v="Maharashtra"/>
    <x v="9"/>
    <s v="Dr. Kusum"/>
    <s v="K21"/>
    <s v="Observation"/>
    <s v="OPD"/>
    <n v="327.33"/>
    <s v="Cash"/>
    <s v="No"/>
    <m/>
    <m/>
    <s v="Adult"/>
    <s v="Low"/>
    <s v="Short Days"/>
    <m/>
    <m/>
    <m/>
    <m/>
    <m/>
    <m/>
  </r>
  <r>
    <s v="VIS202456"/>
    <d v="2025-09-29T00:00:00"/>
    <s v="PAT6112"/>
    <s v="Anil Mishra"/>
    <s v="Female"/>
    <n v="60"/>
    <s v="Noida"/>
    <s v="Uttar Pradesh"/>
    <x v="4"/>
    <s v="Dr. Varun"/>
    <s v="E11"/>
    <s v="Medication"/>
    <s v="OPD"/>
    <n v="1277.29"/>
    <s v="Debit Card"/>
    <s v="No"/>
    <m/>
    <n v="30"/>
    <s v="Middle-Aged"/>
    <s v="Low"/>
    <s v="Short Days"/>
    <m/>
    <m/>
    <m/>
    <m/>
    <m/>
    <m/>
  </r>
  <r>
    <s v="VIS200765"/>
    <d v="2024-02-12T00:00:00"/>
    <s v="PAT6005"/>
    <s v="Vishal Gupta"/>
    <s v="Other"/>
    <n v="52"/>
    <s v="Ahmedabad"/>
    <s v="Gujarat"/>
    <x v="1"/>
    <s v="Dr. Anu"/>
    <s v="I10"/>
    <s v="Surgery"/>
    <s v="OPD"/>
    <n v="2150.36"/>
    <s v="Credit Card"/>
    <s v="No"/>
    <m/>
    <m/>
    <s v="Middle-Aged"/>
    <s v="Low"/>
    <s v="Short Days"/>
    <m/>
    <m/>
    <m/>
    <m/>
    <m/>
    <m/>
  </r>
  <r>
    <s v="VIS201917"/>
    <d v="2024-08-25T00:00:00"/>
    <s v="PAT5037"/>
    <s v="Anil Reddy"/>
    <s v="Male"/>
    <n v="43"/>
    <s v="Kochi"/>
    <s v="Kerala"/>
    <x v="9"/>
    <s v="Dr. Arvind"/>
    <s v="M54"/>
    <s v="Counselling"/>
    <s v="Emergency"/>
    <n v="6932.99"/>
    <s v="Cash"/>
    <s v="No"/>
    <m/>
    <n v="7"/>
    <s v="Middle-Aged"/>
    <s v="Medium"/>
    <s v="Short Days"/>
    <m/>
    <m/>
    <m/>
    <m/>
    <m/>
    <m/>
  </r>
  <r>
    <s v="VIS201471"/>
    <d v="2025-05-02T00:00:00"/>
    <s v="PAT5054"/>
    <s v="Ishaan Das"/>
    <s v="Female"/>
    <n v="22"/>
    <s v="Noida"/>
    <s v="Uttar Pradesh"/>
    <x v="8"/>
    <s v="Dr. Sneha"/>
    <s v="L40"/>
    <s v="Counselling"/>
    <s v="Teleconsultation"/>
    <n v="12410.12"/>
    <s v="UPI"/>
    <s v="No"/>
    <m/>
    <n v="7"/>
    <s v="Adult"/>
    <s v="High"/>
    <s v="Short Days"/>
    <m/>
    <m/>
    <m/>
    <m/>
    <m/>
    <m/>
  </r>
  <r>
    <s v="VIS201944"/>
    <d v="2024-11-06T00:00:00"/>
    <s v="PAT6378"/>
    <s v="Sangeetha Singh"/>
    <s v="Female"/>
    <n v="48"/>
    <s v="Trichy"/>
    <s v="Tamil Nadu"/>
    <x v="6"/>
    <s v="Dr. Lalitha"/>
    <s v="H10"/>
    <s v="Minor Procedure"/>
    <s v="OPD"/>
    <n v="7570.35"/>
    <s v="Cash"/>
    <s v="No"/>
    <m/>
    <m/>
    <s v="Middle-Aged"/>
    <s v="Medium"/>
    <s v="Short Days"/>
    <m/>
    <m/>
    <m/>
    <m/>
    <m/>
    <m/>
  </r>
  <r>
    <s v="VIS200105"/>
    <d v="2024-09-01T00:00:00"/>
    <s v="PAT6052"/>
    <s v="Priya Kumar"/>
    <s v="Female"/>
    <n v="41"/>
    <s v="Madurai"/>
    <s v="Tamil Nadu"/>
    <x v="6"/>
    <s v="Dr. Priya"/>
    <s v="H10"/>
    <s v="Minor Surgery"/>
    <s v="OPD"/>
    <n v="131.25"/>
    <s v="Debit Card"/>
    <s v="No"/>
    <m/>
    <m/>
    <s v="Middle-Aged"/>
    <s v="Low"/>
    <s v="Short Days"/>
    <m/>
    <m/>
    <m/>
    <m/>
    <m/>
    <m/>
  </r>
  <r>
    <s v="VIS200680"/>
    <d v="2024-09-29T00:00:00"/>
    <s v="PAT5520"/>
    <s v="Vivaan Gupta"/>
    <s v="Female"/>
    <n v="54"/>
    <s v="Noida"/>
    <s v="Uttar Pradesh"/>
    <x v="6"/>
    <s v="Dr. Lalitha"/>
    <s v="E11"/>
    <s v="Counselling"/>
    <s v="OPD"/>
    <n v="15303.24"/>
    <s v="Cash"/>
    <s v="No"/>
    <m/>
    <m/>
    <s v="Middle-Aged"/>
    <s v="High"/>
    <s v="Short Days"/>
    <m/>
    <m/>
    <m/>
    <m/>
    <m/>
    <m/>
  </r>
  <r>
    <s v="VIS201286"/>
    <d v="2024-01-07T00:00:00"/>
    <s v="PAT5539"/>
    <s v="Ishaan Singh"/>
    <s v="Other"/>
    <n v="14"/>
    <s v="Hyderabad"/>
    <s v="Telangana"/>
    <x v="6"/>
    <s v="Dr. Priya"/>
    <s v="H10"/>
    <s v="Prescription Refill"/>
    <s v="Teleconsultation"/>
    <n v="6508.63"/>
    <s v="Insurance"/>
    <s v="Yes"/>
    <m/>
    <m/>
    <s v="Child"/>
    <s v="Medium"/>
    <s v="Short Days"/>
    <m/>
    <m/>
    <m/>
    <m/>
    <m/>
    <m/>
  </r>
  <r>
    <s v="VIS200124"/>
    <d v="2025-09-03T00:00:00"/>
    <s v="PAT6675"/>
    <s v="Deepa Das"/>
    <s v="Male"/>
    <n v="44"/>
    <s v="Lucknow"/>
    <s v="Uttar Pradesh"/>
    <x v="8"/>
    <s v="Dr. Sneha"/>
    <s v="F41"/>
    <s v="Minor Surgery"/>
    <s v="OPD"/>
    <n v="11778.82"/>
    <s v="Credit Card"/>
    <s v="No"/>
    <m/>
    <n v="14"/>
    <s v="Middle-Aged"/>
    <s v="High"/>
    <s v="Short Days"/>
    <m/>
    <m/>
    <m/>
    <m/>
    <m/>
    <m/>
  </r>
  <r>
    <s v="VIS201640"/>
    <d v="2025-01-07T00:00:00"/>
    <s v="PAT6978"/>
    <s v="Aditya Kumar"/>
    <s v="Male"/>
    <n v="41"/>
    <s v="Jaipur"/>
    <s v="Rajasthan"/>
    <x v="4"/>
    <s v="Dr. Varun"/>
    <s v="E11"/>
    <s v="Surgery"/>
    <s v="OPD"/>
    <n v="15598.96"/>
    <s v="Insurance"/>
    <s v="Yes"/>
    <m/>
    <m/>
    <s v="Middle-Aged"/>
    <s v="High"/>
    <s v="Short Days"/>
    <m/>
    <m/>
    <m/>
    <m/>
    <m/>
    <m/>
  </r>
  <r>
    <s v="VIS200195"/>
    <d v="2024-08-14T00:00:00"/>
    <s v="PAT6004"/>
    <s v="Siddharth Kumar"/>
    <s v="Female"/>
    <n v="57"/>
    <s v="Trichy"/>
    <s v="Tamil Nadu"/>
    <x v="2"/>
    <s v="Dr. Manoj"/>
    <s v="M54"/>
    <s v="Minor Procedure"/>
    <s v="OPD"/>
    <n v="1873.87"/>
    <s v="Cash"/>
    <s v="No"/>
    <m/>
    <m/>
    <s v="Middle-Aged"/>
    <s v="Low"/>
    <s v="Short Days"/>
    <m/>
    <m/>
    <m/>
    <m/>
    <m/>
    <m/>
  </r>
  <r>
    <s v="VIS201236"/>
    <d v="2024-07-05T00:00:00"/>
    <s v="PAT6879"/>
    <s v="Priya Sharma"/>
    <s v="Female"/>
    <n v="12"/>
    <s v="Chennai"/>
    <s v="Tamil Nadu"/>
    <x v="0"/>
    <s v="Dr. Nikhil"/>
    <s v="L40"/>
    <s v="Prescription Refill"/>
    <s v="OPD"/>
    <n v="6155.18"/>
    <s v="Net Banking"/>
    <s v="No"/>
    <m/>
    <n v="30"/>
    <s v="Child"/>
    <s v="Medium"/>
    <s v="Short Days"/>
    <m/>
    <m/>
    <m/>
    <m/>
    <m/>
    <m/>
  </r>
  <r>
    <s v="VIS200271"/>
    <d v="2024-10-30T00:00:00"/>
    <s v="PAT5552"/>
    <s v="Vishal Jose"/>
    <s v="Female"/>
    <n v="46"/>
    <s v="Kochi"/>
    <s v="Kerala"/>
    <x v="8"/>
    <s v="Dr. Sneha"/>
    <s v="L40"/>
    <s v="Observation"/>
    <s v="OPD"/>
    <n v="1763.06"/>
    <s v="Cash"/>
    <s v="No"/>
    <m/>
    <m/>
    <s v="Middle-Aged"/>
    <s v="Low"/>
    <s v="Short Days"/>
    <m/>
    <m/>
    <m/>
    <m/>
    <m/>
    <m/>
  </r>
  <r>
    <s v="VIS201211"/>
    <d v="2025-05-18T00:00:00"/>
    <s v="PAT6874"/>
    <s v="Arjun Patel"/>
    <s v="Female"/>
    <n v="27"/>
    <s v="Jaipur"/>
    <s v="Rajasthan"/>
    <x v="2"/>
    <s v="Dr. Ramesh"/>
    <s v="M54"/>
    <s v="Observation"/>
    <s v="IPD"/>
    <n v="6882.97"/>
    <s v="Debit Card"/>
    <s v="No"/>
    <n v="7"/>
    <n v="7"/>
    <s v="Adult"/>
    <s v="Medium"/>
    <s v="Long Days"/>
    <m/>
    <m/>
    <m/>
    <m/>
    <m/>
    <m/>
  </r>
  <r>
    <s v="VIS200379"/>
    <d v="2024-07-31T00:00:00"/>
    <s v="PAT6637"/>
    <s v="Siddharth Kumar"/>
    <s v="Female"/>
    <n v="0"/>
    <s v="Jaipur"/>
    <s v="Rajasthan"/>
    <x v="2"/>
    <s v="Dr. Ramesh"/>
    <s v="F41"/>
    <s v="Surgery"/>
    <s v="Teleconsultation"/>
    <n v="6379.04"/>
    <s v="UPI"/>
    <s v="No"/>
    <m/>
    <n v="90"/>
    <s v="Child"/>
    <s v="Medium"/>
    <s v="Short Days"/>
    <m/>
    <m/>
    <m/>
    <m/>
    <m/>
    <m/>
  </r>
  <r>
    <s v="VIS202015"/>
    <d v="2025-10-18T00:00:00"/>
    <s v="PAT5958"/>
    <s v="Aditya Khan"/>
    <s v="Male"/>
    <n v="48"/>
    <s v="Chennai"/>
    <s v="Tamil Nadu"/>
    <x v="7"/>
    <s v="Dr. Surya"/>
    <s v="J00"/>
    <s v="Prescription Refill"/>
    <s v="OPD"/>
    <n v="4875.83"/>
    <s v="Credit Card"/>
    <s v="No"/>
    <m/>
    <n v="30"/>
    <s v="Middle-Aged"/>
    <s v="Low"/>
    <s v="Short Days"/>
    <m/>
    <m/>
    <m/>
    <m/>
    <m/>
    <m/>
  </r>
  <r>
    <s v="VIS200837"/>
    <d v="2025-08-25T00:00:00"/>
    <s v="PAT6976"/>
    <s v="Manisha Iyer"/>
    <s v="Female"/>
    <n v="57"/>
    <s v="Trichy"/>
    <s v="Tamil Nadu"/>
    <x v="4"/>
    <s v="Dr. Bhavana"/>
    <s v="J00"/>
    <s v="Observation"/>
    <s v="OPD"/>
    <n v="4373.8"/>
    <s v="Credit Card"/>
    <s v="No"/>
    <m/>
    <n v="7"/>
    <s v="Middle-Aged"/>
    <s v="Low"/>
    <s v="Short Days"/>
    <m/>
    <m/>
    <m/>
    <m/>
    <m/>
    <m/>
  </r>
  <r>
    <s v="VIS201196"/>
    <d v="2024-04-08T00:00:00"/>
    <s v="PAT5292"/>
    <s v="Aditya Reddy"/>
    <s v="Male"/>
    <n v="30"/>
    <s v="Delhi"/>
    <s v="Delhi"/>
    <x v="8"/>
    <s v="Dr. Sneha"/>
    <s v="K21"/>
    <s v="Minor Procedure"/>
    <s v="Teleconsultation"/>
    <n v="13612.21"/>
    <s v="UPI"/>
    <s v="No"/>
    <m/>
    <n v="90"/>
    <s v="Adult"/>
    <s v="High"/>
    <s v="Short Days"/>
    <m/>
    <m/>
    <m/>
    <m/>
    <m/>
    <m/>
  </r>
  <r>
    <s v="VIS202393"/>
    <d v="2024-07-31T00:00:00"/>
    <s v="PAT6200"/>
    <s v="Manisha Mishra"/>
    <s v="Male"/>
    <n v="58"/>
    <s v="Ahmedabad"/>
    <s v="Gujarat"/>
    <x v="8"/>
    <s v="Dr. Kavitha"/>
    <s v="L40"/>
    <s v="Minor Surgery"/>
    <s v="OPD"/>
    <n v="12935.95"/>
    <s v="Credit Card"/>
    <s v="No"/>
    <m/>
    <n v="90"/>
    <s v="Middle-Aged"/>
    <s v="High"/>
    <s v="Short Days"/>
    <m/>
    <m/>
    <m/>
    <m/>
    <m/>
    <m/>
  </r>
  <r>
    <s v="VIS200114"/>
    <d v="2024-02-25T00:00:00"/>
    <s v="PAT6816"/>
    <s v="Manisha Singh"/>
    <s v="Male"/>
    <n v="13"/>
    <s v="Noida"/>
    <s v="Uttar Pradesh"/>
    <x v="5"/>
    <s v="Dr. Meena"/>
    <s v="M54"/>
    <s v="Counselling"/>
    <s v="OPD"/>
    <n v="4294.88"/>
    <s v="UPI"/>
    <s v="No"/>
    <m/>
    <m/>
    <s v="Child"/>
    <s v="Low"/>
    <s v="Short Days"/>
    <m/>
    <m/>
    <m/>
    <m/>
    <m/>
    <m/>
  </r>
  <r>
    <s v="VIS200131"/>
    <d v="2024-12-09T00:00:00"/>
    <s v="PAT6119"/>
    <s v="Aishwarya Nair"/>
    <s v="Female"/>
    <n v="55"/>
    <s v="Ahmedabad"/>
    <s v="Gujarat"/>
    <x v="0"/>
    <s v="Dr. Shailesh"/>
    <s v="F41"/>
    <s v="Prescription Refill"/>
    <s v="Emergency"/>
    <n v="7745.61"/>
    <s v="Cash"/>
    <s v="No"/>
    <m/>
    <n v="14"/>
    <s v="Middle-Aged"/>
    <s v="Medium"/>
    <s v="Short Days"/>
    <m/>
    <m/>
    <m/>
    <m/>
    <m/>
    <m/>
  </r>
  <r>
    <s v="VIS202022"/>
    <d v="2024-02-13T00:00:00"/>
    <s v="PAT6736"/>
    <s v="Vivaan Das"/>
    <s v="Female"/>
    <n v="15"/>
    <s v="Madurai"/>
    <s v="Tamil Nadu"/>
    <x v="5"/>
    <s v="Dr. Ravi"/>
    <s v="L40"/>
    <s v="Surgery"/>
    <s v="Emergency"/>
    <n v="12963.25"/>
    <s v="Cash"/>
    <s v="No"/>
    <m/>
    <m/>
    <s v="Child"/>
    <s v="High"/>
    <s v="Short Days"/>
    <m/>
    <m/>
    <m/>
    <m/>
    <m/>
    <m/>
  </r>
  <r>
    <s v="VIS200473"/>
    <d v="2024-08-23T00:00:00"/>
    <s v="PAT6217"/>
    <s v="Aditya Reddy"/>
    <s v="Male"/>
    <n v="50"/>
    <s v="Jaipur"/>
    <s v="Rajasthan"/>
    <x v="9"/>
    <s v="Dr. Arvind"/>
    <s v="F41"/>
    <s v="Observation"/>
    <s v="OPD"/>
    <n v="328.09"/>
    <s v="UPI"/>
    <s v="No"/>
    <m/>
    <m/>
    <s v="Middle-Aged"/>
    <s v="Low"/>
    <s v="Short Days"/>
    <m/>
    <m/>
    <m/>
    <m/>
    <m/>
    <m/>
  </r>
  <r>
    <s v="VIS200745"/>
    <d v="2025-07-01T00:00:00"/>
    <s v="PAT5044"/>
    <s v="Deepa Khan"/>
    <s v="Female"/>
    <n v="20"/>
    <s v="Kochi"/>
    <s v="Kerala"/>
    <x v="2"/>
    <s v="Dr. Manoj"/>
    <s v="H10"/>
    <s v="Minor Procedure"/>
    <s v="Emergency"/>
    <n v="7570.91"/>
    <s v="UPI"/>
    <s v="No"/>
    <m/>
    <n v="30"/>
    <s v="Adult"/>
    <s v="Medium"/>
    <s v="Short Days"/>
    <m/>
    <m/>
    <m/>
    <m/>
    <m/>
    <m/>
  </r>
  <r>
    <s v="VIS200634"/>
    <d v="2024-11-30T00:00:00"/>
    <s v="PAT6472"/>
    <s v="Kavya Nagar"/>
    <s v="Male"/>
    <n v="50"/>
    <s v="Mumbai"/>
    <s v="Maharashtra"/>
    <x v="2"/>
    <s v="Dr. Ramesh"/>
    <s v="M54"/>
    <s v="Surgery"/>
    <s v="OPD"/>
    <n v="5711.38"/>
    <s v="Cash"/>
    <s v="No"/>
    <m/>
    <m/>
    <s v="Middle-Aged"/>
    <s v="Medium"/>
    <s v="Short Days"/>
    <m/>
    <m/>
    <m/>
    <m/>
    <m/>
    <m/>
  </r>
  <r>
    <s v="VIS200055"/>
    <d v="2025-10-26T00:00:00"/>
    <s v="PAT6986"/>
    <s v="Sangeetha Patel"/>
    <s v="Female"/>
    <n v="49"/>
    <s v="Hyderabad"/>
    <s v="Telangana"/>
    <x v="0"/>
    <s v="Dr. Shailesh"/>
    <s v="J00"/>
    <s v="Minor Procedure"/>
    <s v="OPD"/>
    <n v="10094.52"/>
    <s v="Cash"/>
    <s v="No"/>
    <m/>
    <n v="14"/>
    <s v="Middle-Aged"/>
    <s v="High"/>
    <s v="Short Days"/>
    <m/>
    <m/>
    <m/>
    <m/>
    <m/>
    <m/>
  </r>
  <r>
    <s v="VIS200821"/>
    <d v="2024-10-05T00:00:00"/>
    <s v="PAT5759"/>
    <s v="Siddharth Das"/>
    <s v="Female"/>
    <n v="67"/>
    <s v="Hyderabad"/>
    <s v="Telangana"/>
    <x v="4"/>
    <s v="Dr. Varun"/>
    <s v="I10"/>
    <s v="Minor Procedure"/>
    <s v="OPD"/>
    <n v="11091.32"/>
    <s v="Credit Card"/>
    <s v="No"/>
    <m/>
    <n v="14"/>
    <s v="Senior"/>
    <s v="High"/>
    <s v="Short Days"/>
    <m/>
    <m/>
    <m/>
    <m/>
    <m/>
    <m/>
  </r>
  <r>
    <s v="VIS201102"/>
    <d v="2024-08-16T00:00:00"/>
    <s v="PAT6987"/>
    <s v="Manisha Nair"/>
    <s v="Female"/>
    <n v="24"/>
    <s v="Delhi"/>
    <s v="Delhi"/>
    <x v="3"/>
    <s v="Dr. Pallavi"/>
    <s v="J45"/>
    <s v="Prescription Refill"/>
    <s v="OPD"/>
    <n v="1694.63"/>
    <s v="Cash"/>
    <s v="No"/>
    <m/>
    <n v="14"/>
    <s v="Adult"/>
    <s v="Low"/>
    <s v="Short Days"/>
    <m/>
    <m/>
    <m/>
    <m/>
    <m/>
    <m/>
  </r>
  <r>
    <s v="VIS202536"/>
    <d v="2024-07-17T00:00:00"/>
    <s v="PAT6558"/>
    <s v="Siddharth Patel"/>
    <s v="Male"/>
    <n v="3"/>
    <s v="Jaipur"/>
    <s v="Rajasthan"/>
    <x v="2"/>
    <s v="Dr. Manoj"/>
    <s v="J00"/>
    <s v="Surgery"/>
    <s v="OPD"/>
    <n v="3631.33"/>
    <s v="Insurance"/>
    <s v="Yes"/>
    <m/>
    <n v="30"/>
    <s v="Child"/>
    <s v="Low"/>
    <s v="Short Days"/>
    <m/>
    <m/>
    <m/>
    <m/>
    <m/>
    <m/>
  </r>
  <r>
    <s v="VIS200575"/>
    <d v="2025-07-17T00:00:00"/>
    <s v="PAT6542"/>
    <s v="Rohan Khan"/>
    <s v="Male"/>
    <n v="58"/>
    <s v="Kolkata"/>
    <s v="West Bengal"/>
    <x v="5"/>
    <s v="Dr. Ravi"/>
    <s v="J00"/>
    <s v="Minor Procedure"/>
    <s v="OPD"/>
    <n v="1098.69"/>
    <s v="Debit Card"/>
    <s v="No"/>
    <m/>
    <m/>
    <s v="Middle-Aged"/>
    <s v="Low"/>
    <s v="Short Days"/>
    <m/>
    <m/>
    <m/>
    <m/>
    <m/>
    <m/>
  </r>
  <r>
    <s v="VIS200106"/>
    <d v="2025-09-25T00:00:00"/>
    <s v="PAT5428"/>
    <s v="Rahul Singh"/>
    <s v="Male"/>
    <n v="45"/>
    <s v="Bengaluru"/>
    <s v="Karnataka"/>
    <x v="5"/>
    <s v="Dr. Ravi"/>
    <s v="I10"/>
    <s v="Prescription Refill"/>
    <s v="OPD"/>
    <n v="284.91000000000003"/>
    <s v="UPI"/>
    <s v="No"/>
    <m/>
    <n v="90"/>
    <s v="Middle-Aged"/>
    <s v="Low"/>
    <s v="Short Days"/>
    <m/>
    <m/>
    <m/>
    <m/>
    <m/>
    <m/>
  </r>
  <r>
    <s v="VIS200296"/>
    <d v="2025-08-08T00:00:00"/>
    <s v="PAT5211"/>
    <s v="Kavya Kumar"/>
    <s v="Female"/>
    <n v="44"/>
    <s v="Delhi"/>
    <s v="Delhi"/>
    <x v="4"/>
    <s v="Dr. Varun"/>
    <s v="I10"/>
    <s v="Medication"/>
    <s v="OPD"/>
    <n v="4458.26"/>
    <s v="Insurance"/>
    <s v="Yes"/>
    <m/>
    <m/>
    <s v="Middle-Aged"/>
    <s v="Low"/>
    <s v="Short Days"/>
    <m/>
    <m/>
    <m/>
    <m/>
    <m/>
    <m/>
  </r>
  <r>
    <s v="VIS201058"/>
    <d v="2024-05-18T00:00:00"/>
    <s v="PAT5497"/>
    <s v="Aarav Das"/>
    <s v="Female"/>
    <n v="38"/>
    <s v="Kochi"/>
    <s v="Kerala"/>
    <x v="4"/>
    <s v="Dr. Varun"/>
    <s v="H10"/>
    <s v="Prescription Refill"/>
    <s v="OPD"/>
    <n v="7443.51"/>
    <s v="Insurance"/>
    <s v="Yes"/>
    <m/>
    <n v="30"/>
    <s v="Adult"/>
    <s v="Medium"/>
    <s v="Short Days"/>
    <m/>
    <m/>
    <m/>
    <m/>
    <m/>
    <m/>
  </r>
  <r>
    <s v="VIS202170"/>
    <d v="2024-12-28T00:00:00"/>
    <s v="PAT5307"/>
    <s v="Neha Nagar"/>
    <s v="Male"/>
    <n v="20"/>
    <s v="Jaipur"/>
    <s v="Rajasthan"/>
    <x v="3"/>
    <s v="Dr. Anand"/>
    <s v="K21"/>
    <s v="Counselling"/>
    <s v="OPD"/>
    <n v="5919.25"/>
    <s v="Debit Card"/>
    <s v="No"/>
    <m/>
    <m/>
    <s v="Adult"/>
    <s v="Medium"/>
    <s v="Short Days"/>
    <m/>
    <m/>
    <m/>
    <m/>
    <m/>
    <m/>
  </r>
  <r>
    <s v="VIS202735"/>
    <d v="2025-01-27T00:00:00"/>
    <s v="PAT6966"/>
    <s v="Sangeetha Khan"/>
    <s v="Male"/>
    <n v="27"/>
    <s v="Jaipur"/>
    <s v="Rajasthan"/>
    <x v="7"/>
    <s v="Dr. Surya"/>
    <s v="J45"/>
    <s v="Minor Surgery"/>
    <s v="Emergency"/>
    <n v="5653.59"/>
    <s v="Debit Card"/>
    <s v="No"/>
    <m/>
    <n v="7"/>
    <s v="Adult"/>
    <s v="Medium"/>
    <s v="Short Days"/>
    <m/>
    <m/>
    <m/>
    <m/>
    <m/>
    <m/>
  </r>
  <r>
    <s v="VIS201798"/>
    <d v="2025-09-09T00:00:00"/>
    <s v="PAT5607"/>
    <s v="Arjun Nagar"/>
    <s v="Female"/>
    <n v="15"/>
    <s v="Noida"/>
    <s v="Uttar Pradesh"/>
    <x v="5"/>
    <s v="Dr. Ravi"/>
    <s v="F41"/>
    <s v="Minor Procedure"/>
    <s v="OPD"/>
    <n v="12493.13"/>
    <s v="Debit Card"/>
    <s v="No"/>
    <m/>
    <n v="30"/>
    <s v="Child"/>
    <s v="High"/>
    <s v="Short Days"/>
    <m/>
    <m/>
    <m/>
    <m/>
    <m/>
    <m/>
  </r>
  <r>
    <s v="VIS202146"/>
    <d v="2025-01-03T00:00:00"/>
    <s v="PAT6361"/>
    <s v="Shruti Jose"/>
    <s v="Male"/>
    <n v="56"/>
    <s v="Jaipur"/>
    <s v="Rajasthan"/>
    <x v="8"/>
    <s v="Dr. Sneha"/>
    <s v="N39"/>
    <s v="Physiotherapy"/>
    <s v="Teleconsultation"/>
    <n v="7654.89"/>
    <s v="Debit Card"/>
    <s v="No"/>
    <m/>
    <n v="14"/>
    <s v="Middle-Aged"/>
    <s v="Medium"/>
    <s v="Short Days"/>
    <m/>
    <m/>
    <m/>
    <m/>
    <m/>
    <m/>
  </r>
  <r>
    <s v="VIS202193"/>
    <d v="2025-01-09T00:00:00"/>
    <s v="PAT6757"/>
    <s v="Deepa Das"/>
    <s v="Male"/>
    <n v="77"/>
    <s v="Mumbai"/>
    <s v="Maharashtra"/>
    <x v="5"/>
    <s v="Dr. Karthik"/>
    <s v="L40"/>
    <s v="Medication"/>
    <s v="OPD"/>
    <n v="9536.8799999999992"/>
    <s v="Debit Card"/>
    <s v="No"/>
    <m/>
    <n v="90"/>
    <s v="Senior"/>
    <s v="Medium"/>
    <s v="Short Days"/>
    <m/>
    <m/>
    <m/>
    <m/>
    <m/>
    <m/>
  </r>
  <r>
    <s v="VIS200933"/>
    <d v="2025-09-25T00:00:00"/>
    <s v="PAT5752"/>
    <s v="Vishal Patel"/>
    <s v="Male"/>
    <n v="56"/>
    <s v="Lucknow"/>
    <s v="Uttar Pradesh"/>
    <x v="4"/>
    <s v="Dr. Varun"/>
    <s v="H10"/>
    <s v="Surgery"/>
    <s v="OPD"/>
    <n v="1749.53"/>
    <s v="Cash"/>
    <s v="No"/>
    <m/>
    <n v="7"/>
    <s v="Middle-Aged"/>
    <s v="Low"/>
    <s v="Short Days"/>
    <m/>
    <m/>
    <m/>
    <m/>
    <m/>
    <m/>
  </r>
  <r>
    <s v="VIS202237"/>
    <d v="2024-03-22T00:00:00"/>
    <s v="PAT6001"/>
    <s v="Shruti Nair"/>
    <s v="Female"/>
    <n v="44"/>
    <s v="Trichy"/>
    <s v="Tamil Nadu"/>
    <x v="5"/>
    <s v="Dr. Ravi"/>
    <s v="I10"/>
    <s v="Observation"/>
    <s v="OPD"/>
    <n v="14201.51"/>
    <s v="Net Banking"/>
    <s v="No"/>
    <m/>
    <m/>
    <s v="Middle-Aged"/>
    <s v="High"/>
    <s v="Short Days"/>
    <m/>
    <m/>
    <m/>
    <m/>
    <m/>
    <m/>
  </r>
  <r>
    <s v="VIS201504"/>
    <d v="2025-09-27T00:00:00"/>
    <s v="PAT6813"/>
    <s v="Siddharth Gupta"/>
    <s v="Female"/>
    <n v="38"/>
    <s v="Mumbai"/>
    <s v="Maharashtra"/>
    <x v="7"/>
    <s v="Dr. Surya"/>
    <s v="M54"/>
    <s v="Prescription Refill"/>
    <s v="Teleconsultation"/>
    <n v="6513.68"/>
    <s v="Cash"/>
    <s v="No"/>
    <m/>
    <n v="30"/>
    <s v="Adult"/>
    <s v="Medium"/>
    <s v="Short Days"/>
    <m/>
    <m/>
    <m/>
    <m/>
    <m/>
    <m/>
  </r>
  <r>
    <s v="VIS202487"/>
    <d v="2025-07-06T00:00:00"/>
    <s v="PAT5859"/>
    <s v="Shruti Khan"/>
    <s v="Female"/>
    <n v="29"/>
    <s v="Kolkata"/>
    <s v="West Bengal"/>
    <x v="2"/>
    <s v="Dr. Manoj"/>
    <s v="N39"/>
    <s v="Minor Surgery"/>
    <s v="Emergency"/>
    <n v="5191.0600000000004"/>
    <s v="Debit Card"/>
    <s v="No"/>
    <m/>
    <n v="90"/>
    <s v="Adult"/>
    <s v="Medium"/>
    <s v="Short Days"/>
    <m/>
    <m/>
    <m/>
    <m/>
    <m/>
    <m/>
  </r>
  <r>
    <s v="VIS200618"/>
    <d v="2024-08-06T00:00:00"/>
    <s v="PAT6158"/>
    <s v="Priya Sharma"/>
    <s v="Male"/>
    <n v="35"/>
    <s v="Pune"/>
    <s v="Maharashtra"/>
    <x v="5"/>
    <s v="Dr. Meena"/>
    <s v="N39"/>
    <s v="Counselling"/>
    <s v="OPD"/>
    <n v="7159.4"/>
    <s v="UPI"/>
    <s v="No"/>
    <m/>
    <m/>
    <s v="Adult"/>
    <s v="Medium"/>
    <s v="Short Days"/>
    <m/>
    <m/>
    <m/>
    <m/>
    <m/>
    <m/>
  </r>
  <r>
    <s v="VIS200254"/>
    <d v="2024-03-28T00:00:00"/>
    <s v="PAT5416"/>
    <s v="Rohan Gupta"/>
    <s v="Female"/>
    <n v="31"/>
    <s v="Ahmedabad"/>
    <s v="Gujarat"/>
    <x v="5"/>
    <s v="Dr. Meena"/>
    <s v="F41"/>
    <s v="Counselling"/>
    <s v="OPD"/>
    <n v="1209.98"/>
    <s v="Insurance"/>
    <s v="Yes"/>
    <m/>
    <m/>
    <s v="Adult"/>
    <s v="Low"/>
    <s v="Short Days"/>
    <m/>
    <m/>
    <m/>
    <m/>
    <m/>
    <m/>
  </r>
  <r>
    <s v="VIS202739"/>
    <d v="2025-09-19T00:00:00"/>
    <s v="PAT5309"/>
    <s v="Ananya Nair"/>
    <s v="Male"/>
    <n v="39"/>
    <s v="Kochi"/>
    <s v="Kerala"/>
    <x v="3"/>
    <s v="Dr. Anand"/>
    <s v="H10"/>
    <s v="Minor Procedure"/>
    <s v="IPD"/>
    <n v="6627.49"/>
    <s v="Insurance"/>
    <s v="Yes"/>
    <n v="9"/>
    <n v="90"/>
    <s v="Adult"/>
    <s v="Medium"/>
    <s v="Long Days"/>
    <m/>
    <m/>
    <m/>
    <m/>
    <m/>
    <m/>
  </r>
  <r>
    <s v="VIS202150"/>
    <d v="2025-03-14T00:00:00"/>
    <s v="PAT5680"/>
    <s v="Neha Singh"/>
    <s v="Male"/>
    <n v="32"/>
    <s v="Ahmedabad"/>
    <s v="Gujarat"/>
    <x v="0"/>
    <s v="Dr. Nikhil"/>
    <s v="E11"/>
    <s v="Physiotherapy"/>
    <s v="OPD"/>
    <n v="6821.31"/>
    <s v="Cash"/>
    <s v="No"/>
    <m/>
    <m/>
    <s v="Adult"/>
    <s v="Medium"/>
    <s v="Short Days"/>
    <m/>
    <m/>
    <m/>
    <m/>
    <m/>
    <m/>
  </r>
  <r>
    <s v="VIS200955"/>
    <d v="2024-11-02T00:00:00"/>
    <s v="PAT6481"/>
    <s v="Karthik Gupta"/>
    <s v="Other"/>
    <n v="51"/>
    <s v="Coimbatore"/>
    <s v="Tamil Nadu"/>
    <x v="5"/>
    <s v="Dr. Meena"/>
    <s v="K21"/>
    <s v="Medication"/>
    <s v="OPD"/>
    <n v="3802.7"/>
    <s v="Cash"/>
    <s v="No"/>
    <m/>
    <n v="90"/>
    <s v="Middle-Aged"/>
    <s v="Low"/>
    <s v="Short Days"/>
    <m/>
    <m/>
    <m/>
    <m/>
    <m/>
    <m/>
  </r>
  <r>
    <s v="VIS200770"/>
    <d v="2025-01-19T00:00:00"/>
    <s v="PAT6076"/>
    <s v="Neha Kumar"/>
    <s v="Male"/>
    <n v="34"/>
    <s v="Lucknow"/>
    <s v="Uttar Pradesh"/>
    <x v="8"/>
    <s v="Dr. Sneha"/>
    <s v="H10"/>
    <s v="Counselling"/>
    <s v="OPD"/>
    <n v="13587.59"/>
    <s v="Cash"/>
    <s v="No"/>
    <m/>
    <n v="14"/>
    <s v="Adult"/>
    <s v="High"/>
    <s v="Short Days"/>
    <m/>
    <m/>
    <m/>
    <m/>
    <m/>
    <m/>
  </r>
  <r>
    <s v="VIS200368"/>
    <d v="2024-06-13T00:00:00"/>
    <s v="PAT6272"/>
    <s v="Anil Mishra"/>
    <s v="Male"/>
    <n v="50"/>
    <s v="Ahmedabad"/>
    <s v="Gujarat"/>
    <x v="6"/>
    <s v="Dr. Priya"/>
    <s v="L40"/>
    <s v="Minor Procedure"/>
    <s v="OPD"/>
    <n v="2315.4699999999998"/>
    <s v="Insurance"/>
    <s v="Yes"/>
    <m/>
    <n v="7"/>
    <s v="Middle-Aged"/>
    <s v="Low"/>
    <s v="Short Days"/>
    <m/>
    <m/>
    <m/>
    <m/>
    <m/>
    <m/>
  </r>
  <r>
    <s v="VIS202359"/>
    <d v="2024-11-19T00:00:00"/>
    <s v="PAT6195"/>
    <s v="Aarav Mishra"/>
    <s v="Male"/>
    <n v="43"/>
    <s v="Chennai"/>
    <s v="Tamil Nadu"/>
    <x v="2"/>
    <s v="Dr. Ramesh"/>
    <s v="N39"/>
    <s v="Medication"/>
    <s v="Teleconsultation"/>
    <n v="18822.080000000002"/>
    <s v="Insurance"/>
    <s v="Yes"/>
    <m/>
    <n v="90"/>
    <s v="Middle-Aged"/>
    <s v="High"/>
    <s v="Short Days"/>
    <m/>
    <m/>
    <m/>
    <m/>
    <m/>
    <m/>
  </r>
  <r>
    <s v="VIS201337"/>
    <d v="2024-01-05T00:00:00"/>
    <s v="PAT6285"/>
    <s v="Arjun Kumar"/>
    <s v="Female"/>
    <n v="61"/>
    <s v="Madurai"/>
    <s v="Tamil Nadu"/>
    <x v="2"/>
    <s v="Dr. Manoj"/>
    <s v="K21"/>
    <s v="Prescription Refill"/>
    <s v="OPD"/>
    <n v="5242.12"/>
    <s v="Credit Card"/>
    <s v="No"/>
    <m/>
    <m/>
    <s v="Senior"/>
    <s v="Medium"/>
    <s v="Short Days"/>
    <m/>
    <m/>
    <m/>
    <m/>
    <m/>
    <m/>
  </r>
  <r>
    <s v="VIS200232"/>
    <d v="2025-05-21T00:00:00"/>
    <s v="PAT6690"/>
    <s v="Ananya Singh"/>
    <s v="Female"/>
    <n v="25"/>
    <s v="Coimbatore"/>
    <s v="Tamil Nadu"/>
    <x v="1"/>
    <s v="Dr. Anu"/>
    <s v="E11"/>
    <s v="Surgery"/>
    <s v="OPD"/>
    <n v="5540.97"/>
    <s v="Debit Card"/>
    <s v="No"/>
    <m/>
    <n v="90"/>
    <s v="Adult"/>
    <s v="Medium"/>
    <s v="Short Days"/>
    <m/>
    <m/>
    <m/>
    <m/>
    <m/>
    <m/>
  </r>
  <r>
    <s v="VIS202622"/>
    <d v="2024-02-05T00:00:00"/>
    <s v="PAT6427"/>
    <s v="Vivaan Das"/>
    <s v="Female"/>
    <n v="39"/>
    <s v="Delhi"/>
    <s v="Delhi"/>
    <x v="9"/>
    <s v="Dr. Kusum"/>
    <s v="M54"/>
    <s v="Minor Procedure"/>
    <s v="OPD"/>
    <n v="1226.44"/>
    <s v="UPI"/>
    <s v="No"/>
    <m/>
    <n v="7"/>
    <s v="Adult"/>
    <s v="Low"/>
    <s v="Short Days"/>
    <m/>
    <m/>
    <m/>
    <m/>
    <m/>
    <m/>
  </r>
  <r>
    <s v="VIS200185"/>
    <d v="2025-07-17T00:00:00"/>
    <s v="PAT6505"/>
    <s v="Rohan Iyer"/>
    <s v="Female"/>
    <n v="27"/>
    <s v="Coimbatore"/>
    <s v="Tamil Nadu"/>
    <x v="0"/>
    <s v="Dr. Nikhil"/>
    <s v="F41"/>
    <s v="Medication"/>
    <s v="OPD"/>
    <n v="5717.5"/>
    <s v="Cash"/>
    <s v="No"/>
    <m/>
    <n v="90"/>
    <s v="Adult"/>
    <s v="Medium"/>
    <s v="Short Days"/>
    <m/>
    <m/>
    <m/>
    <m/>
    <m/>
    <m/>
  </r>
  <r>
    <s v="VIS201720"/>
    <d v="2024-05-14T00:00:00"/>
    <s v="PAT6050"/>
    <s v="Manisha Das"/>
    <s v="Female"/>
    <n v="28"/>
    <s v="Kochi"/>
    <s v="Kerala"/>
    <x v="6"/>
    <s v="Dr. Priya"/>
    <s v="I10"/>
    <s v="Medication"/>
    <s v="OPD"/>
    <n v="18173.84"/>
    <s v="Cash"/>
    <s v="No"/>
    <m/>
    <n v="90"/>
    <s v="Adult"/>
    <s v="High"/>
    <s v="Short Days"/>
    <m/>
    <m/>
    <m/>
    <m/>
    <m/>
    <m/>
  </r>
  <r>
    <s v="VIS202180"/>
    <d v="2024-09-14T00:00:00"/>
    <s v="PAT6998"/>
    <s v="Arjun Sharma"/>
    <s v="Male"/>
    <n v="23"/>
    <s v="Pune"/>
    <s v="Maharashtra"/>
    <x v="9"/>
    <s v="Dr. Kusum"/>
    <s v="F41"/>
    <s v="Minor Surgery"/>
    <s v="Teleconsultation"/>
    <n v="5672.36"/>
    <s v="UPI"/>
    <s v="No"/>
    <m/>
    <n v="14"/>
    <s v="Adult"/>
    <s v="Medium"/>
    <s v="Short Days"/>
    <m/>
    <m/>
    <m/>
    <m/>
    <m/>
    <m/>
  </r>
  <r>
    <s v="VIS200487"/>
    <d v="2025-07-16T00:00:00"/>
    <s v="PAT5516"/>
    <s v="Ishaan Nagar"/>
    <s v="Male"/>
    <n v="50"/>
    <s v="Pune"/>
    <s v="Maharashtra"/>
    <x v="0"/>
    <s v="Dr. Shailesh"/>
    <s v="F41"/>
    <s v="Physiotherapy"/>
    <s v="Teleconsultation"/>
    <n v="40662.39"/>
    <s v="Cash"/>
    <s v="No"/>
    <m/>
    <m/>
    <s v="Middle-Aged"/>
    <s v="High"/>
    <s v="Short Days"/>
    <m/>
    <m/>
    <m/>
    <m/>
    <m/>
    <m/>
  </r>
  <r>
    <s v="VIS200150"/>
    <d v="2024-02-19T00:00:00"/>
    <s v="PAT5197"/>
    <s v="Ishaan Reddy"/>
    <s v="Female"/>
    <n v="48"/>
    <s v="Noida"/>
    <s v="Uttar Pradesh"/>
    <x v="5"/>
    <s v="Dr. Ravi"/>
    <s v="E11"/>
    <s v="Minor Surgery"/>
    <s v="IPD"/>
    <n v="8378.41"/>
    <s v="UPI"/>
    <s v="No"/>
    <n v="5"/>
    <n v="7"/>
    <s v="Middle-Aged"/>
    <s v="Medium"/>
    <s v="Short Days"/>
    <m/>
    <m/>
    <m/>
    <m/>
    <m/>
    <m/>
  </r>
  <r>
    <s v="VIS202510"/>
    <d v="2024-11-14T00:00:00"/>
    <s v="PAT6146"/>
    <s v="Manisha Reddy"/>
    <s v="Male"/>
    <n v="25"/>
    <s v="Noida"/>
    <s v="Uttar Pradesh"/>
    <x v="9"/>
    <s v="Dr. Kusum"/>
    <s v="M54"/>
    <s v="Minor Surgery"/>
    <s v="OPD"/>
    <n v="11511.82"/>
    <s v="Insurance"/>
    <s v="Yes"/>
    <m/>
    <n v="90"/>
    <s v="Adult"/>
    <s v="High"/>
    <s v="Short Days"/>
    <m/>
    <m/>
    <m/>
    <m/>
    <m/>
    <m/>
  </r>
  <r>
    <s v="VIS202189"/>
    <d v="2024-09-27T00:00:00"/>
    <s v="PAT5195"/>
    <s v="Aditya Nair"/>
    <s v="Male"/>
    <n v="43"/>
    <s v="Coimbatore"/>
    <s v="Tamil Nadu"/>
    <x v="0"/>
    <s v="Dr. Shailesh"/>
    <s v="E11"/>
    <s v="Observation"/>
    <s v="OPD"/>
    <n v="392.26"/>
    <s v="Insurance"/>
    <s v="Yes"/>
    <m/>
    <n v="14"/>
    <s v="Middle-Aged"/>
    <s v="Low"/>
    <s v="Short Days"/>
    <m/>
    <m/>
    <m/>
    <m/>
    <m/>
    <m/>
  </r>
  <r>
    <s v="VIS200411"/>
    <d v="2025-07-29T00:00:00"/>
    <s v="PAT5567"/>
    <s v="Kavya Mishra"/>
    <s v="Female"/>
    <n v="55"/>
    <s v="Kochi"/>
    <s v="Kerala"/>
    <x v="1"/>
    <s v="Dr. Suri"/>
    <s v="E11"/>
    <s v="Minor Procedure"/>
    <s v="Teleconsultation"/>
    <n v="15145.03"/>
    <s v="Cash"/>
    <s v="No"/>
    <m/>
    <m/>
    <s v="Middle-Aged"/>
    <s v="High"/>
    <s v="Short Days"/>
    <m/>
    <m/>
    <m/>
    <m/>
    <m/>
    <m/>
  </r>
  <r>
    <s v="VIS200939"/>
    <d v="2025-07-31T00:00:00"/>
    <s v="PAT6889"/>
    <s v="Deepa Patel"/>
    <s v="Female"/>
    <n v="19"/>
    <s v="Hyderabad"/>
    <s v="Telangana"/>
    <x v="7"/>
    <s v="Dr. Leela"/>
    <s v="K21"/>
    <s v="Minor Surgery"/>
    <s v="OPD"/>
    <n v="1464.03"/>
    <s v="Insurance"/>
    <s v="Yes"/>
    <m/>
    <n v="7"/>
    <s v="Adult"/>
    <s v="Low"/>
    <s v="Short Days"/>
    <m/>
    <m/>
    <m/>
    <m/>
    <m/>
    <m/>
  </r>
  <r>
    <s v="VIS200716"/>
    <d v="2025-08-07T00:00:00"/>
    <s v="PAT6647"/>
    <s v="Ananya Patel"/>
    <s v="Male"/>
    <n v="41"/>
    <s v="Delhi"/>
    <s v="Delhi"/>
    <x v="1"/>
    <s v="Dr. Suri"/>
    <s v="N39"/>
    <s v="Minor Procedure"/>
    <s v="OPD"/>
    <n v="3160.26"/>
    <s v="Insurance"/>
    <s v="Yes"/>
    <m/>
    <m/>
    <s v="Middle-Aged"/>
    <s v="Low"/>
    <s v="Short Days"/>
    <m/>
    <m/>
    <m/>
    <m/>
    <m/>
    <m/>
  </r>
  <r>
    <s v="VIS202057"/>
    <d v="2025-07-18T00:00:00"/>
    <s v="PAT5536"/>
    <s v="Aditya Reddy"/>
    <s v="Male"/>
    <n v="38"/>
    <s v="Madurai"/>
    <s v="Tamil Nadu"/>
    <x v="3"/>
    <s v="Dr. Pallavi"/>
    <s v="F41"/>
    <s v="Physiotherapy"/>
    <s v="OPD"/>
    <n v="29644.91"/>
    <s v="UPI"/>
    <s v="No"/>
    <m/>
    <n v="90"/>
    <s v="Adult"/>
    <s v="High"/>
    <s v="Short Days"/>
    <m/>
    <m/>
    <m/>
    <m/>
    <m/>
    <m/>
  </r>
  <r>
    <s v="VIS201428"/>
    <d v="2024-05-13T00:00:00"/>
    <s v="PAT5358"/>
    <s v="Rohan Nair"/>
    <s v="Female"/>
    <n v="45"/>
    <s v="Lucknow"/>
    <s v="Uttar Pradesh"/>
    <x v="1"/>
    <s v="Dr. Suri"/>
    <s v="J45"/>
    <s v="Minor Surgery"/>
    <s v="Teleconsultation"/>
    <n v="14892.75"/>
    <s v="Cash"/>
    <s v="No"/>
    <m/>
    <m/>
    <s v="Middle-Aged"/>
    <s v="High"/>
    <s v="Short Days"/>
    <m/>
    <m/>
    <m/>
    <m/>
    <m/>
    <m/>
  </r>
  <r>
    <s v="VIS200941"/>
    <d v="2024-12-19T00:00:00"/>
    <s v="PAT6426"/>
    <s v="Aditya Singh"/>
    <s v="Female"/>
    <n v="55"/>
    <s v="Kolkata"/>
    <s v="West Bengal"/>
    <x v="6"/>
    <s v="Dr. Lalitha"/>
    <s v="I10"/>
    <s v="Prescription Refill"/>
    <s v="OPD"/>
    <n v="2572.91"/>
    <s v="Cash"/>
    <s v="No"/>
    <m/>
    <m/>
    <s v="Middle-Aged"/>
    <s v="Low"/>
    <s v="Short Days"/>
    <m/>
    <m/>
    <m/>
    <m/>
    <m/>
    <m/>
  </r>
  <r>
    <s v="VIS200334"/>
    <d v="2025-03-01T00:00:00"/>
    <s v="PAT5192"/>
    <s v="Vishal Sharma"/>
    <s v="Female"/>
    <n v="26"/>
    <s v="Madurai"/>
    <s v="Tamil Nadu"/>
    <x v="2"/>
    <s v="Dr. Manoj"/>
    <s v="I10"/>
    <s v="Medication"/>
    <s v="Emergency"/>
    <n v="14238.08"/>
    <s v="Credit Card"/>
    <s v="No"/>
    <m/>
    <n v="14"/>
    <s v="Adult"/>
    <s v="High"/>
    <s v="Short Days"/>
    <m/>
    <m/>
    <m/>
    <m/>
    <m/>
    <m/>
  </r>
  <r>
    <s v="VIS200601"/>
    <d v="2025-08-04T00:00:00"/>
    <s v="PAT5352"/>
    <s v="Vivaan Mishra"/>
    <s v="Female"/>
    <n v="52"/>
    <s v="Trichy"/>
    <s v="Tamil Nadu"/>
    <x v="3"/>
    <s v="Dr. Pallavi"/>
    <s v="M54"/>
    <s v="Observation"/>
    <s v="OPD"/>
    <n v="786.09"/>
    <s v="Cash"/>
    <s v="No"/>
    <m/>
    <n v="30"/>
    <s v="Middle-Aged"/>
    <s v="Low"/>
    <s v="Short Days"/>
    <m/>
    <m/>
    <m/>
    <m/>
    <m/>
    <m/>
  </r>
  <r>
    <s v="VIS201756"/>
    <d v="2025-04-16T00:00:00"/>
    <s v="PAT5092"/>
    <s v="Sangeetha Das"/>
    <s v="Female"/>
    <n v="13"/>
    <s v="Jaipur"/>
    <s v="Rajasthan"/>
    <x v="4"/>
    <s v="Dr. Bhavana"/>
    <s v="I10"/>
    <s v="Medication"/>
    <s v="IPD"/>
    <n v="6660.52"/>
    <s v="Insurance"/>
    <s v="Yes"/>
    <n v="4"/>
    <n v="30"/>
    <s v="Child"/>
    <s v="Medium"/>
    <s v="Short Days"/>
    <m/>
    <m/>
    <m/>
    <m/>
    <m/>
    <m/>
  </r>
  <r>
    <s v="VIS201647"/>
    <d v="2025-08-31T00:00:00"/>
    <s v="PAT5936"/>
    <s v="Arjun Reddy"/>
    <s v="Male"/>
    <n v="48"/>
    <s v="Ahmedabad"/>
    <s v="Gujarat"/>
    <x v="2"/>
    <s v="Dr. Ramesh"/>
    <s v="E11"/>
    <s v="Observation"/>
    <s v="OPD"/>
    <n v="2553.81"/>
    <s v="Insurance"/>
    <s v="Yes"/>
    <m/>
    <n v="14"/>
    <s v="Middle-Aged"/>
    <s v="Low"/>
    <s v="Short Days"/>
    <m/>
    <m/>
    <m/>
    <m/>
    <m/>
    <m/>
  </r>
  <r>
    <s v="VIS202999"/>
    <d v="2025-07-24T00:00:00"/>
    <s v="PAT5971"/>
    <s v="Deepa Khan"/>
    <s v="Male"/>
    <n v="7"/>
    <s v="Kolkata"/>
    <s v="West Bengal"/>
    <x v="2"/>
    <s v="Dr. Manoj"/>
    <s v="J00"/>
    <s v="Counselling"/>
    <s v="OPD"/>
    <n v="1740.12"/>
    <s v="Debit Card"/>
    <s v="No"/>
    <m/>
    <m/>
    <s v="Child"/>
    <s v="Low"/>
    <s v="Short Days"/>
    <m/>
    <m/>
    <m/>
    <m/>
    <m/>
    <m/>
  </r>
  <r>
    <s v="VIS201997"/>
    <d v="2024-03-08T00:00:00"/>
    <s v="PAT5991"/>
    <s v="Siddharth Sharma"/>
    <s v="Male"/>
    <n v="42"/>
    <s v="Lucknow"/>
    <s v="Uttar Pradesh"/>
    <x v="2"/>
    <s v="Dr. Ramesh"/>
    <s v="K21"/>
    <s v="Counselling"/>
    <s v="OPD"/>
    <n v="1305.4100000000001"/>
    <s v="Cash"/>
    <s v="No"/>
    <m/>
    <n v="7"/>
    <s v="Middle-Aged"/>
    <s v="Low"/>
    <s v="Short Days"/>
    <m/>
    <m/>
    <m/>
    <m/>
    <m/>
    <m/>
  </r>
  <r>
    <s v="VIS201710"/>
    <d v="2024-01-02T00:00:00"/>
    <s v="PAT6760"/>
    <s v="Ishaan Patel"/>
    <s v="Male"/>
    <n v="45"/>
    <s v="Pune"/>
    <s v="Maharashtra"/>
    <x v="0"/>
    <s v="Dr. Nikhil"/>
    <s v="E11"/>
    <s v="Observation"/>
    <s v="OPD"/>
    <n v="776.42"/>
    <s v="Debit Card"/>
    <s v="No"/>
    <m/>
    <n v="7"/>
    <s v="Middle-Aged"/>
    <s v="Low"/>
    <s v="Short Days"/>
    <m/>
    <m/>
    <m/>
    <m/>
    <m/>
    <m/>
  </r>
  <r>
    <s v="VIS202303"/>
    <d v="2024-10-18T00:00:00"/>
    <s v="PAT5567"/>
    <s v="Aditya Das"/>
    <s v="Female"/>
    <n v="45"/>
    <s v="Pune"/>
    <s v="Maharashtra"/>
    <x v="5"/>
    <s v="Dr. Karthik"/>
    <s v="M54"/>
    <s v="Medication"/>
    <s v="Teleconsultation"/>
    <n v="5854.11"/>
    <s v="UPI"/>
    <s v="No"/>
    <m/>
    <n v="90"/>
    <s v="Middle-Aged"/>
    <s v="Medium"/>
    <s v="Short Days"/>
    <m/>
    <m/>
    <m/>
    <m/>
    <m/>
    <m/>
  </r>
  <r>
    <s v="VIS202790"/>
    <d v="2025-01-05T00:00:00"/>
    <s v="PAT6381"/>
    <s v="Karthik Kumar"/>
    <s v="Male"/>
    <n v="33"/>
    <s v="Hyderabad"/>
    <s v="Telangana"/>
    <x v="3"/>
    <s v="Dr. Pallavi"/>
    <s v="I10"/>
    <s v="Counselling"/>
    <s v="OPD"/>
    <n v="1774.82"/>
    <s v="Insurance"/>
    <s v="Yes"/>
    <m/>
    <n v="14"/>
    <s v="Adult"/>
    <s v="Low"/>
    <s v="Short Days"/>
    <m/>
    <m/>
    <m/>
    <m/>
    <m/>
    <m/>
  </r>
  <r>
    <s v="VIS201364"/>
    <d v="2025-10-11T00:00:00"/>
    <s v="PAT6348"/>
    <s v="Rahul Das"/>
    <s v="Male"/>
    <n v="50"/>
    <s v="Ahmedabad"/>
    <s v="Gujarat"/>
    <x v="6"/>
    <s v="Dr. Priya"/>
    <s v="K21"/>
    <s v="Observation"/>
    <s v="Teleconsultation"/>
    <n v="5514.28"/>
    <s v="Insurance"/>
    <s v="Yes"/>
    <m/>
    <m/>
    <s v="Middle-Aged"/>
    <s v="Medium"/>
    <s v="Short Days"/>
    <m/>
    <m/>
    <m/>
    <m/>
    <m/>
    <m/>
  </r>
  <r>
    <s v="VIS200358"/>
    <d v="2024-08-07T00:00:00"/>
    <s v="PAT5273"/>
    <s v="Siddharth Nair"/>
    <s v="Male"/>
    <n v="37"/>
    <s v="Trichy"/>
    <s v="Tamil Nadu"/>
    <x v="7"/>
    <s v="Dr. Surya"/>
    <s v="K21"/>
    <s v="Physiotherapy"/>
    <s v="OPD"/>
    <n v="253.66"/>
    <s v="Cash"/>
    <s v="No"/>
    <m/>
    <n v="30"/>
    <s v="Adult"/>
    <s v="Low"/>
    <s v="Short Days"/>
    <m/>
    <m/>
    <m/>
    <m/>
    <m/>
    <m/>
  </r>
  <r>
    <s v="VIS202377"/>
    <d v="2024-07-20T00:00:00"/>
    <s v="PAT5527"/>
    <s v="Priya Das"/>
    <s v="Male"/>
    <n v="69"/>
    <s v="Delhi"/>
    <s v="Delhi"/>
    <x v="3"/>
    <s v="Dr. Pallavi"/>
    <s v="M54"/>
    <s v="Counselling"/>
    <s v="OPD"/>
    <n v="18888.71"/>
    <s v="Debit Card"/>
    <s v="No"/>
    <m/>
    <n v="90"/>
    <s v="Senior"/>
    <s v="High"/>
    <s v="Short Days"/>
    <m/>
    <m/>
    <m/>
    <m/>
    <m/>
    <m/>
  </r>
  <r>
    <s v="VIS200493"/>
    <d v="2025-02-21T00:00:00"/>
    <s v="PAT6102"/>
    <s v="Shruti Gupta"/>
    <s v="Female"/>
    <n v="5"/>
    <s v="Madurai"/>
    <s v="Tamil Nadu"/>
    <x v="4"/>
    <s v="Dr. Varun"/>
    <s v="E11"/>
    <s v="Counselling"/>
    <s v="IPD"/>
    <n v="6515.13"/>
    <s v="Cash"/>
    <s v="No"/>
    <n v="6"/>
    <n v="90"/>
    <s v="Child"/>
    <s v="Medium"/>
    <s v="Long Days"/>
    <m/>
    <m/>
    <m/>
    <m/>
    <m/>
    <m/>
  </r>
  <r>
    <s v="VIS200338"/>
    <d v="2025-07-15T00:00:00"/>
    <s v="PAT6495"/>
    <s v="Karthik Iyer"/>
    <s v="Female"/>
    <n v="39"/>
    <s v="Noida"/>
    <s v="Uttar Pradesh"/>
    <x v="6"/>
    <s v="Dr. Priya"/>
    <s v="L40"/>
    <s v="Minor Surgery"/>
    <s v="Teleconsultation"/>
    <n v="9835.9599999999991"/>
    <s v="Insurance"/>
    <s v="Yes"/>
    <m/>
    <n v="14"/>
    <s v="Adult"/>
    <s v="Medium"/>
    <s v="Short Days"/>
    <m/>
    <m/>
    <m/>
    <m/>
    <m/>
    <m/>
  </r>
  <r>
    <s v="VIS202509"/>
    <d v="2025-09-22T00:00:00"/>
    <s v="PAT6772"/>
    <s v="Neha Jose"/>
    <s v="Male"/>
    <n v="23"/>
    <s v="Madurai"/>
    <s v="Tamil Nadu"/>
    <x v="5"/>
    <s v="Dr. Meena"/>
    <s v="F41"/>
    <s v="Minor Procedure"/>
    <s v="OPD"/>
    <n v="3738.78"/>
    <s v="Insurance"/>
    <s v="Yes"/>
    <m/>
    <m/>
    <s v="Adult"/>
    <s v="Low"/>
    <s v="Short Days"/>
    <m/>
    <m/>
    <m/>
    <m/>
    <m/>
    <m/>
  </r>
  <r>
    <s v="VIS201571"/>
    <d v="2024-06-19T00:00:00"/>
    <s v="PAT6603"/>
    <s v="Deepa Bose"/>
    <s v="Female"/>
    <n v="61"/>
    <s v="Chennai"/>
    <s v="Tamil Nadu"/>
    <x v="6"/>
    <s v="Dr. Priya"/>
    <s v="E11"/>
    <s v="Physiotherapy"/>
    <s v="OPD"/>
    <n v="34585.599999999999"/>
    <s v="Credit Card"/>
    <s v="No"/>
    <m/>
    <m/>
    <s v="Senior"/>
    <s v="High"/>
    <s v="Short Days"/>
    <m/>
    <m/>
    <m/>
    <m/>
    <m/>
    <m/>
  </r>
  <r>
    <s v="VIS201445"/>
    <d v="2024-03-13T00:00:00"/>
    <s v="PAT6511"/>
    <s v="Ananya Khan"/>
    <s v="Male"/>
    <n v="11"/>
    <s v="Ahmedabad"/>
    <s v="Gujarat"/>
    <x v="7"/>
    <s v="Dr. Surya"/>
    <s v="E11"/>
    <s v="Medication"/>
    <s v="OPD"/>
    <n v="10776.71"/>
    <s v="Cash"/>
    <s v="No"/>
    <m/>
    <n v="90"/>
    <s v="Child"/>
    <s v="High"/>
    <s v="Short Days"/>
    <m/>
    <m/>
    <m/>
    <m/>
    <m/>
    <m/>
  </r>
  <r>
    <s v="VIS201967"/>
    <d v="2024-10-11T00:00:00"/>
    <s v="PAT6094"/>
    <s v="Shruti Gupta"/>
    <s v="Female"/>
    <n v="37"/>
    <s v="Mumbai"/>
    <s v="Maharashtra"/>
    <x v="5"/>
    <s v="Dr. Meena"/>
    <s v="L40"/>
    <s v="Prescription Refill"/>
    <s v="IPD"/>
    <n v="13806.71"/>
    <s v="Insurance"/>
    <s v="Yes"/>
    <n v="6"/>
    <n v="90"/>
    <s v="Adult"/>
    <s v="High"/>
    <s v="Long Days"/>
    <m/>
    <m/>
    <m/>
    <m/>
    <m/>
    <m/>
  </r>
  <r>
    <s v="VIS202813"/>
    <d v="2024-06-24T00:00:00"/>
    <s v="PAT5067"/>
    <s v="Shruti Iyer"/>
    <s v="Female"/>
    <n v="13"/>
    <s v="Delhi"/>
    <s v="Delhi"/>
    <x v="1"/>
    <s v="Dr. Anu"/>
    <s v="L40"/>
    <s v="Observation"/>
    <s v="Teleconsultation"/>
    <n v="11725.73"/>
    <s v="Cash"/>
    <s v="No"/>
    <m/>
    <n v="7"/>
    <s v="Child"/>
    <s v="High"/>
    <s v="Short Days"/>
    <m/>
    <m/>
    <m/>
    <m/>
    <m/>
    <m/>
  </r>
  <r>
    <s v="VIS202852"/>
    <d v="2024-02-15T00:00:00"/>
    <s v="PAT5625"/>
    <s v="Anil Khan"/>
    <s v="Female"/>
    <n v="25"/>
    <s v="Hyderabad"/>
    <s v="Telangana"/>
    <x v="3"/>
    <s v="Dr. Pallavi"/>
    <s v="M54"/>
    <s v="Physiotherapy"/>
    <s v="OPD"/>
    <n v="431.61"/>
    <s v="Cash"/>
    <s v="No"/>
    <m/>
    <n v="14"/>
    <s v="Adult"/>
    <s v="Low"/>
    <s v="Short Days"/>
    <m/>
    <m/>
    <m/>
    <m/>
    <m/>
    <m/>
  </r>
  <r>
    <s v="VIS201071"/>
    <d v="2024-03-19T00:00:00"/>
    <s v="PAT5356"/>
    <s v="Aditya Das"/>
    <s v="Female"/>
    <n v="69"/>
    <s v="Noida"/>
    <s v="Uttar Pradesh"/>
    <x v="7"/>
    <s v="Dr. Surya"/>
    <s v="N39"/>
    <s v="Surgery"/>
    <s v="Teleconsultation"/>
    <n v="12286.74"/>
    <s v="Debit Card"/>
    <s v="No"/>
    <m/>
    <n v="14"/>
    <s v="Senior"/>
    <s v="High"/>
    <s v="Short Days"/>
    <m/>
    <m/>
    <m/>
    <m/>
    <m/>
    <m/>
  </r>
  <r>
    <s v="VIS202430"/>
    <d v="2024-10-26T00:00:00"/>
    <s v="PAT6804"/>
    <s v="Vivaan Nair"/>
    <s v="Female"/>
    <n v="10"/>
    <s v="Madurai"/>
    <s v="Tamil Nadu"/>
    <x v="1"/>
    <s v="Dr. Anu"/>
    <s v="J00"/>
    <s v="Minor Surgery"/>
    <s v="OPD"/>
    <n v="1329.63"/>
    <s v="UPI"/>
    <s v="No"/>
    <m/>
    <n v="14"/>
    <s v="Child"/>
    <s v="Low"/>
    <s v="Short Days"/>
    <m/>
    <m/>
    <m/>
    <m/>
    <m/>
    <m/>
  </r>
  <r>
    <s v="VIS201085"/>
    <d v="2025-03-26T00:00:00"/>
    <s v="PAT5335"/>
    <s v="Vivaan Jose"/>
    <s v="Female"/>
    <n v="26"/>
    <s v="Kolkata"/>
    <s v="West Bengal"/>
    <x v="3"/>
    <s v="Dr. Pallavi"/>
    <s v="E11"/>
    <s v="Surgery"/>
    <s v="OPD"/>
    <n v="3220.21"/>
    <s v="UPI"/>
    <s v="No"/>
    <m/>
    <n v="7"/>
    <s v="Adult"/>
    <s v="Low"/>
    <s v="Short Days"/>
    <m/>
    <m/>
    <m/>
    <m/>
    <m/>
    <m/>
  </r>
  <r>
    <s v="VIS200714"/>
    <d v="2025-06-03T00:00:00"/>
    <s v="PAT5454"/>
    <s v="Rahul Kumar"/>
    <s v="Female"/>
    <n v="82"/>
    <s v="Jaipur"/>
    <s v="Rajasthan"/>
    <x v="5"/>
    <s v="Dr. Meena"/>
    <s v="H10"/>
    <s v="Observation"/>
    <s v="OPD"/>
    <n v="112.9"/>
    <s v="Credit Card"/>
    <s v="No"/>
    <m/>
    <n v="90"/>
    <s v="Senior"/>
    <s v="Low"/>
    <s v="Short Days"/>
    <m/>
    <m/>
    <m/>
    <m/>
    <m/>
    <m/>
  </r>
  <r>
    <s v="VIS201049"/>
    <d v="2024-09-23T00:00:00"/>
    <s v="PAT6535"/>
    <s v="Aarav Khan"/>
    <s v="Female"/>
    <n v="15"/>
    <s v="Hyderabad"/>
    <s v="Telangana"/>
    <x v="0"/>
    <s v="Dr. Nikhil"/>
    <s v="K21"/>
    <s v="Counselling"/>
    <s v="Emergency"/>
    <n v="11782.73"/>
    <s v="Credit Card"/>
    <s v="No"/>
    <m/>
    <n v="90"/>
    <s v="Child"/>
    <s v="High"/>
    <s v="Short Days"/>
    <m/>
    <m/>
    <m/>
    <m/>
    <m/>
    <m/>
  </r>
  <r>
    <s v="VIS202860"/>
    <d v="2024-06-28T00:00:00"/>
    <s v="PAT5723"/>
    <s v="Aarav Jose"/>
    <s v="Male"/>
    <n v="58"/>
    <s v="Noida"/>
    <s v="Uttar Pradesh"/>
    <x v="4"/>
    <s v="Dr. Bhavana"/>
    <s v="E11"/>
    <s v="Physiotherapy"/>
    <s v="Teleconsultation"/>
    <n v="6312.65"/>
    <s v="Cash"/>
    <s v="No"/>
    <m/>
    <n v="30"/>
    <s v="Middle-Aged"/>
    <s v="Medium"/>
    <s v="Short Days"/>
    <m/>
    <m/>
    <m/>
    <m/>
    <m/>
    <m/>
  </r>
  <r>
    <s v="VIS200879"/>
    <d v="2024-04-02T00:00:00"/>
    <s v="PAT5262"/>
    <s v="Vishal Reddy"/>
    <s v="Female"/>
    <n v="14"/>
    <s v="Jaipur"/>
    <s v="Rajasthan"/>
    <x v="1"/>
    <s v="Dr. Suri"/>
    <s v="L40"/>
    <s v="Minor Surgery"/>
    <s v="Teleconsultation"/>
    <n v="5350.2"/>
    <s v="Cash"/>
    <s v="No"/>
    <m/>
    <m/>
    <s v="Child"/>
    <s v="Medium"/>
    <s v="Short Days"/>
    <m/>
    <m/>
    <m/>
    <m/>
    <m/>
    <m/>
  </r>
  <r>
    <s v="VIS200064"/>
    <d v="2025-03-23T00:00:00"/>
    <s v="PAT6944"/>
    <s v="Karthik Jose"/>
    <s v="Male"/>
    <n v="5"/>
    <s v="Chennai"/>
    <s v="Tamil Nadu"/>
    <x v="1"/>
    <s v="Dr. Anu"/>
    <s v="H10"/>
    <s v="Minor Surgery"/>
    <s v="OPD"/>
    <n v="7292.89"/>
    <s v="Debit Card"/>
    <s v="No"/>
    <m/>
    <n v="30"/>
    <s v="Child"/>
    <s v="Medium"/>
    <s v="Short Days"/>
    <m/>
    <m/>
    <m/>
    <m/>
    <m/>
    <m/>
  </r>
  <r>
    <s v="VIS200278"/>
    <d v="2024-05-08T00:00:00"/>
    <s v="PAT5566"/>
    <s v="Ananya Sharma"/>
    <s v="Male"/>
    <n v="63"/>
    <s v="Pune"/>
    <s v="Maharashtra"/>
    <x v="8"/>
    <s v="Dr. Sneha"/>
    <s v="I10"/>
    <s v="Minor Procedure"/>
    <s v="OPD"/>
    <n v="9878.4599999999991"/>
    <s v="UPI"/>
    <s v="No"/>
    <m/>
    <m/>
    <s v="Senior"/>
    <s v="Medium"/>
    <s v="Short Days"/>
    <m/>
    <m/>
    <m/>
    <m/>
    <m/>
    <m/>
  </r>
  <r>
    <s v="VIS201824"/>
    <d v="2025-03-28T00:00:00"/>
    <s v="PAT5839"/>
    <s v="Deepa Bose"/>
    <s v="Male"/>
    <n v="44"/>
    <s v="Kolkata"/>
    <s v="West Bengal"/>
    <x v="4"/>
    <s v="Dr. Varun"/>
    <s v="H10"/>
    <s v="Minor Procedure"/>
    <s v="OPD"/>
    <n v="14054.77"/>
    <s v="Insurance"/>
    <s v="Yes"/>
    <m/>
    <n v="7"/>
    <s v="Middle-Aged"/>
    <s v="High"/>
    <s v="Short Days"/>
    <m/>
    <m/>
    <m/>
    <m/>
    <m/>
    <m/>
  </r>
  <r>
    <s v="VIS202165"/>
    <d v="2025-03-14T00:00:00"/>
    <s v="PAT6099"/>
    <s v="Shruti Iyer"/>
    <s v="Male"/>
    <n v="82"/>
    <s v="Coimbatore"/>
    <s v="Tamil Nadu"/>
    <x v="0"/>
    <s v="Dr. Shailesh"/>
    <s v="J45"/>
    <s v="Surgery"/>
    <s v="OPD"/>
    <n v="9324"/>
    <s v="Insurance"/>
    <s v="Yes"/>
    <m/>
    <n v="90"/>
    <s v="Senior"/>
    <s v="Medium"/>
    <s v="Short Days"/>
    <m/>
    <m/>
    <m/>
    <m/>
    <m/>
    <m/>
  </r>
  <r>
    <s v="VIS202086"/>
    <d v="2024-11-03T00:00:00"/>
    <s v="PAT5896"/>
    <s v="Aarav Jose"/>
    <s v="Male"/>
    <n v="40"/>
    <s v="Madurai"/>
    <s v="Tamil Nadu"/>
    <x v="2"/>
    <s v="Dr. Ramesh"/>
    <s v="E11"/>
    <s v="Minor Procedure"/>
    <s v="OPD"/>
    <n v="12406.86"/>
    <s v="Net Banking"/>
    <s v="No"/>
    <m/>
    <m/>
    <s v="Adult"/>
    <s v="High"/>
    <s v="Short Days"/>
    <m/>
    <m/>
    <m/>
    <m/>
    <m/>
    <m/>
  </r>
  <r>
    <s v="VIS201315"/>
    <d v="2024-08-06T00:00:00"/>
    <s v="PAT6763"/>
    <s v="Aarav Gupta"/>
    <s v="Female"/>
    <n v="8"/>
    <s v="Noida"/>
    <s v="Uttar Pradesh"/>
    <x v="5"/>
    <s v="Dr. Ravi"/>
    <s v="F41"/>
    <s v="Observation"/>
    <s v="Emergency"/>
    <n v="10388.16"/>
    <s v="Cash"/>
    <s v="No"/>
    <m/>
    <n v="90"/>
    <s v="Child"/>
    <s v="High"/>
    <s v="Short Days"/>
    <m/>
    <m/>
    <m/>
    <m/>
    <m/>
    <m/>
  </r>
  <r>
    <s v="VIS202448"/>
    <d v="2024-09-28T00:00:00"/>
    <s v="PAT6272"/>
    <s v="Ishaan Das"/>
    <s v="Female"/>
    <n v="5"/>
    <s v="Chennai"/>
    <s v="Tamil Nadu"/>
    <x v="0"/>
    <s v="Dr. Nikhil"/>
    <s v="N39"/>
    <s v="Medication"/>
    <s v="OPD"/>
    <n v="1828.11"/>
    <s v="Debit Card"/>
    <s v="No"/>
    <m/>
    <n v="30"/>
    <s v="Child"/>
    <s v="Low"/>
    <s v="Short Days"/>
    <m/>
    <m/>
    <m/>
    <m/>
    <m/>
    <m/>
  </r>
  <r>
    <s v="VIS201742"/>
    <d v="2025-09-09T00:00:00"/>
    <s v="PAT5284"/>
    <s v="Siddharth Jose"/>
    <s v="Other"/>
    <n v="35"/>
    <s v="Chennai"/>
    <s v="Tamil Nadu"/>
    <x v="7"/>
    <s v="Dr. Surya"/>
    <s v="F41"/>
    <s v="Medication"/>
    <s v="OPD"/>
    <n v="17865.310000000001"/>
    <s v="Insurance"/>
    <s v="Yes"/>
    <m/>
    <n v="7"/>
    <s v="Adult"/>
    <s v="High"/>
    <s v="Short Days"/>
    <m/>
    <m/>
    <m/>
    <m/>
    <m/>
    <m/>
  </r>
  <r>
    <s v="VIS200788"/>
    <d v="2024-12-16T00:00:00"/>
    <s v="PAT5321"/>
    <s v="Rohan Bose"/>
    <s v="Female"/>
    <n v="30"/>
    <s v="Noida"/>
    <s v="Uttar Pradesh"/>
    <x v="7"/>
    <s v="Dr. Leela"/>
    <s v="J00"/>
    <s v="Minor Procedure"/>
    <s v="OPD"/>
    <n v="6785.57"/>
    <s v="Debit Card"/>
    <s v="No"/>
    <m/>
    <n v="7"/>
    <s v="Adult"/>
    <s v="Medium"/>
    <s v="Short Days"/>
    <m/>
    <m/>
    <m/>
    <m/>
    <m/>
    <m/>
  </r>
  <r>
    <s v="VIS200943"/>
    <d v="2024-09-23T00:00:00"/>
    <s v="PAT5350"/>
    <s v="Aarav Gupta"/>
    <s v="Male"/>
    <n v="38"/>
    <s v="Ahmedabad"/>
    <s v="Gujarat"/>
    <x v="8"/>
    <s v="Dr. Kavitha"/>
    <s v="M54"/>
    <s v="Medication"/>
    <s v="OPD"/>
    <n v="3095.57"/>
    <s v="Credit Card"/>
    <s v="No"/>
    <m/>
    <n v="14"/>
    <s v="Adult"/>
    <s v="Low"/>
    <s v="Short Days"/>
    <m/>
    <m/>
    <m/>
    <m/>
    <m/>
    <m/>
  </r>
  <r>
    <s v="VIS200752"/>
    <d v="2024-08-29T00:00:00"/>
    <s v="PAT6962"/>
    <s v="Vivaan Kumar"/>
    <s v="Male"/>
    <n v="65"/>
    <s v="Kochi"/>
    <s v="Kerala"/>
    <x v="2"/>
    <s v="Dr. Manoj"/>
    <s v="F41"/>
    <s v="Counselling"/>
    <s v="Emergency"/>
    <n v="5759.93"/>
    <s v="Debit Card"/>
    <s v="No"/>
    <m/>
    <m/>
    <s v="Senior"/>
    <s v="Medium"/>
    <s v="Short Days"/>
    <m/>
    <m/>
    <m/>
    <m/>
    <m/>
    <m/>
  </r>
  <r>
    <s v="VIS202317"/>
    <d v="2025-02-25T00:00:00"/>
    <s v="PAT6925"/>
    <s v="Neha Mishra"/>
    <s v="Male"/>
    <n v="7"/>
    <s v="Delhi"/>
    <s v="Delhi"/>
    <x v="5"/>
    <s v="Dr. Karthik"/>
    <s v="L40"/>
    <s v="Medication"/>
    <s v="Teleconsultation"/>
    <n v="6189.94"/>
    <s v="Insurance"/>
    <s v="Yes"/>
    <m/>
    <m/>
    <s v="Child"/>
    <s v="Medium"/>
    <s v="Short Days"/>
    <m/>
    <m/>
    <m/>
    <m/>
    <m/>
    <m/>
  </r>
  <r>
    <s v="VIS200075"/>
    <d v="2025-08-18T00:00:00"/>
    <s v="PAT5755"/>
    <s v="Neha Kumar"/>
    <s v="Female"/>
    <n v="36"/>
    <s v="Delhi"/>
    <s v="Delhi"/>
    <x v="8"/>
    <s v="Dr. Kavitha"/>
    <s v="F41"/>
    <s v="Minor Procedure"/>
    <s v="Teleconsultation"/>
    <n v="10051.64"/>
    <s v="Cash"/>
    <s v="No"/>
    <m/>
    <n v="14"/>
    <s v="Adult"/>
    <s v="High"/>
    <s v="Short Days"/>
    <m/>
    <m/>
    <m/>
    <m/>
    <m/>
    <m/>
  </r>
  <r>
    <s v="VIS201858"/>
    <d v="2025-02-03T00:00:00"/>
    <s v="PAT6668"/>
    <s v="Aditya Nair"/>
    <s v="Female"/>
    <n v="11"/>
    <s v="Kolkata"/>
    <s v="West Bengal"/>
    <x v="5"/>
    <s v="Dr. Ravi"/>
    <s v="J00"/>
    <s v="Physiotherapy"/>
    <s v="OPD"/>
    <n v="14818.28"/>
    <s v="Insurance"/>
    <s v="Yes"/>
    <m/>
    <m/>
    <s v="Child"/>
    <s v="High"/>
    <s v="Short Days"/>
    <m/>
    <m/>
    <m/>
    <m/>
    <m/>
    <m/>
  </r>
  <r>
    <s v="VIS200376"/>
    <d v="2025-03-21T00:00:00"/>
    <s v="PAT5149"/>
    <s v="Siddharth Mishra"/>
    <s v="Male"/>
    <n v="37"/>
    <s v="Bengaluru"/>
    <s v="Karnataka"/>
    <x v="6"/>
    <s v="Dr. Lalitha"/>
    <s v="I10"/>
    <s v="Prescription Refill"/>
    <s v="OPD"/>
    <n v="2172.5100000000002"/>
    <s v="UPI"/>
    <s v="No"/>
    <m/>
    <m/>
    <s v="Adult"/>
    <s v="Low"/>
    <s v="Short Days"/>
    <m/>
    <m/>
    <m/>
    <m/>
    <m/>
    <m/>
  </r>
  <r>
    <s v="VIS201073"/>
    <d v="2024-01-01T00:00:00"/>
    <s v="PAT5163"/>
    <s v="Kavya Patel"/>
    <s v="Female"/>
    <n v="19"/>
    <s v="Bengaluru"/>
    <s v="Karnataka"/>
    <x v="5"/>
    <s v="Dr. Meena"/>
    <s v="J45"/>
    <s v="Minor Procedure"/>
    <s v="OPD"/>
    <n v="6757.3"/>
    <s v="Insurance"/>
    <s v="Yes"/>
    <m/>
    <n v="30"/>
    <s v="Adult"/>
    <s v="Medium"/>
    <s v="Short Days"/>
    <m/>
    <m/>
    <m/>
    <m/>
    <m/>
    <m/>
  </r>
  <r>
    <s v="VIS201754"/>
    <d v="2024-07-15T00:00:00"/>
    <s v="PAT6438"/>
    <s v="Anil Nair"/>
    <s v="Female"/>
    <n v="47"/>
    <s v="Hyderabad"/>
    <s v="Telangana"/>
    <x v="3"/>
    <s v="Dr. Anand"/>
    <s v="J45"/>
    <s v="Counselling"/>
    <s v="Teleconsultation"/>
    <n v="6014.21"/>
    <s v="UPI"/>
    <s v="No"/>
    <m/>
    <n v="7"/>
    <s v="Middle-Aged"/>
    <s v="Medium"/>
    <s v="Short Days"/>
    <m/>
    <m/>
    <m/>
    <m/>
    <m/>
    <m/>
  </r>
  <r>
    <s v="VIS201070"/>
    <d v="2024-01-29T00:00:00"/>
    <s v="PAT5090"/>
    <s v="Karthik Khan"/>
    <s v="Female"/>
    <n v="69"/>
    <s v="Ahmedabad"/>
    <s v="Gujarat"/>
    <x v="0"/>
    <s v="Dr. Shailesh"/>
    <s v="F41"/>
    <s v="Observation"/>
    <s v="OPD"/>
    <n v="3537.3"/>
    <s v="Cash"/>
    <s v="No"/>
    <m/>
    <n v="14"/>
    <s v="Senior"/>
    <s v="Low"/>
    <s v="Short Days"/>
    <m/>
    <m/>
    <m/>
    <m/>
    <m/>
    <m/>
  </r>
  <r>
    <s v="VIS202687"/>
    <d v="2025-07-16T00:00:00"/>
    <s v="PAT6262"/>
    <s v="Neha Singh"/>
    <s v="Male"/>
    <n v="20"/>
    <s v="Kolkata"/>
    <s v="West Bengal"/>
    <x v="4"/>
    <s v="Dr. Bhavana"/>
    <s v="L40"/>
    <s v="Minor Procedure"/>
    <s v="OPD"/>
    <n v="12628.26"/>
    <s v="Debit Card"/>
    <s v="No"/>
    <m/>
    <m/>
    <s v="Adult"/>
    <s v="High"/>
    <s v="Short Days"/>
    <m/>
    <m/>
    <m/>
    <m/>
    <m/>
    <m/>
  </r>
  <r>
    <s v="VIS202499"/>
    <d v="2024-01-04T00:00:00"/>
    <s v="PAT5059"/>
    <s v="Priya Nair"/>
    <s v="Male"/>
    <n v="50"/>
    <s v="Delhi"/>
    <s v="Delhi"/>
    <x v="2"/>
    <s v="Dr. Manoj"/>
    <s v="E11"/>
    <s v="Minor Procedure"/>
    <s v="OPD"/>
    <n v="243.41"/>
    <s v="Cash"/>
    <s v="No"/>
    <m/>
    <n v="7"/>
    <s v="Middle-Aged"/>
    <s v="Low"/>
    <s v="Short Days"/>
    <m/>
    <m/>
    <m/>
    <m/>
    <m/>
    <m/>
  </r>
  <r>
    <s v="VIS201027"/>
    <d v="2024-09-11T00:00:00"/>
    <s v="PAT6243"/>
    <s v="Aditya Khan"/>
    <s v="Male"/>
    <n v="22"/>
    <s v="Noida"/>
    <s v="Uttar Pradesh"/>
    <x v="5"/>
    <s v="Dr. Ravi"/>
    <s v="I10"/>
    <s v="Minor Surgery"/>
    <s v="OPD"/>
    <n v="1703.24"/>
    <s v="Net Banking"/>
    <s v="No"/>
    <m/>
    <n v="90"/>
    <s v="Adult"/>
    <s v="Low"/>
    <s v="Short Days"/>
    <m/>
    <m/>
    <m/>
    <m/>
    <m/>
    <m/>
  </r>
  <r>
    <s v="VIS200686"/>
    <d v="2024-12-17T00:00:00"/>
    <s v="PAT5162"/>
    <s v="Aarav Das"/>
    <s v="Female"/>
    <n v="55"/>
    <s v="Coimbatore"/>
    <s v="Tamil Nadu"/>
    <x v="4"/>
    <s v="Dr. Bhavana"/>
    <s v="E11"/>
    <s v="Prescription Refill"/>
    <s v="Emergency"/>
    <n v="6649.19"/>
    <s v="Credit Card"/>
    <s v="No"/>
    <m/>
    <n v="14"/>
    <s v="Middle-Aged"/>
    <s v="Medium"/>
    <s v="Short Days"/>
    <m/>
    <m/>
    <m/>
    <m/>
    <m/>
    <m/>
  </r>
  <r>
    <s v="VIS202247"/>
    <d v="2024-02-13T00:00:00"/>
    <s v="PAT6289"/>
    <s v="Neha Nagar"/>
    <s v="Male"/>
    <n v="25"/>
    <s v="Kolkata"/>
    <s v="West Bengal"/>
    <x v="7"/>
    <s v="Dr. Surya"/>
    <s v="F41"/>
    <s v="Observation"/>
    <s v="Teleconsultation"/>
    <n v="10777.7"/>
    <s v="UPI"/>
    <s v="No"/>
    <m/>
    <n v="14"/>
    <s v="Adult"/>
    <s v="High"/>
    <s v="Short Days"/>
    <m/>
    <m/>
    <m/>
    <m/>
    <m/>
    <m/>
  </r>
  <r>
    <s v="VIS201133"/>
    <d v="2024-01-14T00:00:00"/>
    <s v="PAT6049"/>
    <s v="Deepa Bose"/>
    <s v="Female"/>
    <n v="14"/>
    <s v="Mumbai"/>
    <s v="Maharashtra"/>
    <x v="7"/>
    <s v="Dr. Leela"/>
    <s v="J45"/>
    <s v="Prescription Refill"/>
    <s v="OPD"/>
    <n v="17488.04"/>
    <s v="UPI"/>
    <s v="No"/>
    <m/>
    <m/>
    <s v="Child"/>
    <s v="High"/>
    <s v="Short Days"/>
    <m/>
    <m/>
    <m/>
    <m/>
    <m/>
    <m/>
  </r>
  <r>
    <s v="VIS202729"/>
    <d v="2025-03-24T00:00:00"/>
    <s v="PAT5495"/>
    <s v="Manisha Singh"/>
    <s v="Male"/>
    <n v="22"/>
    <s v="Trichy"/>
    <s v="Tamil Nadu"/>
    <x v="7"/>
    <s v="Dr. Leela"/>
    <s v="K21"/>
    <s v="Prescription Refill"/>
    <s v="IPD"/>
    <n v="5676.76"/>
    <s v="UPI"/>
    <s v="No"/>
    <n v="6"/>
    <n v="30"/>
    <s v="Adult"/>
    <s v="Medium"/>
    <s v="Long Days"/>
    <m/>
    <m/>
    <m/>
    <m/>
    <m/>
    <m/>
  </r>
  <r>
    <s v="VIS201455"/>
    <d v="2024-12-30T00:00:00"/>
    <s v="PAT6825"/>
    <s v="Sangeetha Jose"/>
    <s v="Female"/>
    <n v="20"/>
    <s v="Kochi"/>
    <s v="Kerala"/>
    <x v="7"/>
    <s v="Dr. Surya"/>
    <s v="I10"/>
    <s v="Minor Procedure"/>
    <s v="Teleconsultation"/>
    <n v="5617.98"/>
    <s v="Insurance"/>
    <s v="Yes"/>
    <m/>
    <n v="14"/>
    <s v="Adult"/>
    <s v="Medium"/>
    <s v="Short Days"/>
    <m/>
    <m/>
    <m/>
    <m/>
    <m/>
    <m/>
  </r>
  <r>
    <s v="VIS201372"/>
    <d v="2024-06-17T00:00:00"/>
    <s v="PAT5004"/>
    <s v="Arjun Nair"/>
    <s v="Male"/>
    <n v="41"/>
    <s v="Trichy"/>
    <s v="Tamil Nadu"/>
    <x v="2"/>
    <s v="Dr. Ramesh"/>
    <s v="I10"/>
    <s v="Surgery"/>
    <s v="Teleconsultation"/>
    <n v="9802.2099999999991"/>
    <s v="Cash"/>
    <s v="No"/>
    <m/>
    <n v="14"/>
    <s v="Middle-Aged"/>
    <s v="Medium"/>
    <s v="Short Days"/>
    <m/>
    <m/>
    <m/>
    <m/>
    <m/>
    <m/>
  </r>
  <r>
    <s v="VIS202190"/>
    <d v="2024-01-07T00:00:00"/>
    <s v="PAT6235"/>
    <s v="Neha Gupta"/>
    <s v="Male"/>
    <n v="31"/>
    <s v="Kochi"/>
    <s v="Kerala"/>
    <x v="4"/>
    <s v="Dr. Varun"/>
    <s v="I10"/>
    <s v="Minor Procedure"/>
    <s v="Teleconsultation"/>
    <n v="5651.39"/>
    <s v="Cash"/>
    <s v="No"/>
    <m/>
    <n v="7"/>
    <s v="Adult"/>
    <s v="Medium"/>
    <s v="Short Days"/>
    <m/>
    <m/>
    <m/>
    <m/>
    <m/>
    <m/>
  </r>
  <r>
    <s v="VIS201941"/>
    <d v="2024-10-13T00:00:00"/>
    <s v="PAT5536"/>
    <s v="Rahul Bose"/>
    <s v="Male"/>
    <n v="63"/>
    <s v="Kolkata"/>
    <s v="West Bengal"/>
    <x v="9"/>
    <s v="Dr. Kusum"/>
    <s v="J00"/>
    <s v="Observation"/>
    <s v="OPD"/>
    <n v="4520.18"/>
    <s v="Cash"/>
    <s v="No"/>
    <m/>
    <m/>
    <s v="Senior"/>
    <s v="Low"/>
    <s v="Short Days"/>
    <m/>
    <m/>
    <m/>
    <m/>
    <m/>
    <m/>
  </r>
  <r>
    <s v="VIS202925"/>
    <d v="2024-02-13T00:00:00"/>
    <s v="PAT6026"/>
    <s v="Aditya Mishra"/>
    <s v="Male"/>
    <n v="51"/>
    <s v="Trichy"/>
    <s v="Tamil Nadu"/>
    <x v="6"/>
    <s v="Dr. Lalitha"/>
    <s v="L40"/>
    <s v="Counselling"/>
    <s v="OPD"/>
    <n v="5232.74"/>
    <s v="UPI"/>
    <s v="No"/>
    <m/>
    <n v="14"/>
    <s v="Middle-Aged"/>
    <s v="Medium"/>
    <s v="Short Days"/>
    <m/>
    <m/>
    <m/>
    <m/>
    <m/>
    <m/>
  </r>
  <r>
    <s v="VIS202203"/>
    <d v="2024-10-22T00:00:00"/>
    <s v="PAT5792"/>
    <s v="Neha Das"/>
    <s v="Female"/>
    <n v="63"/>
    <s v="Trichy"/>
    <s v="Tamil Nadu"/>
    <x v="5"/>
    <s v="Dr. Ravi"/>
    <s v="I10"/>
    <s v="Prescription Refill"/>
    <s v="OPD"/>
    <n v="5945.02"/>
    <s v="UPI"/>
    <s v="No"/>
    <m/>
    <n v="14"/>
    <s v="Senior"/>
    <s v="Medium"/>
    <s v="Short Days"/>
    <m/>
    <m/>
    <m/>
    <m/>
    <m/>
    <m/>
  </r>
  <r>
    <s v="VIS201627"/>
    <d v="2024-11-30T00:00:00"/>
    <s v="PAT6063"/>
    <s v="Anil Gupta"/>
    <s v="Male"/>
    <n v="37"/>
    <s v="Kochi"/>
    <s v="Kerala"/>
    <x v="5"/>
    <s v="Dr. Meena"/>
    <s v="M54"/>
    <s v="Prescription Refill"/>
    <s v="OPD"/>
    <n v="1253.46"/>
    <s v="Cash"/>
    <s v="No"/>
    <m/>
    <m/>
    <s v="Adult"/>
    <s v="Low"/>
    <s v="Short Days"/>
    <m/>
    <m/>
    <m/>
    <m/>
    <m/>
    <m/>
  </r>
  <r>
    <s v="VIS201721"/>
    <d v="2025-03-18T00:00:00"/>
    <s v="PAT5650"/>
    <s v="Aditya Khan"/>
    <s v="Male"/>
    <n v="42"/>
    <s v="Kolkata"/>
    <s v="West Bengal"/>
    <x v="0"/>
    <s v="Dr. Nikhil"/>
    <s v="N39"/>
    <s v="Physiotherapy"/>
    <s v="OPD"/>
    <n v="1190.31"/>
    <s v="Insurance"/>
    <s v="Yes"/>
    <m/>
    <n v="90"/>
    <s v="Middle-Aged"/>
    <s v="Low"/>
    <s v="Short Days"/>
    <m/>
    <m/>
    <m/>
    <m/>
    <m/>
    <m/>
  </r>
  <r>
    <s v="VIS201004"/>
    <d v="2024-12-11T00:00:00"/>
    <s v="PAT5750"/>
    <s v="Priya Jose"/>
    <s v="Male"/>
    <n v="43"/>
    <s v="Pune"/>
    <s v="Maharashtra"/>
    <x v="9"/>
    <s v="Dr. Kusum"/>
    <s v="J00"/>
    <s v="Counselling"/>
    <s v="OPD"/>
    <n v="1020.88"/>
    <s v="Credit Card"/>
    <s v="No"/>
    <m/>
    <n v="30"/>
    <s v="Middle-Aged"/>
    <s v="Low"/>
    <s v="Short Days"/>
    <m/>
    <m/>
    <m/>
    <m/>
    <m/>
    <m/>
  </r>
  <r>
    <s v="VIS201838"/>
    <d v="2025-02-05T00:00:00"/>
    <s v="PAT6237"/>
    <s v="Karthik Singh"/>
    <s v="Male"/>
    <n v="38"/>
    <s v="Hyderabad"/>
    <s v="Telangana"/>
    <x v="8"/>
    <s v="Dr. Sneha"/>
    <s v="I10"/>
    <s v="Prescription Refill"/>
    <s v="OPD"/>
    <n v="12932.46"/>
    <s v="Cash"/>
    <s v="No"/>
    <m/>
    <n v="14"/>
    <s v="Adult"/>
    <s v="High"/>
    <s v="Short Days"/>
    <m/>
    <m/>
    <m/>
    <m/>
    <m/>
    <m/>
  </r>
  <r>
    <s v="VIS201719"/>
    <d v="2024-02-09T00:00:00"/>
    <s v="PAT5962"/>
    <s v="Ishaan Nagar"/>
    <s v="Female"/>
    <n v="58"/>
    <s v="Noida"/>
    <s v="Uttar Pradesh"/>
    <x v="6"/>
    <s v="Dr. Priya"/>
    <s v="J45"/>
    <s v="Surgery"/>
    <s v="IPD"/>
    <n v="8846.6"/>
    <s v="Debit Card"/>
    <s v="No"/>
    <n v="7"/>
    <n v="14"/>
    <s v="Middle-Aged"/>
    <s v="Medium"/>
    <s v="Long Days"/>
    <m/>
    <m/>
    <m/>
    <m/>
    <m/>
    <m/>
  </r>
  <r>
    <s v="VIS201651"/>
    <d v="2024-12-28T00:00:00"/>
    <s v="PAT6684"/>
    <s v="Aishwarya Kumar"/>
    <s v="Male"/>
    <n v="35"/>
    <s v="Lucknow"/>
    <s v="Uttar Pradesh"/>
    <x v="6"/>
    <s v="Dr. Priya"/>
    <s v="N39"/>
    <s v="Minor Procedure"/>
    <s v="OPD"/>
    <n v="102.58"/>
    <s v="Insurance"/>
    <s v="Yes"/>
    <m/>
    <m/>
    <s v="Adult"/>
    <s v="Low"/>
    <s v="Short Days"/>
    <m/>
    <m/>
    <m/>
    <m/>
    <m/>
    <m/>
  </r>
  <r>
    <s v="VIS200917"/>
    <d v="2024-01-24T00:00:00"/>
    <s v="PAT6930"/>
    <s v="Siddharth Patel"/>
    <s v="Male"/>
    <n v="73"/>
    <s v="Trichy"/>
    <s v="Tamil Nadu"/>
    <x v="5"/>
    <s v="Dr. Karthik"/>
    <s v="F41"/>
    <s v="Counselling"/>
    <s v="OPD"/>
    <n v="4960.55"/>
    <s v="UPI"/>
    <s v="No"/>
    <m/>
    <n v="7"/>
    <s v="Senior"/>
    <s v="Low"/>
    <s v="Short Days"/>
    <m/>
    <m/>
    <m/>
    <m/>
    <m/>
    <m/>
  </r>
  <r>
    <s v="VIS202285"/>
    <d v="2024-10-25T00:00:00"/>
    <s v="PAT6767"/>
    <s v="Kavya Gupta"/>
    <s v="Male"/>
    <n v="33"/>
    <s v="Jaipur"/>
    <s v="Rajasthan"/>
    <x v="2"/>
    <s v="Dr. Manoj"/>
    <s v="E11"/>
    <s v="Counselling"/>
    <s v="IPD"/>
    <n v="5802.44"/>
    <s v="Credit Card"/>
    <s v="No"/>
    <n v="6"/>
    <m/>
    <s v="Adult"/>
    <s v="Medium"/>
    <s v="Long Days"/>
    <m/>
    <m/>
    <m/>
    <m/>
    <m/>
    <m/>
  </r>
  <r>
    <s v="VIS202670"/>
    <d v="2025-10-03T00:00:00"/>
    <s v="PAT6529"/>
    <s v="Ananya Khan"/>
    <s v="Male"/>
    <n v="8"/>
    <s v="Jaipur"/>
    <s v="Rajasthan"/>
    <x v="2"/>
    <s v="Dr. Manoj"/>
    <s v="M54"/>
    <s v="Counselling"/>
    <s v="OPD"/>
    <n v="6753.01"/>
    <s v="Cash"/>
    <s v="No"/>
    <m/>
    <n v="14"/>
    <s v="Child"/>
    <s v="Medium"/>
    <s v="Short Days"/>
    <m/>
    <m/>
    <m/>
    <m/>
    <m/>
    <m/>
  </r>
  <r>
    <s v="VIS200483"/>
    <d v="2025-07-17T00:00:00"/>
    <s v="PAT5992"/>
    <s v="Arjun Bose"/>
    <s v="Female"/>
    <n v="39"/>
    <s v="Madurai"/>
    <s v="Tamil Nadu"/>
    <x v="9"/>
    <s v="Dr. Arvind"/>
    <s v="I10"/>
    <s v="Physiotherapy"/>
    <s v="OPD"/>
    <n v="6557.14"/>
    <s v="Net Banking"/>
    <s v="No"/>
    <m/>
    <n v="7"/>
    <s v="Adult"/>
    <s v="Medium"/>
    <s v="Short Days"/>
    <m/>
    <m/>
    <m/>
    <m/>
    <m/>
    <m/>
  </r>
  <r>
    <s v="VIS202406"/>
    <d v="2025-01-30T00:00:00"/>
    <s v="PAT6719"/>
    <s v="Karthik Kumar"/>
    <s v="Male"/>
    <n v="33"/>
    <s v="Jaipur"/>
    <s v="Rajasthan"/>
    <x v="8"/>
    <s v="Dr. Sneha"/>
    <s v="J00"/>
    <s v="Minor Procedure"/>
    <s v="OPD"/>
    <n v="795.62"/>
    <s v="UPI"/>
    <s v="No"/>
    <m/>
    <n v="90"/>
    <s v="Adult"/>
    <s v="Low"/>
    <s v="Short Days"/>
    <m/>
    <m/>
    <m/>
    <m/>
    <m/>
    <m/>
  </r>
  <r>
    <s v="VIS202351"/>
    <d v="2024-02-01T00:00:00"/>
    <s v="PAT5662"/>
    <s v="Ishaan Iyer"/>
    <s v="Male"/>
    <n v="44"/>
    <s v="Bengaluru"/>
    <s v="Karnataka"/>
    <x v="2"/>
    <s v="Dr. Manoj"/>
    <s v="J45"/>
    <s v="Observation"/>
    <s v="OPD"/>
    <n v="5528.64"/>
    <s v="Insurance"/>
    <s v="Yes"/>
    <m/>
    <n v="30"/>
    <s v="Middle-Aged"/>
    <s v="Medium"/>
    <s v="Short Days"/>
    <m/>
    <m/>
    <m/>
    <m/>
    <m/>
    <m/>
  </r>
  <r>
    <s v="VIS201288"/>
    <d v="2024-01-01T00:00:00"/>
    <s v="PAT5375"/>
    <s v="Shruti Khan"/>
    <s v="Female"/>
    <n v="43"/>
    <s v="Coimbatore"/>
    <s v="Tamil Nadu"/>
    <x v="0"/>
    <s v="Dr. Nikhil"/>
    <s v="I10"/>
    <s v="Medication"/>
    <s v="OPD"/>
    <n v="9111.1299999999992"/>
    <s v="Credit Card"/>
    <s v="No"/>
    <m/>
    <n v="90"/>
    <s v="Middle-Aged"/>
    <s v="Medium"/>
    <s v="Short Days"/>
    <m/>
    <m/>
    <m/>
    <m/>
    <m/>
    <m/>
  </r>
  <r>
    <s v="VIS202079"/>
    <d v="2024-02-26T00:00:00"/>
    <s v="PAT6384"/>
    <s v="Rahul Das"/>
    <s v="Male"/>
    <n v="44"/>
    <s v="Lucknow"/>
    <s v="Uttar Pradesh"/>
    <x v="6"/>
    <s v="Dr. Lalitha"/>
    <s v="K21"/>
    <s v="Surgery"/>
    <s v="Teleconsultation"/>
    <n v="17879.95"/>
    <s v="Credit Card"/>
    <s v="No"/>
    <m/>
    <n v="7"/>
    <s v="Middle-Aged"/>
    <s v="High"/>
    <s v="Short Days"/>
    <m/>
    <m/>
    <m/>
    <m/>
    <m/>
    <m/>
  </r>
  <r>
    <s v="VIS201675"/>
    <d v="2025-10-17T00:00:00"/>
    <s v="PAT5906"/>
    <s v="Vishal Gupta"/>
    <s v="Female"/>
    <n v="60"/>
    <s v="Lucknow"/>
    <s v="Uttar Pradesh"/>
    <x v="7"/>
    <s v="Dr. Surya"/>
    <s v="F41"/>
    <s v="Physiotherapy"/>
    <s v="Emergency"/>
    <n v="10520.76"/>
    <s v="Cash"/>
    <s v="No"/>
    <m/>
    <n v="14"/>
    <s v="Middle-Aged"/>
    <s v="High"/>
    <s v="Short Days"/>
    <m/>
    <m/>
    <m/>
    <m/>
    <m/>
    <m/>
  </r>
  <r>
    <s v="VIS201192"/>
    <d v="2024-12-17T00:00:00"/>
    <s v="PAT5132"/>
    <s v="Rohan Das"/>
    <s v="Female"/>
    <n v="37"/>
    <s v="Kochi"/>
    <s v="Kerala"/>
    <x v="7"/>
    <s v="Dr. Leela"/>
    <s v="H10"/>
    <s v="Physiotherapy"/>
    <s v="Teleconsultation"/>
    <n v="7501.05"/>
    <s v="Credit Card"/>
    <s v="No"/>
    <m/>
    <n v="30"/>
    <s v="Adult"/>
    <s v="Medium"/>
    <s v="Short Days"/>
    <m/>
    <m/>
    <m/>
    <m/>
    <m/>
    <m/>
  </r>
  <r>
    <s v="VIS200448"/>
    <d v="2025-08-03T00:00:00"/>
    <s v="PAT6619"/>
    <s v="Aditya Nair"/>
    <s v="Male"/>
    <n v="25"/>
    <s v="Lucknow"/>
    <s v="Uttar Pradesh"/>
    <x v="0"/>
    <s v="Dr. Shailesh"/>
    <s v="E11"/>
    <s v="Minor Procedure"/>
    <s v="OPD"/>
    <n v="142.09"/>
    <s v="Cash"/>
    <s v="No"/>
    <m/>
    <m/>
    <s v="Adult"/>
    <s v="Low"/>
    <s v="Short Days"/>
    <m/>
    <m/>
    <m/>
    <m/>
    <m/>
    <m/>
  </r>
  <r>
    <s v="VIS201282"/>
    <d v="2025-01-12T00:00:00"/>
    <s v="PAT5249"/>
    <s v="Ananya Jose"/>
    <s v="Female"/>
    <n v="63"/>
    <s v="Madurai"/>
    <s v="Tamil Nadu"/>
    <x v="8"/>
    <s v="Dr. Kavitha"/>
    <s v="J45"/>
    <s v="Minor Surgery"/>
    <s v="OPD"/>
    <n v="819.38"/>
    <s v="UPI"/>
    <s v="No"/>
    <m/>
    <n v="14"/>
    <s v="Senior"/>
    <s v="Low"/>
    <s v="Short Days"/>
    <m/>
    <m/>
    <m/>
    <m/>
    <m/>
    <m/>
  </r>
  <r>
    <s v="VIS202284"/>
    <d v="2024-12-15T00:00:00"/>
    <s v="PAT6748"/>
    <s v="Karthik Reddy"/>
    <s v="Female"/>
    <n v="57"/>
    <s v="Noida"/>
    <s v="Uttar Pradesh"/>
    <x v="9"/>
    <s v="Dr. Arvind"/>
    <s v="M54"/>
    <s v="Counselling"/>
    <s v="OPD"/>
    <n v="350.43"/>
    <s v="Insurance"/>
    <s v="Yes"/>
    <m/>
    <n v="7"/>
    <s v="Middle-Aged"/>
    <s v="Low"/>
    <s v="Short Days"/>
    <m/>
    <m/>
    <m/>
    <m/>
    <m/>
    <m/>
  </r>
  <r>
    <s v="VIS200289"/>
    <d v="2025-02-22T00:00:00"/>
    <s v="PAT6528"/>
    <s v="Rohan Khan"/>
    <s v="Female"/>
    <n v="63"/>
    <s v="Chennai"/>
    <s v="Tamil Nadu"/>
    <x v="0"/>
    <s v="Dr. Shailesh"/>
    <s v="H10"/>
    <s v="Surgery"/>
    <s v="OPD"/>
    <n v="4595.6499999999996"/>
    <s v="Debit Card"/>
    <s v="No"/>
    <m/>
    <n v="7"/>
    <s v="Senior"/>
    <s v="Low"/>
    <s v="Short Days"/>
    <m/>
    <m/>
    <m/>
    <m/>
    <m/>
    <m/>
  </r>
  <r>
    <s v="VIS200308"/>
    <d v="2024-12-13T00:00:00"/>
    <s v="PAT6487"/>
    <s v="Priya Gupta"/>
    <s v="Female"/>
    <n v="41"/>
    <s v="Ahmedabad"/>
    <s v="Gujarat"/>
    <x v="5"/>
    <s v="Dr. Ravi"/>
    <s v="J00"/>
    <s v="Observation"/>
    <s v="OPD"/>
    <n v="2181.08"/>
    <s v="Insurance"/>
    <s v="Yes"/>
    <m/>
    <m/>
    <s v="Middle-Aged"/>
    <s v="Low"/>
    <s v="Short Days"/>
    <m/>
    <m/>
    <m/>
    <m/>
    <m/>
    <m/>
  </r>
  <r>
    <s v="VIS202080"/>
    <d v="2024-05-09T00:00:00"/>
    <s v="PAT5958"/>
    <s v="Siddharth Sharma"/>
    <s v="Male"/>
    <n v="27"/>
    <s v="Hyderabad"/>
    <s v="Telangana"/>
    <x v="9"/>
    <s v="Dr. Arvind"/>
    <s v="I10"/>
    <s v="Medication"/>
    <s v="OPD"/>
    <n v="3185.32"/>
    <s v="Debit Card"/>
    <s v="No"/>
    <m/>
    <m/>
    <s v="Adult"/>
    <s v="Low"/>
    <s v="Short Days"/>
    <m/>
    <m/>
    <m/>
    <m/>
    <m/>
    <m/>
  </r>
  <r>
    <s v="VIS201135"/>
    <d v="2024-09-04T00:00:00"/>
    <s v="PAT5432"/>
    <s v="Karthik Kumar"/>
    <s v="Female"/>
    <n v="50"/>
    <s v="Lucknow"/>
    <s v="Uttar Pradesh"/>
    <x v="5"/>
    <s v="Dr. Karthik"/>
    <s v="M54"/>
    <s v="Minor Procedure"/>
    <s v="OPD"/>
    <n v="3291.07"/>
    <s v="UPI"/>
    <s v="No"/>
    <m/>
    <n v="14"/>
    <s v="Middle-Aged"/>
    <s v="Low"/>
    <s v="Short Days"/>
    <m/>
    <m/>
    <m/>
    <m/>
    <m/>
    <m/>
  </r>
  <r>
    <s v="VIS202764"/>
    <d v="2025-10-05T00:00:00"/>
    <s v="PAT5904"/>
    <s v="Ishaan Bose"/>
    <s v="Male"/>
    <n v="41"/>
    <s v="Kochi"/>
    <s v="Kerala"/>
    <x v="1"/>
    <s v="Dr. Suri"/>
    <s v="J00"/>
    <s v="Minor Surgery"/>
    <s v="Emergency"/>
    <n v="6318.29"/>
    <s v="UPI"/>
    <s v="No"/>
    <m/>
    <m/>
    <s v="Middle-Aged"/>
    <s v="Medium"/>
    <s v="Short Days"/>
    <m/>
    <m/>
    <m/>
    <m/>
    <m/>
    <m/>
  </r>
  <r>
    <s v="VIS201370"/>
    <d v="2025-07-26T00:00:00"/>
    <s v="PAT6841"/>
    <s v="Deepa Bose"/>
    <s v="Male"/>
    <n v="41"/>
    <s v="Lucknow"/>
    <s v="Uttar Pradesh"/>
    <x v="2"/>
    <s v="Dr. Manoj"/>
    <s v="H10"/>
    <s v="Counselling"/>
    <s v="Teleconsultation"/>
    <n v="7234.97"/>
    <s v="Net Banking"/>
    <s v="No"/>
    <m/>
    <m/>
    <s v="Middle-Aged"/>
    <s v="Medium"/>
    <s v="Short Days"/>
    <m/>
    <m/>
    <m/>
    <m/>
    <m/>
    <m/>
  </r>
  <r>
    <s v="VIS202612"/>
    <d v="2024-10-15T00:00:00"/>
    <s v="PAT5000"/>
    <s v="Vishal Jose"/>
    <s v="Female"/>
    <n v="38"/>
    <s v="Chennai"/>
    <s v="Tamil Nadu"/>
    <x v="4"/>
    <s v="Dr. Varun"/>
    <s v="M54"/>
    <s v="Minor Procedure"/>
    <s v="Teleconsultation"/>
    <n v="5605.29"/>
    <s v="Cash"/>
    <s v="No"/>
    <m/>
    <m/>
    <s v="Adult"/>
    <s v="Medium"/>
    <s v="Short Days"/>
    <m/>
    <m/>
    <m/>
    <m/>
    <m/>
    <m/>
  </r>
  <r>
    <s v="VIS202724"/>
    <d v="2025-01-09T00:00:00"/>
    <s v="PAT5229"/>
    <s v="Vishal Mishra"/>
    <s v="Female"/>
    <n v="46"/>
    <s v="Hyderabad"/>
    <s v="Telangana"/>
    <x v="4"/>
    <s v="Dr. Bhavana"/>
    <s v="F41"/>
    <s v="Medication"/>
    <s v="OPD"/>
    <n v="6232"/>
    <s v="UPI"/>
    <s v="No"/>
    <m/>
    <n v="14"/>
    <s v="Middle-Aged"/>
    <s v="Medium"/>
    <s v="Short Days"/>
    <m/>
    <m/>
    <m/>
    <m/>
    <m/>
    <m/>
  </r>
  <r>
    <s v="VIS202944"/>
    <d v="2024-09-13T00:00:00"/>
    <s v="PAT5178"/>
    <s v="Anil Khan"/>
    <s v="Female"/>
    <n v="23"/>
    <s v="Delhi"/>
    <s v="Delhi"/>
    <x v="7"/>
    <s v="Dr. Leela"/>
    <s v="K21"/>
    <s v="Counselling"/>
    <s v="OPD"/>
    <n v="3133.26"/>
    <s v="Credit Card"/>
    <s v="No"/>
    <m/>
    <n v="30"/>
    <s v="Adult"/>
    <s v="Low"/>
    <s v="Short Days"/>
    <m/>
    <m/>
    <m/>
    <m/>
    <m/>
    <m/>
  </r>
  <r>
    <s v="VIS200130"/>
    <d v="2025-07-07T00:00:00"/>
    <s v="PAT5122"/>
    <s v="Vishal Jose"/>
    <s v="Male"/>
    <n v="50"/>
    <s v="Delhi"/>
    <s v="Delhi"/>
    <x v="1"/>
    <s v="Dr. Suri"/>
    <s v="J00"/>
    <s v="Prescription Refill"/>
    <s v="OPD"/>
    <n v="16063.19"/>
    <s v="Cash"/>
    <s v="No"/>
    <m/>
    <n v="30"/>
    <s v="Middle-Aged"/>
    <s v="High"/>
    <s v="Short Days"/>
    <m/>
    <m/>
    <m/>
    <m/>
    <m/>
    <m/>
  </r>
  <r>
    <s v="VIS202078"/>
    <d v="2024-06-23T00:00:00"/>
    <s v="PAT6020"/>
    <s v="Rohan Mishra"/>
    <s v="Male"/>
    <n v="62"/>
    <s v="Coimbatore"/>
    <s v="Tamil Nadu"/>
    <x v="8"/>
    <s v="Dr. Sneha"/>
    <s v="F41"/>
    <s v="Minor Procedure"/>
    <s v="OPD"/>
    <n v="4201.01"/>
    <s v="Insurance"/>
    <s v="Yes"/>
    <m/>
    <n v="7"/>
    <s v="Senior"/>
    <s v="Low"/>
    <s v="Short Days"/>
    <m/>
    <m/>
    <m/>
    <m/>
    <m/>
    <m/>
  </r>
  <r>
    <s v="VIS201287"/>
    <d v="2024-11-27T00:00:00"/>
    <s v="PAT5921"/>
    <s v="Sangeetha Nagar"/>
    <s v="Male"/>
    <n v="61"/>
    <s v="Ahmedabad"/>
    <s v="Gujarat"/>
    <x v="3"/>
    <s v="Dr. Anand"/>
    <s v="I10"/>
    <s v="Physiotherapy"/>
    <s v="OPD"/>
    <n v="745.54"/>
    <s v="Debit Card"/>
    <s v="No"/>
    <m/>
    <m/>
    <s v="Senior"/>
    <s v="Low"/>
    <s v="Short Days"/>
    <m/>
    <m/>
    <m/>
    <m/>
    <m/>
    <m/>
  </r>
  <r>
    <s v="VIS200661"/>
    <d v="2024-05-24T00:00:00"/>
    <s v="PAT6326"/>
    <s v="Vivaan Nagar"/>
    <s v="Female"/>
    <n v="58"/>
    <s v="Trichy"/>
    <s v="Tamil Nadu"/>
    <x v="3"/>
    <s v="Dr. Anand"/>
    <s v="E11"/>
    <s v="Physiotherapy"/>
    <s v="OPD"/>
    <n v="2521.96"/>
    <s v="Insurance"/>
    <s v="Yes"/>
    <m/>
    <m/>
    <s v="Middle-Aged"/>
    <s v="Low"/>
    <s v="Short Days"/>
    <m/>
    <m/>
    <m/>
    <m/>
    <m/>
    <m/>
  </r>
  <r>
    <s v="VIS202369"/>
    <d v="2024-09-09T00:00:00"/>
    <s v="PAT6602"/>
    <s v="Vivaan Nair"/>
    <s v="Male"/>
    <n v="63"/>
    <s v="Madurai"/>
    <s v="Tamil Nadu"/>
    <x v="7"/>
    <s v="Dr. Surya"/>
    <s v="M54"/>
    <s v="Surgery"/>
    <s v="IPD"/>
    <n v="6077.07"/>
    <s v="Debit Card"/>
    <s v="No"/>
    <n v="7"/>
    <m/>
    <s v="Senior"/>
    <s v="Medium"/>
    <s v="Long Days"/>
    <m/>
    <m/>
    <m/>
    <m/>
    <m/>
    <m/>
  </r>
  <r>
    <s v="VIS200310"/>
    <d v="2024-03-12T00:00:00"/>
    <s v="PAT5461"/>
    <s v="Karthik Bose"/>
    <s v="Male"/>
    <n v="23"/>
    <s v="Delhi"/>
    <s v="Delhi"/>
    <x v="0"/>
    <s v="Dr. Nikhil"/>
    <s v="K21"/>
    <s v="Observation"/>
    <s v="Teleconsultation"/>
    <n v="9058.07"/>
    <s v="Insurance"/>
    <s v="Yes"/>
    <m/>
    <n v="14"/>
    <s v="Adult"/>
    <s v="Medium"/>
    <s v="Short Days"/>
    <m/>
    <m/>
    <m/>
    <m/>
    <m/>
    <m/>
  </r>
  <r>
    <s v="VIS202608"/>
    <d v="2024-08-24T00:00:00"/>
    <s v="PAT6438"/>
    <s v="Vivaan Singh"/>
    <s v="Female"/>
    <n v="73"/>
    <s v="Coimbatore"/>
    <s v="Tamil Nadu"/>
    <x v="5"/>
    <s v="Dr. Karthik"/>
    <s v="L40"/>
    <s v="Counselling"/>
    <s v="Teleconsultation"/>
    <n v="6626.2"/>
    <s v="UPI"/>
    <s v="No"/>
    <m/>
    <m/>
    <s v="Senior"/>
    <s v="Medium"/>
    <s v="Short Days"/>
    <m/>
    <m/>
    <m/>
    <m/>
    <m/>
    <m/>
  </r>
  <r>
    <s v="VIS201244"/>
    <d v="2024-01-03T00:00:00"/>
    <s v="PAT5100"/>
    <s v="Arjun Jose"/>
    <s v="Male"/>
    <n v="65"/>
    <s v="Ahmedabad"/>
    <s v="Gujarat"/>
    <x v="1"/>
    <s v="Dr. Anu"/>
    <s v="H10"/>
    <s v="Prescription Refill"/>
    <s v="OPD"/>
    <n v="3571.73"/>
    <s v="Credit Card"/>
    <s v="No"/>
    <m/>
    <n v="30"/>
    <s v="Senior"/>
    <s v="Low"/>
    <s v="Short Days"/>
    <m/>
    <m/>
    <m/>
    <m/>
    <m/>
    <m/>
  </r>
  <r>
    <s v="VIS202628"/>
    <d v="2025-04-11T00:00:00"/>
    <s v="PAT6241"/>
    <s v="Sangeetha Gupta"/>
    <s v="Female"/>
    <n v="69"/>
    <s v="Bengaluru"/>
    <s v="Karnataka"/>
    <x v="7"/>
    <s v="Dr. Surya"/>
    <s v="L40"/>
    <s v="Minor Procedure"/>
    <s v="OPD"/>
    <n v="16423.939999999999"/>
    <s v="Insurance"/>
    <s v="Yes"/>
    <m/>
    <n v="30"/>
    <s v="Senior"/>
    <s v="High"/>
    <s v="Short Days"/>
    <m/>
    <m/>
    <m/>
    <m/>
    <m/>
    <m/>
  </r>
  <r>
    <s v="VIS200781"/>
    <d v="2025-08-04T00:00:00"/>
    <s v="PAT6411"/>
    <s v="Sangeetha Bose"/>
    <s v="Male"/>
    <n v="31"/>
    <s v="Kochi"/>
    <s v="Kerala"/>
    <x v="6"/>
    <s v="Dr. Lalitha"/>
    <s v="J45"/>
    <s v="Surgery"/>
    <s v="OPD"/>
    <n v="138.32"/>
    <s v="Cash"/>
    <s v="No"/>
    <m/>
    <n v="7"/>
    <s v="Adult"/>
    <s v="Low"/>
    <s v="Short Days"/>
    <m/>
    <m/>
    <m/>
    <m/>
    <m/>
    <m/>
  </r>
  <r>
    <s v="VIS202591"/>
    <d v="2025-09-23T00:00:00"/>
    <s v="PAT5830"/>
    <s v="Rohan Jose"/>
    <s v="Female"/>
    <n v="36"/>
    <s v="Kolkata"/>
    <s v="West Bengal"/>
    <x v="4"/>
    <s v="Dr. Bhavana"/>
    <s v="H10"/>
    <s v="Medication"/>
    <s v="OPD"/>
    <n v="1122"/>
    <s v="Insurance"/>
    <s v="Yes"/>
    <m/>
    <n v="14"/>
    <s v="Adult"/>
    <s v="Low"/>
    <s v="Short Days"/>
    <m/>
    <m/>
    <m/>
    <m/>
    <m/>
    <m/>
  </r>
  <r>
    <s v="VIS200578"/>
    <d v="2025-08-07T00:00:00"/>
    <s v="PAT6532"/>
    <s v="Vivaan Nagar"/>
    <s v="Female"/>
    <n v="48"/>
    <s v="Kochi"/>
    <s v="Kerala"/>
    <x v="0"/>
    <s v="Dr. Nikhil"/>
    <s v="I10"/>
    <s v="Counselling"/>
    <s v="Emergency"/>
    <n v="7491.61"/>
    <s v="Net Banking"/>
    <s v="No"/>
    <m/>
    <n v="7"/>
    <s v="Middle-Aged"/>
    <s v="Medium"/>
    <s v="Short Days"/>
    <m/>
    <m/>
    <m/>
    <m/>
    <m/>
    <m/>
  </r>
  <r>
    <s v="VIS201663"/>
    <d v="2024-03-27T00:00:00"/>
    <s v="PAT6580"/>
    <s v="Aishwarya Nagar"/>
    <s v="Female"/>
    <n v="54"/>
    <s v="Ahmedabad"/>
    <s v="Gujarat"/>
    <x v="6"/>
    <s v="Dr. Priya"/>
    <s v="L40"/>
    <s v="Surgery"/>
    <s v="OPD"/>
    <n v="203.88"/>
    <s v="Debit Card"/>
    <s v="No"/>
    <m/>
    <n v="7"/>
    <s v="Middle-Aged"/>
    <s v="Low"/>
    <s v="Short Days"/>
    <m/>
    <m/>
    <m/>
    <m/>
    <m/>
    <m/>
  </r>
  <r>
    <s v="VIS202051"/>
    <d v="2024-07-29T00:00:00"/>
    <s v="PAT6248"/>
    <s v="Rohan Patel"/>
    <s v="Male"/>
    <n v="63.5"/>
    <s v="Delhi"/>
    <s v="Uttar Pradesh"/>
    <x v="0"/>
    <s v="Dr. Nikhil"/>
    <s v="Z111"/>
    <s v="Observation"/>
    <s v="OPD"/>
    <n v="3900.47"/>
    <s v="Credit Card"/>
    <s v="No"/>
    <m/>
    <n v="30"/>
    <s v="Senior"/>
    <s v="Low"/>
    <s v="Short Days"/>
    <m/>
    <m/>
    <m/>
    <m/>
    <m/>
    <m/>
  </r>
  <r>
    <s v="VIS202066"/>
    <d v="2024-06-14T00:00:00"/>
    <s v="PAT6899"/>
    <s v="Vishal Gupta"/>
    <s v="Male"/>
    <n v="58"/>
    <s v="Chennai"/>
    <s v="Tamil Nadu"/>
    <x v="7"/>
    <s v="Dr. Leela"/>
    <s v="K21"/>
    <s v="Medication"/>
    <s v="OPD"/>
    <n v="21845.94"/>
    <s v="Credit Card"/>
    <s v="No"/>
    <m/>
    <n v="14"/>
    <s v="Middle-Aged"/>
    <s v="High"/>
    <s v="Short Days"/>
    <m/>
    <m/>
    <m/>
    <m/>
    <m/>
    <m/>
  </r>
  <r>
    <s v="VIS202145"/>
    <d v="2024-10-05T00:00:00"/>
    <s v="PAT5324"/>
    <s v="Aishwarya Mishra"/>
    <s v="Female"/>
    <n v="62"/>
    <s v="Hyderabad"/>
    <s v="Telangana"/>
    <x v="2"/>
    <s v="Dr. Ramesh"/>
    <s v="E11"/>
    <s v="Medication"/>
    <s v="OPD"/>
    <n v="1083.1500000000001"/>
    <s v="Credit Card"/>
    <s v="No"/>
    <m/>
    <m/>
    <s v="Senior"/>
    <s v="Low"/>
    <s v="Short Days"/>
    <m/>
    <m/>
    <m/>
    <m/>
    <m/>
    <m/>
  </r>
  <r>
    <s v="VIS200815"/>
    <d v="2024-09-08T00:00:00"/>
    <s v="PAT6813"/>
    <s v="Kavya Iyer"/>
    <s v="Male"/>
    <n v="51"/>
    <s v="Hyderabad"/>
    <s v="Telangana"/>
    <x v="0"/>
    <s v="Dr. Shailesh"/>
    <s v="L40"/>
    <s v="Physiotherapy"/>
    <s v="OPD"/>
    <n v="1955.73"/>
    <s v="Cash"/>
    <s v="No"/>
    <m/>
    <n v="90"/>
    <s v="Middle-Aged"/>
    <s v="Low"/>
    <s v="Short Days"/>
    <m/>
    <m/>
    <m/>
    <m/>
    <m/>
    <m/>
  </r>
  <r>
    <s v="VIS202836"/>
    <d v="2024-07-15T00:00:00"/>
    <s v="PAT6822"/>
    <s v="Ishaan Gupta"/>
    <s v="Female"/>
    <n v="57"/>
    <s v="Bengaluru"/>
    <s v="Karnataka"/>
    <x v="9"/>
    <s v="Dr. Arvind"/>
    <s v="N39"/>
    <s v="Counselling"/>
    <s v="Teleconsultation"/>
    <n v="5012.7"/>
    <s v="Cash"/>
    <s v="No"/>
    <m/>
    <n v="7"/>
    <s v="Middle-Aged"/>
    <s v="Medium"/>
    <s v="Short Days"/>
    <m/>
    <m/>
    <m/>
    <m/>
    <m/>
    <m/>
  </r>
  <r>
    <s v="VIS200633"/>
    <d v="2025-06-03T00:00:00"/>
    <s v="PAT6445"/>
    <s v="Manisha Nagar"/>
    <s v="Female"/>
    <n v="67"/>
    <s v="Trichy"/>
    <s v="Tamil Nadu"/>
    <x v="1"/>
    <s v="Dr. Anu"/>
    <s v="L40"/>
    <s v="Medication"/>
    <s v="OPD"/>
    <n v="15166.76"/>
    <s v="Debit Card"/>
    <s v="No"/>
    <m/>
    <m/>
    <s v="Senior"/>
    <s v="High"/>
    <s v="Short Days"/>
    <m/>
    <m/>
    <m/>
    <m/>
    <m/>
    <m/>
  </r>
  <r>
    <s v="VIS201200"/>
    <d v="2025-10-08T00:00:00"/>
    <s v="PAT6940"/>
    <s v="Neha Kumar"/>
    <s v="Male"/>
    <n v="37"/>
    <s v="Lucknow"/>
    <s v="Uttar Pradesh"/>
    <x v="9"/>
    <s v="Dr. Kusum"/>
    <s v="L40"/>
    <s v="Minor Procedure"/>
    <s v="OPD"/>
    <n v="4207.6899999999996"/>
    <s v="UPI"/>
    <s v="No"/>
    <m/>
    <n v="7"/>
    <s v="Adult"/>
    <s v="Low"/>
    <s v="Short Days"/>
    <m/>
    <m/>
    <m/>
    <m/>
    <m/>
    <m/>
  </r>
  <r>
    <s v="VIS200318"/>
    <d v="2024-08-09T00:00:00"/>
    <s v="PAT5701"/>
    <s v="Deepa Khan"/>
    <s v="Male"/>
    <n v="27"/>
    <s v="Pune"/>
    <s v="Maharashtra"/>
    <x v="5"/>
    <s v="Dr. Meena"/>
    <s v="H10"/>
    <s v="Observation"/>
    <s v="OPD"/>
    <n v="1142.7"/>
    <s v="Cash"/>
    <s v="No"/>
    <m/>
    <n v="90"/>
    <s v="Adult"/>
    <s v="Low"/>
    <s v="Short Days"/>
    <m/>
    <m/>
    <m/>
    <m/>
    <m/>
    <m/>
  </r>
  <r>
    <s v="VIS202998"/>
    <d v="2025-08-01T00:00:00"/>
    <s v="PAT5022"/>
    <s v="Aishwarya Bose"/>
    <s v="Male"/>
    <n v="18"/>
    <s v="Hyderabad"/>
    <s v="Telangana"/>
    <x v="1"/>
    <s v="Dr. Anu"/>
    <s v="J45"/>
    <s v="Surgery"/>
    <s v="Teleconsultation"/>
    <n v="5270.88"/>
    <s v="UPI"/>
    <s v="No"/>
    <m/>
    <n v="90"/>
    <s v="Adult"/>
    <s v="Medium"/>
    <s v="Short Days"/>
    <m/>
    <m/>
    <m/>
    <m/>
    <m/>
    <m/>
  </r>
  <r>
    <s v="VIS201478"/>
    <d v="2024-03-28T00:00:00"/>
    <s v="PAT6630"/>
    <s v="Manisha Patel"/>
    <s v="Female"/>
    <n v="42"/>
    <s v="Ahmedabad"/>
    <s v="Gujarat"/>
    <x v="9"/>
    <s v="Dr. Arvind"/>
    <s v="H10"/>
    <s v="Physiotherapy"/>
    <s v="OPD"/>
    <n v="1929.83"/>
    <s v="Insurance"/>
    <s v="Yes"/>
    <m/>
    <m/>
    <s v="Middle-Aged"/>
    <s v="Low"/>
    <s v="Short Days"/>
    <m/>
    <m/>
    <m/>
    <m/>
    <m/>
    <m/>
  </r>
  <r>
    <s v="VIS202545"/>
    <d v="2025-04-07T00:00:00"/>
    <s v="PAT6760"/>
    <s v="Arjun Kumar"/>
    <s v="Female"/>
    <n v="23"/>
    <s v="Bengaluru"/>
    <s v="Karnataka"/>
    <x v="8"/>
    <s v="Dr. Sneha"/>
    <s v="F41"/>
    <s v="Minor Surgery"/>
    <s v="OPD"/>
    <n v="4577.45"/>
    <s v="Insurance"/>
    <s v="Yes"/>
    <m/>
    <m/>
    <s v="Adult"/>
    <s v="Low"/>
    <s v="Short Days"/>
    <m/>
    <m/>
    <m/>
    <m/>
    <m/>
    <m/>
  </r>
  <r>
    <s v="VIS202654"/>
    <d v="2024-01-21T00:00:00"/>
    <s v="PAT5874"/>
    <s v="Rahul Sharma"/>
    <s v="Male"/>
    <n v="42"/>
    <s v="Delhi"/>
    <s v="Delhi"/>
    <x v="5"/>
    <s v="Dr. Karthik"/>
    <s v="J45"/>
    <s v="Prescription Refill"/>
    <s v="OPD"/>
    <n v="5143.1499999999996"/>
    <s v="Insurance"/>
    <s v="Yes"/>
    <m/>
    <m/>
    <s v="Middle-Aged"/>
    <s v="Medium"/>
    <s v="Short Days"/>
    <m/>
    <m/>
    <m/>
    <m/>
    <m/>
    <m/>
  </r>
  <r>
    <s v="VIS200216"/>
    <d v="2025-09-16T00:00:00"/>
    <s v="PAT5844"/>
    <s v="Aishwarya Nair"/>
    <s v="Female"/>
    <n v="42"/>
    <s v="Ahmedabad"/>
    <s v="Gujarat"/>
    <x v="1"/>
    <s v="Dr. Suri"/>
    <s v="K21"/>
    <s v="Surgery"/>
    <s v="Emergency"/>
    <n v="7436.71"/>
    <s v="Cash"/>
    <s v="No"/>
    <m/>
    <n v="90"/>
    <s v="Middle-Aged"/>
    <s v="Medium"/>
    <s v="Short Days"/>
    <m/>
    <m/>
    <m/>
    <m/>
    <m/>
    <m/>
  </r>
  <r>
    <s v="VIS200364"/>
    <d v="2025-01-02T00:00:00"/>
    <s v="PAT6681"/>
    <s v="Manisha Bose"/>
    <s v="Female"/>
    <n v="49"/>
    <s v="Kolkata"/>
    <s v="West Bengal"/>
    <x v="2"/>
    <s v="Dr. Manoj"/>
    <s v="H10"/>
    <s v="Medication"/>
    <s v="OPD"/>
    <n v="6752.66"/>
    <s v="Insurance"/>
    <s v="Yes"/>
    <m/>
    <m/>
    <s v="Middle-Aged"/>
    <s v="Medium"/>
    <s v="Short Days"/>
    <m/>
    <m/>
    <m/>
    <m/>
    <m/>
    <m/>
  </r>
  <r>
    <s v="VIS200231"/>
    <d v="2025-08-19T00:00:00"/>
    <s v="PAT6706"/>
    <s v="Aarav Kumar"/>
    <s v="Female"/>
    <n v="29"/>
    <s v="Bengaluru"/>
    <s v="Karnataka"/>
    <x v="0"/>
    <s v="Dr. Shailesh"/>
    <s v="K21"/>
    <s v="Observation"/>
    <s v="OPD"/>
    <n v="1311.23"/>
    <s v="UPI"/>
    <s v="No"/>
    <m/>
    <n v="7"/>
    <s v="Adult"/>
    <s v="Low"/>
    <s v="Short Days"/>
    <m/>
    <m/>
    <m/>
    <m/>
    <m/>
    <m/>
  </r>
  <r>
    <s v="VIS200857"/>
    <d v="2025-01-13T00:00:00"/>
    <s v="PAT5528"/>
    <s v="Karthik Reddy"/>
    <s v="Female"/>
    <n v="26"/>
    <s v="Delhi"/>
    <s v="Delhi"/>
    <x v="4"/>
    <s v="Dr. Bhavana"/>
    <s v="J00"/>
    <s v="Prescription Refill"/>
    <s v="OPD"/>
    <n v="8794.5300000000007"/>
    <s v="Insurance"/>
    <s v="Yes"/>
    <m/>
    <n v="30"/>
    <s v="Adult"/>
    <s v="Medium"/>
    <s v="Short Days"/>
    <m/>
    <m/>
    <m/>
    <m/>
    <m/>
    <m/>
  </r>
  <r>
    <s v="VIS201006"/>
    <d v="2024-04-05T00:00:00"/>
    <s v="PAT6643"/>
    <s v="Deepa Iyer"/>
    <s v="Male"/>
    <n v="24"/>
    <s v="Delhi"/>
    <s v="Delhi"/>
    <x v="5"/>
    <s v="Dr. Karthik"/>
    <s v="I10"/>
    <s v="Minor Procedure"/>
    <s v="IPD"/>
    <n v="13034.34"/>
    <s v="Insurance"/>
    <s v="Yes"/>
    <n v="7"/>
    <n v="14"/>
    <s v="Adult"/>
    <s v="High"/>
    <s v="Long Days"/>
    <m/>
    <m/>
    <m/>
    <m/>
    <m/>
    <m/>
  </r>
  <r>
    <s v="VIS201809"/>
    <d v="2025-07-21T00:00:00"/>
    <s v="PAT6798"/>
    <s v="Deepa Sharma"/>
    <s v="Female"/>
    <n v="41"/>
    <s v="Ahmedabad"/>
    <s v="Gujarat"/>
    <x v="9"/>
    <s v="Dr. Kusum"/>
    <s v="J45"/>
    <s v="Minor Surgery"/>
    <s v="OPD"/>
    <n v="9843.64"/>
    <s v="Credit Card"/>
    <s v="No"/>
    <m/>
    <n v="30"/>
    <s v="Middle-Aged"/>
    <s v="Medium"/>
    <s v="Short Days"/>
    <m/>
    <m/>
    <m/>
    <m/>
    <m/>
    <m/>
  </r>
  <r>
    <s v="VIS202823"/>
    <d v="2024-10-24T00:00:00"/>
    <s v="PAT5575"/>
    <s v="Ananya Das"/>
    <s v="Male"/>
    <n v="42"/>
    <s v="Coimbatore"/>
    <s v="Tamil Nadu"/>
    <x v="0"/>
    <s v="Dr. Nikhil"/>
    <s v="J45"/>
    <s v="Prescription Refill"/>
    <s v="OPD"/>
    <n v="4869.22"/>
    <s v="Insurance"/>
    <s v="Yes"/>
    <m/>
    <n v="90"/>
    <s v="Middle-Aged"/>
    <s v="Low"/>
    <s v="Short Days"/>
    <m/>
    <m/>
    <m/>
    <m/>
    <m/>
    <m/>
  </r>
  <r>
    <s v="VIS202832"/>
    <d v="2025-10-22T00:00:00"/>
    <s v="PAT6793"/>
    <s v="Aditya Mishra"/>
    <s v="Female"/>
    <n v="81"/>
    <s v="Delhi"/>
    <s v="Delhi"/>
    <x v="1"/>
    <s v="Dr. Suri"/>
    <s v="N39"/>
    <s v="Minor Surgery"/>
    <s v="Teleconsultation"/>
    <n v="12344.05"/>
    <s v="Credit Card"/>
    <s v="No"/>
    <m/>
    <m/>
    <s v="Senior"/>
    <s v="High"/>
    <s v="Short Days"/>
    <m/>
    <m/>
    <m/>
    <m/>
    <m/>
    <m/>
  </r>
  <r>
    <s v="VIS201475"/>
    <d v="2025-03-22T00:00:00"/>
    <s v="PAT5658"/>
    <s v="Manisha Gupta"/>
    <s v="Male"/>
    <n v="10"/>
    <s v="Mumbai"/>
    <s v="Maharashtra"/>
    <x v="0"/>
    <s v="Dr. Nikhil"/>
    <s v="I10"/>
    <s v="Physiotherapy"/>
    <s v="OPD"/>
    <n v="5146.6400000000003"/>
    <s v="Insurance"/>
    <s v="Yes"/>
    <m/>
    <n v="90"/>
    <s v="Child"/>
    <s v="Medium"/>
    <s v="Short Days"/>
    <m/>
    <m/>
    <m/>
    <m/>
    <m/>
    <m/>
  </r>
  <r>
    <s v="VIS202789"/>
    <d v="2024-11-22T00:00:00"/>
    <s v="PAT6662"/>
    <s v="Anil Gupta"/>
    <s v="Female"/>
    <n v="44"/>
    <s v="Madurai"/>
    <s v="Tamil Nadu"/>
    <x v="7"/>
    <s v="Dr. Surya"/>
    <s v="L40"/>
    <s v="Physiotherapy"/>
    <s v="OPD"/>
    <n v="4467.84"/>
    <s v="Net Banking"/>
    <s v="No"/>
    <m/>
    <n v="90"/>
    <s v="Middle-Aged"/>
    <s v="Low"/>
    <s v="Short Days"/>
    <m/>
    <m/>
    <m/>
    <m/>
    <m/>
    <m/>
  </r>
  <r>
    <s v="VIS201380"/>
    <d v="2024-04-12T00:00:00"/>
    <s v="PAT5810"/>
    <s v="Siddharth Iyer"/>
    <s v="Other"/>
    <n v="50"/>
    <s v="Pune"/>
    <s v="Maharashtra"/>
    <x v="4"/>
    <s v="Dr. Bhavana"/>
    <s v="L40"/>
    <s v="Medication"/>
    <s v="OPD"/>
    <n v="4407.49"/>
    <s v="Insurance"/>
    <s v="Yes"/>
    <m/>
    <n v="7"/>
    <s v="Middle-Aged"/>
    <s v="Low"/>
    <s v="Short Days"/>
    <m/>
    <m/>
    <m/>
    <m/>
    <m/>
    <m/>
  </r>
  <r>
    <s v="VIS201318"/>
    <d v="2025-06-19T00:00:00"/>
    <s v="PAT5205"/>
    <s v="Aishwarya Iyer"/>
    <s v="Female"/>
    <n v="2"/>
    <s v="Ahmedabad"/>
    <s v="Gujarat"/>
    <x v="8"/>
    <s v="Dr. Kavitha"/>
    <s v="E11"/>
    <s v="Counselling"/>
    <s v="OPD"/>
    <n v="934.87"/>
    <s v="Credit Card"/>
    <s v="No"/>
    <m/>
    <m/>
    <s v="Child"/>
    <s v="Low"/>
    <s v="Short Days"/>
    <m/>
    <m/>
    <m/>
    <m/>
    <m/>
    <m/>
  </r>
  <r>
    <s v="VIS200761"/>
    <d v="2024-10-02T00:00:00"/>
    <s v="PAT5335"/>
    <s v="Kavya Reddy"/>
    <s v="Male"/>
    <n v="57"/>
    <s v="Ahmedabad"/>
    <s v="Gujarat"/>
    <x v="4"/>
    <s v="Dr. Varun"/>
    <s v="H10"/>
    <s v="Medication"/>
    <s v="Emergency"/>
    <n v="5514.94"/>
    <s v="Credit Card"/>
    <s v="No"/>
    <m/>
    <n v="90"/>
    <s v="Middle-Aged"/>
    <s v="Medium"/>
    <s v="Short Days"/>
    <m/>
    <m/>
    <m/>
    <m/>
    <m/>
    <m/>
  </r>
  <r>
    <s v="VIS200346"/>
    <d v="2025-02-10T00:00:00"/>
    <s v="PAT5242"/>
    <s v="Vivaan Sharma"/>
    <s v="Female"/>
    <n v="26"/>
    <s v="Hyderabad"/>
    <s v="Telangana"/>
    <x v="3"/>
    <s v="Dr. Anand"/>
    <s v="I10"/>
    <s v="Counselling"/>
    <s v="Teleconsultation"/>
    <n v="6081.45"/>
    <s v="Credit Card"/>
    <s v="No"/>
    <m/>
    <m/>
    <s v="Adult"/>
    <s v="Medium"/>
    <s v="Short Days"/>
    <m/>
    <m/>
    <m/>
    <m/>
    <m/>
    <m/>
  </r>
  <r>
    <s v="VIS200610"/>
    <d v="2025-08-28T00:00:00"/>
    <s v="PAT6259"/>
    <s v="Vivaan Sharma"/>
    <s v="Female"/>
    <n v="57"/>
    <s v="Ahmedabad"/>
    <s v="Gujarat"/>
    <x v="0"/>
    <s v="Dr. Shailesh"/>
    <s v="L40"/>
    <s v="Prescription Refill"/>
    <s v="Teleconsultation"/>
    <n v="17891.3"/>
    <s v="Insurance"/>
    <s v="Yes"/>
    <m/>
    <n v="90"/>
    <s v="Middle-Aged"/>
    <s v="High"/>
    <s v="Short Days"/>
    <m/>
    <m/>
    <m/>
    <m/>
    <m/>
    <m/>
  </r>
  <r>
    <s v="VIS201641"/>
    <d v="2024-12-19T00:00:00"/>
    <s v="PAT5580"/>
    <s v="Vivaan Iyer"/>
    <s v="Male"/>
    <n v="42"/>
    <s v="Ahmedabad"/>
    <s v="Gujarat"/>
    <x v="7"/>
    <s v="Dr. Leela"/>
    <s v="H10"/>
    <s v="Prescription Refill"/>
    <s v="Teleconsultation"/>
    <n v="7092.66"/>
    <s v="Cash"/>
    <s v="No"/>
    <m/>
    <m/>
    <s v="Middle-Aged"/>
    <s v="Medium"/>
    <s v="Short Days"/>
    <m/>
    <m/>
    <m/>
    <m/>
    <m/>
    <m/>
  </r>
  <r>
    <s v="VIS200234"/>
    <d v="2025-05-19T00:00:00"/>
    <s v="PAT5123"/>
    <s v="Vishal Khan"/>
    <s v="Female"/>
    <n v="49"/>
    <s v="Trichy"/>
    <s v="Tamil Nadu"/>
    <x v="2"/>
    <s v="Dr. Ramesh"/>
    <s v="L40"/>
    <s v="Observation"/>
    <s v="OPD"/>
    <n v="210.91"/>
    <s v="UPI"/>
    <s v="No"/>
    <m/>
    <m/>
    <s v="Middle-Aged"/>
    <s v="Low"/>
    <s v="Short Days"/>
    <m/>
    <m/>
    <m/>
    <m/>
    <m/>
    <m/>
  </r>
  <r>
    <s v="VIS201480"/>
    <d v="2025-09-25T00:00:00"/>
    <s v="PAT5776"/>
    <s v="Manisha Reddy"/>
    <s v="Male"/>
    <n v="46"/>
    <s v="Madurai"/>
    <s v="Tamil Nadu"/>
    <x v="6"/>
    <s v="Dr. Lalitha"/>
    <s v="J00"/>
    <s v="Prescription Refill"/>
    <s v="Teleconsultation"/>
    <n v="8195.24"/>
    <s v="Credit Card"/>
    <s v="No"/>
    <m/>
    <n v="14"/>
    <s v="Middle-Aged"/>
    <s v="Medium"/>
    <s v="Short Days"/>
    <m/>
    <m/>
    <m/>
    <m/>
    <m/>
    <m/>
  </r>
  <r>
    <s v="VIS201060"/>
    <d v="2025-04-26T00:00:00"/>
    <s v="PAT6787"/>
    <s v="Aishwarya Sharma"/>
    <s v="Female"/>
    <n v="22"/>
    <s v="Mumbai"/>
    <s v="Maharashtra"/>
    <x v="0"/>
    <s v="Dr. Nikhil"/>
    <s v="H10"/>
    <s v="Minor Procedure"/>
    <s v="OPD"/>
    <n v="7367.29"/>
    <s v="UPI"/>
    <s v="No"/>
    <m/>
    <n v="7"/>
    <s v="Adult"/>
    <s v="Medium"/>
    <s v="Short Days"/>
    <m/>
    <m/>
    <m/>
    <m/>
    <m/>
    <m/>
  </r>
  <r>
    <s v="VIS202460"/>
    <d v="2025-09-04T00:00:00"/>
    <s v="PAT6814"/>
    <s v="Sangeetha Gupta"/>
    <s v="Male"/>
    <n v="52"/>
    <s v="Noida"/>
    <s v="Uttar Pradesh"/>
    <x v="4"/>
    <s v="Dr. Varun"/>
    <s v="M54"/>
    <s v="Medication"/>
    <s v="Teleconsultation"/>
    <n v="5901.02"/>
    <s v="Debit Card"/>
    <s v="No"/>
    <m/>
    <m/>
    <s v="Middle-Aged"/>
    <s v="Medium"/>
    <s v="Short Days"/>
    <m/>
    <m/>
    <m/>
    <m/>
    <m/>
    <m/>
  </r>
  <r>
    <s v="VIS202747"/>
    <d v="2024-04-24T00:00:00"/>
    <s v="PAT5031"/>
    <s v="Neha Bose"/>
    <s v="Male"/>
    <n v="61"/>
    <s v="Madurai"/>
    <s v="Tamil Nadu"/>
    <x v="4"/>
    <s v="Dr. Varun"/>
    <s v="J00"/>
    <s v="Minor Surgery"/>
    <s v="OPD"/>
    <n v="2258.1799999999998"/>
    <s v="UPI"/>
    <s v="No"/>
    <m/>
    <n v="14"/>
    <s v="Senior"/>
    <s v="Low"/>
    <s v="Short Days"/>
    <m/>
    <m/>
    <m/>
    <m/>
    <m/>
    <m/>
  </r>
  <r>
    <s v="VIS202407"/>
    <d v="2025-09-18T00:00:00"/>
    <s v="PAT6171"/>
    <s v="Aarav Nair"/>
    <s v="Female"/>
    <n v="65"/>
    <s v="Coimbatore"/>
    <s v="Tamil Nadu"/>
    <x v="7"/>
    <s v="Dr. Leela"/>
    <s v="E11"/>
    <s v="Minor Surgery"/>
    <s v="Teleconsultation"/>
    <n v="6740.63"/>
    <s v="Credit Card"/>
    <s v="No"/>
    <m/>
    <n v="14"/>
    <s v="Senior"/>
    <s v="Medium"/>
    <s v="Short Days"/>
    <m/>
    <m/>
    <m/>
    <m/>
    <m/>
    <m/>
  </r>
  <r>
    <s v="VIS200876"/>
    <d v="2025-11-01T00:00:00"/>
    <s v="PAT5367"/>
    <s v="Aditya Das"/>
    <s v="Female"/>
    <n v="49"/>
    <s v="Chennai"/>
    <s v="Tamil Nadu"/>
    <x v="9"/>
    <s v="Dr. Kusum"/>
    <s v="E11"/>
    <s v="Surgery"/>
    <s v="OPD"/>
    <n v="10367.98"/>
    <s v="Net Banking"/>
    <s v="No"/>
    <m/>
    <n v="30"/>
    <s v="Middle-Aged"/>
    <s v="High"/>
    <s v="Short Days"/>
    <m/>
    <m/>
    <m/>
    <m/>
    <m/>
    <m/>
  </r>
  <r>
    <s v="VIS200639"/>
    <d v="2024-11-20T00:00:00"/>
    <s v="PAT6957"/>
    <s v="Sangeetha Reddy"/>
    <s v="Female"/>
    <n v="0"/>
    <s v="Ahmedabad"/>
    <s v="Gujarat"/>
    <x v="1"/>
    <s v="Dr. Anu"/>
    <s v="N39"/>
    <s v="Minor Surgery"/>
    <s v="OPD"/>
    <n v="3941.76"/>
    <s v="UPI"/>
    <s v="No"/>
    <m/>
    <m/>
    <s v="Child"/>
    <s v="Low"/>
    <s v="Short Days"/>
    <m/>
    <m/>
    <m/>
    <m/>
    <m/>
    <m/>
  </r>
  <r>
    <s v="VIS201270"/>
    <d v="2024-12-18T00:00:00"/>
    <s v="PAT5685"/>
    <s v="Priya Khan"/>
    <s v="Female"/>
    <n v="48"/>
    <s v="Mumbai"/>
    <s v="Maharashtra"/>
    <x v="9"/>
    <s v="Dr. Arvind"/>
    <s v="J45"/>
    <s v="Prescription Refill"/>
    <s v="OPD"/>
    <n v="3874.78"/>
    <s v="Credit Card"/>
    <s v="No"/>
    <m/>
    <n v="14"/>
    <s v="Middle-Aged"/>
    <s v="Low"/>
    <s v="Short Days"/>
    <m/>
    <m/>
    <m/>
    <m/>
    <m/>
    <m/>
  </r>
  <r>
    <s v="VIS202556"/>
    <d v="2024-12-23T00:00:00"/>
    <s v="PAT5457"/>
    <s v="Vishal Gupta"/>
    <s v="Female"/>
    <n v="29"/>
    <s v="Trichy"/>
    <s v="Tamil Nadu"/>
    <x v="1"/>
    <s v="Dr. Anu"/>
    <s v="J45"/>
    <s v="Prescription Refill"/>
    <s v="IPD"/>
    <n v="10220.719999999999"/>
    <s v="Cash"/>
    <s v="No"/>
    <n v="5"/>
    <m/>
    <s v="Adult"/>
    <s v="High"/>
    <s v="Short Days"/>
    <m/>
    <m/>
    <m/>
    <m/>
    <m/>
    <m/>
  </r>
  <r>
    <s v="VIS202560"/>
    <d v="2024-10-22T00:00:00"/>
    <s v="PAT5675"/>
    <s v="Karthik Bose"/>
    <s v="Male"/>
    <n v="57"/>
    <s v="Ahmedabad"/>
    <s v="Gujarat"/>
    <x v="1"/>
    <s v="Dr. Suri"/>
    <s v="H10"/>
    <s v="Prescription Refill"/>
    <s v="OPD"/>
    <n v="2310.56"/>
    <s v="Debit Card"/>
    <s v="No"/>
    <m/>
    <n v="90"/>
    <s v="Middle-Aged"/>
    <s v="Low"/>
    <s v="Short Days"/>
    <m/>
    <m/>
    <m/>
    <m/>
    <m/>
    <m/>
  </r>
  <r>
    <s v="VIS201836"/>
    <d v="2024-04-11T00:00:00"/>
    <s v="PAT6510"/>
    <s v="Deepa Patel"/>
    <s v="Female"/>
    <n v="26"/>
    <s v="Bengaluru"/>
    <s v="Karnataka"/>
    <x v="8"/>
    <s v="Dr. Kavitha"/>
    <s v="I10"/>
    <s v="Minor Procedure"/>
    <s v="OPD"/>
    <n v="4721.1899999999996"/>
    <s v="Cash"/>
    <s v="No"/>
    <m/>
    <m/>
    <s v="Adult"/>
    <s v="Low"/>
    <s v="Short Days"/>
    <m/>
    <m/>
    <m/>
    <m/>
    <m/>
    <m/>
  </r>
  <r>
    <s v="VIS202218"/>
    <d v="2025-02-15T00:00:00"/>
    <s v="PAT6694"/>
    <s v="Deepa Iyer"/>
    <s v="Female"/>
    <n v="55"/>
    <s v="Hyderabad"/>
    <s v="Telangana"/>
    <x v="8"/>
    <s v="Dr. Kavitha"/>
    <s v="E11"/>
    <s v="Medication"/>
    <s v="OPD"/>
    <n v="2298.29"/>
    <s v="Debit Card"/>
    <s v="No"/>
    <m/>
    <m/>
    <s v="Middle-Aged"/>
    <s v="Low"/>
    <s v="Short Days"/>
    <m/>
    <m/>
    <m/>
    <m/>
    <m/>
    <m/>
  </r>
  <r>
    <s v="VIS202871"/>
    <d v="2024-03-17T00:00:00"/>
    <s v="PAT5998"/>
    <s v="Aditya Gupta"/>
    <s v="Female"/>
    <n v="18"/>
    <s v="Lucknow"/>
    <s v="Uttar Pradesh"/>
    <x v="8"/>
    <s v="Dr. Sneha"/>
    <s v="I10"/>
    <s v="Physiotherapy"/>
    <s v="OPD"/>
    <n v="1473.85"/>
    <s v="UPI"/>
    <s v="No"/>
    <m/>
    <n v="30"/>
    <s v="Adult"/>
    <s v="Low"/>
    <s v="Short Days"/>
    <m/>
    <m/>
    <m/>
    <m/>
    <m/>
    <m/>
  </r>
  <r>
    <s v="VIS202609"/>
    <d v="2024-01-22T00:00:00"/>
    <s v="PAT6622"/>
    <s v="Deepa Jose"/>
    <s v="Female"/>
    <n v="33"/>
    <s v="Jaipur"/>
    <s v="Rajasthan"/>
    <x v="3"/>
    <s v="Dr. Anand"/>
    <s v="F41"/>
    <s v="Counselling"/>
    <s v="Teleconsultation"/>
    <n v="8738.17"/>
    <s v="Credit Card"/>
    <s v="No"/>
    <m/>
    <n v="30"/>
    <s v="Adult"/>
    <s v="Medium"/>
    <s v="Short Days"/>
    <m/>
    <m/>
    <m/>
    <m/>
    <m/>
    <m/>
  </r>
  <r>
    <s v="VIS200800"/>
    <d v="2024-05-31T00:00:00"/>
    <s v="PAT5656"/>
    <s v="Aditya Gupta"/>
    <s v="Male"/>
    <n v="38"/>
    <s v="Noida"/>
    <s v="Uttar Pradesh"/>
    <x v="7"/>
    <s v="Dr. Leela"/>
    <s v="J45"/>
    <s v="Medication"/>
    <s v="Teleconsultation"/>
    <n v="5856.12"/>
    <s v="Debit Card"/>
    <s v="No"/>
    <m/>
    <m/>
    <s v="Adult"/>
    <s v="Medium"/>
    <s v="Short Days"/>
    <m/>
    <m/>
    <m/>
    <m/>
    <m/>
    <m/>
  </r>
  <r>
    <s v="VIS202862"/>
    <d v="2025-03-26T00:00:00"/>
    <s v="PAT6187"/>
    <s v="Karthik Jose"/>
    <s v="Female"/>
    <n v="67"/>
    <s v="Bengaluru"/>
    <s v="Karnataka"/>
    <x v="9"/>
    <s v="Dr. Arvind"/>
    <s v="H10"/>
    <s v="Minor Surgery"/>
    <s v="OPD"/>
    <n v="1301.52"/>
    <s v="Net Banking"/>
    <s v="No"/>
    <m/>
    <n v="30"/>
    <s v="Senior"/>
    <s v="Low"/>
    <s v="Short Days"/>
    <m/>
    <m/>
    <m/>
    <m/>
    <m/>
    <m/>
  </r>
  <r>
    <s v="VIS201564"/>
    <d v="2024-05-13T00:00:00"/>
    <s v="PAT6745"/>
    <s v="Rohan Khan"/>
    <s v="Female"/>
    <n v="43"/>
    <s v="Ahmedabad"/>
    <s v="Gujarat"/>
    <x v="4"/>
    <s v="Dr. Varun"/>
    <s v="J45"/>
    <s v="Observation"/>
    <s v="OPD"/>
    <n v="5234.87"/>
    <s v="Cash"/>
    <s v="No"/>
    <m/>
    <m/>
    <s v="Middle-Aged"/>
    <s v="Medium"/>
    <s v="Short Days"/>
    <m/>
    <m/>
    <m/>
    <m/>
    <m/>
    <m/>
  </r>
  <r>
    <s v="VIS202535"/>
    <d v="2024-10-08T00:00:00"/>
    <s v="PAT5877"/>
    <s v="Aishwarya Reddy"/>
    <s v="Male"/>
    <n v="18"/>
    <s v="Kolkata"/>
    <s v="West Bengal"/>
    <x v="2"/>
    <s v="Dr. Manoj"/>
    <s v="J45"/>
    <s v="Minor Surgery"/>
    <s v="OPD"/>
    <n v="2655.77"/>
    <s v="Debit Card"/>
    <s v="No"/>
    <m/>
    <n v="7"/>
    <s v="Adult"/>
    <s v="Low"/>
    <s v="Short Days"/>
    <m/>
    <m/>
    <m/>
    <m/>
    <m/>
    <m/>
  </r>
  <r>
    <s v="VIS200077"/>
    <d v="2024-04-06T00:00:00"/>
    <s v="PAT5619"/>
    <s v="Siddharth Jose"/>
    <s v="Male"/>
    <n v="38"/>
    <s v="Madurai"/>
    <s v="Tamil Nadu"/>
    <x v="8"/>
    <s v="Dr. Sneha"/>
    <s v="H10"/>
    <s v="Surgery"/>
    <s v="Teleconsultation"/>
    <n v="5345.54"/>
    <s v="Insurance"/>
    <s v="Yes"/>
    <m/>
    <n v="90"/>
    <s v="Adult"/>
    <s v="Medium"/>
    <s v="Short Days"/>
    <m/>
    <m/>
    <m/>
    <m/>
    <m/>
    <m/>
  </r>
  <r>
    <s v="VIS201392"/>
    <d v="2024-11-13T00:00:00"/>
    <s v="PAT6341"/>
    <s v="Neha Mishra"/>
    <s v="Male"/>
    <n v="54"/>
    <s v="Hyderabad"/>
    <s v="Telangana"/>
    <x v="4"/>
    <s v="Dr. Varun"/>
    <s v="E11"/>
    <s v="Minor Surgery"/>
    <s v="OPD"/>
    <n v="985.1"/>
    <s v="Net Banking"/>
    <s v="No"/>
    <m/>
    <n v="30"/>
    <s v="Middle-Aged"/>
    <s v="Low"/>
    <s v="Short Days"/>
    <m/>
    <m/>
    <m/>
    <m/>
    <m/>
    <m/>
  </r>
  <r>
    <s v="VIS200827"/>
    <d v="2024-07-19T00:00:00"/>
    <s v="PAT5102"/>
    <s v="Shruti Patel"/>
    <s v="Male"/>
    <n v="58"/>
    <s v="Madurai"/>
    <s v="Tamil Nadu"/>
    <x v="2"/>
    <s v="Dr. Manoj"/>
    <s v="F41"/>
    <s v="Minor Procedure"/>
    <s v="Emergency"/>
    <n v="6263.38"/>
    <s v="UPI"/>
    <s v="No"/>
    <m/>
    <n v="30"/>
    <s v="Middle-Aged"/>
    <s v="Medium"/>
    <s v="Short Days"/>
    <m/>
    <m/>
    <m/>
    <m/>
    <m/>
    <m/>
  </r>
  <r>
    <s v="VIS201220"/>
    <d v="2024-02-08T00:00:00"/>
    <s v="PAT6828"/>
    <s v="Vivaan Nagar"/>
    <s v="Female"/>
    <n v="68"/>
    <s v="Kochi"/>
    <s v="Kerala"/>
    <x v="0"/>
    <s v="Dr. Nikhil"/>
    <s v="F41"/>
    <s v="Medication"/>
    <s v="IPD"/>
    <n v="11630.29"/>
    <s v="Cash"/>
    <s v="No"/>
    <n v="7"/>
    <n v="14"/>
    <s v="Senior"/>
    <s v="High"/>
    <s v="Long Days"/>
    <m/>
    <m/>
    <m/>
    <m/>
    <m/>
    <m/>
  </r>
  <r>
    <s v="VIS200247"/>
    <d v="2024-06-25T00:00:00"/>
    <s v="PAT6661"/>
    <s v="Ananya Nair"/>
    <s v="Female"/>
    <n v="50"/>
    <s v="Ahmedabad"/>
    <s v="Gujarat"/>
    <x v="9"/>
    <s v="Dr. Kusum"/>
    <s v="J00"/>
    <s v="Counselling"/>
    <s v="Emergency"/>
    <n v="19339.38"/>
    <s v="Credit Card"/>
    <s v="No"/>
    <m/>
    <m/>
    <s v="Middle-Aged"/>
    <s v="High"/>
    <s v="Short Days"/>
    <m/>
    <m/>
    <m/>
    <m/>
    <m/>
    <m/>
  </r>
  <r>
    <s v="VIS202008"/>
    <d v="2024-05-13T00:00:00"/>
    <s v="PAT6154"/>
    <s v="Rahul Khan"/>
    <s v="Male"/>
    <n v="34"/>
    <s v="Coimbatore"/>
    <s v="Tamil Nadu"/>
    <x v="2"/>
    <s v="Dr. Ramesh"/>
    <s v="F41"/>
    <s v="Prescription Refill"/>
    <s v="OPD"/>
    <n v="4341.3999999999996"/>
    <s v="Credit Card"/>
    <s v="No"/>
    <m/>
    <n v="30"/>
    <s v="Adult"/>
    <s v="Low"/>
    <s v="Short Days"/>
    <m/>
    <m/>
    <m/>
    <m/>
    <m/>
    <m/>
  </r>
  <r>
    <s v="VIS201470"/>
    <d v="2024-12-11T00:00:00"/>
    <s v="PAT6591"/>
    <s v="Aishwarya Sharma"/>
    <s v="Female"/>
    <n v="7"/>
    <s v="Madurai"/>
    <s v="Tamil Nadu"/>
    <x v="9"/>
    <s v="Dr. Kusum"/>
    <s v="J45"/>
    <s v="Minor Surgery"/>
    <s v="OPD"/>
    <n v="164.21"/>
    <s v="Net Banking"/>
    <s v="No"/>
    <m/>
    <n v="90"/>
    <s v="Child"/>
    <s v="Low"/>
    <s v="Short Days"/>
    <m/>
    <m/>
    <m/>
    <m/>
    <m/>
    <m/>
  </r>
  <r>
    <s v="VIS201158"/>
    <d v="2024-06-21T00:00:00"/>
    <s v="PAT6374"/>
    <s v="Rahul Jose"/>
    <s v="Male"/>
    <n v="0"/>
    <s v="Ahmedabad"/>
    <s v="Gujarat"/>
    <x v="1"/>
    <s v="Dr. Suri"/>
    <s v="F41"/>
    <s v="Minor Surgery"/>
    <s v="Teleconsultation"/>
    <n v="11430.34"/>
    <s v="Credit Card"/>
    <s v="No"/>
    <m/>
    <n v="7"/>
    <s v="Child"/>
    <s v="High"/>
    <s v="Short Days"/>
    <m/>
    <m/>
    <m/>
    <m/>
    <m/>
    <m/>
  </r>
  <r>
    <s v="VIS201184"/>
    <d v="2024-11-25T00:00:00"/>
    <s v="PAT6336"/>
    <s v="Arjun Jose"/>
    <s v="Female"/>
    <n v="33"/>
    <s v="Ahmedabad"/>
    <s v="Gujarat"/>
    <x v="3"/>
    <s v="Dr. Anand"/>
    <s v="E11"/>
    <s v="Prescription Refill"/>
    <s v="OPD"/>
    <n v="1190.9100000000001"/>
    <s v="Cash"/>
    <s v="No"/>
    <m/>
    <n v="14"/>
    <s v="Adult"/>
    <s v="Low"/>
    <s v="Short Days"/>
    <m/>
    <m/>
    <m/>
    <m/>
    <m/>
    <m/>
  </r>
  <r>
    <s v="VIS201002"/>
    <d v="2024-12-07T00:00:00"/>
    <s v="PAT5739"/>
    <s v="Kavya Bose"/>
    <s v="Male"/>
    <n v="49"/>
    <s v="Coimbatore"/>
    <s v="Tamil Nadu"/>
    <x v="3"/>
    <s v="Dr. Pallavi"/>
    <s v="J00"/>
    <s v="Observation"/>
    <s v="IPD"/>
    <n v="9363.75"/>
    <s v="Cash"/>
    <s v="No"/>
    <n v="9"/>
    <n v="90"/>
    <s v="Middle-Aged"/>
    <s v="Medium"/>
    <s v="Long Days"/>
    <m/>
    <m/>
    <m/>
    <m/>
    <m/>
    <m/>
  </r>
  <r>
    <s v="VIS202275"/>
    <d v="2024-04-30T00:00:00"/>
    <s v="PAT6591"/>
    <s v="Aarav Mishra"/>
    <s v="Male"/>
    <n v="51"/>
    <s v="Bengaluru"/>
    <s v="Karnataka"/>
    <x v="3"/>
    <s v="Dr. Anand"/>
    <s v="K21"/>
    <s v="Surgery"/>
    <s v="OPD"/>
    <n v="1113.0999999999999"/>
    <s v="UPI"/>
    <s v="No"/>
    <m/>
    <n v="30"/>
    <s v="Middle-Aged"/>
    <s v="Low"/>
    <s v="Short Days"/>
    <m/>
    <m/>
    <m/>
    <m/>
    <m/>
    <m/>
  </r>
  <r>
    <s v="VIS200342"/>
    <d v="2024-03-30T00:00:00"/>
    <s v="PAT6351"/>
    <s v="Siddharth Mishra"/>
    <s v="Female"/>
    <n v="40"/>
    <s v="Pune"/>
    <s v="Maharashtra"/>
    <x v="5"/>
    <s v="Dr. Meena"/>
    <s v="F41"/>
    <s v="Prescription Refill"/>
    <s v="IPD"/>
    <n v="9079.9500000000007"/>
    <s v="Net Banking"/>
    <s v="No"/>
    <n v="9"/>
    <n v="90"/>
    <s v="Adult"/>
    <s v="Medium"/>
    <s v="Long Days"/>
    <m/>
    <m/>
    <m/>
    <m/>
    <m/>
    <m/>
  </r>
  <r>
    <s v="VIS201590"/>
    <d v="2024-02-23T00:00:00"/>
    <s v="PAT5315"/>
    <s v="Aarav Reddy"/>
    <s v="Female"/>
    <n v="75"/>
    <s v="Chennai"/>
    <s v="Tamil Nadu"/>
    <x v="2"/>
    <s v="Dr. Ramesh"/>
    <s v="I10"/>
    <s v="Minor Surgery"/>
    <s v="OPD"/>
    <n v="3343.3"/>
    <s v="UPI"/>
    <s v="No"/>
    <m/>
    <n v="7"/>
    <s v="Senior"/>
    <s v="Low"/>
    <s v="Short Days"/>
    <m/>
    <m/>
    <m/>
    <m/>
    <m/>
    <m/>
  </r>
  <r>
    <s v="VIS201771"/>
    <d v="2024-03-02T00:00:00"/>
    <s v="PAT6673"/>
    <s v="Rohan Nair"/>
    <s v="Male"/>
    <n v="10"/>
    <s v="Hyderabad"/>
    <s v="Telangana"/>
    <x v="5"/>
    <s v="Dr. Karthik"/>
    <s v="L40"/>
    <s v="Surgery"/>
    <s v="IPD"/>
    <n v="11997.64"/>
    <s v="UPI"/>
    <s v="No"/>
    <n v="6"/>
    <m/>
    <s v="Child"/>
    <s v="High"/>
    <s v="Long Days"/>
    <m/>
    <m/>
    <m/>
    <m/>
    <m/>
    <m/>
  </r>
  <r>
    <s v="VIS202943"/>
    <d v="2025-10-16T00:00:00"/>
    <s v="PAT6859"/>
    <s v="Vivaan Das"/>
    <s v="Male"/>
    <n v="48"/>
    <s v="Hyderabad"/>
    <s v="Telangana"/>
    <x v="0"/>
    <s v="Dr. Shailesh"/>
    <s v="N39"/>
    <s v="Surgery"/>
    <s v="OPD"/>
    <n v="1282.31"/>
    <s v="Cash"/>
    <s v="No"/>
    <m/>
    <n v="7"/>
    <s v="Middle-Aged"/>
    <s v="Low"/>
    <s v="Short Days"/>
    <m/>
    <m/>
    <m/>
    <m/>
    <m/>
    <m/>
  </r>
  <r>
    <s v="VIS202534"/>
    <d v="2025-10-30T00:00:00"/>
    <s v="PAT6360"/>
    <s v="Sangeetha Singh"/>
    <s v="Male"/>
    <n v="0"/>
    <s v="Kolkata"/>
    <s v="West Bengal"/>
    <x v="1"/>
    <s v="Dr. Suri"/>
    <s v="E11"/>
    <s v="Minor Surgery"/>
    <s v="OPD"/>
    <n v="1089.6400000000001"/>
    <s v="Credit Card"/>
    <s v="No"/>
    <m/>
    <m/>
    <s v="Child"/>
    <s v="Low"/>
    <s v="Short Days"/>
    <m/>
    <m/>
    <m/>
    <m/>
    <m/>
    <m/>
  </r>
  <r>
    <s v="VIS202024"/>
    <d v="2025-03-23T00:00:00"/>
    <s v="PAT6073"/>
    <s v="Siddharth Patel"/>
    <s v="Male"/>
    <n v="36"/>
    <s v="Lucknow"/>
    <s v="Uttar Pradesh"/>
    <x v="2"/>
    <s v="Dr. Manoj"/>
    <s v="N39"/>
    <s v="Surgery"/>
    <s v="OPD"/>
    <n v="19312.25"/>
    <s v="Insurance"/>
    <s v="Yes"/>
    <m/>
    <n v="90"/>
    <s v="Adult"/>
    <s v="High"/>
    <s v="Short Days"/>
    <m/>
    <m/>
    <m/>
    <m/>
    <m/>
    <m/>
  </r>
  <r>
    <s v="VIS200440"/>
    <d v="2024-07-28T00:00:00"/>
    <s v="PAT6269"/>
    <s v="Arjun Khan"/>
    <s v="Other"/>
    <n v="38"/>
    <s v="Madurai"/>
    <s v="Tamil Nadu"/>
    <x v="7"/>
    <s v="Dr. Surya"/>
    <s v="N39"/>
    <s v="Physiotherapy"/>
    <s v="OPD"/>
    <n v="6304.77"/>
    <s v="UPI"/>
    <s v="No"/>
    <m/>
    <n v="90"/>
    <s v="Adult"/>
    <s v="Medium"/>
    <s v="Short Days"/>
    <m/>
    <m/>
    <m/>
    <m/>
    <m/>
    <m/>
  </r>
  <r>
    <s v="VIS200438"/>
    <d v="2024-10-16T00:00:00"/>
    <s v="PAT6500"/>
    <s v="Aishwarya Das"/>
    <s v="Male"/>
    <n v="35"/>
    <s v="Kolkata"/>
    <s v="West Bengal"/>
    <x v="3"/>
    <s v="Dr. Anand"/>
    <s v="M54"/>
    <s v="Counselling"/>
    <s v="OPD"/>
    <n v="10357.43"/>
    <s v="Cash"/>
    <s v="No"/>
    <m/>
    <m/>
    <s v="Adult"/>
    <s v="High"/>
    <s v="Short Days"/>
    <m/>
    <m/>
    <m/>
    <m/>
    <m/>
    <m/>
  </r>
  <r>
    <s v="VIS200561"/>
    <d v="2025-05-11T00:00:00"/>
    <s v="PAT6565"/>
    <s v="Vivaan Kumar"/>
    <s v="Female"/>
    <n v="83"/>
    <s v="Coimbatore"/>
    <s v="Tamil Nadu"/>
    <x v="8"/>
    <s v="Dr. Kavitha"/>
    <s v="I10"/>
    <s v="Observation"/>
    <s v="OPD"/>
    <n v="1575.9"/>
    <s v="Cash"/>
    <s v="No"/>
    <m/>
    <m/>
    <s v="Senior"/>
    <s v="Low"/>
    <s v="Short Days"/>
    <m/>
    <m/>
    <m/>
    <m/>
    <m/>
    <m/>
  </r>
  <r>
    <s v="VIS202993"/>
    <d v="2025-04-26T00:00:00"/>
    <s v="PAT5607"/>
    <s v="Rahul Mishra"/>
    <s v="Male"/>
    <n v="49"/>
    <s v="Pune"/>
    <s v="Maharashtra"/>
    <x v="0"/>
    <s v="Dr. Nikhil"/>
    <s v="K21"/>
    <s v="Physiotherapy"/>
    <s v="OPD"/>
    <n v="4035.05"/>
    <s v="UPI"/>
    <s v="No"/>
    <m/>
    <n v="90"/>
    <s v="Middle-Aged"/>
    <s v="Low"/>
    <s v="Short Days"/>
    <m/>
    <m/>
    <m/>
    <m/>
    <m/>
    <m/>
  </r>
  <r>
    <s v="VIS201160"/>
    <d v="2025-06-04T00:00:00"/>
    <s v="PAT6061"/>
    <s v="Aishwarya Das"/>
    <s v="Male"/>
    <n v="36"/>
    <s v="Trichy"/>
    <s v="Tamil Nadu"/>
    <x v="3"/>
    <s v="Dr. Pallavi"/>
    <s v="M54"/>
    <s v="Physiotherapy"/>
    <s v="OPD"/>
    <n v="1065.6400000000001"/>
    <s v="Cash"/>
    <s v="No"/>
    <m/>
    <n v="90"/>
    <s v="Adult"/>
    <s v="Low"/>
    <s v="Short Days"/>
    <m/>
    <m/>
    <m/>
    <m/>
    <m/>
    <m/>
  </r>
  <r>
    <s v="VIS201330"/>
    <d v="2025-08-22T00:00:00"/>
    <s v="PAT5187"/>
    <s v="Neha Gupta"/>
    <s v="Female"/>
    <n v="46"/>
    <s v="Bengaluru"/>
    <s v="Karnataka"/>
    <x v="3"/>
    <s v="Dr. Pallavi"/>
    <s v="H10"/>
    <s v="Counselling"/>
    <s v="Teleconsultation"/>
    <n v="9502.99"/>
    <s v="UPI"/>
    <s v="No"/>
    <m/>
    <n v="14"/>
    <s v="Middle-Aged"/>
    <s v="Medium"/>
    <s v="Short Days"/>
    <m/>
    <m/>
    <m/>
    <m/>
    <m/>
    <m/>
  </r>
  <r>
    <s v="VIS200391"/>
    <d v="2024-05-12T00:00:00"/>
    <s v="PAT5310"/>
    <s v="Neha Bose"/>
    <s v="Male"/>
    <n v="80"/>
    <s v="Kochi"/>
    <s v="Kerala"/>
    <x v="5"/>
    <s v="Dr. Karthik"/>
    <s v="J00"/>
    <s v="Medication"/>
    <s v="IPD"/>
    <n v="6918.28"/>
    <s v="Insurance"/>
    <s v="Yes"/>
    <n v="5"/>
    <m/>
    <s v="Senior"/>
    <s v="Medium"/>
    <s v="Short Days"/>
    <m/>
    <m/>
    <m/>
    <m/>
    <m/>
    <m/>
  </r>
  <r>
    <s v="VIS200207"/>
    <d v="2025-02-09T00:00:00"/>
    <s v="PAT5699"/>
    <s v="Vivaan Jose"/>
    <s v="Male"/>
    <n v="20"/>
    <s v="Lucknow"/>
    <s v="Uttar Pradesh"/>
    <x v="6"/>
    <s v="Dr. Lalitha"/>
    <s v="K21"/>
    <s v="Prescription Refill"/>
    <s v="OPD"/>
    <n v="5610.41"/>
    <s v="Cash"/>
    <s v="No"/>
    <m/>
    <m/>
    <s v="Adult"/>
    <s v="Medium"/>
    <s v="Short Days"/>
    <m/>
    <m/>
    <m/>
    <m/>
    <m/>
    <m/>
  </r>
  <r>
    <s v="VIS202399"/>
    <d v="2025-06-28T00:00:00"/>
    <s v="PAT5813"/>
    <s v="Ishaan Reddy"/>
    <s v="Male"/>
    <n v="13"/>
    <s v="Coimbatore"/>
    <s v="Tamil Nadu"/>
    <x v="0"/>
    <s v="Dr. Nikhil"/>
    <s v="J45"/>
    <s v="Minor Procedure"/>
    <s v="OPD"/>
    <n v="3627.6"/>
    <s v="Cash"/>
    <s v="No"/>
    <m/>
    <n v="90"/>
    <s v="Child"/>
    <s v="Low"/>
    <s v="Short Days"/>
    <m/>
    <m/>
    <m/>
    <m/>
    <m/>
    <m/>
  </r>
  <r>
    <s v="VIS201869"/>
    <d v="2024-08-10T00:00:00"/>
    <s v="PAT6515"/>
    <s v="Aditya Reddy"/>
    <s v="Female"/>
    <n v="38"/>
    <s v="Chennai"/>
    <s v="Tamil Nadu"/>
    <x v="6"/>
    <s v="Dr. Priya"/>
    <s v="L40"/>
    <s v="Physiotherapy"/>
    <s v="Teleconsultation"/>
    <n v="9167.06"/>
    <s v="Insurance"/>
    <s v="Yes"/>
    <m/>
    <n v="30"/>
    <s v="Adult"/>
    <s v="Medium"/>
    <s v="Short Days"/>
    <m/>
    <m/>
    <m/>
    <m/>
    <m/>
    <m/>
  </r>
  <r>
    <s v="VIS202044"/>
    <d v="2025-06-01T00:00:00"/>
    <s v="PAT5216"/>
    <s v="Aarav Khan"/>
    <s v="Male"/>
    <n v="39"/>
    <s v="Chennai"/>
    <s v="Tamil Nadu"/>
    <x v="9"/>
    <s v="Dr. Arvind"/>
    <s v="I10"/>
    <s v="Minor Procedure"/>
    <s v="OPD"/>
    <n v="15918.92"/>
    <s v="Debit Card"/>
    <s v="No"/>
    <m/>
    <n v="7"/>
    <s v="Adult"/>
    <s v="High"/>
    <s v="Short Days"/>
    <m/>
    <m/>
    <m/>
    <m/>
    <m/>
    <m/>
  </r>
  <r>
    <s v="VIS201718"/>
    <d v="2025-01-01T00:00:00"/>
    <s v="PAT6688"/>
    <s v="Deepa Kumar"/>
    <s v="Male"/>
    <n v="32"/>
    <s v="Pune"/>
    <s v="Maharashtra"/>
    <x v="2"/>
    <s v="Dr. Manoj"/>
    <s v="N39"/>
    <s v="Minor Surgery"/>
    <s v="Teleconsultation"/>
    <n v="6415.75"/>
    <s v="Cash"/>
    <s v="No"/>
    <m/>
    <n v="14"/>
    <s v="Adult"/>
    <s v="Medium"/>
    <s v="Short Days"/>
    <m/>
    <m/>
    <m/>
    <m/>
    <m/>
    <m/>
  </r>
  <r>
    <s v="VIS200258"/>
    <d v="2024-03-08T00:00:00"/>
    <s v="PAT5236"/>
    <s v="Kavya Sharma"/>
    <s v="Male"/>
    <n v="48"/>
    <s v="Ahmedabad"/>
    <s v="Gujarat"/>
    <x v="6"/>
    <s v="Dr. Priya"/>
    <s v="H10"/>
    <s v="Surgery"/>
    <s v="OPD"/>
    <n v="4479"/>
    <s v="Net Banking"/>
    <s v="No"/>
    <m/>
    <n v="7"/>
    <s v="Middle-Aged"/>
    <s v="Low"/>
    <s v="Short Days"/>
    <m/>
    <m/>
    <m/>
    <m/>
    <m/>
    <m/>
  </r>
  <r>
    <s v="VIS200154"/>
    <d v="2025-04-05T00:00:00"/>
    <s v="PAT6081"/>
    <s v="Sangeetha Gupta"/>
    <s v="Female"/>
    <n v="38"/>
    <s v="Ahmedabad"/>
    <s v="Gujarat"/>
    <x v="7"/>
    <s v="Dr. Surya"/>
    <s v="J45"/>
    <s v="Observation"/>
    <s v="Teleconsultation"/>
    <n v="19698.61"/>
    <s v="Credit Card"/>
    <s v="No"/>
    <m/>
    <n v="14"/>
    <s v="Adult"/>
    <s v="High"/>
    <s v="Short Days"/>
    <m/>
    <m/>
    <m/>
    <m/>
    <m/>
    <m/>
  </r>
  <r>
    <s v="VIS201849"/>
    <d v="2025-01-15T00:00:00"/>
    <s v="PAT6236"/>
    <s v="Kavya Bose"/>
    <s v="Male"/>
    <n v="24"/>
    <s v="Kolkata"/>
    <s v="West Bengal"/>
    <x v="8"/>
    <s v="Dr. Kavitha"/>
    <s v="L40"/>
    <s v="Observation"/>
    <s v="Teleconsultation"/>
    <n v="11354.21"/>
    <s v="Insurance"/>
    <s v="Yes"/>
    <m/>
    <m/>
    <s v="Adult"/>
    <s v="High"/>
    <s v="Short Days"/>
    <m/>
    <m/>
    <m/>
    <m/>
    <m/>
    <m/>
  </r>
  <r>
    <s v="VIS200151"/>
    <d v="2024-11-23T00:00:00"/>
    <s v="PAT5876"/>
    <s v="Ishaan Nair"/>
    <s v="Male"/>
    <n v="37"/>
    <s v="Kolkata"/>
    <s v="West Bengal"/>
    <x v="7"/>
    <s v="Dr. Leela"/>
    <s v="E11"/>
    <s v="Observation"/>
    <s v="IPD"/>
    <n v="14345.98"/>
    <s v="UPI"/>
    <s v="No"/>
    <n v="6"/>
    <n v="90"/>
    <s v="Adult"/>
    <s v="High"/>
    <s v="Long Days"/>
    <m/>
    <m/>
    <m/>
    <m/>
    <m/>
    <m/>
  </r>
  <r>
    <s v="VIS201230"/>
    <d v="2025-01-30T00:00:00"/>
    <s v="PAT6698"/>
    <s v="Priya Patel"/>
    <s v="Female"/>
    <n v="38"/>
    <s v="Kochi"/>
    <s v="Kerala"/>
    <x v="9"/>
    <s v="Dr. Kusum"/>
    <s v="E11"/>
    <s v="Physiotherapy"/>
    <s v="OPD"/>
    <n v="22420.22"/>
    <s v="UPI"/>
    <s v="No"/>
    <m/>
    <n v="7"/>
    <s v="Adult"/>
    <s v="High"/>
    <s v="Short Days"/>
    <m/>
    <m/>
    <m/>
    <m/>
    <m/>
    <m/>
  </r>
  <r>
    <s v="VIS201311"/>
    <d v="2025-11-02T00:00:00"/>
    <s v="PAT5416"/>
    <s v="Deepa Khan"/>
    <s v="Male"/>
    <n v="69"/>
    <s v="Kolkata"/>
    <s v="West Bengal"/>
    <x v="4"/>
    <s v="Dr. Varun"/>
    <s v="J45"/>
    <s v="Surgery"/>
    <s v="OPD"/>
    <n v="1755.19"/>
    <s v="Debit Card"/>
    <s v="No"/>
    <m/>
    <n v="30"/>
    <s v="Senior"/>
    <s v="Low"/>
    <s v="Short Days"/>
    <m/>
    <m/>
    <m/>
    <m/>
    <m/>
    <m/>
  </r>
  <r>
    <s v="VIS200515"/>
    <d v="2024-08-13T00:00:00"/>
    <s v="PAT5120"/>
    <s v="Sangeetha Khan"/>
    <s v="Female"/>
    <n v="26"/>
    <s v="Trichy"/>
    <s v="Tamil Nadu"/>
    <x v="1"/>
    <s v="Dr. Suri"/>
    <s v="I10"/>
    <s v="Counselling"/>
    <s v="OPD"/>
    <n v="1247.22"/>
    <s v="UPI"/>
    <s v="No"/>
    <m/>
    <n v="90"/>
    <s v="Adult"/>
    <s v="Low"/>
    <s v="Short Days"/>
    <m/>
    <m/>
    <m/>
    <m/>
    <m/>
    <m/>
  </r>
  <r>
    <s v="VIS200019"/>
    <d v="2024-07-04T00:00:00"/>
    <s v="PAT5783"/>
    <s v="Vivaan Gupta"/>
    <s v="Male"/>
    <n v="8"/>
    <s v="Ahmedabad"/>
    <s v="Gujarat"/>
    <x v="6"/>
    <s v="Dr. Priya"/>
    <s v="H10"/>
    <s v="Minor Surgery"/>
    <s v="OPD"/>
    <n v="1491.45"/>
    <s v="Debit Card"/>
    <s v="No"/>
    <m/>
    <n v="7"/>
    <s v="Child"/>
    <s v="Low"/>
    <s v="Short Days"/>
    <m/>
    <m/>
    <m/>
    <m/>
    <m/>
    <m/>
  </r>
  <r>
    <s v="VIS200866"/>
    <d v="2025-11-04T00:00:00"/>
    <s v="PAT5705"/>
    <s v="Priya Reddy"/>
    <s v="Male"/>
    <n v="39"/>
    <s v="Madurai"/>
    <s v="Tamil Nadu"/>
    <x v="6"/>
    <s v="Dr. Priya"/>
    <s v="E11"/>
    <s v="Counselling"/>
    <s v="Emergency"/>
    <n v="5321.32"/>
    <s v="UPI"/>
    <s v="No"/>
    <m/>
    <m/>
    <s v="Adult"/>
    <s v="Medium"/>
    <s v="Short Days"/>
    <m/>
    <m/>
    <m/>
    <m/>
    <m/>
    <m/>
  </r>
  <r>
    <s v="VIS201328"/>
    <d v="2024-07-25T00:00:00"/>
    <s v="PAT5040"/>
    <s v="Aarav Khan"/>
    <s v="Female"/>
    <n v="26"/>
    <s v="Delhi"/>
    <s v="Delhi"/>
    <x v="2"/>
    <s v="Dr. Manoj"/>
    <s v="J00"/>
    <s v="Physiotherapy"/>
    <s v="OPD"/>
    <n v="16137.03"/>
    <s v="Insurance"/>
    <s v="Yes"/>
    <m/>
    <n v="14"/>
    <s v="Adult"/>
    <s v="High"/>
    <s v="Short Days"/>
    <m/>
    <m/>
    <m/>
    <m/>
    <m/>
    <m/>
  </r>
  <r>
    <s v="VIS201760"/>
    <d v="2024-11-25T00:00:00"/>
    <s v="PAT5510"/>
    <s v="Manisha Patel"/>
    <s v="Male"/>
    <n v="54"/>
    <s v="Hyderabad"/>
    <s v="Telangana"/>
    <x v="7"/>
    <s v="Dr. Surya"/>
    <s v="J45"/>
    <s v="Minor Surgery"/>
    <s v="Teleconsultation"/>
    <n v="9087.02"/>
    <s v="Cash"/>
    <s v="No"/>
    <m/>
    <n v="7"/>
    <s v="Middle-Aged"/>
    <s v="Medium"/>
    <s v="Short Days"/>
    <m/>
    <m/>
    <m/>
    <m/>
    <m/>
    <m/>
  </r>
  <r>
    <s v="VIS201673"/>
    <d v="2025-09-10T00:00:00"/>
    <s v="PAT5443"/>
    <s v="Rohan Nair"/>
    <s v="Female"/>
    <n v="51"/>
    <s v="Coimbatore"/>
    <s v="Tamil Nadu"/>
    <x v="4"/>
    <s v="Dr. Varun"/>
    <s v="J45"/>
    <s v="Medication"/>
    <s v="OPD"/>
    <n v="8331.17"/>
    <s v="Insurance"/>
    <s v="Yes"/>
    <m/>
    <n v="30"/>
    <s v="Middle-Aged"/>
    <s v="Medium"/>
    <s v="Short Days"/>
    <m/>
    <m/>
    <m/>
    <m/>
    <m/>
    <m/>
  </r>
  <r>
    <s v="VIS200583"/>
    <d v="2024-07-30T00:00:00"/>
    <s v="PAT6109"/>
    <s v="Shruti Jose"/>
    <s v="Male"/>
    <n v="45"/>
    <s v="Madurai"/>
    <s v="Tamil Nadu"/>
    <x v="4"/>
    <s v="Dr. Bhavana"/>
    <s v="K21"/>
    <s v="Minor Procedure"/>
    <s v="Teleconsultation"/>
    <n v="9284.75"/>
    <s v="Credit Card"/>
    <s v="No"/>
    <m/>
    <n v="90"/>
    <s v="Middle-Aged"/>
    <s v="Medium"/>
    <s v="Short Days"/>
    <m/>
    <m/>
    <m/>
    <m/>
    <m/>
    <m/>
  </r>
  <r>
    <s v="VIS201652"/>
    <d v="2024-05-21T00:00:00"/>
    <s v="PAT6258"/>
    <s v="Rohan Jose"/>
    <s v="Male"/>
    <n v="42"/>
    <s v="Pune"/>
    <s v="Maharashtra"/>
    <x v="6"/>
    <s v="Dr. Lalitha"/>
    <s v="H10"/>
    <s v="Counselling"/>
    <s v="Teleconsultation"/>
    <n v="10906.98"/>
    <s v="Debit Card"/>
    <s v="No"/>
    <m/>
    <n v="7"/>
    <s v="Middle-Aged"/>
    <s v="High"/>
    <s v="Short Days"/>
    <m/>
    <m/>
    <m/>
    <m/>
    <m/>
    <m/>
  </r>
  <r>
    <s v="VIS202579"/>
    <d v="2025-05-30T00:00:00"/>
    <s v="PAT6360"/>
    <s v="Anil Nagar"/>
    <s v="Male"/>
    <n v="70"/>
    <s v="Pune"/>
    <s v="Maharashtra"/>
    <x v="9"/>
    <s v="Dr. Arvind"/>
    <s v="N39"/>
    <s v="Minor Procedure"/>
    <s v="OPD"/>
    <n v="2066.52"/>
    <s v="Insurance"/>
    <s v="Yes"/>
    <m/>
    <m/>
    <s v="Senior"/>
    <s v="Low"/>
    <s v="Short Days"/>
    <m/>
    <m/>
    <m/>
    <m/>
    <m/>
    <m/>
  </r>
  <r>
    <s v="VIS202270"/>
    <d v="2024-11-17T00:00:00"/>
    <s v="PAT6448"/>
    <s v="Karthik Reddy"/>
    <s v="Male"/>
    <n v="47"/>
    <s v="Jaipur"/>
    <s v="Rajasthan"/>
    <x v="4"/>
    <s v="Dr. Bhavana"/>
    <s v="J00"/>
    <s v="Minor Surgery"/>
    <s v="Teleconsultation"/>
    <n v="9566.74"/>
    <s v="Insurance"/>
    <s v="Yes"/>
    <m/>
    <m/>
    <s v="Middle-Aged"/>
    <s v="Medium"/>
    <s v="Short Days"/>
    <m/>
    <m/>
    <m/>
    <m/>
    <m/>
    <m/>
  </r>
  <r>
    <s v="VIS201704"/>
    <d v="2024-07-30T00:00:00"/>
    <s v="PAT5235"/>
    <s v="Anil Khan"/>
    <s v="Male"/>
    <n v="33"/>
    <s v="Ahmedabad"/>
    <s v="Gujarat"/>
    <x v="1"/>
    <s v="Dr. Suri"/>
    <s v="E11"/>
    <s v="Medication"/>
    <s v="OPD"/>
    <n v="2277.58"/>
    <s v="Debit Card"/>
    <s v="No"/>
    <m/>
    <m/>
    <s v="Adult"/>
    <s v="Low"/>
    <s v="Short Days"/>
    <m/>
    <m/>
    <m/>
    <m/>
    <m/>
    <m/>
  </r>
  <r>
    <s v="VIS201692"/>
    <d v="2025-07-24T00:00:00"/>
    <s v="PAT6276"/>
    <s v="Arjun Nagar"/>
    <s v="Female"/>
    <n v="41"/>
    <s v="Trichy"/>
    <s v="Tamil Nadu"/>
    <x v="3"/>
    <s v="Dr. Pallavi"/>
    <s v="M54"/>
    <s v="Prescription Refill"/>
    <s v="OPD"/>
    <n v="4777.51"/>
    <s v="UPI"/>
    <s v="No"/>
    <m/>
    <n v="30"/>
    <s v="Middle-Aged"/>
    <s v="Low"/>
    <s v="Short Days"/>
    <m/>
    <m/>
    <m/>
    <m/>
    <m/>
    <m/>
  </r>
  <r>
    <s v="VIS202129"/>
    <d v="2024-12-25T00:00:00"/>
    <s v="PAT5061"/>
    <s v="Manisha Patel"/>
    <s v="Female"/>
    <n v="17"/>
    <s v="Jaipur"/>
    <s v="Rajasthan"/>
    <x v="8"/>
    <s v="Dr. Sneha"/>
    <s v="E11"/>
    <s v="Prescription Refill"/>
    <s v="Teleconsultation"/>
    <n v="10187.75"/>
    <s v="Debit Card"/>
    <s v="No"/>
    <m/>
    <n v="30"/>
    <s v="Child"/>
    <s v="High"/>
    <s v="Short Days"/>
    <m/>
    <m/>
    <m/>
    <m/>
    <m/>
    <m/>
  </r>
  <r>
    <s v="VIS202196"/>
    <d v="2025-07-23T00:00:00"/>
    <s v="PAT6424"/>
    <s v="Kavya Das"/>
    <s v="Female"/>
    <n v="50"/>
    <s v="Hyderabad"/>
    <s v="Telangana"/>
    <x v="5"/>
    <s v="Dr. Meena"/>
    <s v="J45"/>
    <s v="Prescription Refill"/>
    <s v="OPD"/>
    <n v="2824.64"/>
    <s v="Cash"/>
    <s v="No"/>
    <m/>
    <m/>
    <s v="Middle-Aged"/>
    <s v="Low"/>
    <s v="Short Days"/>
    <m/>
    <m/>
    <m/>
    <m/>
    <m/>
    <m/>
  </r>
  <r>
    <s v="VIS201132"/>
    <d v="2024-06-19T00:00:00"/>
    <s v="PAT5688"/>
    <s v="Shruti Jose"/>
    <s v="Male"/>
    <n v="45"/>
    <s v="Jaipur"/>
    <s v="Rajasthan"/>
    <x v="6"/>
    <s v="Dr. Lalitha"/>
    <s v="L40"/>
    <s v="Medication"/>
    <s v="OPD"/>
    <n v="2995.88"/>
    <s v="Credit Card"/>
    <s v="No"/>
    <m/>
    <n v="7"/>
    <s v="Middle-Aged"/>
    <s v="Low"/>
    <s v="Short Days"/>
    <m/>
    <m/>
    <m/>
    <m/>
    <m/>
    <m/>
  </r>
  <r>
    <s v="VIS202241"/>
    <d v="2024-01-20T00:00:00"/>
    <s v="PAT5248"/>
    <s v="Ananya Sharma"/>
    <s v="Male"/>
    <n v="40"/>
    <s v="Madurai"/>
    <s v="Tamil Nadu"/>
    <x v="1"/>
    <s v="Dr. Anu"/>
    <s v="I10"/>
    <s v="Surgery"/>
    <s v="OPD"/>
    <n v="4261.7"/>
    <s v="Cash"/>
    <s v="No"/>
    <m/>
    <m/>
    <s v="Adult"/>
    <s v="Low"/>
    <s v="Short Days"/>
    <m/>
    <m/>
    <m/>
    <m/>
    <m/>
    <m/>
  </r>
  <r>
    <s v="VIS202575"/>
    <d v="2025-08-03T00:00:00"/>
    <s v="PAT5395"/>
    <s v="Sangeetha Jose"/>
    <s v="Female"/>
    <n v="28"/>
    <s v="Madurai"/>
    <s v="Tamil Nadu"/>
    <x v="3"/>
    <s v="Dr. Anand"/>
    <s v="L40"/>
    <s v="Minor Surgery"/>
    <s v="OPD"/>
    <n v="1967.43"/>
    <s v="UPI"/>
    <s v="No"/>
    <m/>
    <n v="90"/>
    <s v="Adult"/>
    <s v="Low"/>
    <s v="Short Days"/>
    <m/>
    <m/>
    <m/>
    <m/>
    <m/>
    <m/>
  </r>
  <r>
    <s v="VIS200229"/>
    <d v="2025-10-25T00:00:00"/>
    <s v="PAT5542"/>
    <s v="Rohan Das"/>
    <s v="Female"/>
    <n v="58"/>
    <s v="Ahmedabad"/>
    <s v="Gujarat"/>
    <x v="0"/>
    <s v="Dr. Nikhil"/>
    <s v="N39"/>
    <s v="Minor Surgery"/>
    <s v="OPD"/>
    <n v="10515.86"/>
    <s v="Credit Card"/>
    <s v="No"/>
    <m/>
    <m/>
    <s v="Middle-Aged"/>
    <s v="High"/>
    <s v="Short Days"/>
    <m/>
    <m/>
    <m/>
    <m/>
    <m/>
    <m/>
  </r>
  <r>
    <s v="VIS202360"/>
    <d v="2024-05-03T00:00:00"/>
    <s v="PAT6970"/>
    <s v="Deepa Kumar"/>
    <s v="Female"/>
    <n v="32"/>
    <s v="Hyderabad"/>
    <s v="Telangana"/>
    <x v="8"/>
    <s v="Dr. Sneha"/>
    <s v="N39"/>
    <s v="Minor Procedure"/>
    <s v="OPD"/>
    <n v="3483.78"/>
    <s v="UPI"/>
    <s v="No"/>
    <m/>
    <n v="7"/>
    <s v="Adult"/>
    <s v="Low"/>
    <s v="Short Days"/>
    <m/>
    <m/>
    <m/>
    <m/>
    <m/>
    <m/>
  </r>
  <r>
    <s v="VIS201811"/>
    <d v="2024-07-28T00:00:00"/>
    <s v="PAT5458"/>
    <s v="Karthik Patel"/>
    <s v="Male"/>
    <n v="48"/>
    <s v="Noida"/>
    <s v="Uttar Pradesh"/>
    <x v="5"/>
    <s v="Dr. Meena"/>
    <s v="F41"/>
    <s v="Minor Surgery"/>
    <s v="OPD"/>
    <n v="3562.14"/>
    <s v="Credit Card"/>
    <s v="No"/>
    <m/>
    <m/>
    <s v="Middle-Aged"/>
    <s v="Low"/>
    <s v="Short Days"/>
    <m/>
    <m/>
    <m/>
    <m/>
    <m/>
    <m/>
  </r>
  <r>
    <s v="VIS202133"/>
    <d v="2025-08-12T00:00:00"/>
    <s v="PAT5542"/>
    <s v="Aishwarya Khan"/>
    <s v="Male"/>
    <n v="51"/>
    <s v="Noida"/>
    <s v="Uttar Pradesh"/>
    <x v="7"/>
    <s v="Dr. Surya"/>
    <s v="J45"/>
    <s v="Observation"/>
    <s v="OPD"/>
    <n v="1029.52"/>
    <s v="Credit Card"/>
    <s v="No"/>
    <m/>
    <n v="90"/>
    <s v="Middle-Aged"/>
    <s v="Low"/>
    <s v="Short Days"/>
    <m/>
    <m/>
    <m/>
    <m/>
    <m/>
    <m/>
  </r>
  <r>
    <s v="VIS201748"/>
    <d v="2024-03-02T00:00:00"/>
    <s v="PAT6990"/>
    <s v="Deepa Gupta"/>
    <s v="Male"/>
    <n v="34"/>
    <s v="Mumbai"/>
    <s v="Maharashtra"/>
    <x v="0"/>
    <s v="Dr. Shailesh"/>
    <s v="H10"/>
    <s v="Medication"/>
    <s v="Teleconsultation"/>
    <n v="16700.72"/>
    <s v="Insurance"/>
    <s v="Yes"/>
    <m/>
    <m/>
    <s v="Adult"/>
    <s v="High"/>
    <s v="Short Days"/>
    <m/>
    <m/>
    <m/>
    <m/>
    <m/>
    <m/>
  </r>
  <r>
    <s v="VIS202657"/>
    <d v="2024-02-28T00:00:00"/>
    <s v="PAT6299"/>
    <s v="Rahul Reddy"/>
    <s v="Female"/>
    <n v="46"/>
    <s v="Coimbatore"/>
    <s v="Tamil Nadu"/>
    <x v="9"/>
    <s v="Dr. Kusum"/>
    <s v="I10"/>
    <s v="Medication"/>
    <s v="OPD"/>
    <n v="5699.25"/>
    <s v="Net Banking"/>
    <s v="No"/>
    <m/>
    <m/>
    <s v="Middle-Aged"/>
    <s v="Medium"/>
    <s v="Short Days"/>
    <m/>
    <m/>
    <m/>
    <m/>
    <m/>
    <m/>
  </r>
  <r>
    <s v="VIS201381"/>
    <d v="2025-05-12T00:00:00"/>
    <s v="PAT6228"/>
    <s v="Rahul Nair"/>
    <s v="Male"/>
    <n v="6"/>
    <s v="Bengaluru"/>
    <s v="Karnataka"/>
    <x v="4"/>
    <s v="Dr. Varun"/>
    <s v="E11"/>
    <s v="Physiotherapy"/>
    <s v="Emergency"/>
    <n v="10419.290000000001"/>
    <s v="Cash"/>
    <s v="No"/>
    <m/>
    <m/>
    <s v="Child"/>
    <s v="High"/>
    <s v="Short Days"/>
    <m/>
    <m/>
    <m/>
    <m/>
    <m/>
    <m/>
  </r>
  <r>
    <s v="VIS200140"/>
    <d v="2025-10-11T00:00:00"/>
    <s v="PAT6097"/>
    <s v="Arjun Kumar"/>
    <s v="Female"/>
    <n v="49"/>
    <s v="Coimbatore"/>
    <s v="Tamil Nadu"/>
    <x v="1"/>
    <s v="Dr. Anu"/>
    <s v="E11"/>
    <s v="Prescription Refill"/>
    <s v="Teleconsultation"/>
    <n v="9346"/>
    <s v="Insurance"/>
    <s v="Yes"/>
    <m/>
    <n v="7"/>
    <s v="Middle-Aged"/>
    <s v="Medium"/>
    <s v="Short Days"/>
    <m/>
    <m/>
    <m/>
    <m/>
    <m/>
    <m/>
  </r>
  <r>
    <s v="VIS201543"/>
    <d v="2024-09-26T00:00:00"/>
    <s v="PAT5823"/>
    <s v="Arjun Gupta"/>
    <s v="Female"/>
    <n v="29"/>
    <s v="Chennai"/>
    <s v="Tamil Nadu"/>
    <x v="7"/>
    <s v="Dr. Surya"/>
    <s v="M54"/>
    <s v="Surgery"/>
    <s v="OPD"/>
    <n v="3739.6"/>
    <s v="UPI"/>
    <s v="No"/>
    <m/>
    <n v="7"/>
    <s v="Adult"/>
    <s v="Low"/>
    <s v="Short Days"/>
    <m/>
    <m/>
    <m/>
    <m/>
    <m/>
    <m/>
  </r>
  <r>
    <s v="VIS200725"/>
    <d v="2024-08-13T00:00:00"/>
    <s v="PAT6270"/>
    <s v="Vishal Iyer"/>
    <s v="Female"/>
    <n v="42"/>
    <s v="Lucknow"/>
    <s v="Uttar Pradesh"/>
    <x v="1"/>
    <s v="Dr. Suri"/>
    <s v="I10"/>
    <s v="Observation"/>
    <s v="OPD"/>
    <n v="11758.01"/>
    <s v="UPI"/>
    <s v="No"/>
    <m/>
    <n v="30"/>
    <s v="Middle-Aged"/>
    <s v="High"/>
    <s v="Short Days"/>
    <m/>
    <m/>
    <m/>
    <m/>
    <m/>
    <m/>
  </r>
  <r>
    <s v="VIS200480"/>
    <d v="2024-10-27T00:00:00"/>
    <s v="PAT6675"/>
    <s v="Anil Iyer"/>
    <s v="Male"/>
    <n v="39"/>
    <s v="Coimbatore"/>
    <s v="Tamil Nadu"/>
    <x v="9"/>
    <s v="Dr. Kusum"/>
    <s v="N39"/>
    <s v="Prescription Refill"/>
    <s v="OPD"/>
    <n v="17951.650000000001"/>
    <s v="Cash"/>
    <s v="No"/>
    <m/>
    <n v="14"/>
    <s v="Adult"/>
    <s v="High"/>
    <s v="Short Days"/>
    <m/>
    <m/>
    <m/>
    <m/>
    <m/>
    <m/>
  </r>
  <r>
    <s v="VIS202298"/>
    <d v="2025-09-02T00:00:00"/>
    <s v="PAT6358"/>
    <s v="Siddharth Singh"/>
    <s v="Female"/>
    <n v="37"/>
    <s v="Ahmedabad"/>
    <s v="Gujarat"/>
    <x v="8"/>
    <s v="Dr. Sneha"/>
    <s v="E11"/>
    <s v="Medication"/>
    <s v="IPD"/>
    <n v="5962.89"/>
    <s v="UPI"/>
    <s v="No"/>
    <n v="4"/>
    <n v="30"/>
    <s v="Adult"/>
    <s v="Medium"/>
    <s v="Short Days"/>
    <m/>
    <m/>
    <m/>
    <m/>
    <m/>
    <m/>
  </r>
  <r>
    <s v="VIS201503"/>
    <d v="2025-06-10T00:00:00"/>
    <s v="PAT5227"/>
    <s v="Siddharth Patel"/>
    <s v="Female"/>
    <n v="22"/>
    <s v="Kolkata"/>
    <s v="West Bengal"/>
    <x v="0"/>
    <s v="Dr. Shailesh"/>
    <s v="F41"/>
    <s v="Minor Surgery"/>
    <s v="Teleconsultation"/>
    <n v="5563.64"/>
    <s v="Cash"/>
    <s v="No"/>
    <m/>
    <m/>
    <s v="Adult"/>
    <s v="Medium"/>
    <s v="Short Days"/>
    <m/>
    <m/>
    <m/>
    <m/>
    <m/>
    <m/>
  </r>
  <r>
    <s v="VIS202861"/>
    <d v="2025-04-28T00:00:00"/>
    <s v="PAT6590"/>
    <s v="Sangeetha Nagar"/>
    <s v="Female"/>
    <n v="10"/>
    <s v="Ahmedabad"/>
    <s v="Gujarat"/>
    <x v="5"/>
    <s v="Dr. Ravi"/>
    <s v="E11"/>
    <s v="Minor Surgery"/>
    <s v="OPD"/>
    <n v="3078.09"/>
    <s v="Debit Card"/>
    <s v="No"/>
    <m/>
    <n v="90"/>
    <s v="Child"/>
    <s v="Low"/>
    <s v="Short Days"/>
    <m/>
    <m/>
    <m/>
    <m/>
    <m/>
    <m/>
  </r>
  <r>
    <s v="VIS200412"/>
    <d v="2025-09-15T00:00:00"/>
    <s v="PAT6329"/>
    <s v="Manisha Bose"/>
    <s v="Female"/>
    <n v="32"/>
    <s v="Ahmedabad"/>
    <s v="Gujarat"/>
    <x v="8"/>
    <s v="Dr. Kavitha"/>
    <s v="F41"/>
    <s v="Medication"/>
    <s v="OPD"/>
    <n v="5750.08"/>
    <s v="Cash"/>
    <s v="No"/>
    <m/>
    <n v="7"/>
    <s v="Adult"/>
    <s v="Medium"/>
    <s v="Short Days"/>
    <m/>
    <m/>
    <m/>
    <m/>
    <m/>
    <m/>
  </r>
  <r>
    <s v="VIS200722"/>
    <d v="2024-04-23T00:00:00"/>
    <s v="PAT5806"/>
    <s v="Aarav Patel"/>
    <s v="Male"/>
    <n v="69"/>
    <s v="Chennai"/>
    <s v="Tamil Nadu"/>
    <x v="5"/>
    <s v="Dr. Karthik"/>
    <s v="L40"/>
    <s v="Observation"/>
    <s v="OPD"/>
    <n v="5568.14"/>
    <s v="UPI"/>
    <s v="No"/>
    <m/>
    <n v="14"/>
    <s v="Senior"/>
    <s v="Medium"/>
    <s v="Short Days"/>
    <m/>
    <m/>
    <m/>
    <m/>
    <m/>
    <m/>
  </r>
  <r>
    <s v="VIS200155"/>
    <d v="2024-02-23T00:00:00"/>
    <s v="PAT6518"/>
    <s v="Vishal Nagar"/>
    <s v="Male"/>
    <n v="34"/>
    <s v="Noida"/>
    <s v="Uttar Pradesh"/>
    <x v="4"/>
    <s v="Dr. Varun"/>
    <s v="E11"/>
    <s v="Medication"/>
    <s v="OPD"/>
    <n v="4857.22"/>
    <s v="Cash"/>
    <s v="No"/>
    <m/>
    <n v="14"/>
    <s v="Adult"/>
    <s v="Low"/>
    <s v="Short Days"/>
    <m/>
    <m/>
    <m/>
    <m/>
    <m/>
    <m/>
  </r>
  <r>
    <s v="VIS200236"/>
    <d v="2025-01-03T00:00:00"/>
    <s v="PAT5838"/>
    <s v="Priya Iyer"/>
    <s v="Female"/>
    <n v="45"/>
    <s v="Kochi"/>
    <s v="Kerala"/>
    <x v="6"/>
    <s v="Dr. Lalitha"/>
    <s v="E11"/>
    <s v="Medication"/>
    <s v="OPD"/>
    <n v="12025.79"/>
    <s v="Insurance"/>
    <s v="Yes"/>
    <m/>
    <n v="90"/>
    <s v="Middle-Aged"/>
    <s v="High"/>
    <s v="Short Days"/>
    <m/>
    <m/>
    <m/>
    <m/>
    <m/>
    <m/>
  </r>
  <r>
    <s v="VIS202987"/>
    <d v="2025-07-09T00:00:00"/>
    <s v="PAT5355"/>
    <s v="Rahul Jose"/>
    <s v="Female"/>
    <n v="17"/>
    <s v="Kochi"/>
    <s v="Kerala"/>
    <x v="7"/>
    <s v="Dr. Surya"/>
    <s v="E11"/>
    <s v="Physiotherapy"/>
    <s v="Teleconsultation"/>
    <n v="18692.189999999999"/>
    <s v="Debit Card"/>
    <s v="No"/>
    <m/>
    <m/>
    <s v="Child"/>
    <s v="High"/>
    <s v="Short Days"/>
    <m/>
    <m/>
    <m/>
    <m/>
    <m/>
    <m/>
  </r>
  <r>
    <s v="VIS201101"/>
    <d v="2024-11-26T00:00:00"/>
    <s v="PAT5793"/>
    <s v="Ananya Iyer"/>
    <s v="Male"/>
    <n v="66"/>
    <s v="Trichy"/>
    <s v="Tamil Nadu"/>
    <x v="5"/>
    <s v="Dr. Karthik"/>
    <s v="M54"/>
    <s v="Prescription Refill"/>
    <s v="Teleconsultation"/>
    <n v="9239.5300000000007"/>
    <s v="UPI"/>
    <s v="No"/>
    <m/>
    <m/>
    <s v="Senior"/>
    <s v="Medium"/>
    <s v="Short Days"/>
    <m/>
    <m/>
    <m/>
    <m/>
    <m/>
    <m/>
  </r>
  <r>
    <s v="VIS202075"/>
    <d v="2024-05-23T00:00:00"/>
    <s v="PAT6243"/>
    <s v="Anil Mishra"/>
    <s v="Female"/>
    <n v="38"/>
    <s v="Delhi"/>
    <s v="Delhi"/>
    <x v="8"/>
    <s v="Dr. Sneha"/>
    <s v="M54"/>
    <s v="Minor Procedure"/>
    <s v="OPD"/>
    <n v="17620.02"/>
    <s v="Insurance"/>
    <s v="Yes"/>
    <m/>
    <n v="14"/>
    <s v="Adult"/>
    <s v="High"/>
    <s v="Short Days"/>
    <m/>
    <m/>
    <m/>
    <m/>
    <m/>
    <m/>
  </r>
  <r>
    <s v="VIS200734"/>
    <d v="2024-05-28T00:00:00"/>
    <s v="PAT6500"/>
    <s v="Vishal Mishra"/>
    <s v="Female"/>
    <n v="27"/>
    <s v="Kolkata"/>
    <s v="West Bengal"/>
    <x v="6"/>
    <s v="Dr. Priya"/>
    <s v="N39"/>
    <s v="Minor Procedure"/>
    <s v="OPD"/>
    <n v="751.06"/>
    <s v="UPI"/>
    <s v="No"/>
    <m/>
    <m/>
    <s v="Adult"/>
    <s v="Low"/>
    <s v="Short Days"/>
    <m/>
    <m/>
    <m/>
    <m/>
    <m/>
    <m/>
  </r>
  <r>
    <s v="VIS201322"/>
    <d v="2024-04-21T00:00:00"/>
    <s v="PAT5351"/>
    <s v="Anil Singh"/>
    <s v="Male"/>
    <n v="41"/>
    <s v="Kochi"/>
    <s v="Kerala"/>
    <x v="9"/>
    <s v="Dr. Arvind"/>
    <s v="L40"/>
    <s v="Minor Procedure"/>
    <s v="Teleconsultation"/>
    <n v="8602.17"/>
    <s v="UPI"/>
    <s v="No"/>
    <m/>
    <m/>
    <s v="Middle-Aged"/>
    <s v="Medium"/>
    <s v="Short Days"/>
    <m/>
    <m/>
    <m/>
    <m/>
    <m/>
    <m/>
  </r>
  <r>
    <s v="VIS202343"/>
    <d v="2025-06-10T00:00:00"/>
    <s v="PAT5155"/>
    <s v="Vishal Nair"/>
    <s v="Male"/>
    <n v="61"/>
    <s v="Lucknow"/>
    <s v="Uttar Pradesh"/>
    <x v="1"/>
    <s v="Dr. Suri"/>
    <s v="J00"/>
    <s v="Physiotherapy"/>
    <s v="Teleconsultation"/>
    <n v="6593.66"/>
    <s v="Insurance"/>
    <s v="Yes"/>
    <m/>
    <m/>
    <s v="Senior"/>
    <s v="Medium"/>
    <s v="Short Days"/>
    <m/>
    <m/>
    <m/>
    <m/>
    <m/>
    <m/>
  </r>
  <r>
    <s v="VIS200266"/>
    <d v="2025-08-16T00:00:00"/>
    <s v="PAT6154"/>
    <s v="Arjun Bose"/>
    <s v="Female"/>
    <n v="0"/>
    <s v="Chennai"/>
    <s v="Tamil Nadu"/>
    <x v="6"/>
    <s v="Dr. Priya"/>
    <s v="L40"/>
    <s v="Minor Procedure"/>
    <s v="IPD"/>
    <n v="6534.85"/>
    <s v="Cash"/>
    <s v="No"/>
    <n v="6"/>
    <n v="7"/>
    <s v="Child"/>
    <s v="Medium"/>
    <s v="Long Days"/>
    <m/>
    <m/>
    <m/>
    <m/>
    <m/>
    <m/>
  </r>
  <r>
    <s v="VIS201254"/>
    <d v="2025-02-05T00:00:00"/>
    <s v="PAT6280"/>
    <s v="Arjun Nair"/>
    <s v="Male"/>
    <n v="71"/>
    <s v="Ahmedabad"/>
    <s v="Gujarat"/>
    <x v="1"/>
    <s v="Dr. Suri"/>
    <s v="F41"/>
    <s v="Physiotherapy"/>
    <s v="OPD"/>
    <n v="4965.46"/>
    <s v="Insurance"/>
    <s v="Yes"/>
    <m/>
    <n v="14"/>
    <s v="Senior"/>
    <s v="Low"/>
    <s v="Short Days"/>
    <m/>
    <m/>
    <m/>
    <m/>
    <m/>
    <m/>
  </r>
  <r>
    <s v="VIS200903"/>
    <d v="2024-09-14T00:00:00"/>
    <s v="PAT6926"/>
    <s v="Ananya Nair"/>
    <s v="Female"/>
    <n v="31"/>
    <s v="Ahmedabad"/>
    <s v="Gujarat"/>
    <x v="1"/>
    <s v="Dr. Suri"/>
    <s v="K21"/>
    <s v="Medication"/>
    <s v="Emergency"/>
    <n v="12216.28"/>
    <s v="Debit Card"/>
    <s v="No"/>
    <m/>
    <n v="7"/>
    <s v="Adult"/>
    <s v="High"/>
    <s v="Short Days"/>
    <m/>
    <m/>
    <m/>
    <m/>
    <m/>
    <m/>
  </r>
  <r>
    <s v="VIS202570"/>
    <d v="2024-12-23T00:00:00"/>
    <s v="PAT5845"/>
    <s v="Anil Patel"/>
    <s v="Female"/>
    <n v="16"/>
    <s v="Lucknow"/>
    <s v="Uttar Pradesh"/>
    <x v="4"/>
    <s v="Dr. Varun"/>
    <s v="J00"/>
    <s v="Prescription Refill"/>
    <s v="Teleconsultation"/>
    <n v="6244.43"/>
    <s v="Credit Card"/>
    <s v="No"/>
    <m/>
    <m/>
    <s v="Child"/>
    <s v="Medium"/>
    <s v="Short Days"/>
    <m/>
    <m/>
    <m/>
    <m/>
    <m/>
    <m/>
  </r>
  <r>
    <s v="VIS201505"/>
    <d v="2025-01-19T00:00:00"/>
    <s v="PAT5579"/>
    <s v="Siddharth Mishra"/>
    <s v="Male"/>
    <n v="9"/>
    <s v="Kochi"/>
    <s v="Kerala"/>
    <x v="3"/>
    <s v="Dr. Anand"/>
    <s v="E11"/>
    <s v="Observation"/>
    <s v="OPD"/>
    <n v="13618.68"/>
    <s v="UPI"/>
    <s v="No"/>
    <m/>
    <n v="14"/>
    <s v="Child"/>
    <s v="High"/>
    <s v="Short Days"/>
    <m/>
    <m/>
    <m/>
    <m/>
    <m/>
    <m/>
  </r>
  <r>
    <s v="VIS200709"/>
    <d v="2024-11-05T00:00:00"/>
    <s v="PAT5482"/>
    <s v="Arjun Gupta"/>
    <s v="Male"/>
    <n v="31"/>
    <s v="Delhi"/>
    <s v="Delhi"/>
    <x v="1"/>
    <s v="Dr. Anu"/>
    <s v="I10"/>
    <s v="Counselling"/>
    <s v="OPD"/>
    <n v="4005.15"/>
    <s v="Cash"/>
    <s v="No"/>
    <m/>
    <n v="90"/>
    <s v="Adult"/>
    <s v="Low"/>
    <s v="Short Days"/>
    <m/>
    <m/>
    <m/>
    <m/>
    <m/>
    <m/>
  </r>
  <r>
    <s v="VIS200171"/>
    <d v="2025-01-07T00:00:00"/>
    <s v="PAT5892"/>
    <s v="Deepa Sharma"/>
    <s v="Female"/>
    <n v="52"/>
    <s v="Jaipur"/>
    <s v="Rajasthan"/>
    <x v="6"/>
    <s v="Dr. Priya"/>
    <s v="E11"/>
    <s v="Prescription Refill"/>
    <s v="OPD"/>
    <n v="627.54999999999995"/>
    <s v="UPI"/>
    <s v="No"/>
    <m/>
    <m/>
    <s v="Middle-Aged"/>
    <s v="Low"/>
    <s v="Short Days"/>
    <m/>
    <m/>
    <m/>
    <m/>
    <m/>
    <m/>
  </r>
  <r>
    <s v="VIS201280"/>
    <d v="2025-08-11T00:00:00"/>
    <s v="PAT5303"/>
    <s v="Kavya Nair"/>
    <s v="Male"/>
    <n v="62"/>
    <s v="Hyderabad"/>
    <s v="Telangana"/>
    <x v="3"/>
    <s v="Dr. Pallavi"/>
    <s v="J00"/>
    <s v="Medication"/>
    <s v="OPD"/>
    <n v="4403.41"/>
    <s v="Cash"/>
    <s v="No"/>
    <m/>
    <n v="30"/>
    <s v="Senior"/>
    <s v="Low"/>
    <s v="Short Days"/>
    <m/>
    <m/>
    <m/>
    <m/>
    <m/>
    <m/>
  </r>
  <r>
    <s v="VIS200141"/>
    <d v="2024-02-23T00:00:00"/>
    <s v="PAT5467"/>
    <s v="Arjun Nagar"/>
    <s v="Male"/>
    <n v="44"/>
    <s v="Lucknow"/>
    <s v="Uttar Pradesh"/>
    <x v="8"/>
    <s v="Dr. Sneha"/>
    <s v="M54"/>
    <s v="Physiotherapy"/>
    <s v="Teleconsultation"/>
    <n v="6324.3"/>
    <s v="UPI"/>
    <s v="No"/>
    <m/>
    <m/>
    <s v="Middle-Aged"/>
    <s v="Medium"/>
    <s v="Short Days"/>
    <m/>
    <m/>
    <m/>
    <m/>
    <m/>
    <m/>
  </r>
  <r>
    <s v="VIS200356"/>
    <d v="2024-10-28T00:00:00"/>
    <s v="PAT5914"/>
    <s v="Sangeetha Nagar"/>
    <s v="Other"/>
    <n v="40"/>
    <s v="Bengaluru"/>
    <s v="Karnataka"/>
    <x v="9"/>
    <s v="Dr. Kusum"/>
    <s v="J00"/>
    <s v="Minor Surgery"/>
    <s v="Teleconsultation"/>
    <n v="7749.33"/>
    <s v="Credit Card"/>
    <s v="No"/>
    <m/>
    <m/>
    <s v="Adult"/>
    <s v="Medium"/>
    <s v="Short Days"/>
    <m/>
    <m/>
    <m/>
    <m/>
    <m/>
    <m/>
  </r>
  <r>
    <s v="VIS201154"/>
    <d v="2024-02-19T00:00:00"/>
    <s v="PAT6284"/>
    <s v="Ishaan Sharma"/>
    <s v="Female"/>
    <n v="61"/>
    <s v="Hyderabad"/>
    <s v="Telangana"/>
    <x v="4"/>
    <s v="Dr. Bhavana"/>
    <s v="E11"/>
    <s v="Physiotherapy"/>
    <s v="Emergency"/>
    <n v="21981.84"/>
    <s v="Insurance"/>
    <s v="Yes"/>
    <m/>
    <n v="14"/>
    <s v="Senior"/>
    <s v="High"/>
    <s v="Short Days"/>
    <m/>
    <m/>
    <m/>
    <m/>
    <m/>
    <m/>
  </r>
  <r>
    <s v="VIS200197"/>
    <d v="2024-06-21T00:00:00"/>
    <s v="PAT6682"/>
    <s v="Ananya Das"/>
    <s v="Male"/>
    <n v="55"/>
    <s v="Mumbai"/>
    <s v="Maharashtra"/>
    <x v="7"/>
    <s v="Dr. Leela"/>
    <s v="J00"/>
    <s v="Prescription Refill"/>
    <s v="IPD"/>
    <n v="14747.4"/>
    <s v="Credit Card"/>
    <s v="No"/>
    <n v="8"/>
    <m/>
    <s v="Middle-Aged"/>
    <s v="High"/>
    <s v="Long Days"/>
    <m/>
    <m/>
    <m/>
    <m/>
    <m/>
    <m/>
  </r>
  <r>
    <s v="VIS200874"/>
    <d v="2025-04-03T00:00:00"/>
    <s v="PAT6926"/>
    <s v="Siddharth Singh"/>
    <s v="Female"/>
    <n v="59"/>
    <s v="Bengaluru"/>
    <s v="Karnataka"/>
    <x v="0"/>
    <s v="Dr. Shailesh"/>
    <s v="H10"/>
    <s v="Surgery"/>
    <s v="OPD"/>
    <n v="8900.2000000000007"/>
    <s v="UPI"/>
    <s v="No"/>
    <m/>
    <m/>
    <s v="Middle-Aged"/>
    <s v="Medium"/>
    <s v="Short Days"/>
    <m/>
    <m/>
    <m/>
    <m/>
    <m/>
    <m/>
  </r>
  <r>
    <s v="VIS201684"/>
    <d v="2025-06-02T00:00:00"/>
    <s v="PAT6789"/>
    <s v="Ishaan Singh"/>
    <s v="Female"/>
    <n v="47"/>
    <s v="Jaipur"/>
    <s v="Rajasthan"/>
    <x v="7"/>
    <s v="Dr. Surya"/>
    <s v="H10"/>
    <s v="Medication"/>
    <s v="OPD"/>
    <n v="1322.57"/>
    <s v="Debit Card"/>
    <s v="No"/>
    <m/>
    <m/>
    <s v="Middle-Aged"/>
    <s v="Low"/>
    <s v="Short Days"/>
    <m/>
    <m/>
    <m/>
    <m/>
    <m/>
    <m/>
  </r>
  <r>
    <s v="VIS202803"/>
    <d v="2025-10-31T00:00:00"/>
    <s v="PAT5714"/>
    <s v="Aarav Kumar"/>
    <s v="Male"/>
    <n v="54.5"/>
    <s v="Delhi"/>
    <s v="Tamil Nadu"/>
    <x v="8"/>
    <s v="Dr. Sneha"/>
    <s v="Z111"/>
    <s v="Observation"/>
    <s v="OPD"/>
    <n v="4477.82"/>
    <s v="Credit Card"/>
    <s v="No"/>
    <m/>
    <n v="7"/>
    <s v="Middle-Aged"/>
    <s v="Low"/>
    <s v="Short Days"/>
    <m/>
    <m/>
    <m/>
    <m/>
    <m/>
    <m/>
  </r>
  <r>
    <s v="VIS202767"/>
    <d v="2024-09-18T00:00:00"/>
    <s v="PAT5044"/>
    <s v="Sangeetha Das"/>
    <s v="Female"/>
    <n v="62"/>
    <s v="Chennai"/>
    <s v="Tamil Nadu"/>
    <x v="8"/>
    <s v="Dr. Sneha"/>
    <s v="H10"/>
    <s v="Surgery"/>
    <s v="Teleconsultation"/>
    <n v="12287.15"/>
    <s v="Insurance"/>
    <s v="Yes"/>
    <m/>
    <n v="90"/>
    <s v="Senior"/>
    <s v="High"/>
    <s v="Short Days"/>
    <m/>
    <m/>
    <m/>
    <m/>
    <m/>
    <m/>
  </r>
  <r>
    <s v="VIS201923"/>
    <d v="2025-10-03T00:00:00"/>
    <s v="PAT5653"/>
    <s v="Deepa Kumar"/>
    <s v="Male"/>
    <n v="42"/>
    <s v="Madurai"/>
    <s v="Tamil Nadu"/>
    <x v="8"/>
    <s v="Dr. Kavitha"/>
    <s v="J00"/>
    <s v="Medication"/>
    <s v="OPD"/>
    <n v="6860.38"/>
    <s v="Insurance"/>
    <s v="Yes"/>
    <m/>
    <n v="90"/>
    <s v="Middle-Aged"/>
    <s v="Medium"/>
    <s v="Short Days"/>
    <m/>
    <m/>
    <m/>
    <m/>
    <m/>
    <m/>
  </r>
  <r>
    <s v="VIS201028"/>
    <d v="2024-11-28T00:00:00"/>
    <s v="PAT6969"/>
    <s v="Karthik Sharma"/>
    <s v="Male"/>
    <n v="60"/>
    <s v="Ahmedabad"/>
    <s v="Gujarat"/>
    <x v="2"/>
    <s v="Dr. Manoj"/>
    <s v="K21"/>
    <s v="Counselling"/>
    <s v="Emergency"/>
    <n v="24459.8"/>
    <s v="Credit Card"/>
    <s v="No"/>
    <m/>
    <n v="14"/>
    <s v="Middle-Aged"/>
    <s v="High"/>
    <s v="Short Days"/>
    <m/>
    <m/>
    <m/>
    <m/>
    <m/>
    <m/>
  </r>
  <r>
    <s v="VIS200248"/>
    <d v="2025-03-10T00:00:00"/>
    <s v="PAT5004"/>
    <s v="Manisha Das"/>
    <s v="Female"/>
    <n v="42"/>
    <s v="Delhi"/>
    <s v="Delhi"/>
    <x v="0"/>
    <s v="Dr. Nikhil"/>
    <s v="I10"/>
    <s v="Medication"/>
    <s v="OPD"/>
    <n v="135.69"/>
    <s v="UPI"/>
    <s v="No"/>
    <m/>
    <n v="7"/>
    <s v="Middle-Aged"/>
    <s v="Low"/>
    <s v="Short Days"/>
    <m/>
    <m/>
    <m/>
    <m/>
    <m/>
    <m/>
  </r>
  <r>
    <s v="VIS201978"/>
    <d v="2025-05-08T00:00:00"/>
    <s v="PAT6209"/>
    <s v="Manisha Khan"/>
    <s v="Female"/>
    <n v="36"/>
    <s v="Jaipur"/>
    <s v="Rajasthan"/>
    <x v="3"/>
    <s v="Dr. Pallavi"/>
    <s v="E11"/>
    <s v="Surgery"/>
    <s v="OPD"/>
    <n v="6317.08"/>
    <s v="Insurance"/>
    <s v="Yes"/>
    <m/>
    <n v="7"/>
    <s v="Adult"/>
    <s v="Medium"/>
    <s v="Short Days"/>
    <m/>
    <m/>
    <m/>
    <m/>
    <m/>
    <m/>
  </r>
  <r>
    <s v="VIS200404"/>
    <d v="2024-06-09T00:00:00"/>
    <s v="PAT6941"/>
    <s v="Vishal Jose"/>
    <s v="Female"/>
    <n v="32"/>
    <s v="Chennai"/>
    <s v="Tamil Nadu"/>
    <x v="4"/>
    <s v="Dr. Varun"/>
    <s v="K21"/>
    <s v="Minor Procedure"/>
    <s v="OPD"/>
    <n v="3431.96"/>
    <s v="Insurance"/>
    <s v="Yes"/>
    <m/>
    <n v="90"/>
    <s v="Adult"/>
    <s v="Low"/>
    <s v="Short Days"/>
    <m/>
    <m/>
    <m/>
    <m/>
    <m/>
    <m/>
  </r>
  <r>
    <s v="VIS201950"/>
    <d v="2025-01-17T00:00:00"/>
    <s v="PAT6235"/>
    <s v="Vivaan Bose"/>
    <s v="Male"/>
    <n v="51"/>
    <s v="Kolkata"/>
    <s v="West Bengal"/>
    <x v="1"/>
    <s v="Dr. Anu"/>
    <s v="F41"/>
    <s v="Observation"/>
    <s v="OPD"/>
    <n v="7198.96"/>
    <s v="UPI"/>
    <s v="No"/>
    <m/>
    <m/>
    <s v="Middle-Aged"/>
    <s v="Medium"/>
    <s v="Short Days"/>
    <m/>
    <m/>
    <m/>
    <m/>
    <m/>
    <m/>
  </r>
  <r>
    <s v="VIS202244"/>
    <d v="2024-05-06T00:00:00"/>
    <s v="PAT6448"/>
    <s v="Karthik Nair"/>
    <s v="Male"/>
    <n v="18"/>
    <s v="Kochi"/>
    <s v="Kerala"/>
    <x v="7"/>
    <s v="Dr. Surya"/>
    <s v="N39"/>
    <s v="Observation"/>
    <s v="OPD"/>
    <n v="4796.99"/>
    <s v="Net Banking"/>
    <s v="No"/>
    <m/>
    <m/>
    <s v="Adult"/>
    <s v="Low"/>
    <s v="Short Days"/>
    <m/>
    <m/>
    <m/>
    <m/>
    <m/>
    <m/>
  </r>
  <r>
    <s v="VIS202699"/>
    <d v="2024-09-26T00:00:00"/>
    <s v="PAT5648"/>
    <s v="Aishwarya Bose"/>
    <s v="Female"/>
    <n v="58"/>
    <s v="Ahmedabad"/>
    <s v="Gujarat"/>
    <x v="6"/>
    <s v="Dr. Priya"/>
    <s v="N39"/>
    <s v="Medication"/>
    <s v="OPD"/>
    <n v="9263.8700000000008"/>
    <s v="Cash"/>
    <s v="No"/>
    <m/>
    <n v="7"/>
    <s v="Middle-Aged"/>
    <s v="Medium"/>
    <s v="Short Days"/>
    <m/>
    <m/>
    <m/>
    <m/>
    <m/>
    <m/>
  </r>
  <r>
    <s v="VIS200006"/>
    <d v="2024-07-12T00:00:00"/>
    <s v="PAT6200"/>
    <s v="Arjun Gupta"/>
    <s v="Female"/>
    <n v="27"/>
    <s v="Chennai"/>
    <s v="Tamil Nadu"/>
    <x v="9"/>
    <s v="Dr. Arvind"/>
    <s v="N39"/>
    <s v="Medication"/>
    <s v="OPD"/>
    <n v="2587.86"/>
    <s v="Net Banking"/>
    <s v="No"/>
    <m/>
    <n v="90"/>
    <s v="Adult"/>
    <s v="Low"/>
    <s v="Short Days"/>
    <m/>
    <m/>
    <m/>
    <m/>
    <m/>
    <m/>
  </r>
  <r>
    <s v="VIS200327"/>
    <d v="2024-10-22T00:00:00"/>
    <s v="PAT6555"/>
    <s v="Priya Reddy"/>
    <s v="Male"/>
    <n v="13"/>
    <s v="Coimbatore"/>
    <s v="Tamil Nadu"/>
    <x v="9"/>
    <s v="Dr. Arvind"/>
    <s v="E11"/>
    <s v="Observation"/>
    <s v="OPD"/>
    <n v="8415.25"/>
    <s v="Credit Card"/>
    <s v="No"/>
    <m/>
    <n v="90"/>
    <s v="Child"/>
    <s v="Medium"/>
    <s v="Short Days"/>
    <m/>
    <m/>
    <m/>
    <m/>
    <m/>
    <m/>
  </r>
  <r>
    <s v="VIS200592"/>
    <d v="2025-03-23T00:00:00"/>
    <s v="PAT6579"/>
    <s v="Manisha Bose"/>
    <s v="Male"/>
    <n v="30"/>
    <s v="Chennai"/>
    <s v="Tamil Nadu"/>
    <x v="9"/>
    <s v="Dr. Arvind"/>
    <s v="M54"/>
    <s v="Medication"/>
    <s v="Emergency"/>
    <n v="11638.93"/>
    <s v="Insurance"/>
    <s v="Yes"/>
    <m/>
    <n v="14"/>
    <s v="Adult"/>
    <s v="High"/>
    <s v="Short Days"/>
    <m/>
    <m/>
    <m/>
    <m/>
    <m/>
    <m/>
  </r>
  <r>
    <s v="VIS202172"/>
    <d v="2024-02-18T00:00:00"/>
    <s v="PAT5466"/>
    <s v="Kavya Khan"/>
    <s v="Male"/>
    <n v="63"/>
    <s v="Ahmedabad"/>
    <s v="Gujarat"/>
    <x v="4"/>
    <s v="Dr. Bhavana"/>
    <s v="L40"/>
    <s v="Surgery"/>
    <s v="OPD"/>
    <n v="7709.97"/>
    <s v="Insurance"/>
    <s v="Yes"/>
    <m/>
    <n v="90"/>
    <s v="Senior"/>
    <s v="Medium"/>
    <s v="Short Days"/>
    <m/>
    <m/>
    <m/>
    <m/>
    <m/>
    <m/>
  </r>
  <r>
    <s v="VIS200272"/>
    <d v="2025-02-03T00:00:00"/>
    <s v="PAT5205"/>
    <s v="Anil Gupta"/>
    <s v="Female"/>
    <n v="13"/>
    <s v="Bengaluru"/>
    <s v="Karnataka"/>
    <x v="9"/>
    <s v="Dr. Arvind"/>
    <s v="M54"/>
    <s v="Prescription Refill"/>
    <s v="OPD"/>
    <n v="4564.9399999999996"/>
    <s v="Credit Card"/>
    <s v="No"/>
    <m/>
    <n v="7"/>
    <s v="Child"/>
    <s v="Low"/>
    <s v="Short Days"/>
    <m/>
    <m/>
    <m/>
    <m/>
    <m/>
    <m/>
  </r>
  <r>
    <s v="VIS200203"/>
    <d v="2024-08-31T00:00:00"/>
    <s v="PAT5843"/>
    <s v="Manisha Bose"/>
    <s v="Male"/>
    <n v="15.5"/>
    <s v="Delhi"/>
    <s v="Tamil Nadu"/>
    <x v="2"/>
    <s v="Dr. Manoj"/>
    <s v="Z111"/>
    <s v="Physiotherapy"/>
    <s v="OPD"/>
    <n v="20312.919999999998"/>
    <s v="Cash"/>
    <s v="No"/>
    <m/>
    <n v="7"/>
    <s v="Child"/>
    <s v="High"/>
    <s v="Short Days"/>
    <m/>
    <m/>
    <m/>
    <m/>
    <m/>
    <m/>
  </r>
  <r>
    <s v="VIS201761"/>
    <d v="2025-02-18T00:00:00"/>
    <s v="PAT5753"/>
    <s v="Rahul Nair"/>
    <s v="Female"/>
    <n v="48"/>
    <s v="Mumbai"/>
    <s v="Maharashtra"/>
    <x v="0"/>
    <s v="Dr. Nikhil"/>
    <s v="K21"/>
    <s v="Surgery"/>
    <s v="OPD"/>
    <n v="3764.86"/>
    <s v="Debit Card"/>
    <s v="No"/>
    <m/>
    <m/>
    <s v="Middle-Aged"/>
    <s v="Low"/>
    <s v="Short Days"/>
    <m/>
    <m/>
    <m/>
    <m/>
    <m/>
    <m/>
  </r>
  <r>
    <s v="VIS201810"/>
    <d v="2024-04-10T00:00:00"/>
    <s v="PAT6905"/>
    <s v="Deepa Iyer"/>
    <s v="Female"/>
    <n v="56"/>
    <s v="Kochi"/>
    <s v="Kerala"/>
    <x v="1"/>
    <s v="Dr. Anu"/>
    <s v="H10"/>
    <s v="Counselling"/>
    <s v="OPD"/>
    <n v="778.08"/>
    <s v="Cash"/>
    <s v="No"/>
    <m/>
    <m/>
    <s v="Middle-Aged"/>
    <s v="Low"/>
    <s v="Short Days"/>
    <m/>
    <m/>
    <m/>
    <m/>
    <m/>
    <m/>
  </r>
  <r>
    <s v="VIS201542"/>
    <d v="2024-03-14T00:00:00"/>
    <s v="PAT5211"/>
    <s v="Vishal Jose"/>
    <s v="Female"/>
    <n v="50"/>
    <s v="Chennai"/>
    <s v="Tamil Nadu"/>
    <x v="4"/>
    <s v="Dr. Bhavana"/>
    <s v="M54"/>
    <s v="Prescription Refill"/>
    <s v="OPD"/>
    <n v="2227.39"/>
    <s v="Credit Card"/>
    <s v="No"/>
    <m/>
    <n v="7"/>
    <s v="Middle-Aged"/>
    <s v="Low"/>
    <s v="Short Days"/>
    <m/>
    <m/>
    <m/>
    <m/>
    <m/>
    <m/>
  </r>
  <r>
    <s v="VIS200773"/>
    <d v="2024-07-09T00:00:00"/>
    <s v="PAT6343"/>
    <s v="Neha Iyer"/>
    <s v="Male"/>
    <n v="19"/>
    <s v="Jaipur"/>
    <s v="Rajasthan"/>
    <x v="5"/>
    <s v="Dr. Meena"/>
    <s v="H10"/>
    <s v="Medication"/>
    <s v="OPD"/>
    <n v="6754.27"/>
    <s v="Credit Card"/>
    <s v="No"/>
    <m/>
    <m/>
    <s v="Adult"/>
    <s v="Medium"/>
    <s v="Short Days"/>
    <m/>
    <m/>
    <m/>
    <m/>
    <m/>
    <m/>
  </r>
  <r>
    <s v="VIS201122"/>
    <d v="2024-08-09T00:00:00"/>
    <s v="PAT5351"/>
    <s v="Arjun Khan"/>
    <s v="Female"/>
    <n v="31"/>
    <s v="Jaipur"/>
    <s v="Rajasthan"/>
    <x v="6"/>
    <s v="Dr. Lalitha"/>
    <s v="I10"/>
    <s v="Prescription Refill"/>
    <s v="OPD"/>
    <n v="6108.37"/>
    <s v="Insurance"/>
    <s v="Yes"/>
    <m/>
    <n v="7"/>
    <s v="Adult"/>
    <s v="Medium"/>
    <s v="Short Days"/>
    <m/>
    <m/>
    <m/>
    <m/>
    <m/>
    <m/>
  </r>
  <r>
    <s v="VIS202228"/>
    <d v="2024-09-14T00:00:00"/>
    <s v="PAT6801"/>
    <s v="Shruti Sharma"/>
    <s v="Male"/>
    <n v="51"/>
    <s v="Pune"/>
    <s v="Maharashtra"/>
    <x v="6"/>
    <s v="Dr. Priya"/>
    <s v="F41"/>
    <s v="Surgery"/>
    <s v="OPD"/>
    <n v="980.72"/>
    <s v="Cash"/>
    <s v="No"/>
    <m/>
    <n v="90"/>
    <s v="Middle-Aged"/>
    <s v="Low"/>
    <s v="Short Days"/>
    <m/>
    <m/>
    <m/>
    <m/>
    <m/>
    <m/>
  </r>
  <r>
    <s v="VIS200470"/>
    <d v="2025-08-09T00:00:00"/>
    <s v="PAT5406"/>
    <s v="Shruti Iyer"/>
    <s v="Other"/>
    <n v="48"/>
    <s v="Madurai"/>
    <s v="Tamil Nadu"/>
    <x v="6"/>
    <s v="Dr. Priya"/>
    <s v="N39"/>
    <s v="Surgery"/>
    <s v="OPD"/>
    <n v="2043.46"/>
    <s v="Cash"/>
    <s v="No"/>
    <m/>
    <n v="30"/>
    <s v="Middle-Aged"/>
    <s v="Low"/>
    <s v="Short Days"/>
    <m/>
    <m/>
    <m/>
    <m/>
    <m/>
    <m/>
  </r>
  <r>
    <s v="VIS201303"/>
    <d v="2025-06-05T00:00:00"/>
    <s v="PAT6634"/>
    <s v="Deepa Mishra"/>
    <s v="Female"/>
    <n v="15"/>
    <s v="Ahmedabad"/>
    <s v="Gujarat"/>
    <x v="4"/>
    <s v="Dr. Varun"/>
    <s v="L40"/>
    <s v="Counselling"/>
    <s v="IPD"/>
    <n v="7343.03"/>
    <s v="UPI"/>
    <s v="No"/>
    <n v="4"/>
    <n v="30"/>
    <s v="Child"/>
    <s v="Medium"/>
    <s v="Short Days"/>
    <m/>
    <m/>
    <m/>
    <m/>
    <m/>
    <m/>
  </r>
  <r>
    <s v="VIS202745"/>
    <d v="2024-12-29T00:00:00"/>
    <s v="PAT6136"/>
    <s v="Rohan Reddy"/>
    <s v="Female"/>
    <n v="35"/>
    <s v="Lucknow"/>
    <s v="Uttar Pradesh"/>
    <x v="8"/>
    <s v="Dr. Sneha"/>
    <s v="L40"/>
    <s v="Medication"/>
    <s v="OPD"/>
    <n v="3305.97"/>
    <s v="Cash"/>
    <s v="No"/>
    <m/>
    <m/>
    <s v="Adult"/>
    <s v="Low"/>
    <s v="Short Days"/>
    <m/>
    <m/>
    <m/>
    <m/>
    <m/>
    <m/>
  </r>
  <r>
    <s v="VIS200125"/>
    <d v="2024-02-15T00:00:00"/>
    <s v="PAT5449"/>
    <s v="Manisha Bose"/>
    <s v="Female"/>
    <n v="49"/>
    <s v="Lucknow"/>
    <s v="Uttar Pradesh"/>
    <x v="7"/>
    <s v="Dr. Leela"/>
    <s v="E11"/>
    <s v="Counselling"/>
    <s v="OPD"/>
    <n v="4726.46"/>
    <s v="Credit Card"/>
    <s v="No"/>
    <m/>
    <n v="90"/>
    <s v="Middle-Aged"/>
    <s v="Low"/>
    <s v="Short Days"/>
    <m/>
    <m/>
    <m/>
    <m/>
    <m/>
    <m/>
  </r>
  <r>
    <s v="VIS202112"/>
    <d v="2024-03-27T00:00:00"/>
    <s v="PAT5774"/>
    <s v="Rahul Bose"/>
    <s v="Male"/>
    <n v="81"/>
    <s v="Jaipur"/>
    <s v="Rajasthan"/>
    <x v="5"/>
    <s v="Dr. Ravi"/>
    <s v="J00"/>
    <s v="Minor Surgery"/>
    <s v="OPD"/>
    <n v="363.51"/>
    <s v="Cash"/>
    <s v="No"/>
    <m/>
    <m/>
    <s v="Senior"/>
    <s v="Low"/>
    <s v="Short Days"/>
    <m/>
    <m/>
    <m/>
    <m/>
    <m/>
    <m/>
  </r>
  <r>
    <s v="VIS201190"/>
    <d v="2025-02-10T00:00:00"/>
    <s v="PAT5450"/>
    <s v="Ananya Sharma"/>
    <s v="Female"/>
    <n v="54"/>
    <s v="Jaipur"/>
    <s v="Rajasthan"/>
    <x v="8"/>
    <s v="Dr. Kavitha"/>
    <s v="H10"/>
    <s v="Observation"/>
    <s v="OPD"/>
    <n v="4083.38"/>
    <s v="Credit Card"/>
    <s v="No"/>
    <m/>
    <m/>
    <s v="Middle-Aged"/>
    <s v="Low"/>
    <s v="Short Days"/>
    <m/>
    <m/>
    <m/>
    <m/>
    <m/>
    <m/>
  </r>
  <r>
    <s v="VIS202337"/>
    <d v="2025-07-12T00:00:00"/>
    <s v="PAT5519"/>
    <s v="Arjun Mishra"/>
    <s v="Male"/>
    <n v="51"/>
    <s v="Pune"/>
    <s v="Maharashtra"/>
    <x v="3"/>
    <s v="Dr. Pallavi"/>
    <s v="I10"/>
    <s v="Counselling"/>
    <s v="OPD"/>
    <n v="3754.4"/>
    <s v="Cash"/>
    <s v="No"/>
    <m/>
    <n v="7"/>
    <s v="Middle-Aged"/>
    <s v="Low"/>
    <s v="Short Days"/>
    <m/>
    <m/>
    <m/>
    <m/>
    <m/>
    <m/>
  </r>
  <r>
    <s v="VIS202760"/>
    <d v="2025-07-29T00:00:00"/>
    <s v="PAT6263"/>
    <s v="Aishwarya Kumar"/>
    <s v="Female"/>
    <n v="35"/>
    <s v="Chennai"/>
    <s v="Tamil Nadu"/>
    <x v="2"/>
    <s v="Dr. Manoj"/>
    <s v="M54"/>
    <s v="Minor Procedure"/>
    <s v="IPD"/>
    <n v="18304.77"/>
    <s v="UPI"/>
    <s v="No"/>
    <n v="5"/>
    <m/>
    <s v="Adult"/>
    <s v="High"/>
    <s v="Short Days"/>
    <m/>
    <m/>
    <m/>
    <m/>
    <m/>
    <m/>
  </r>
  <r>
    <s v="VIS202374"/>
    <d v="2024-06-06T00:00:00"/>
    <s v="PAT5024"/>
    <s v="Manisha Bose"/>
    <s v="Male"/>
    <n v="38"/>
    <s v="Trichy"/>
    <s v="Tamil Nadu"/>
    <x v="3"/>
    <s v="Dr. Anand"/>
    <s v="K21"/>
    <s v="Physiotherapy"/>
    <s v="OPD"/>
    <n v="4839.01"/>
    <s v="Cash"/>
    <s v="No"/>
    <m/>
    <n v="7"/>
    <s v="Adult"/>
    <s v="Low"/>
    <s v="Short Days"/>
    <m/>
    <m/>
    <m/>
    <m/>
    <m/>
    <m/>
  </r>
  <r>
    <s v="VIS201725"/>
    <d v="2025-05-29T00:00:00"/>
    <s v="PAT6145"/>
    <s v="Aarav Bose"/>
    <s v="Female"/>
    <n v="6"/>
    <s v="Kolkata"/>
    <s v="West Bengal"/>
    <x v="8"/>
    <s v="Dr. Sneha"/>
    <s v="I10"/>
    <s v="Minor Surgery"/>
    <s v="OPD"/>
    <n v="4566.68"/>
    <s v="Insurance"/>
    <s v="Yes"/>
    <m/>
    <n v="90"/>
    <s v="Child"/>
    <s v="Low"/>
    <s v="Short Days"/>
    <m/>
    <m/>
    <m/>
    <m/>
    <m/>
    <m/>
  </r>
  <r>
    <s v="VIS201600"/>
    <d v="2024-03-13T00:00:00"/>
    <s v="PAT5838"/>
    <s v="Aditya Patel"/>
    <s v="Female"/>
    <n v="44"/>
    <s v="Chennai"/>
    <s v="Tamil Nadu"/>
    <x v="7"/>
    <s v="Dr. Surya"/>
    <s v="I10"/>
    <s v="Surgery"/>
    <s v="OPD"/>
    <n v="1629.67"/>
    <s v="Cash"/>
    <s v="No"/>
    <m/>
    <n v="90"/>
    <s v="Middle-Aged"/>
    <s v="Low"/>
    <s v="Short Days"/>
    <m/>
    <m/>
    <m/>
    <m/>
    <m/>
    <m/>
  </r>
  <r>
    <s v="VIS201840"/>
    <d v="2024-06-12T00:00:00"/>
    <s v="PAT6991"/>
    <s v="Anil Jose"/>
    <s v="Male"/>
    <n v="21"/>
    <s v="Pune"/>
    <s v="Maharashtra"/>
    <x v="0"/>
    <s v="Dr. Nikhil"/>
    <s v="K21"/>
    <s v="Minor Procedure"/>
    <s v="Emergency"/>
    <n v="10746.03"/>
    <s v="Net Banking"/>
    <s v="No"/>
    <m/>
    <n v="30"/>
    <s v="Adult"/>
    <s v="High"/>
    <s v="Short Days"/>
    <m/>
    <m/>
    <m/>
    <m/>
    <m/>
    <m/>
  </r>
  <r>
    <s v="VIS202682"/>
    <d v="2024-08-17T00:00:00"/>
    <s v="PAT5185"/>
    <s v="Aishwarya Sharma"/>
    <s v="Male"/>
    <n v="29"/>
    <s v="Madurai"/>
    <s v="Tamil Nadu"/>
    <x v="5"/>
    <s v="Dr. Karthik"/>
    <s v="N39"/>
    <s v="Observation"/>
    <s v="Emergency"/>
    <n v="9427.84"/>
    <s v="Insurance"/>
    <s v="Yes"/>
    <m/>
    <n v="14"/>
    <s v="Adult"/>
    <s v="Medium"/>
    <s v="Short Days"/>
    <m/>
    <m/>
    <m/>
    <m/>
    <m/>
    <m/>
  </r>
  <r>
    <s v="VIS202808"/>
    <d v="2024-05-07T00:00:00"/>
    <s v="PAT6392"/>
    <s v="Aarav Jose"/>
    <s v="Male"/>
    <n v="11"/>
    <s v="Noida"/>
    <s v="Uttar Pradesh"/>
    <x v="1"/>
    <s v="Dr. Suri"/>
    <s v="E11"/>
    <s v="Observation"/>
    <s v="OPD"/>
    <n v="8414.33"/>
    <s v="Debit Card"/>
    <s v="No"/>
    <m/>
    <n v="90"/>
    <s v="Child"/>
    <s v="Medium"/>
    <s v="Short Days"/>
    <m/>
    <m/>
    <m/>
    <m/>
    <m/>
    <m/>
  </r>
  <r>
    <s v="VIS202973"/>
    <d v="2024-03-20T00:00:00"/>
    <s v="PAT5573"/>
    <s v="Vishal Iyer"/>
    <s v="Female"/>
    <n v="42"/>
    <s v="Hyderabad"/>
    <s v="Telangana"/>
    <x v="3"/>
    <s v="Dr. Anand"/>
    <s v="J00"/>
    <s v="Physiotherapy"/>
    <s v="OPD"/>
    <n v="9139.68"/>
    <s v="UPI"/>
    <s v="No"/>
    <m/>
    <n v="30"/>
    <s v="Middle-Aged"/>
    <s v="Medium"/>
    <s v="Short Days"/>
    <m/>
    <m/>
    <m/>
    <m/>
    <m/>
    <m/>
  </r>
  <r>
    <s v="VIS201752"/>
    <d v="2025-06-12T00:00:00"/>
    <s v="PAT6666"/>
    <s v="Ishaan Sharma"/>
    <s v="Male"/>
    <n v="28"/>
    <s v="Chennai"/>
    <s v="Tamil Nadu"/>
    <x v="4"/>
    <s v="Dr. Varun"/>
    <s v="K21"/>
    <s v="Counselling"/>
    <s v="OPD"/>
    <n v="3151.55"/>
    <s v="UPI"/>
    <s v="No"/>
    <m/>
    <n v="30"/>
    <s v="Adult"/>
    <s v="Low"/>
    <s v="Short Days"/>
    <m/>
    <m/>
    <m/>
    <m/>
    <m/>
    <m/>
  </r>
  <r>
    <s v="VIS201020"/>
    <d v="2024-07-14T00:00:00"/>
    <s v="PAT5468"/>
    <s v="Kavya Nagar"/>
    <s v="Female"/>
    <n v="60"/>
    <s v="Trichy"/>
    <s v="Tamil Nadu"/>
    <x v="7"/>
    <s v="Dr. Surya"/>
    <s v="J00"/>
    <s v="Observation"/>
    <s v="OPD"/>
    <n v="6328.12"/>
    <s v="Debit Card"/>
    <s v="No"/>
    <m/>
    <n v="14"/>
    <s v="Middle-Aged"/>
    <s v="Medium"/>
    <s v="Short Days"/>
    <m/>
    <m/>
    <m/>
    <m/>
    <m/>
    <m/>
  </r>
  <r>
    <s v="VIS202414"/>
    <d v="2024-11-29T00:00:00"/>
    <s v="PAT6145"/>
    <s v="Vivaan Iyer"/>
    <s v="Female"/>
    <n v="42"/>
    <s v="Noida"/>
    <s v="Uttar Pradesh"/>
    <x v="3"/>
    <s v="Dr. Anand"/>
    <s v="E11"/>
    <s v="Observation"/>
    <s v="OPD"/>
    <n v="5020.24"/>
    <s v="Cash"/>
    <s v="No"/>
    <m/>
    <n v="90"/>
    <s v="Middle-Aged"/>
    <s v="Medium"/>
    <s v="Short Days"/>
    <m/>
    <m/>
    <m/>
    <m/>
    <m/>
    <m/>
  </r>
  <r>
    <s v="VIS202932"/>
    <d v="2025-10-23T00:00:00"/>
    <s v="PAT5339"/>
    <s v="Siddharth Kumar"/>
    <s v="Male"/>
    <n v="0"/>
    <s v="Noida"/>
    <s v="Uttar Pradesh"/>
    <x v="0"/>
    <s v="Dr. Nikhil"/>
    <s v="K21"/>
    <s v="Medication"/>
    <s v="Emergency"/>
    <n v="12522.68"/>
    <s v="Credit Card"/>
    <s v="No"/>
    <m/>
    <n v="30"/>
    <s v="Child"/>
    <s v="High"/>
    <s v="Short Days"/>
    <m/>
    <m/>
    <m/>
    <m/>
    <m/>
    <m/>
  </r>
  <r>
    <s v="VIS200974"/>
    <d v="2025-07-13T00:00:00"/>
    <s v="PAT6136"/>
    <s v="Shruti Jose"/>
    <s v="Male"/>
    <n v="39"/>
    <s v="Delhi"/>
    <s v="Delhi"/>
    <x v="6"/>
    <s v="Dr. Priya"/>
    <s v="J00"/>
    <s v="Counselling"/>
    <s v="Teleconsultation"/>
    <n v="7845.95"/>
    <s v="Debit Card"/>
    <s v="No"/>
    <m/>
    <n v="90"/>
    <s v="Adult"/>
    <s v="Medium"/>
    <s v="Short Days"/>
    <m/>
    <m/>
    <m/>
    <m/>
    <m/>
    <m/>
  </r>
  <r>
    <s v="VIS200073"/>
    <d v="2025-09-29T00:00:00"/>
    <s v="PAT6363"/>
    <s v="Siddharth Patel"/>
    <s v="Male"/>
    <n v="30"/>
    <s v="Mumbai"/>
    <s v="Maharashtra"/>
    <x v="5"/>
    <s v="Dr. Meena"/>
    <s v="M54"/>
    <s v="Physiotherapy"/>
    <s v="OPD"/>
    <n v="8299.69"/>
    <s v="UPI"/>
    <s v="No"/>
    <m/>
    <n v="14"/>
    <s v="Adult"/>
    <s v="Medium"/>
    <s v="Short Days"/>
    <m/>
    <m/>
    <m/>
    <m/>
    <m/>
    <m/>
  </r>
  <r>
    <s v="VIS201066"/>
    <d v="2024-11-17T00:00:00"/>
    <s v="PAT5491"/>
    <s v="Rohan Kumar"/>
    <s v="Male"/>
    <n v="34"/>
    <s v="Chennai"/>
    <s v="Tamil Nadu"/>
    <x v="8"/>
    <s v="Dr. Sneha"/>
    <s v="L40"/>
    <s v="Counselling"/>
    <s v="OPD"/>
    <n v="3467.26"/>
    <s v="UPI"/>
    <s v="No"/>
    <m/>
    <n v="7"/>
    <s v="Adult"/>
    <s v="Low"/>
    <s v="Short Days"/>
    <m/>
    <m/>
    <m/>
    <m/>
    <m/>
    <m/>
  </r>
  <r>
    <s v="VIS202294"/>
    <d v="2025-10-26T00:00:00"/>
    <s v="PAT6958"/>
    <s v="Ishaan Iyer"/>
    <s v="Male"/>
    <n v="22"/>
    <s v="Kolkata"/>
    <s v="West Bengal"/>
    <x v="3"/>
    <s v="Dr. Anand"/>
    <s v="J45"/>
    <s v="Medication"/>
    <s v="Teleconsultation"/>
    <n v="5128.3500000000004"/>
    <s v="UPI"/>
    <s v="No"/>
    <m/>
    <m/>
    <s v="Adult"/>
    <s v="Medium"/>
    <s v="Short Days"/>
    <m/>
    <m/>
    <m/>
    <m/>
    <m/>
    <m/>
  </r>
  <r>
    <s v="VIS200007"/>
    <d v="2024-08-26T00:00:00"/>
    <s v="PAT6114"/>
    <s v="Deepa Iyer"/>
    <s v="Male"/>
    <n v="38"/>
    <s v="Ahmedabad"/>
    <s v="Gujarat"/>
    <x v="4"/>
    <s v="Dr. Bhavana"/>
    <s v="L40"/>
    <s v="Medication"/>
    <s v="OPD"/>
    <n v="6746.97"/>
    <s v="UPI"/>
    <s v="No"/>
    <m/>
    <n v="7"/>
    <s v="Adult"/>
    <s v="Medium"/>
    <s v="Short Days"/>
    <m/>
    <m/>
    <m/>
    <m/>
    <m/>
    <m/>
  </r>
  <r>
    <s v="VIS200442"/>
    <d v="2025-03-26T00:00:00"/>
    <s v="PAT6283"/>
    <s v="Ananya Nagar"/>
    <s v="Male"/>
    <n v="38"/>
    <s v="Lucknow"/>
    <s v="Uttar Pradesh"/>
    <x v="7"/>
    <s v="Dr. Leela"/>
    <s v="J45"/>
    <s v="Minor Procedure"/>
    <s v="Emergency"/>
    <n v="5097.99"/>
    <s v="UPI"/>
    <s v="No"/>
    <m/>
    <n v="90"/>
    <s v="Adult"/>
    <s v="Medium"/>
    <s v="Short Days"/>
    <m/>
    <m/>
    <m/>
    <m/>
    <m/>
    <m/>
  </r>
  <r>
    <s v="VIS200624"/>
    <d v="2024-06-12T00:00:00"/>
    <s v="PAT6032"/>
    <s v="Rohan Singh"/>
    <s v="Male"/>
    <n v="13"/>
    <s v="Mumbai"/>
    <s v="Maharashtra"/>
    <x v="9"/>
    <s v="Dr. Kusum"/>
    <s v="L40"/>
    <s v="Surgery"/>
    <s v="OPD"/>
    <n v="9352.3700000000008"/>
    <s v="Cash"/>
    <s v="No"/>
    <m/>
    <m/>
    <s v="Child"/>
    <s v="Medium"/>
    <s v="Short Days"/>
    <m/>
    <m/>
    <m/>
    <m/>
    <m/>
    <m/>
  </r>
  <r>
    <s v="VIS201803"/>
    <d v="2025-03-17T00:00:00"/>
    <s v="PAT5752"/>
    <s v="Anil Reddy"/>
    <s v="Male"/>
    <n v="46"/>
    <s v="Kochi"/>
    <s v="Kerala"/>
    <x v="0"/>
    <s v="Dr. Nikhil"/>
    <s v="F41"/>
    <s v="Surgery"/>
    <s v="Emergency"/>
    <n v="11301.12"/>
    <s v="UPI"/>
    <s v="No"/>
    <m/>
    <m/>
    <s v="Middle-Aged"/>
    <s v="High"/>
    <s v="Short Days"/>
    <m/>
    <m/>
    <m/>
    <m/>
    <m/>
    <m/>
  </r>
  <r>
    <s v="VIS202939"/>
    <d v="2025-10-10T00:00:00"/>
    <s v="PAT6977"/>
    <s v="Deepa Patel"/>
    <s v="Female"/>
    <n v="34"/>
    <s v="Kochi"/>
    <s v="Kerala"/>
    <x v="1"/>
    <s v="Dr. Anu"/>
    <s v="N39"/>
    <s v="Prescription Refill"/>
    <s v="IPD"/>
    <n v="7762.46"/>
    <s v="Cash"/>
    <s v="No"/>
    <n v="6"/>
    <n v="30"/>
    <s v="Adult"/>
    <s v="Medium"/>
    <s v="Long Days"/>
    <m/>
    <m/>
    <m/>
    <m/>
    <m/>
    <m/>
  </r>
  <r>
    <s v="VIS201404"/>
    <d v="2025-03-23T00:00:00"/>
    <s v="PAT5925"/>
    <s v="Arjun Iyer"/>
    <s v="Male"/>
    <n v="73"/>
    <s v="Lucknow"/>
    <s v="Uttar Pradesh"/>
    <x v="1"/>
    <s v="Dr. Anu"/>
    <s v="L40"/>
    <s v="Observation"/>
    <s v="Teleconsultation"/>
    <n v="5112.62"/>
    <s v="Debit Card"/>
    <s v="No"/>
    <m/>
    <m/>
    <s v="Senior"/>
    <s v="Medium"/>
    <s v="Short Days"/>
    <m/>
    <m/>
    <m/>
    <m/>
    <m/>
    <m/>
  </r>
  <r>
    <s v="VIS200537"/>
    <d v="2025-10-04T00:00:00"/>
    <s v="PAT6192"/>
    <s v="Arjun Nair"/>
    <s v="Male"/>
    <n v="18"/>
    <s v="Pune"/>
    <s v="Maharashtra"/>
    <x v="0"/>
    <s v="Dr. Shailesh"/>
    <s v="I10"/>
    <s v="Observation"/>
    <s v="OPD"/>
    <n v="4136.71"/>
    <s v="Cash"/>
    <s v="No"/>
    <m/>
    <n v="90"/>
    <s v="Adult"/>
    <s v="Low"/>
    <s v="Short Days"/>
    <m/>
    <m/>
    <m/>
    <m/>
    <m/>
    <m/>
  </r>
  <r>
    <s v="VIS200156"/>
    <d v="2025-04-10T00:00:00"/>
    <s v="PAT5328"/>
    <s v="Ishaan Bose"/>
    <s v="Female"/>
    <n v="64"/>
    <s v="Mumbai"/>
    <s v="Maharashtra"/>
    <x v="7"/>
    <s v="Dr. Leela"/>
    <s v="J00"/>
    <s v="Minor Procedure"/>
    <s v="OPD"/>
    <n v="1204.19"/>
    <s v="Cash"/>
    <s v="No"/>
    <m/>
    <n v="90"/>
    <s v="Senior"/>
    <s v="Low"/>
    <s v="Short Days"/>
    <m/>
    <m/>
    <m/>
    <m/>
    <m/>
    <m/>
  </r>
  <r>
    <s v="VIS200589"/>
    <d v="2024-02-03T00:00:00"/>
    <s v="PAT6343"/>
    <s v="Priya Khan"/>
    <s v="Female"/>
    <n v="23"/>
    <s v="Kolkata"/>
    <s v="West Bengal"/>
    <x v="9"/>
    <s v="Dr. Kusum"/>
    <s v="L40"/>
    <s v="Counselling"/>
    <s v="OPD"/>
    <n v="538.04"/>
    <s v="Cash"/>
    <s v="No"/>
    <m/>
    <m/>
    <s v="Adult"/>
    <s v="Low"/>
    <s v="Short Days"/>
    <m/>
    <m/>
    <m/>
    <m/>
    <m/>
    <m/>
  </r>
  <r>
    <s v="VIS202936"/>
    <d v="2025-10-06T00:00:00"/>
    <s v="PAT5069"/>
    <s v="Siddharth Nagar"/>
    <s v="Male"/>
    <n v="37"/>
    <s v="Lucknow"/>
    <s v="Uttar Pradesh"/>
    <x v="2"/>
    <s v="Dr. Ramesh"/>
    <s v="F41"/>
    <s v="Medication"/>
    <s v="Teleconsultation"/>
    <n v="13392.35"/>
    <s v="Insurance"/>
    <s v="Yes"/>
    <m/>
    <n v="30"/>
    <s v="Adult"/>
    <s v="High"/>
    <s v="Short Days"/>
    <m/>
    <m/>
    <m/>
    <m/>
    <m/>
    <m/>
  </r>
  <r>
    <s v="VIS201302"/>
    <d v="2024-09-22T00:00:00"/>
    <s v="PAT5604"/>
    <s v="Sangeetha Sharma"/>
    <s v="Female"/>
    <n v="26"/>
    <s v="Delhi"/>
    <s v="Delhi"/>
    <x v="3"/>
    <s v="Dr. Anand"/>
    <s v="J45"/>
    <s v="Counselling"/>
    <s v="OPD"/>
    <n v="12721.54"/>
    <s v="UPI"/>
    <s v="No"/>
    <m/>
    <m/>
    <s v="Adult"/>
    <s v="High"/>
    <s v="Short Days"/>
    <m/>
    <m/>
    <m/>
    <m/>
    <m/>
    <m/>
  </r>
  <r>
    <s v="VIS200540"/>
    <d v="2025-10-24T00:00:00"/>
    <s v="PAT6944"/>
    <s v="Manisha Nagar"/>
    <s v="Male"/>
    <n v="46"/>
    <s v="Pune"/>
    <s v="Maharashtra"/>
    <x v="6"/>
    <s v="Dr. Priya"/>
    <s v="L40"/>
    <s v="Observation"/>
    <s v="OPD"/>
    <n v="3641.09"/>
    <s v="Insurance"/>
    <s v="Yes"/>
    <m/>
    <n v="30"/>
    <s v="Middle-Aged"/>
    <s v="Low"/>
    <s v="Short Days"/>
    <m/>
    <m/>
    <m/>
    <m/>
    <m/>
    <m/>
  </r>
  <r>
    <s v="VIS202632"/>
    <d v="2025-03-06T00:00:00"/>
    <s v="PAT5427"/>
    <s v="Vishal Jose"/>
    <s v="Female"/>
    <n v="67"/>
    <s v="Noida"/>
    <s v="Uttar Pradesh"/>
    <x v="3"/>
    <s v="Dr. Pallavi"/>
    <s v="H10"/>
    <s v="Physiotherapy"/>
    <s v="OPD"/>
    <n v="8010.23"/>
    <s v="UPI"/>
    <s v="No"/>
    <m/>
    <n v="7"/>
    <s v="Senior"/>
    <s v="Medium"/>
    <s v="Short Days"/>
    <m/>
    <m/>
    <m/>
    <m/>
    <m/>
    <m/>
  </r>
  <r>
    <s v="VIS200143"/>
    <d v="2025-05-28T00:00:00"/>
    <s v="PAT5415"/>
    <s v="Neha Patel"/>
    <s v="Male"/>
    <n v="53"/>
    <s v="Kochi"/>
    <s v="Kerala"/>
    <x v="1"/>
    <s v="Dr. Suri"/>
    <s v="N39"/>
    <s v="Physiotherapy"/>
    <s v="OPD"/>
    <n v="8639.9699999999993"/>
    <s v="Insurance"/>
    <s v="Yes"/>
    <m/>
    <n v="30"/>
    <s v="Middle-Aged"/>
    <s v="Medium"/>
    <s v="Short Days"/>
    <m/>
    <m/>
    <m/>
    <m/>
    <m/>
    <m/>
  </r>
  <r>
    <s v="VIS200437"/>
    <d v="2025-07-02T00:00:00"/>
    <s v="PAT5409"/>
    <s v="Karthik Mishra"/>
    <s v="Female"/>
    <n v="43"/>
    <s v="Noida"/>
    <s v="Uttar Pradesh"/>
    <x v="5"/>
    <s v="Dr. Ravi"/>
    <s v="L40"/>
    <s v="Counselling"/>
    <s v="Teleconsultation"/>
    <n v="5476.31"/>
    <s v="UPI"/>
    <s v="No"/>
    <m/>
    <m/>
    <s v="Middle-Aged"/>
    <s v="Medium"/>
    <s v="Short Days"/>
    <m/>
    <m/>
    <m/>
    <m/>
    <m/>
    <m/>
  </r>
  <r>
    <s v="VIS201240"/>
    <d v="2024-12-31T00:00:00"/>
    <s v="PAT6061"/>
    <s v="Deepa Kumar"/>
    <s v="Male"/>
    <n v="57"/>
    <s v="Chennai"/>
    <s v="Tamil Nadu"/>
    <x v="6"/>
    <s v="Dr. Priya"/>
    <s v="M54"/>
    <s v="Minor Procedure"/>
    <s v="OPD"/>
    <n v="2556.94"/>
    <s v="Debit Card"/>
    <s v="No"/>
    <m/>
    <n v="30"/>
    <s v="Middle-Aged"/>
    <s v="Low"/>
    <s v="Short Days"/>
    <m/>
    <m/>
    <m/>
    <m/>
    <m/>
    <m/>
  </r>
  <r>
    <s v="VIS202005"/>
    <d v="2025-04-22T00:00:00"/>
    <s v="PAT6917"/>
    <s v="Arjun Patel"/>
    <s v="Female"/>
    <n v="41"/>
    <s v="Mumbai"/>
    <s v="Maharashtra"/>
    <x v="1"/>
    <s v="Dr. Suri"/>
    <s v="J45"/>
    <s v="Surgery"/>
    <s v="OPD"/>
    <n v="3224.17"/>
    <s v="Insurance"/>
    <s v="Yes"/>
    <m/>
    <n v="30"/>
    <s v="Middle-Aged"/>
    <s v="Low"/>
    <s v="Short Days"/>
    <m/>
    <m/>
    <m/>
    <m/>
    <m/>
    <m/>
  </r>
  <r>
    <s v="VIS202618"/>
    <d v="2025-04-10T00:00:00"/>
    <s v="PAT6307"/>
    <s v="Vivaan Mishra"/>
    <s v="Female"/>
    <n v="46"/>
    <s v="Bengaluru"/>
    <s v="Karnataka"/>
    <x v="6"/>
    <s v="Dr. Priya"/>
    <s v="J00"/>
    <s v="Surgery"/>
    <s v="OPD"/>
    <n v="674.71"/>
    <s v="Debit Card"/>
    <s v="No"/>
    <m/>
    <n v="30"/>
    <s v="Middle-Aged"/>
    <s v="Low"/>
    <s v="Short Days"/>
    <m/>
    <m/>
    <m/>
    <m/>
    <m/>
    <m/>
  </r>
  <r>
    <s v="VIS200326"/>
    <d v="2024-02-09T00:00:00"/>
    <s v="PAT5324"/>
    <s v="Priya Sharma"/>
    <s v="Female"/>
    <n v="35"/>
    <s v="Chennai"/>
    <s v="Tamil Nadu"/>
    <x v="0"/>
    <s v="Dr. Shailesh"/>
    <s v="J00"/>
    <s v="Physiotherapy"/>
    <s v="OPD"/>
    <n v="2549.6"/>
    <s v="Debit Card"/>
    <s v="No"/>
    <m/>
    <m/>
    <s v="Adult"/>
    <s v="Low"/>
    <s v="Short Days"/>
    <m/>
    <m/>
    <m/>
    <m/>
    <m/>
    <m/>
  </r>
  <r>
    <s v="VIS202722"/>
    <d v="2024-04-15T00:00:00"/>
    <s v="PAT6837"/>
    <s v="Vishal Bose"/>
    <s v="Male"/>
    <n v="14"/>
    <s v="Hyderabad"/>
    <s v="Telangana"/>
    <x v="0"/>
    <s v="Dr. Nikhil"/>
    <s v="F41"/>
    <s v="Minor Surgery"/>
    <s v="OPD"/>
    <n v="2987.35"/>
    <s v="Debit Card"/>
    <s v="No"/>
    <m/>
    <n v="7"/>
    <s v="Child"/>
    <s v="Low"/>
    <s v="Short Days"/>
    <m/>
    <m/>
    <m/>
    <m/>
    <m/>
    <m/>
  </r>
  <r>
    <s v="VIS202831"/>
    <d v="2024-03-20T00:00:00"/>
    <s v="PAT6621"/>
    <s v="Shruti Iyer"/>
    <s v="Female"/>
    <n v="44"/>
    <s v="Kolkata"/>
    <s v="West Bengal"/>
    <x v="8"/>
    <s v="Dr. Kavitha"/>
    <s v="L40"/>
    <s v="Prescription Refill"/>
    <s v="IPD"/>
    <n v="6341.65"/>
    <s v="Credit Card"/>
    <s v="No"/>
    <n v="5"/>
    <n v="30"/>
    <s v="Middle-Aged"/>
    <s v="Medium"/>
    <s v="Short Days"/>
    <m/>
    <m/>
    <m/>
    <m/>
    <m/>
    <m/>
  </r>
  <r>
    <s v="VIS201502"/>
    <d v="2024-06-11T00:00:00"/>
    <s v="PAT6774"/>
    <s v="Neha Khan"/>
    <s v="Female"/>
    <n v="42"/>
    <s v="Jaipur"/>
    <s v="Rajasthan"/>
    <x v="6"/>
    <s v="Dr. Priya"/>
    <s v="E11"/>
    <s v="Prescription Refill"/>
    <s v="OPD"/>
    <n v="183.99"/>
    <s v="Insurance"/>
    <s v="Yes"/>
    <m/>
    <n v="14"/>
    <s v="Middle-Aged"/>
    <s v="Low"/>
    <s v="Short Days"/>
    <m/>
    <m/>
    <m/>
    <m/>
    <m/>
    <m/>
  </r>
  <r>
    <s v="VIS200623"/>
    <d v="2024-04-12T00:00:00"/>
    <s v="PAT6203"/>
    <s v="Ishaan Reddy"/>
    <s v="Female"/>
    <n v="51"/>
    <s v="Chennai"/>
    <s v="Tamil Nadu"/>
    <x v="8"/>
    <s v="Dr. Sneha"/>
    <s v="J00"/>
    <s v="Minor Surgery"/>
    <s v="OPD"/>
    <n v="6754.47"/>
    <s v="Credit Card"/>
    <s v="No"/>
    <m/>
    <n v="30"/>
    <s v="Middle-Aged"/>
    <s v="Medium"/>
    <s v="Short Days"/>
    <m/>
    <m/>
    <m/>
    <m/>
    <m/>
    <m/>
  </r>
  <r>
    <s v="VIS200803"/>
    <d v="2025-05-23T00:00:00"/>
    <s v="PAT5860"/>
    <s v="Siddharth Khan"/>
    <s v="Male"/>
    <n v="52"/>
    <s v="Jaipur"/>
    <s v="Rajasthan"/>
    <x v="6"/>
    <s v="Dr. Lalitha"/>
    <s v="J45"/>
    <s v="Surgery"/>
    <s v="OPD"/>
    <n v="155.74"/>
    <s v="UPI"/>
    <s v="No"/>
    <m/>
    <m/>
    <s v="Middle-Aged"/>
    <s v="Low"/>
    <s v="Short Days"/>
    <m/>
    <m/>
    <m/>
    <m/>
    <m/>
    <m/>
  </r>
  <r>
    <s v="VIS200502"/>
    <d v="2025-04-23T00:00:00"/>
    <s v="PAT6290"/>
    <s v="Anil Sharma"/>
    <s v="Male"/>
    <n v="34"/>
    <s v="Coimbatore"/>
    <s v="Tamil Nadu"/>
    <x v="9"/>
    <s v="Dr. Kusum"/>
    <s v="L40"/>
    <s v="Counselling"/>
    <s v="IPD"/>
    <n v="19453.150000000001"/>
    <s v="Cash"/>
    <s v="No"/>
    <n v="2"/>
    <n v="14"/>
    <s v="Adult"/>
    <s v="High"/>
    <s v="Short Days"/>
    <m/>
    <m/>
    <m/>
    <m/>
    <m/>
    <m/>
  </r>
  <r>
    <s v="VIS202850"/>
    <d v="2024-10-16T00:00:00"/>
    <s v="PAT6615"/>
    <s v="Kavya Jose"/>
    <s v="Male"/>
    <n v="23"/>
    <s v="Hyderabad"/>
    <s v="Telangana"/>
    <x v="4"/>
    <s v="Dr. Bhavana"/>
    <s v="L40"/>
    <s v="Minor Procedure"/>
    <s v="OPD"/>
    <n v="4987.78"/>
    <s v="UPI"/>
    <s v="No"/>
    <m/>
    <m/>
    <s v="Adult"/>
    <s v="Low"/>
    <s v="Short Days"/>
    <m/>
    <m/>
    <m/>
    <m/>
    <m/>
    <m/>
  </r>
  <r>
    <s v="VIS202249"/>
    <d v="2024-05-15T00:00:00"/>
    <s v="PAT5864"/>
    <s v="Aarav Sharma"/>
    <s v="Male"/>
    <n v="14"/>
    <s v="Delhi"/>
    <s v="Delhi"/>
    <x v="4"/>
    <s v="Dr. Bhavana"/>
    <s v="J45"/>
    <s v="Surgery"/>
    <s v="OPD"/>
    <n v="6778.54"/>
    <s v="Credit Card"/>
    <s v="No"/>
    <m/>
    <n v="14"/>
    <s v="Child"/>
    <s v="Medium"/>
    <s v="Short Days"/>
    <m/>
    <m/>
    <m/>
    <m/>
    <m/>
    <m/>
  </r>
  <r>
    <s v="VIS202453"/>
    <d v="2025-02-04T00:00:00"/>
    <s v="PAT6279"/>
    <s v="Ananya Patel"/>
    <s v="Female"/>
    <n v="26"/>
    <s v="Madurai"/>
    <s v="Tamil Nadu"/>
    <x v="1"/>
    <s v="Dr. Anu"/>
    <s v="I10"/>
    <s v="Minor Procedure"/>
    <s v="Teleconsultation"/>
    <n v="7332.93"/>
    <s v="Debit Card"/>
    <s v="No"/>
    <m/>
    <n v="14"/>
    <s v="Adult"/>
    <s v="Medium"/>
    <s v="Short Days"/>
    <m/>
    <m/>
    <m/>
    <m/>
    <m/>
    <m/>
  </r>
  <r>
    <s v="VIS200654"/>
    <d v="2024-02-21T00:00:00"/>
    <s v="PAT6012"/>
    <s v="Anil Das"/>
    <s v="Female"/>
    <n v="43"/>
    <s v="Ahmedabad"/>
    <s v="Gujarat"/>
    <x v="5"/>
    <s v="Dr. Meena"/>
    <s v="H10"/>
    <s v="Medication"/>
    <s v="OPD"/>
    <n v="5518.18"/>
    <s v="Insurance"/>
    <s v="Yes"/>
    <m/>
    <m/>
    <s v="Middle-Aged"/>
    <s v="Medium"/>
    <s v="Short Days"/>
    <m/>
    <m/>
    <m/>
    <m/>
    <m/>
    <m/>
  </r>
  <r>
    <s v="VIS202459"/>
    <d v="2024-12-30T00:00:00"/>
    <s v="PAT6447"/>
    <s v="Ananya Reddy"/>
    <s v="Female"/>
    <n v="20"/>
    <s v="Trichy"/>
    <s v="Tamil Nadu"/>
    <x v="6"/>
    <s v="Dr. Lalitha"/>
    <s v="L40"/>
    <s v="Observation"/>
    <s v="IPD"/>
    <n v="8494.99"/>
    <s v="Credit Card"/>
    <s v="No"/>
    <n v="4"/>
    <n v="7"/>
    <s v="Adult"/>
    <s v="Medium"/>
    <s v="Short Days"/>
    <m/>
    <m/>
    <m/>
    <m/>
    <m/>
    <m/>
  </r>
  <r>
    <s v="VIS200777"/>
    <d v="2024-02-11T00:00:00"/>
    <s v="PAT5923"/>
    <s v="Arjun Jose"/>
    <s v="Male"/>
    <n v="50"/>
    <s v="Trichy"/>
    <s v="Tamil Nadu"/>
    <x v="4"/>
    <s v="Dr. Varun"/>
    <s v="E11"/>
    <s v="Prescription Refill"/>
    <s v="OPD"/>
    <n v="13949.95"/>
    <s v="Insurance"/>
    <s v="Yes"/>
    <m/>
    <n v="14"/>
    <s v="Middle-Aged"/>
    <s v="High"/>
    <s v="Short Days"/>
    <m/>
    <m/>
    <m/>
    <m/>
    <m/>
    <m/>
  </r>
  <r>
    <s v="VIS201015"/>
    <d v="2025-03-18T00:00:00"/>
    <s v="PAT6211"/>
    <s v="Aishwarya Nagar"/>
    <s v="Male"/>
    <n v="11"/>
    <s v="Kolkata"/>
    <s v="West Bengal"/>
    <x v="9"/>
    <s v="Dr. Arvind"/>
    <s v="J00"/>
    <s v="Minor Procedure"/>
    <s v="OPD"/>
    <n v="3879.27"/>
    <s v="Insurance"/>
    <s v="Yes"/>
    <m/>
    <n v="90"/>
    <s v="Child"/>
    <s v="Low"/>
    <s v="Short Days"/>
    <m/>
    <m/>
    <m/>
    <m/>
    <m/>
    <m/>
  </r>
  <r>
    <s v="VIS200074"/>
    <d v="2024-04-06T00:00:00"/>
    <s v="PAT6139"/>
    <s v="Manisha Kumar"/>
    <s v="Female"/>
    <n v="40"/>
    <s v="Mumbai"/>
    <s v="Maharashtra"/>
    <x v="1"/>
    <s v="Dr. Anu"/>
    <s v="E11"/>
    <s v="Surgery"/>
    <s v="IPD"/>
    <n v="18436.25"/>
    <s v="Cash"/>
    <s v="No"/>
    <n v="6"/>
    <n v="14"/>
    <s v="Adult"/>
    <s v="High"/>
    <s v="Long Days"/>
    <m/>
    <m/>
    <m/>
    <m/>
    <m/>
    <m/>
  </r>
  <r>
    <s v="VIS202238"/>
    <d v="2025-01-14T00:00:00"/>
    <s v="PAT5536"/>
    <s v="Sangeetha Nair"/>
    <s v="Male"/>
    <n v="21"/>
    <s v="Pune"/>
    <s v="Maharashtra"/>
    <x v="6"/>
    <s v="Dr. Lalitha"/>
    <s v="L40"/>
    <s v="Medication"/>
    <s v="OPD"/>
    <n v="19807.75"/>
    <s v="Debit Card"/>
    <s v="No"/>
    <m/>
    <n v="14"/>
    <s v="Adult"/>
    <s v="High"/>
    <s v="Short Days"/>
    <m/>
    <m/>
    <m/>
    <m/>
    <m/>
    <m/>
  </r>
  <r>
    <s v="VIS201777"/>
    <d v="2024-07-04T00:00:00"/>
    <s v="PAT6759"/>
    <s v="Neha Sharma"/>
    <s v="Female"/>
    <n v="17"/>
    <s v="Trichy"/>
    <s v="Tamil Nadu"/>
    <x v="4"/>
    <s v="Dr. Bhavana"/>
    <s v="L40"/>
    <s v="Prescription Refill"/>
    <s v="OPD"/>
    <n v="5532.22"/>
    <s v="Debit Card"/>
    <s v="No"/>
    <m/>
    <n v="30"/>
    <s v="Child"/>
    <s v="Medium"/>
    <s v="Short Days"/>
    <m/>
    <m/>
    <m/>
    <m/>
    <m/>
    <m/>
  </r>
  <r>
    <s v="VIS201041"/>
    <d v="2024-02-24T00:00:00"/>
    <s v="PAT5364"/>
    <s v="Aditya Singh"/>
    <s v="Female"/>
    <n v="55"/>
    <s v="Coimbatore"/>
    <s v="Tamil Nadu"/>
    <x v="9"/>
    <s v="Dr. Kusum"/>
    <s v="K21"/>
    <s v="Minor Procedure"/>
    <s v="OPD"/>
    <n v="3754.12"/>
    <s v="Insurance"/>
    <s v="Yes"/>
    <m/>
    <n v="14"/>
    <s v="Middle-Aged"/>
    <s v="Low"/>
    <s v="Short Days"/>
    <m/>
    <m/>
    <m/>
    <m/>
    <m/>
    <m/>
  </r>
  <r>
    <s v="VIS201781"/>
    <d v="2025-01-28T00:00:00"/>
    <s v="PAT5159"/>
    <s v="Aarav Iyer"/>
    <s v="Female"/>
    <n v="39"/>
    <s v="Hyderabad"/>
    <s v="Telangana"/>
    <x v="7"/>
    <s v="Dr. Surya"/>
    <s v="F41"/>
    <s v="Minor Procedure"/>
    <s v="Teleconsultation"/>
    <n v="11803.64"/>
    <s v="Debit Card"/>
    <s v="No"/>
    <m/>
    <n v="7"/>
    <s v="Adult"/>
    <s v="High"/>
    <s v="Short Days"/>
    <m/>
    <m/>
    <m/>
    <m/>
    <m/>
    <m/>
  </r>
  <r>
    <s v="VIS201314"/>
    <d v="2024-12-08T00:00:00"/>
    <s v="PAT5948"/>
    <s v="Neha Nagar"/>
    <s v="Female"/>
    <n v="33"/>
    <s v="Madurai"/>
    <s v="Tamil Nadu"/>
    <x v="5"/>
    <s v="Dr. Meena"/>
    <s v="J00"/>
    <s v="Counselling"/>
    <s v="Emergency"/>
    <n v="8193.66"/>
    <s v="Insurance"/>
    <s v="Yes"/>
    <m/>
    <n v="90"/>
    <s v="Adult"/>
    <s v="Medium"/>
    <s v="Short Days"/>
    <m/>
    <m/>
    <m/>
    <m/>
    <m/>
    <m/>
  </r>
  <r>
    <s v="VIS201170"/>
    <d v="2025-07-26T00:00:00"/>
    <s v="PAT5010"/>
    <s v="Neha Mishra"/>
    <s v="Male"/>
    <n v="27"/>
    <s v="Chennai"/>
    <s v="Tamil Nadu"/>
    <x v="6"/>
    <s v="Dr. Lalitha"/>
    <s v="L40"/>
    <s v="Minor Surgery"/>
    <s v="OPD"/>
    <n v="3030.63"/>
    <s v="Cash"/>
    <s v="No"/>
    <m/>
    <m/>
    <s v="Adult"/>
    <s v="Low"/>
    <s v="Short Days"/>
    <m/>
    <m/>
    <m/>
    <m/>
    <m/>
    <m/>
  </r>
  <r>
    <s v="VIS200303"/>
    <d v="2024-03-10T00:00:00"/>
    <s v="PAT6452"/>
    <s v="Ananya Khan"/>
    <s v="Female"/>
    <n v="40"/>
    <s v="Kolkata"/>
    <s v="West Bengal"/>
    <x v="0"/>
    <s v="Dr. Nikhil"/>
    <s v="N39"/>
    <s v="Surgery"/>
    <s v="OPD"/>
    <n v="2056.73"/>
    <s v="Cash"/>
    <s v="No"/>
    <m/>
    <m/>
    <s v="Adult"/>
    <s v="Low"/>
    <s v="Short Days"/>
    <m/>
    <m/>
    <m/>
    <m/>
    <m/>
    <m/>
  </r>
  <r>
    <s v="VIS200732"/>
    <d v="2024-04-20T00:00:00"/>
    <s v="PAT6892"/>
    <s v="Vivaan Kumar"/>
    <s v="Male"/>
    <n v="38"/>
    <s v="Chennai"/>
    <s v="Tamil Nadu"/>
    <x v="3"/>
    <s v="Dr. Anand"/>
    <s v="J45"/>
    <s v="Minor Procedure"/>
    <s v="OPD"/>
    <n v="7135.24"/>
    <s v="Debit Card"/>
    <s v="No"/>
    <m/>
    <m/>
    <s v="Adult"/>
    <s v="Medium"/>
    <s v="Short Days"/>
    <m/>
    <m/>
    <m/>
    <m/>
    <m/>
    <m/>
  </r>
  <r>
    <s v="VIS200919"/>
    <d v="2025-08-19T00:00:00"/>
    <s v="PAT5709"/>
    <s v="Rahul Gupta"/>
    <s v="Female"/>
    <n v="38"/>
    <s v="Jaipur"/>
    <s v="Rajasthan"/>
    <x v="5"/>
    <s v="Dr. Meena"/>
    <s v="N39"/>
    <s v="Counselling"/>
    <s v="OPD"/>
    <n v="274.14999999999998"/>
    <s v="UPI"/>
    <s v="No"/>
    <m/>
    <n v="14"/>
    <s v="Adult"/>
    <s v="Low"/>
    <s v="Short Days"/>
    <m/>
    <m/>
    <m/>
    <m/>
    <m/>
    <m/>
  </r>
  <r>
    <s v="VIS201086"/>
    <d v="2024-08-11T00:00:00"/>
    <s v="PAT6654"/>
    <s v="Shruti Nagar"/>
    <s v="Male"/>
    <n v="9"/>
    <s v="Delhi"/>
    <s v="Delhi"/>
    <x v="3"/>
    <s v="Dr. Anand"/>
    <s v="H10"/>
    <s v="Minor Surgery"/>
    <s v="OPD"/>
    <n v="3091.94"/>
    <s v="Cash"/>
    <s v="No"/>
    <m/>
    <n v="14"/>
    <s v="Child"/>
    <s v="Low"/>
    <s v="Short Days"/>
    <m/>
    <m/>
    <m/>
    <m/>
    <m/>
    <m/>
  </r>
  <r>
    <s v="VIS200202"/>
    <d v="2024-02-29T00:00:00"/>
    <s v="PAT6149"/>
    <s v="Sangeetha Sharma"/>
    <s v="Male"/>
    <n v="42"/>
    <s v="Hyderabad"/>
    <s v="Telangana"/>
    <x v="2"/>
    <s v="Dr. Ramesh"/>
    <s v="E11"/>
    <s v="Minor Surgery"/>
    <s v="OPD"/>
    <n v="222.72"/>
    <s v="Cash"/>
    <s v="No"/>
    <m/>
    <n v="90"/>
    <s v="Middle-Aged"/>
    <s v="Low"/>
    <s v="Short Days"/>
    <m/>
    <m/>
    <m/>
    <m/>
    <m/>
    <m/>
  </r>
  <r>
    <s v="VIS200822"/>
    <d v="2025-07-28T00:00:00"/>
    <s v="PAT6685"/>
    <s v="Aarav Jose"/>
    <s v="Female"/>
    <n v="37"/>
    <s v="Kochi"/>
    <s v="Kerala"/>
    <x v="6"/>
    <s v="Dr. Lalitha"/>
    <s v="L40"/>
    <s v="Medication"/>
    <s v="OPD"/>
    <n v="1045.93"/>
    <s v="Debit Card"/>
    <s v="No"/>
    <m/>
    <n v="90"/>
    <s v="Adult"/>
    <s v="Low"/>
    <s v="Short Days"/>
    <m/>
    <m/>
    <m/>
    <m/>
    <m/>
    <m/>
  </r>
  <r>
    <s v="VIS201368"/>
    <d v="2024-05-07T00:00:00"/>
    <s v="PAT6069"/>
    <s v="Aditya Iyer"/>
    <s v="Male"/>
    <n v="42"/>
    <s v="Bengaluru"/>
    <s v="Karnataka"/>
    <x v="8"/>
    <s v="Dr. Sneha"/>
    <s v="K21"/>
    <s v="Surgery"/>
    <s v="OPD"/>
    <n v="2014.56"/>
    <s v="UPI"/>
    <s v="No"/>
    <m/>
    <n v="90"/>
    <s v="Middle-Aged"/>
    <s v="Low"/>
    <s v="Short Days"/>
    <m/>
    <m/>
    <m/>
    <m/>
    <m/>
    <m/>
  </r>
  <r>
    <s v="VIS202965"/>
    <d v="2025-10-16T00:00:00"/>
    <s v="PAT6890"/>
    <s v="Neha Das"/>
    <s v="Male"/>
    <n v="59"/>
    <s v="Ahmedabad"/>
    <s v="Gujarat"/>
    <x v="6"/>
    <s v="Dr. Priya"/>
    <s v="J45"/>
    <s v="Minor Procedure"/>
    <s v="OPD"/>
    <n v="13279.99"/>
    <s v="UPI"/>
    <s v="No"/>
    <m/>
    <m/>
    <s v="Middle-Aged"/>
    <s v="High"/>
    <s v="Short Days"/>
    <m/>
    <m/>
    <m/>
    <m/>
    <m/>
    <m/>
  </r>
  <r>
    <s v="VIS201697"/>
    <d v="2025-08-05T00:00:00"/>
    <s v="PAT6200"/>
    <s v="Priya Reddy"/>
    <s v="Male"/>
    <n v="34"/>
    <s v="Coimbatore"/>
    <s v="Tamil Nadu"/>
    <x v="7"/>
    <s v="Dr. Leela"/>
    <s v="K21"/>
    <s v="Surgery"/>
    <s v="Teleconsultation"/>
    <n v="12137.16"/>
    <s v="UPI"/>
    <s v="No"/>
    <m/>
    <m/>
    <s v="Adult"/>
    <s v="High"/>
    <s v="Short Days"/>
    <m/>
    <m/>
    <m/>
    <m/>
    <m/>
    <m/>
  </r>
  <r>
    <s v="VIS201850"/>
    <d v="2024-10-01T00:00:00"/>
    <s v="PAT5451"/>
    <s v="Aarav Sharma"/>
    <s v="Male"/>
    <n v="37"/>
    <s v="Madurai"/>
    <s v="Tamil Nadu"/>
    <x v="1"/>
    <s v="Dr. Suri"/>
    <s v="J45"/>
    <s v="Surgery"/>
    <s v="OPD"/>
    <n v="1591.65"/>
    <s v="Insurance"/>
    <s v="Yes"/>
    <m/>
    <m/>
    <s v="Adult"/>
    <s v="Low"/>
    <s v="Short Days"/>
    <m/>
    <m/>
    <m/>
    <m/>
    <m/>
    <m/>
  </r>
  <r>
    <s v="VIS201436"/>
    <d v="2025-02-19T00:00:00"/>
    <s v="PAT6995"/>
    <s v="Karthik Bose"/>
    <s v="Male"/>
    <n v="32"/>
    <s v="Kolkata"/>
    <s v="West Bengal"/>
    <x v="2"/>
    <s v="Dr. Ramesh"/>
    <s v="L40"/>
    <s v="Prescription Refill"/>
    <s v="OPD"/>
    <n v="3044.35"/>
    <s v="Credit Card"/>
    <s v="No"/>
    <m/>
    <m/>
    <s v="Adult"/>
    <s v="Low"/>
    <s v="Short Days"/>
    <m/>
    <m/>
    <m/>
    <m/>
    <m/>
    <m/>
  </r>
  <r>
    <s v="VIS201376"/>
    <d v="2024-10-25T00:00:00"/>
    <s v="PAT6172"/>
    <s v="Vivaan Nair"/>
    <s v="Male"/>
    <n v="1"/>
    <s v="Chennai"/>
    <s v="Tamil Nadu"/>
    <x v="5"/>
    <s v="Dr. Karthik"/>
    <s v="H10"/>
    <s v="Minor Surgery"/>
    <s v="OPD"/>
    <n v="1504.74"/>
    <s v="Credit Card"/>
    <s v="No"/>
    <m/>
    <m/>
    <s v="Child"/>
    <s v="Low"/>
    <s v="Short Days"/>
    <m/>
    <m/>
    <m/>
    <m/>
    <m/>
    <m/>
  </r>
  <r>
    <s v="VIS201433"/>
    <d v="2025-10-25T00:00:00"/>
    <s v="PAT6435"/>
    <s v="Rohan Kumar"/>
    <s v="Male"/>
    <n v="49"/>
    <s v="Pune"/>
    <s v="Maharashtra"/>
    <x v="1"/>
    <s v="Dr. Suri"/>
    <s v="J00"/>
    <s v="Observation"/>
    <s v="OPD"/>
    <n v="6301.46"/>
    <s v="Debit Card"/>
    <s v="No"/>
    <m/>
    <n v="30"/>
    <s v="Middle-Aged"/>
    <s v="Medium"/>
    <s v="Short Days"/>
    <m/>
    <m/>
    <m/>
    <m/>
    <m/>
    <m/>
  </r>
  <r>
    <s v="VIS201463"/>
    <d v="2025-10-22T00:00:00"/>
    <s v="PAT6866"/>
    <s v="Neha Iyer"/>
    <s v="Female"/>
    <n v="56"/>
    <s v="Trichy"/>
    <s v="Tamil Nadu"/>
    <x v="6"/>
    <s v="Dr. Lalitha"/>
    <s v="F41"/>
    <s v="Minor Surgery"/>
    <s v="OPD"/>
    <n v="1919.98"/>
    <s v="Debit Card"/>
    <s v="No"/>
    <m/>
    <n v="7"/>
    <s v="Middle-Aged"/>
    <s v="Low"/>
    <s v="Short Days"/>
    <m/>
    <m/>
    <m/>
    <m/>
    <m/>
    <m/>
  </r>
  <r>
    <s v="VIS201435"/>
    <d v="2025-01-17T00:00:00"/>
    <s v="PAT6794"/>
    <s v="Neha Singh"/>
    <s v="Female"/>
    <n v="57.5"/>
    <s v="Delhi"/>
    <s v="Tamil Nadu"/>
    <x v="1"/>
    <s v="Dr. Suri"/>
    <s v="Z111"/>
    <s v="Counselling"/>
    <s v="OPD"/>
    <n v="10046.209999999999"/>
    <s v="Cash"/>
    <s v="No"/>
    <m/>
    <n v="90"/>
    <s v="Middle-Aged"/>
    <s v="High"/>
    <s v="Short Days"/>
    <m/>
    <m/>
    <m/>
    <m/>
    <m/>
    <m/>
  </r>
  <r>
    <s v="VIS200316"/>
    <d v="2024-12-02T00:00:00"/>
    <s v="PAT5704"/>
    <s v="Rahul Bose"/>
    <s v="Male"/>
    <n v="12"/>
    <s v="Pune"/>
    <s v="Maharashtra"/>
    <x v="0"/>
    <s v="Dr. Nikhil"/>
    <s v="N39"/>
    <s v="Medication"/>
    <s v="OPD"/>
    <n v="1790.52"/>
    <s v="Cash"/>
    <s v="No"/>
    <m/>
    <n v="30"/>
    <s v="Child"/>
    <s v="Low"/>
    <s v="Short Days"/>
    <m/>
    <m/>
    <m/>
    <m/>
    <m/>
    <m/>
  </r>
  <r>
    <s v="VIS200148"/>
    <d v="2024-05-17T00:00:00"/>
    <s v="PAT6349"/>
    <s v="Ishaan Jose"/>
    <s v="Female"/>
    <n v="37"/>
    <s v="Kolkata"/>
    <s v="West Bengal"/>
    <x v="3"/>
    <s v="Dr. Anand"/>
    <s v="K21"/>
    <s v="Observation"/>
    <s v="OPD"/>
    <n v="8326.4599999999991"/>
    <s v="Cash"/>
    <s v="No"/>
    <m/>
    <m/>
    <s v="Adult"/>
    <s v="Medium"/>
    <s v="Short Days"/>
    <m/>
    <m/>
    <m/>
    <m/>
    <m/>
    <m/>
  </r>
  <r>
    <s v="VIS202381"/>
    <d v="2024-09-30T00:00:00"/>
    <s v="PAT5301"/>
    <s v="Siddharth Sharma"/>
    <s v="Female"/>
    <n v="45"/>
    <s v="Noida"/>
    <s v="Uttar Pradesh"/>
    <x v="5"/>
    <s v="Dr. Meena"/>
    <s v="N39"/>
    <s v="Surgery"/>
    <s v="Teleconsultation"/>
    <n v="10102.959999999999"/>
    <s v="UPI"/>
    <s v="No"/>
    <m/>
    <n v="30"/>
    <s v="Middle-Aged"/>
    <s v="High"/>
    <s v="Short Days"/>
    <m/>
    <m/>
    <m/>
    <m/>
    <m/>
    <m/>
  </r>
  <r>
    <s v="VIS201591"/>
    <d v="2024-02-26T00:00:00"/>
    <s v="PAT5998"/>
    <s v="Manisha Gupta"/>
    <s v="Female"/>
    <n v="29"/>
    <s v="Lucknow"/>
    <s v="Uttar Pradesh"/>
    <x v="2"/>
    <s v="Dr. Manoj"/>
    <s v="N39"/>
    <s v="Medication"/>
    <s v="OPD"/>
    <n v="407.11"/>
    <s v="Net Banking"/>
    <s v="No"/>
    <m/>
    <m/>
    <s v="Adult"/>
    <s v="Low"/>
    <s v="Short Days"/>
    <m/>
    <m/>
    <m/>
    <m/>
    <m/>
    <m/>
  </r>
  <r>
    <s v="VIS201434"/>
    <d v="2024-07-30T00:00:00"/>
    <s v="PAT6019"/>
    <s v="Priya Patel"/>
    <s v="Male"/>
    <n v="14"/>
    <s v="Mumbai"/>
    <s v="Maharashtra"/>
    <x v="2"/>
    <s v="Dr. Manoj"/>
    <s v="F41"/>
    <s v="Minor Procedure"/>
    <s v="OPD"/>
    <n v="10068.33"/>
    <s v="Insurance"/>
    <s v="Yes"/>
    <m/>
    <m/>
    <s v="Child"/>
    <s v="High"/>
    <s v="Short Days"/>
    <m/>
    <m/>
    <m/>
    <m/>
    <m/>
    <m/>
  </r>
  <r>
    <s v="VIS202002"/>
    <d v="2024-07-22T00:00:00"/>
    <s v="PAT5799"/>
    <s v="Kavya Patel"/>
    <s v="Male"/>
    <n v="4"/>
    <s v="Lucknow"/>
    <s v="Uttar Pradesh"/>
    <x v="6"/>
    <s v="Dr. Priya"/>
    <s v="F41"/>
    <s v="Minor Procedure"/>
    <s v="OPD"/>
    <n v="8682.0300000000007"/>
    <s v="Insurance"/>
    <s v="Yes"/>
    <m/>
    <n v="14"/>
    <s v="Child"/>
    <s v="Medium"/>
    <s v="Short Days"/>
    <m/>
    <m/>
    <m/>
    <m/>
    <m/>
    <m/>
  </r>
  <r>
    <s v="VIS201205"/>
    <d v="2024-07-05T00:00:00"/>
    <s v="PAT6890"/>
    <s v="Ishaan Singh"/>
    <s v="Male"/>
    <n v="31"/>
    <s v="Ahmedabad"/>
    <s v="Gujarat"/>
    <x v="9"/>
    <s v="Dr. Kusum"/>
    <s v="M54"/>
    <s v="Prescription Refill"/>
    <s v="OPD"/>
    <n v="6282.19"/>
    <s v="Debit Card"/>
    <s v="No"/>
    <m/>
    <n v="7"/>
    <s v="Adult"/>
    <s v="Medium"/>
    <s v="Short Days"/>
    <m/>
    <m/>
    <m/>
    <m/>
    <m/>
    <m/>
  </r>
  <r>
    <s v="VIS200764"/>
    <d v="2025-02-04T00:00:00"/>
    <s v="PAT6504"/>
    <s v="Vivaan Bose"/>
    <s v="Male"/>
    <n v="59"/>
    <s v="Jaipur"/>
    <s v="Rajasthan"/>
    <x v="1"/>
    <s v="Dr. Anu"/>
    <s v="H10"/>
    <s v="Prescription Refill"/>
    <s v="OPD"/>
    <n v="5528.9"/>
    <s v="Insurance"/>
    <s v="Yes"/>
    <m/>
    <n v="14"/>
    <s v="Middle-Aged"/>
    <s v="Medium"/>
    <s v="Short Days"/>
    <m/>
    <m/>
    <m/>
    <m/>
    <m/>
    <m/>
  </r>
  <r>
    <s v="VIS202921"/>
    <d v="2024-07-14T00:00:00"/>
    <s v="PAT5241"/>
    <s v="Karthik Reddy"/>
    <s v="Female"/>
    <n v="33"/>
    <s v="Bengaluru"/>
    <s v="Karnataka"/>
    <x v="7"/>
    <s v="Dr. Leela"/>
    <s v="H10"/>
    <s v="Physiotherapy"/>
    <s v="OPD"/>
    <n v="4389.76"/>
    <s v="UPI"/>
    <s v="No"/>
    <m/>
    <m/>
    <s v="Adult"/>
    <s v="Low"/>
    <s v="Short Days"/>
    <m/>
    <m/>
    <m/>
    <m/>
    <m/>
    <m/>
  </r>
  <r>
    <s v="VIS202483"/>
    <d v="2025-01-15T00:00:00"/>
    <s v="PAT6228"/>
    <s v="Rohan Patel"/>
    <s v="Female"/>
    <n v="36"/>
    <s v="Kolkata"/>
    <s v="West Bengal"/>
    <x v="8"/>
    <s v="Dr. Sneha"/>
    <s v="K21"/>
    <s v="Medication"/>
    <s v="OPD"/>
    <n v="593.07000000000005"/>
    <s v="Credit Card"/>
    <s v="No"/>
    <m/>
    <m/>
    <s v="Adult"/>
    <s v="Low"/>
    <s v="Short Days"/>
    <m/>
    <m/>
    <m/>
    <m/>
    <m/>
    <m/>
  </r>
  <r>
    <s v="VIS201508"/>
    <d v="2025-06-28T00:00:00"/>
    <s v="PAT6253"/>
    <s v="Rahul Nagar"/>
    <s v="Male"/>
    <n v="17"/>
    <s v="Coimbatore"/>
    <s v="Tamil Nadu"/>
    <x v="3"/>
    <s v="Dr. Pallavi"/>
    <s v="F41"/>
    <s v="Minor Procedure"/>
    <s v="OPD"/>
    <n v="1532.26"/>
    <s v="UPI"/>
    <s v="No"/>
    <m/>
    <n v="14"/>
    <s v="Child"/>
    <s v="Low"/>
    <s v="Short Days"/>
    <m/>
    <m/>
    <m/>
    <m/>
    <m/>
    <m/>
  </r>
  <r>
    <s v="VIS201442"/>
    <d v="2025-11-02T00:00:00"/>
    <s v="PAT5377"/>
    <s v="Vishal Mishra"/>
    <s v="Male"/>
    <n v="36"/>
    <s v="Coimbatore"/>
    <s v="Tamil Nadu"/>
    <x v="8"/>
    <s v="Dr. Sneha"/>
    <s v="M54"/>
    <s v="Prescription Refill"/>
    <s v="OPD"/>
    <n v="7386.71"/>
    <s v="Debit Card"/>
    <s v="No"/>
    <m/>
    <m/>
    <s v="Adult"/>
    <s v="Medium"/>
    <s v="Short Days"/>
    <m/>
    <m/>
    <m/>
    <m/>
    <m/>
    <m/>
  </r>
  <r>
    <s v="VIS200002"/>
    <d v="2024-04-14T00:00:00"/>
    <s v="PAT6854"/>
    <s v="Vivaan Sharma"/>
    <s v="Female"/>
    <n v="29"/>
    <s v="Hyderabad"/>
    <s v="Telangana"/>
    <x v="5"/>
    <s v="Dr. Meena"/>
    <s v="N39"/>
    <s v="Prescription Refill"/>
    <s v="OPD"/>
    <n v="19804.91"/>
    <s v="Debit Card"/>
    <s v="No"/>
    <m/>
    <n v="30"/>
    <s v="Adult"/>
    <s v="High"/>
    <s v="Short Days"/>
    <m/>
    <m/>
    <m/>
    <m/>
    <m/>
    <m/>
  </r>
  <r>
    <s v="VIS201747"/>
    <d v="2024-09-10T00:00:00"/>
    <s v="PAT6486"/>
    <s v="Ishaan Jose"/>
    <s v="Male"/>
    <n v="66"/>
    <s v="Bengaluru"/>
    <s v="Karnataka"/>
    <x v="3"/>
    <s v="Dr. Anand"/>
    <s v="E11"/>
    <s v="Counselling"/>
    <s v="OPD"/>
    <n v="4372.6400000000003"/>
    <s v="Cash"/>
    <s v="No"/>
    <m/>
    <m/>
    <s v="Senior"/>
    <s v="Low"/>
    <s v="Short Days"/>
    <m/>
    <m/>
    <m/>
    <m/>
    <m/>
    <m/>
  </r>
  <r>
    <s v="VIS201818"/>
    <d v="2024-09-22T00:00:00"/>
    <s v="PAT5366"/>
    <s v="Vishal Patel"/>
    <s v="Female"/>
    <n v="49"/>
    <s v="Madurai"/>
    <s v="Tamil Nadu"/>
    <x v="6"/>
    <s v="Dr. Lalitha"/>
    <s v="J45"/>
    <s v="Surgery"/>
    <s v="Teleconsultation"/>
    <n v="7239.2"/>
    <s v="Insurance"/>
    <s v="Yes"/>
    <m/>
    <m/>
    <s v="Middle-Aged"/>
    <s v="Medium"/>
    <s v="Short Days"/>
    <m/>
    <m/>
    <m/>
    <m/>
    <m/>
    <m/>
  </r>
  <r>
    <s v="VIS200478"/>
    <d v="2024-11-01T00:00:00"/>
    <s v="PAT6462"/>
    <s v="Kavya Nagar"/>
    <s v="Male"/>
    <n v="49"/>
    <s v="Madurai"/>
    <s v="Tamil Nadu"/>
    <x v="8"/>
    <s v="Dr. Kavitha"/>
    <s v="E11"/>
    <s v="Minor Procedure"/>
    <s v="Teleconsultation"/>
    <n v="7664.99"/>
    <s v="Debit Card"/>
    <s v="No"/>
    <m/>
    <n v="14"/>
    <s v="Middle-Aged"/>
    <s v="Medium"/>
    <s v="Short Days"/>
    <m/>
    <m/>
    <m/>
    <m/>
    <m/>
    <m/>
  </r>
  <r>
    <s v="VIS202700"/>
    <d v="2024-09-20T00:00:00"/>
    <s v="PAT5434"/>
    <s v="Arjun Iyer"/>
    <s v="Female"/>
    <n v="57"/>
    <s v="Noida"/>
    <s v="Uttar Pradesh"/>
    <x v="1"/>
    <s v="Dr. Suri"/>
    <s v="F41"/>
    <s v="Surgery"/>
    <s v="OPD"/>
    <n v="11459.07"/>
    <s v="Cash"/>
    <s v="No"/>
    <m/>
    <m/>
    <s v="Middle-Aged"/>
    <s v="High"/>
    <s v="Short Days"/>
    <m/>
    <m/>
    <m/>
    <m/>
    <m/>
    <m/>
  </r>
  <r>
    <s v="VIS200746"/>
    <d v="2024-12-03T00:00:00"/>
    <s v="PAT6913"/>
    <s v="Priya Iyer"/>
    <s v="Other"/>
    <n v="45"/>
    <s v="Trichy"/>
    <s v="Tamil Nadu"/>
    <x v="8"/>
    <s v="Dr. Sneha"/>
    <s v="J45"/>
    <s v="Surgery"/>
    <s v="OPD"/>
    <n v="622.83000000000004"/>
    <s v="Debit Card"/>
    <s v="No"/>
    <m/>
    <m/>
    <s v="Middle-Aged"/>
    <s v="Low"/>
    <s v="Short Days"/>
    <m/>
    <m/>
    <m/>
    <m/>
    <m/>
    <m/>
  </r>
  <r>
    <s v="VIS200107"/>
    <d v="2025-06-26T00:00:00"/>
    <s v="PAT6469"/>
    <s v="Aarav Khan"/>
    <s v="Female"/>
    <n v="32"/>
    <s v="Mumbai"/>
    <s v="Maharashtra"/>
    <x v="9"/>
    <s v="Dr. Arvind"/>
    <s v="E11"/>
    <s v="Minor Procedure"/>
    <s v="OPD"/>
    <n v="6256.62"/>
    <s v="UPI"/>
    <s v="No"/>
    <m/>
    <n v="90"/>
    <s v="Adult"/>
    <s v="Medium"/>
    <s v="Short Days"/>
    <m/>
    <m/>
    <m/>
    <m/>
    <m/>
    <m/>
  </r>
  <r>
    <s v="VIS202750"/>
    <d v="2025-03-10T00:00:00"/>
    <s v="PAT6405"/>
    <s v="Priya Reddy"/>
    <s v="Other"/>
    <n v="42"/>
    <s v="Trichy"/>
    <s v="Tamil Nadu"/>
    <x v="7"/>
    <s v="Dr. Surya"/>
    <s v="M54"/>
    <s v="Physiotherapy"/>
    <s v="OPD"/>
    <n v="5818.22"/>
    <s v="Cash"/>
    <s v="No"/>
    <m/>
    <n v="90"/>
    <s v="Middle-Aged"/>
    <s v="Medium"/>
    <s v="Short Days"/>
    <m/>
    <m/>
    <m/>
    <m/>
    <m/>
    <m/>
  </r>
  <r>
    <s v="VIS200893"/>
    <d v="2025-01-11T00:00:00"/>
    <s v="PAT5487"/>
    <s v="Karthik Iyer"/>
    <s v="Female"/>
    <n v="19"/>
    <s v="Pune"/>
    <s v="Maharashtra"/>
    <x v="5"/>
    <s v="Dr. Karthik"/>
    <s v="M54"/>
    <s v="Minor Procedure"/>
    <s v="OPD"/>
    <n v="2182.1999999999998"/>
    <s v="Insurance"/>
    <s v="Yes"/>
    <m/>
    <n v="7"/>
    <s v="Adult"/>
    <s v="Low"/>
    <s v="Short Days"/>
    <m/>
    <m/>
    <m/>
    <m/>
    <m/>
    <m/>
  </r>
  <r>
    <s v="VIS200916"/>
    <d v="2025-05-18T00:00:00"/>
    <s v="PAT5347"/>
    <s v="Aarav Sharma"/>
    <s v="Male"/>
    <n v="33"/>
    <s v="Coimbatore"/>
    <s v="Tamil Nadu"/>
    <x v="4"/>
    <s v="Dr. Bhavana"/>
    <s v="N39"/>
    <s v="Prescription Refill"/>
    <s v="IPD"/>
    <n v="7633.61"/>
    <s v="Insurance"/>
    <s v="Yes"/>
    <n v="7"/>
    <n v="14"/>
    <s v="Adult"/>
    <s v="Medium"/>
    <s v="Long Days"/>
    <m/>
    <m/>
    <m/>
    <m/>
    <m/>
    <m/>
  </r>
  <r>
    <s v="VIS202777"/>
    <d v="2024-07-04T00:00:00"/>
    <s v="PAT6993"/>
    <s v="Aishwarya Kumar"/>
    <s v="Female"/>
    <n v="17"/>
    <s v="Coimbatore"/>
    <s v="Tamil Nadu"/>
    <x v="3"/>
    <s v="Dr. Pallavi"/>
    <s v="E11"/>
    <s v="Counselling"/>
    <s v="Teleconsultation"/>
    <n v="8772.25"/>
    <s v="Cash"/>
    <s v="No"/>
    <m/>
    <m/>
    <s v="Child"/>
    <s v="Medium"/>
    <s v="Short Days"/>
    <m/>
    <m/>
    <m/>
    <m/>
    <m/>
    <m/>
  </r>
  <r>
    <s v="VIS201629"/>
    <d v="2025-07-06T00:00:00"/>
    <s v="PAT6931"/>
    <s v="Rohan Jose"/>
    <s v="Male"/>
    <n v="54"/>
    <s v="Chennai"/>
    <s v="Tamil Nadu"/>
    <x v="3"/>
    <s v="Dr. Anand"/>
    <s v="K21"/>
    <s v="Counselling"/>
    <s v="OPD"/>
    <n v="1351.68"/>
    <s v="UPI"/>
    <s v="No"/>
    <m/>
    <n v="7"/>
    <s v="Middle-Aged"/>
    <s v="Low"/>
    <s v="Short Days"/>
    <m/>
    <m/>
    <m/>
    <m/>
    <m/>
    <m/>
  </r>
  <r>
    <s v="VIS200525"/>
    <d v="2025-03-05T00:00:00"/>
    <s v="PAT6028"/>
    <s v="Manisha Bose"/>
    <s v="Male"/>
    <n v="55"/>
    <s v="Jaipur"/>
    <s v="Rajasthan"/>
    <x v="9"/>
    <s v="Dr. Arvind"/>
    <s v="K21"/>
    <s v="Physiotherapy"/>
    <s v="OPD"/>
    <n v="8003.79"/>
    <s v="Insurance"/>
    <s v="Yes"/>
    <m/>
    <n v="90"/>
    <s v="Middle-Aged"/>
    <s v="Medium"/>
    <s v="Short Days"/>
    <m/>
    <m/>
    <m/>
    <m/>
    <m/>
    <m/>
  </r>
  <r>
    <s v="VIS202191"/>
    <d v="2024-09-05T00:00:00"/>
    <s v="PAT6856"/>
    <s v="Aditya Iyer"/>
    <s v="Male"/>
    <n v="59"/>
    <s v="Coimbatore"/>
    <s v="Tamil Nadu"/>
    <x v="2"/>
    <s v="Dr. Manoj"/>
    <s v="F41"/>
    <s v="Observation"/>
    <s v="Emergency"/>
    <n v="7836.57"/>
    <s v="Credit Card"/>
    <s v="No"/>
    <m/>
    <n v="14"/>
    <s v="Middle-Aged"/>
    <s v="Medium"/>
    <s v="Short Days"/>
    <m/>
    <m/>
    <m/>
    <m/>
    <m/>
    <m/>
  </r>
  <r>
    <s v="VIS200163"/>
    <d v="2024-11-22T00:00:00"/>
    <s v="PAT6666"/>
    <s v="Ishaan Bose"/>
    <s v="Female"/>
    <n v="36"/>
    <s v="Jaipur"/>
    <s v="Rajasthan"/>
    <x v="6"/>
    <s v="Dr. Priya"/>
    <s v="J45"/>
    <s v="Observation"/>
    <s v="Teleconsultation"/>
    <n v="6583.7"/>
    <s v="Cash"/>
    <s v="No"/>
    <m/>
    <m/>
    <s v="Adult"/>
    <s v="Medium"/>
    <s v="Short Days"/>
    <m/>
    <m/>
    <m/>
    <m/>
    <m/>
    <m/>
  </r>
  <r>
    <s v="VIS202807"/>
    <d v="2025-03-04T00:00:00"/>
    <s v="PAT6994"/>
    <s v="Aarav Sharma"/>
    <s v="Female"/>
    <n v="8"/>
    <s v="Ahmedabad"/>
    <s v="Gujarat"/>
    <x v="2"/>
    <s v="Dr. Ramesh"/>
    <s v="K21"/>
    <s v="Observation"/>
    <s v="OPD"/>
    <n v="721.89"/>
    <s v="Insurance"/>
    <s v="Yes"/>
    <m/>
    <n v="30"/>
    <s v="Child"/>
    <s v="Low"/>
    <s v="Short Days"/>
    <m/>
    <m/>
    <m/>
    <m/>
    <m/>
    <m/>
  </r>
  <r>
    <s v="VIS202712"/>
    <d v="2025-09-09T00:00:00"/>
    <s v="PAT6866"/>
    <s v="Aishwarya Singh"/>
    <s v="Male"/>
    <n v="3"/>
    <s v="Pune"/>
    <s v="Maharashtra"/>
    <x v="5"/>
    <s v="Dr. Meena"/>
    <s v="J00"/>
    <s v="Minor Surgery"/>
    <s v="OPD"/>
    <n v="12212.14"/>
    <s v="Insurance"/>
    <s v="Yes"/>
    <m/>
    <m/>
    <s v="Child"/>
    <s v="High"/>
    <s v="Short Days"/>
    <m/>
    <m/>
    <m/>
    <m/>
    <m/>
    <m/>
  </r>
  <r>
    <s v="VIS201813"/>
    <d v="2025-05-19T00:00:00"/>
    <s v="PAT6812"/>
    <s v="Arjun Singh"/>
    <s v="Female"/>
    <n v="43"/>
    <s v="Bengaluru"/>
    <s v="Karnataka"/>
    <x v="4"/>
    <s v="Dr. Bhavana"/>
    <s v="L40"/>
    <s v="Minor Surgery"/>
    <s v="OPD"/>
    <n v="6375.1"/>
    <s v="Credit Card"/>
    <s v="No"/>
    <m/>
    <n v="7"/>
    <s v="Middle-Aged"/>
    <s v="Medium"/>
    <s v="Short Days"/>
    <m/>
    <m/>
    <m/>
    <m/>
    <m/>
    <m/>
  </r>
  <r>
    <s v="VIS202669"/>
    <d v="2024-01-10T00:00:00"/>
    <s v="PAT6811"/>
    <s v="Deepa Sharma"/>
    <s v="Female"/>
    <n v="55"/>
    <s v="Ahmedabad"/>
    <s v="Gujarat"/>
    <x v="5"/>
    <s v="Dr. Karthik"/>
    <s v="N39"/>
    <s v="Counselling"/>
    <s v="OPD"/>
    <n v="1770.55"/>
    <s v="Credit Card"/>
    <s v="No"/>
    <m/>
    <n v="30"/>
    <s v="Middle-Aged"/>
    <s v="Low"/>
    <s v="Short Days"/>
    <m/>
    <m/>
    <m/>
    <m/>
    <m/>
    <m/>
  </r>
  <r>
    <s v="VIS201887"/>
    <d v="2024-07-21T00:00:00"/>
    <s v="PAT5933"/>
    <s v="Rahul Iyer"/>
    <s v="Male"/>
    <n v="44"/>
    <s v="Bengaluru"/>
    <s v="Karnataka"/>
    <x v="2"/>
    <s v="Dr. Ramesh"/>
    <s v="J00"/>
    <s v="Minor Procedure"/>
    <s v="OPD"/>
    <n v="3068.84"/>
    <s v="Cash"/>
    <s v="No"/>
    <m/>
    <n v="14"/>
    <s v="Middle-Aged"/>
    <s v="Low"/>
    <s v="Short Days"/>
    <m/>
    <m/>
    <m/>
    <m/>
    <m/>
    <m/>
  </r>
  <r>
    <s v="VIS202466"/>
    <d v="2024-12-15T00:00:00"/>
    <s v="PAT5443"/>
    <s v="Manisha Mishra"/>
    <s v="Male"/>
    <n v="33"/>
    <s v="Delhi"/>
    <s v="Delhi"/>
    <x v="5"/>
    <s v="Dr. Karthik"/>
    <s v="K21"/>
    <s v="Minor Surgery"/>
    <s v="Emergency"/>
    <n v="17455.25"/>
    <s v="Credit Card"/>
    <s v="No"/>
    <m/>
    <n v="7"/>
    <s v="Adult"/>
    <s v="High"/>
    <s v="Short Days"/>
    <m/>
    <m/>
    <m/>
    <m/>
    <m/>
    <m/>
  </r>
  <r>
    <s v="VIS202937"/>
    <d v="2024-11-30T00:00:00"/>
    <s v="PAT5852"/>
    <s v="Shruti Patel"/>
    <s v="Male"/>
    <n v="73"/>
    <s v="Kolkata"/>
    <s v="West Bengal"/>
    <x v="8"/>
    <s v="Dr. Sneha"/>
    <s v="J45"/>
    <s v="Medication"/>
    <s v="OPD"/>
    <n v="1675.91"/>
    <s v="Net Banking"/>
    <s v="No"/>
    <m/>
    <n v="90"/>
    <s v="Senior"/>
    <s v="Low"/>
    <s v="Short Days"/>
    <m/>
    <m/>
    <m/>
    <m/>
    <m/>
    <m/>
  </r>
  <r>
    <s v="VIS202958"/>
    <d v="2024-03-02T00:00:00"/>
    <s v="PAT6788"/>
    <s v="Anil Bose"/>
    <s v="Female"/>
    <n v="29"/>
    <s v="Pune"/>
    <s v="Maharashtra"/>
    <x v="4"/>
    <s v="Dr. Varun"/>
    <s v="M54"/>
    <s v="Prescription Refill"/>
    <s v="Emergency"/>
    <n v="5640.46"/>
    <s v="Cash"/>
    <s v="No"/>
    <m/>
    <n v="30"/>
    <s v="Adult"/>
    <s v="Medium"/>
    <s v="Short Days"/>
    <m/>
    <m/>
    <m/>
    <m/>
    <m/>
    <m/>
  </r>
  <r>
    <s v="VIS200557"/>
    <d v="2025-08-15T00:00:00"/>
    <s v="PAT5522"/>
    <s v="Siddharth Khan"/>
    <s v="Male"/>
    <n v="32"/>
    <s v="Chennai"/>
    <s v="Tamil Nadu"/>
    <x v="2"/>
    <s v="Dr. Ramesh"/>
    <s v="N39"/>
    <s v="Physiotherapy"/>
    <s v="Emergency"/>
    <n v="8683.3700000000008"/>
    <s v="Insurance"/>
    <s v="Yes"/>
    <m/>
    <m/>
    <s v="Adult"/>
    <s v="Medium"/>
    <s v="Short Days"/>
    <m/>
    <m/>
    <m/>
    <m/>
    <m/>
    <m/>
  </r>
  <r>
    <s v="VIS201758"/>
    <d v="2025-05-16T00:00:00"/>
    <s v="PAT6729"/>
    <s v="Aishwarya Khan"/>
    <s v="Female"/>
    <n v="30"/>
    <s v="Kolkata"/>
    <s v="West Bengal"/>
    <x v="5"/>
    <s v="Dr. Karthik"/>
    <s v="N39"/>
    <s v="Prescription Refill"/>
    <s v="Teleconsultation"/>
    <n v="13362.57"/>
    <s v="Debit Card"/>
    <s v="No"/>
    <m/>
    <n v="90"/>
    <s v="Adult"/>
    <s v="High"/>
    <s v="Short Days"/>
    <m/>
    <m/>
    <m/>
    <m/>
    <m/>
    <m/>
  </r>
  <r>
    <s v="VIS202757"/>
    <d v="2025-01-31T00:00:00"/>
    <s v="PAT5606"/>
    <s v="Kavya Sharma"/>
    <s v="Female"/>
    <n v="49"/>
    <s v="Hyderabad"/>
    <s v="Telangana"/>
    <x v="0"/>
    <s v="Dr. Shailesh"/>
    <s v="F41"/>
    <s v="Prescription Refill"/>
    <s v="OPD"/>
    <n v="1595.23"/>
    <s v="Net Banking"/>
    <s v="No"/>
    <m/>
    <n v="7"/>
    <s v="Middle-Aged"/>
    <s v="Low"/>
    <s v="Short Days"/>
    <m/>
    <m/>
    <m/>
    <m/>
    <m/>
    <m/>
  </r>
  <r>
    <s v="VIS201095"/>
    <d v="2025-06-29T00:00:00"/>
    <s v="PAT6264"/>
    <s v="Sangeetha Sharma"/>
    <s v="Male"/>
    <n v="41"/>
    <s v="Kochi"/>
    <s v="Kerala"/>
    <x v="2"/>
    <s v="Dr. Manoj"/>
    <s v="J45"/>
    <s v="Medication"/>
    <s v="OPD"/>
    <n v="1371.66"/>
    <s v="Cash"/>
    <s v="No"/>
    <m/>
    <n v="30"/>
    <s v="Middle-Aged"/>
    <s v="Low"/>
    <s v="Short Days"/>
    <m/>
    <m/>
    <m/>
    <m/>
    <m/>
    <m/>
  </r>
  <r>
    <s v="VIS202589"/>
    <d v="2025-01-12T00:00:00"/>
    <s v="PAT6140"/>
    <s v="Shruti Singh"/>
    <s v="Female"/>
    <n v="25"/>
    <s v="Coimbatore"/>
    <s v="Tamil Nadu"/>
    <x v="3"/>
    <s v="Dr. Pallavi"/>
    <s v="I10"/>
    <s v="Surgery"/>
    <s v="OPD"/>
    <n v="8957.2199999999993"/>
    <s v="Cash"/>
    <s v="No"/>
    <m/>
    <m/>
    <s v="Adult"/>
    <s v="Medium"/>
    <s v="Short Days"/>
    <m/>
    <m/>
    <m/>
    <m/>
    <m/>
    <m/>
  </r>
  <r>
    <s v="VIS202956"/>
    <d v="2025-10-08T00:00:00"/>
    <s v="PAT6638"/>
    <s v="Kavya Mishra"/>
    <s v="Male"/>
    <n v="42"/>
    <s v="Coimbatore"/>
    <s v="Tamil Nadu"/>
    <x v="5"/>
    <s v="Dr. Ravi"/>
    <s v="L40"/>
    <s v="Prescription Refill"/>
    <s v="OPD"/>
    <n v="1011.53"/>
    <s v="UPI"/>
    <s v="No"/>
    <m/>
    <n v="30"/>
    <s v="Middle-Aged"/>
    <s v="Low"/>
    <s v="Short Days"/>
    <m/>
    <m/>
    <m/>
    <m/>
    <m/>
    <m/>
  </r>
  <r>
    <s v="VIS202035"/>
    <d v="2024-02-20T00:00:00"/>
    <s v="PAT5772"/>
    <s v="Manisha Reddy"/>
    <s v="Male"/>
    <n v="39"/>
    <s v="Jaipur"/>
    <s v="Rajasthan"/>
    <x v="8"/>
    <s v="Dr. Kavitha"/>
    <s v="J45"/>
    <s v="Minor Surgery"/>
    <s v="Emergency"/>
    <n v="6942.91"/>
    <s v="Credit Card"/>
    <s v="No"/>
    <m/>
    <m/>
    <s v="Adult"/>
    <s v="Medium"/>
    <s v="Short Days"/>
    <m/>
    <m/>
    <m/>
    <m/>
    <m/>
    <m/>
  </r>
  <r>
    <s v="VIS201980"/>
    <d v="2025-05-07T00:00:00"/>
    <s v="PAT6838"/>
    <s v="Arjun Bose"/>
    <s v="Female"/>
    <n v="20"/>
    <s v="Lucknow"/>
    <s v="Uttar Pradesh"/>
    <x v="8"/>
    <s v="Dr. Sneha"/>
    <s v="L40"/>
    <s v="Observation"/>
    <s v="OPD"/>
    <n v="936.58"/>
    <s v="Insurance"/>
    <s v="Yes"/>
    <m/>
    <m/>
    <s v="Adult"/>
    <s v="Low"/>
    <s v="Short Days"/>
    <m/>
    <m/>
    <m/>
    <m/>
    <m/>
    <m/>
  </r>
  <r>
    <s v="VIS200329"/>
    <d v="2024-09-23T00:00:00"/>
    <s v="PAT6285"/>
    <s v="Deepa Kumar"/>
    <s v="Male"/>
    <n v="51"/>
    <s v="Lucknow"/>
    <s v="Uttar Pradesh"/>
    <x v="2"/>
    <s v="Dr. Manoj"/>
    <s v="I10"/>
    <s v="Minor Surgery"/>
    <s v="OPD"/>
    <n v="2646.45"/>
    <s v="Cash"/>
    <s v="No"/>
    <m/>
    <n v="90"/>
    <s v="Middle-Aged"/>
    <s v="Low"/>
    <s v="Short Days"/>
    <m/>
    <m/>
    <m/>
    <m/>
    <m/>
    <m/>
  </r>
  <r>
    <s v="VIS201009"/>
    <d v="2025-05-31T00:00:00"/>
    <s v="PAT5537"/>
    <s v="Priya Jose"/>
    <s v="Female"/>
    <n v="22"/>
    <s v="Lucknow"/>
    <s v="Uttar Pradesh"/>
    <x v="7"/>
    <s v="Dr. Surya"/>
    <s v="H10"/>
    <s v="Observation"/>
    <s v="OPD"/>
    <n v="7788.27"/>
    <s v="UPI"/>
    <s v="No"/>
    <m/>
    <n v="7"/>
    <s v="Adult"/>
    <s v="Medium"/>
    <s v="Short Days"/>
    <m/>
    <m/>
    <m/>
    <m/>
    <m/>
    <m/>
  </r>
  <r>
    <s v="VIS200923"/>
    <d v="2025-03-29T00:00:00"/>
    <s v="PAT6473"/>
    <s v="Shruti Gupta"/>
    <s v="Male"/>
    <n v="63"/>
    <s v="Noida"/>
    <s v="Uttar Pradesh"/>
    <x v="9"/>
    <s v="Dr. Arvind"/>
    <s v="J00"/>
    <s v="Minor Surgery"/>
    <s v="OPD"/>
    <n v="2006.91"/>
    <s v="Cash"/>
    <s v="No"/>
    <m/>
    <n v="90"/>
    <s v="Senior"/>
    <s v="Low"/>
    <s v="Short Days"/>
    <m/>
    <m/>
    <m/>
    <m/>
    <m/>
    <m/>
  </r>
  <r>
    <s v="VIS200845"/>
    <d v="2024-03-16T00:00:00"/>
    <s v="PAT6247"/>
    <s v="Deepa Singh"/>
    <s v="Female"/>
    <n v="74"/>
    <s v="Madurai"/>
    <s v="Tamil Nadu"/>
    <x v="0"/>
    <s v="Dr. Shailesh"/>
    <s v="H10"/>
    <s v="Minor Surgery"/>
    <s v="OPD"/>
    <n v="1752.01"/>
    <s v="UPI"/>
    <s v="No"/>
    <m/>
    <n v="14"/>
    <s v="Senior"/>
    <s v="Low"/>
    <s v="Short Days"/>
    <m/>
    <m/>
    <m/>
    <m/>
    <m/>
    <m/>
  </r>
  <r>
    <s v="VIS201123"/>
    <d v="2025-07-14T00:00:00"/>
    <s v="PAT5729"/>
    <s v="Rahul Kumar"/>
    <s v="Female"/>
    <n v="58"/>
    <s v="Delhi"/>
    <s v="Maharashtra"/>
    <x v="1"/>
    <s v="Dr. Anu"/>
    <s v="Z111"/>
    <s v="Observation"/>
    <s v="OPD"/>
    <n v="12664.84"/>
    <s v="Debit Card"/>
    <s v="No"/>
    <m/>
    <n v="30"/>
    <s v="Middle-Aged"/>
    <s v="High"/>
    <s v="Short Days"/>
    <m/>
    <m/>
    <m/>
    <m/>
    <m/>
    <m/>
  </r>
  <r>
    <s v="VIS201312"/>
    <d v="2025-11-03T00:00:00"/>
    <s v="PAT5646"/>
    <s v="Arjun Das"/>
    <s v="Male"/>
    <n v="24"/>
    <s v="Trichy"/>
    <s v="Tamil Nadu"/>
    <x v="3"/>
    <s v="Dr. Pallavi"/>
    <s v="F41"/>
    <s v="Physiotherapy"/>
    <s v="Teleconsultation"/>
    <n v="8038.46"/>
    <s v="Net Banking"/>
    <s v="No"/>
    <m/>
    <m/>
    <s v="Adult"/>
    <s v="Medium"/>
    <s v="Short Days"/>
    <m/>
    <m/>
    <m/>
    <m/>
    <m/>
    <m/>
  </r>
  <r>
    <s v="VIS200393"/>
    <d v="2025-02-09T00:00:00"/>
    <s v="PAT5986"/>
    <s v="Kavya Patel"/>
    <s v="Female"/>
    <n v="30"/>
    <s v="Madurai"/>
    <s v="Tamil Nadu"/>
    <x v="0"/>
    <s v="Dr. Nikhil"/>
    <s v="J00"/>
    <s v="Physiotherapy"/>
    <s v="Teleconsultation"/>
    <n v="18279.89"/>
    <s v="Credit Card"/>
    <s v="No"/>
    <m/>
    <n v="90"/>
    <s v="Adult"/>
    <s v="High"/>
    <s v="Short Days"/>
    <m/>
    <m/>
    <m/>
    <m/>
    <m/>
    <m/>
  </r>
  <r>
    <s v="VIS201182"/>
    <d v="2024-11-22T00:00:00"/>
    <s v="PAT5085"/>
    <s v="Vivaan Reddy"/>
    <s v="Female"/>
    <n v="39"/>
    <s v="Ahmedabad"/>
    <s v="Gujarat"/>
    <x v="3"/>
    <s v="Dr. Anand"/>
    <s v="M54"/>
    <s v="Physiotherapy"/>
    <s v="OPD"/>
    <n v="123.94"/>
    <s v="Debit Card"/>
    <s v="No"/>
    <m/>
    <n v="90"/>
    <s v="Adult"/>
    <s v="Low"/>
    <s v="Short Days"/>
    <m/>
    <m/>
    <m/>
    <m/>
    <m/>
    <m/>
  </r>
  <r>
    <s v="VIS202719"/>
    <d v="2025-08-19T00:00:00"/>
    <s v="PAT5843"/>
    <s v="Rahul Nagar"/>
    <s v="Male"/>
    <n v="46"/>
    <s v="Pune"/>
    <s v="Maharashtra"/>
    <x v="4"/>
    <s v="Dr. Varun"/>
    <s v="K21"/>
    <s v="Surgery"/>
    <s v="OPD"/>
    <n v="4624.97"/>
    <s v="Insurance"/>
    <s v="Yes"/>
    <m/>
    <m/>
    <s v="Middle-Aged"/>
    <s v="Low"/>
    <s v="Short Days"/>
    <m/>
    <m/>
    <m/>
    <m/>
    <m/>
    <m/>
  </r>
  <r>
    <s v="VIS201460"/>
    <d v="2025-09-14T00:00:00"/>
    <s v="PAT5049"/>
    <s v="Aditya Khan"/>
    <s v="Female"/>
    <n v="45"/>
    <s v="Bengaluru"/>
    <s v="Karnataka"/>
    <x v="6"/>
    <s v="Dr. Lalitha"/>
    <s v="M54"/>
    <s v="Observation"/>
    <s v="Teleconsultation"/>
    <n v="7643.42"/>
    <s v="Insurance"/>
    <s v="Yes"/>
    <m/>
    <n v="30"/>
    <s v="Middle-Aged"/>
    <s v="Medium"/>
    <s v="Short Days"/>
    <m/>
    <m/>
    <m/>
    <m/>
    <m/>
    <m/>
  </r>
  <r>
    <s v="VIS200748"/>
    <d v="2024-05-24T00:00:00"/>
    <s v="PAT6943"/>
    <s v="Ishaan Kumar"/>
    <s v="Male"/>
    <n v="15"/>
    <s v="Chennai"/>
    <s v="Tamil Nadu"/>
    <x v="6"/>
    <s v="Dr. Priya"/>
    <s v="H10"/>
    <s v="Observation"/>
    <s v="Teleconsultation"/>
    <n v="17596.060000000001"/>
    <s v="UPI"/>
    <s v="No"/>
    <m/>
    <n v="30"/>
    <s v="Child"/>
    <s v="High"/>
    <s v="Short Days"/>
    <m/>
    <m/>
    <m/>
    <m/>
    <m/>
    <m/>
  </r>
  <r>
    <s v="VIS201453"/>
    <d v="2024-05-31T00:00:00"/>
    <s v="PAT6119"/>
    <s v="Ishaan Iyer"/>
    <s v="Male"/>
    <n v="37"/>
    <s v="Mumbai"/>
    <s v="Maharashtra"/>
    <x v="1"/>
    <s v="Dr. Anu"/>
    <s v="F41"/>
    <s v="Counselling"/>
    <s v="OPD"/>
    <n v="5964.67"/>
    <s v="Debit Card"/>
    <s v="No"/>
    <m/>
    <n v="14"/>
    <s v="Adult"/>
    <s v="Medium"/>
    <s v="Short Days"/>
    <m/>
    <m/>
    <m/>
    <m/>
    <m/>
    <m/>
  </r>
  <r>
    <s v="VIS200621"/>
    <d v="2025-09-04T00:00:00"/>
    <s v="PAT6684"/>
    <s v="Priya Singh"/>
    <s v="Female"/>
    <n v="49"/>
    <s v="Delhi"/>
    <s v="Delhi"/>
    <x v="6"/>
    <s v="Dr. Priya"/>
    <s v="J45"/>
    <s v="Surgery"/>
    <s v="OPD"/>
    <n v="813.79"/>
    <s v="Net Banking"/>
    <s v="No"/>
    <m/>
    <m/>
    <s v="Middle-Aged"/>
    <s v="Low"/>
    <s v="Short Days"/>
    <m/>
    <m/>
    <m/>
    <m/>
    <m/>
    <m/>
  </r>
  <r>
    <s v="VIS202577"/>
    <d v="2024-10-14T00:00:00"/>
    <s v="PAT6861"/>
    <s v="Shruti Reddy"/>
    <s v="Male"/>
    <n v="6"/>
    <s v="Pune"/>
    <s v="Maharashtra"/>
    <x v="6"/>
    <s v="Dr. Lalitha"/>
    <s v="L40"/>
    <s v="Surgery"/>
    <s v="OPD"/>
    <n v="1933.52"/>
    <s v="Insurance"/>
    <s v="Yes"/>
    <m/>
    <n v="7"/>
    <s v="Child"/>
    <s v="Low"/>
    <s v="Short Days"/>
    <m/>
    <m/>
    <m/>
    <m/>
    <m/>
    <m/>
  </r>
  <r>
    <s v="VIS200474"/>
    <d v="2024-10-01T00:00:00"/>
    <s v="PAT6907"/>
    <s v="Ananya Singh"/>
    <s v="Female"/>
    <n v="6"/>
    <s v="Coimbatore"/>
    <s v="Tamil Nadu"/>
    <x v="6"/>
    <s v="Dr. Priya"/>
    <s v="L40"/>
    <s v="Counselling"/>
    <s v="OPD"/>
    <n v="990.98"/>
    <s v="Insurance"/>
    <s v="Yes"/>
    <m/>
    <m/>
    <s v="Child"/>
    <s v="Low"/>
    <s v="Short Days"/>
    <m/>
    <m/>
    <m/>
    <m/>
    <m/>
    <m/>
  </r>
  <r>
    <s v="VIS200069"/>
    <d v="2025-01-26T00:00:00"/>
    <s v="PAT6159"/>
    <s v="Shruti Mishra"/>
    <s v="Female"/>
    <n v="42"/>
    <s v="Mumbai"/>
    <s v="Maharashtra"/>
    <x v="5"/>
    <s v="Dr. Ravi"/>
    <s v="N39"/>
    <s v="Prescription Refill"/>
    <s v="IPD"/>
    <n v="11964.46"/>
    <s v="Insurance"/>
    <s v="Yes"/>
    <n v="5"/>
    <n v="14"/>
    <s v="Middle-Aged"/>
    <s v="High"/>
    <s v="Short Days"/>
    <m/>
    <m/>
    <m/>
    <m/>
    <m/>
    <m/>
  </r>
  <r>
    <s v="VIS201768"/>
    <d v="2024-05-13T00:00:00"/>
    <s v="PAT5377"/>
    <s v="Aditya Patel"/>
    <s v="Female"/>
    <n v="73"/>
    <s v="Coimbatore"/>
    <s v="Tamil Nadu"/>
    <x v="6"/>
    <s v="Dr. Lalitha"/>
    <s v="E11"/>
    <s v="Minor Surgery"/>
    <s v="Teleconsultation"/>
    <n v="7483.95"/>
    <s v="Debit Card"/>
    <s v="No"/>
    <m/>
    <m/>
    <s v="Senior"/>
    <s v="Medium"/>
    <s v="Short Days"/>
    <m/>
    <m/>
    <m/>
    <m/>
    <m/>
    <m/>
  </r>
  <r>
    <s v="VIS200383"/>
    <d v="2024-01-19T00:00:00"/>
    <s v="PAT5014"/>
    <s v="Rohan Jose"/>
    <s v="Female"/>
    <n v="14"/>
    <s v="Lucknow"/>
    <s v="Uttar Pradesh"/>
    <x v="0"/>
    <s v="Dr. Nikhil"/>
    <s v="H10"/>
    <s v="Minor Surgery"/>
    <s v="Emergency"/>
    <n v="8112.12"/>
    <s v="Debit Card"/>
    <s v="No"/>
    <m/>
    <n v="90"/>
    <s v="Child"/>
    <s v="Medium"/>
    <s v="Short Days"/>
    <m/>
    <m/>
    <m/>
    <m/>
    <m/>
    <m/>
  </r>
  <r>
    <s v="VIS201175"/>
    <d v="2024-10-19T00:00:00"/>
    <s v="PAT6001"/>
    <s v="Neha Kumar"/>
    <s v="Female"/>
    <n v="60"/>
    <s v="Jaipur"/>
    <s v="Rajasthan"/>
    <x v="8"/>
    <s v="Dr. Kavitha"/>
    <s v="H10"/>
    <s v="Surgery"/>
    <s v="Emergency"/>
    <n v="8109.44"/>
    <s v="Net Banking"/>
    <s v="No"/>
    <m/>
    <n v="30"/>
    <s v="Middle-Aged"/>
    <s v="Medium"/>
    <s v="Short Days"/>
    <m/>
    <m/>
    <m/>
    <m/>
    <m/>
    <m/>
  </r>
  <r>
    <s v="VIS200891"/>
    <d v="2025-08-17T00:00:00"/>
    <s v="PAT5110"/>
    <s v="Aishwarya Nair"/>
    <s v="Male"/>
    <n v="54.5"/>
    <s v="Delhi"/>
    <s v="Telangana"/>
    <x v="9"/>
    <s v="Dr. Kusum"/>
    <s v="Z111"/>
    <s v="Counselling"/>
    <s v="Teleconsultation"/>
    <n v="13018.12"/>
    <s v="Credit Card"/>
    <s v="No"/>
    <m/>
    <n v="7"/>
    <s v="Middle-Aged"/>
    <s v="High"/>
    <s v="Short Days"/>
    <m/>
    <m/>
    <m/>
    <m/>
    <m/>
    <m/>
  </r>
  <r>
    <s v="VIS202442"/>
    <d v="2024-06-30T00:00:00"/>
    <s v="PAT5742"/>
    <s v="Siddharth Jose"/>
    <s v="Other"/>
    <n v="51"/>
    <s v="Coimbatore"/>
    <s v="Tamil Nadu"/>
    <x v="4"/>
    <s v="Dr. Bhavana"/>
    <s v="F41"/>
    <s v="Minor Surgery"/>
    <s v="OPD"/>
    <n v="3889.33"/>
    <s v="Insurance"/>
    <s v="Yes"/>
    <m/>
    <n v="14"/>
    <s v="Middle-Aged"/>
    <s v="Low"/>
    <s v="Short Days"/>
    <m/>
    <m/>
    <m/>
    <m/>
    <m/>
    <m/>
  </r>
  <r>
    <s v="VIS200528"/>
    <d v="2024-07-30T00:00:00"/>
    <s v="PAT5005"/>
    <s v="Aarav Patel"/>
    <s v="Male"/>
    <n v="47"/>
    <s v="Coimbatore"/>
    <s v="Tamil Nadu"/>
    <x v="9"/>
    <s v="Dr. Arvind"/>
    <s v="M54"/>
    <s v="Counselling"/>
    <s v="OPD"/>
    <n v="334.54"/>
    <s v="Insurance"/>
    <s v="Yes"/>
    <m/>
    <m/>
    <s v="Middle-Aged"/>
    <s v="Low"/>
    <s v="Short Days"/>
    <m/>
    <m/>
    <m/>
    <m/>
    <m/>
    <m/>
  </r>
  <r>
    <s v="VIS200612"/>
    <d v="2025-01-04T00:00:00"/>
    <s v="PAT6565"/>
    <s v="Ishaan Iyer"/>
    <s v="Male"/>
    <n v="6"/>
    <s v="Trichy"/>
    <s v="Tamil Nadu"/>
    <x v="6"/>
    <s v="Dr. Priya"/>
    <s v="J45"/>
    <s v="Minor Procedure"/>
    <s v="Emergency"/>
    <n v="7028.42"/>
    <s v="Cash"/>
    <s v="No"/>
    <m/>
    <n v="90"/>
    <s v="Child"/>
    <s v="Medium"/>
    <s v="Short Days"/>
    <m/>
    <m/>
    <m/>
    <m/>
    <m/>
    <m/>
  </r>
  <r>
    <s v="VIS202873"/>
    <d v="2025-01-19T00:00:00"/>
    <s v="PAT6714"/>
    <s v="Siddharth Kumar"/>
    <s v="Female"/>
    <n v="33"/>
    <s v="Ahmedabad"/>
    <s v="Gujarat"/>
    <x v="7"/>
    <s v="Dr. Surya"/>
    <s v="K21"/>
    <s v="Medication"/>
    <s v="OPD"/>
    <n v="7566.54"/>
    <s v="Credit Card"/>
    <s v="No"/>
    <m/>
    <m/>
    <s v="Adult"/>
    <s v="Medium"/>
    <s v="Short Days"/>
    <m/>
    <m/>
    <m/>
    <m/>
    <m/>
    <m/>
  </r>
  <r>
    <s v="VIS201774"/>
    <d v="2025-07-03T00:00:00"/>
    <s v="PAT6721"/>
    <s v="Kavya Das"/>
    <s v="Male"/>
    <n v="30"/>
    <s v="Lucknow"/>
    <s v="Uttar Pradesh"/>
    <x v="5"/>
    <s v="Dr. Karthik"/>
    <s v="N39"/>
    <s v="Minor Surgery"/>
    <s v="Teleconsultation"/>
    <n v="5429.65"/>
    <s v="Net Banking"/>
    <s v="No"/>
    <m/>
    <n v="14"/>
    <s v="Adult"/>
    <s v="Medium"/>
    <s v="Short Days"/>
    <m/>
    <m/>
    <m/>
    <m/>
    <m/>
    <m/>
  </r>
  <r>
    <s v="VIS200938"/>
    <d v="2025-08-24T00:00:00"/>
    <s v="PAT6190"/>
    <s v="Aditya Reddy"/>
    <s v="Female"/>
    <n v="48"/>
    <s v="Trichy"/>
    <s v="Tamil Nadu"/>
    <x v="1"/>
    <s v="Dr. Suri"/>
    <s v="H10"/>
    <s v="Prescription Refill"/>
    <s v="OPD"/>
    <n v="4231.8500000000004"/>
    <s v="Credit Card"/>
    <s v="No"/>
    <m/>
    <m/>
    <s v="Middle-Aged"/>
    <s v="Low"/>
    <s v="Short Days"/>
    <m/>
    <m/>
    <m/>
    <m/>
    <m/>
    <m/>
  </r>
  <r>
    <s v="VIS200516"/>
    <d v="2024-02-25T00:00:00"/>
    <s v="PAT6125"/>
    <s v="Deepa Bose"/>
    <s v="Female"/>
    <n v="14"/>
    <s v="Bengaluru"/>
    <s v="Karnataka"/>
    <x v="9"/>
    <s v="Dr. Arvind"/>
    <s v="F41"/>
    <s v="Counselling"/>
    <s v="Emergency"/>
    <n v="8097.78"/>
    <s v="Debit Card"/>
    <s v="No"/>
    <m/>
    <n v="14"/>
    <s v="Child"/>
    <s v="Medium"/>
    <s v="Short Days"/>
    <m/>
    <m/>
    <m/>
    <m/>
    <m/>
    <m/>
  </r>
  <r>
    <s v="VIS200220"/>
    <d v="2025-10-19T00:00:00"/>
    <s v="PAT6426"/>
    <s v="Kavya Iyer"/>
    <s v="Female"/>
    <n v="0"/>
    <s v="Hyderabad"/>
    <s v="Telangana"/>
    <x v="2"/>
    <s v="Dr. Manoj"/>
    <s v="N39"/>
    <s v="Medication"/>
    <s v="Teleconsultation"/>
    <n v="6916.82"/>
    <s v="UPI"/>
    <s v="No"/>
    <m/>
    <n v="14"/>
    <s v="Child"/>
    <s v="Medium"/>
    <s v="Short Days"/>
    <m/>
    <m/>
    <m/>
    <m/>
    <m/>
    <m/>
  </r>
  <r>
    <s v="VIS200721"/>
    <d v="2024-09-11T00:00:00"/>
    <s v="PAT6006"/>
    <s v="Kavya Nagar"/>
    <s v="Female"/>
    <n v="45"/>
    <s v="Hyderabad"/>
    <s v="Telangana"/>
    <x v="4"/>
    <s v="Dr. Varun"/>
    <s v="K21"/>
    <s v="Prescription Refill"/>
    <s v="OPD"/>
    <n v="1773.01"/>
    <s v="UPI"/>
    <s v="No"/>
    <m/>
    <m/>
    <s v="Middle-Aged"/>
    <s v="Low"/>
    <s v="Short Days"/>
    <m/>
    <m/>
    <m/>
    <m/>
    <m/>
    <m/>
  </r>
  <r>
    <s v="VIS200712"/>
    <d v="2024-03-30T00:00:00"/>
    <s v="PAT6549"/>
    <s v="Kavya Das"/>
    <s v="Other"/>
    <n v="52"/>
    <s v="Madurai"/>
    <s v="Tamil Nadu"/>
    <x v="3"/>
    <s v="Dr. Anand"/>
    <s v="K21"/>
    <s v="Physiotherapy"/>
    <s v="OPD"/>
    <n v="16999.13"/>
    <s v="Net Banking"/>
    <s v="No"/>
    <m/>
    <m/>
    <s v="Middle-Aged"/>
    <s v="High"/>
    <s v="Short Days"/>
    <m/>
    <m/>
    <m/>
    <m/>
    <m/>
    <m/>
  </r>
  <r>
    <s v="VIS202484"/>
    <d v="2024-03-18T00:00:00"/>
    <s v="PAT5854"/>
    <s v="Arjun Mishra"/>
    <s v="Male"/>
    <n v="36"/>
    <s v="Bengaluru"/>
    <s v="Karnataka"/>
    <x v="1"/>
    <s v="Dr. Suri"/>
    <s v="J45"/>
    <s v="Observation"/>
    <s v="OPD"/>
    <n v="7533.81"/>
    <s v="Cash"/>
    <s v="No"/>
    <m/>
    <n v="90"/>
    <s v="Adult"/>
    <s v="Medium"/>
    <s v="Short Days"/>
    <m/>
    <m/>
    <m/>
    <m/>
    <m/>
    <m/>
  </r>
  <r>
    <s v="VIS201493"/>
    <d v="2024-12-08T00:00:00"/>
    <s v="PAT5712"/>
    <s v="Ananya Nagar"/>
    <s v="Female"/>
    <n v="39"/>
    <s v="Chennai"/>
    <s v="Tamil Nadu"/>
    <x v="9"/>
    <s v="Dr. Kusum"/>
    <s v="I10"/>
    <s v="Prescription Refill"/>
    <s v="OPD"/>
    <n v="661.83"/>
    <s v="Debit Card"/>
    <s v="No"/>
    <m/>
    <n v="14"/>
    <s v="Adult"/>
    <s v="Low"/>
    <s v="Short Days"/>
    <m/>
    <m/>
    <m/>
    <m/>
    <m/>
    <m/>
  </r>
  <r>
    <s v="VIS200870"/>
    <d v="2025-09-22T00:00:00"/>
    <s v="PAT6438"/>
    <s v="Ishaan Iyer"/>
    <s v="Female"/>
    <n v="36"/>
    <s v="Madurai"/>
    <s v="Tamil Nadu"/>
    <x v="0"/>
    <s v="Dr. Nikhil"/>
    <s v="F41"/>
    <s v="Physiotherapy"/>
    <s v="Teleconsultation"/>
    <n v="8563.5400000000009"/>
    <s v="UPI"/>
    <s v="No"/>
    <m/>
    <m/>
    <s v="Adult"/>
    <s v="Medium"/>
    <s v="Short Days"/>
    <m/>
    <m/>
    <m/>
    <m/>
    <m/>
    <m/>
  </r>
  <r>
    <s v="VIS200909"/>
    <d v="2024-09-02T00:00:00"/>
    <s v="PAT5252"/>
    <s v="Shruti Gupta"/>
    <s v="Male"/>
    <n v="35"/>
    <s v="Madurai"/>
    <s v="Tamil Nadu"/>
    <x v="9"/>
    <s v="Dr. Arvind"/>
    <s v="F41"/>
    <s v="Minor Procedure"/>
    <s v="OPD"/>
    <n v="3484.14"/>
    <s v="UPI"/>
    <s v="No"/>
    <m/>
    <n v="90"/>
    <s v="Adult"/>
    <s v="Low"/>
    <s v="Short Days"/>
    <m/>
    <m/>
    <m/>
    <m/>
    <m/>
    <m/>
  </r>
  <r>
    <s v="VIS202561"/>
    <d v="2025-03-22T00:00:00"/>
    <s v="PAT5594"/>
    <s v="Deepa Jose"/>
    <s v="Female"/>
    <n v="29"/>
    <s v="Kochi"/>
    <s v="Kerala"/>
    <x v="1"/>
    <s v="Dr. Anu"/>
    <s v="E11"/>
    <s v="Minor Surgery"/>
    <s v="OPD"/>
    <n v="3614.32"/>
    <s v="Insurance"/>
    <s v="Yes"/>
    <m/>
    <n v="14"/>
    <s v="Adult"/>
    <s v="Low"/>
    <s v="Short Days"/>
    <m/>
    <m/>
    <m/>
    <m/>
    <m/>
    <m/>
  </r>
  <r>
    <s v="VIS202826"/>
    <d v="2025-11-04T00:00:00"/>
    <s v="PAT5791"/>
    <s v="Vivaan Bose"/>
    <s v="Female"/>
    <n v="16"/>
    <s v="Trichy"/>
    <s v="Tamil Nadu"/>
    <x v="8"/>
    <s v="Dr. Kavitha"/>
    <s v="N39"/>
    <s v="Counselling"/>
    <s v="OPD"/>
    <n v="1080.9000000000001"/>
    <s v="Credit Card"/>
    <s v="No"/>
    <m/>
    <n v="7"/>
    <s v="Child"/>
    <s v="Low"/>
    <s v="Short Days"/>
    <m/>
    <m/>
    <m/>
    <m/>
    <m/>
    <m/>
  </r>
  <r>
    <s v="VIS202714"/>
    <d v="2024-04-27T00:00:00"/>
    <s v="PAT6724"/>
    <s v="Kavya Mishra"/>
    <s v="Male"/>
    <n v="81"/>
    <s v="Coimbatore"/>
    <s v="Tamil Nadu"/>
    <x v="4"/>
    <s v="Dr. Bhavana"/>
    <s v="J00"/>
    <s v="Minor Procedure"/>
    <s v="Teleconsultation"/>
    <n v="10017.56"/>
    <s v="Insurance"/>
    <s v="Yes"/>
    <m/>
    <m/>
    <s v="Senior"/>
    <s v="High"/>
    <s v="Short Days"/>
    <m/>
    <m/>
    <m/>
    <m/>
    <m/>
    <m/>
  </r>
  <r>
    <s v="VIS202485"/>
    <d v="2024-11-27T00:00:00"/>
    <s v="PAT5949"/>
    <s v="Aarav Gupta"/>
    <s v="Female"/>
    <n v="10"/>
    <s v="Delhi"/>
    <s v="Delhi"/>
    <x v="3"/>
    <s v="Dr. Pallavi"/>
    <s v="I10"/>
    <s v="Counselling"/>
    <s v="Emergency"/>
    <n v="7719.28"/>
    <s v="UPI"/>
    <s v="No"/>
    <m/>
    <n v="7"/>
    <s v="Child"/>
    <s v="Medium"/>
    <s v="Short Days"/>
    <m/>
    <m/>
    <m/>
    <m/>
    <m/>
    <m/>
  </r>
  <r>
    <s v="VIS201589"/>
    <d v="2024-12-08T00:00:00"/>
    <s v="PAT5458"/>
    <s v="Shruti Das"/>
    <s v="Female"/>
    <n v="58"/>
    <s v="Coimbatore"/>
    <s v="Tamil Nadu"/>
    <x v="2"/>
    <s v="Dr. Manoj"/>
    <s v="N39"/>
    <s v="Minor Procedure"/>
    <s v="Emergency"/>
    <n v="7423.56"/>
    <s v="Insurance"/>
    <s v="Yes"/>
    <m/>
    <n v="7"/>
    <s v="Middle-Aged"/>
    <s v="Medium"/>
    <s v="Short Days"/>
    <m/>
    <m/>
    <m/>
    <m/>
    <m/>
    <m/>
  </r>
  <r>
    <s v="VIS202666"/>
    <d v="2025-08-07T00:00:00"/>
    <s v="PAT6017"/>
    <s v="Priya Das"/>
    <s v="Male"/>
    <n v="40"/>
    <s v="Pune"/>
    <s v="Maharashtra"/>
    <x v="1"/>
    <s v="Dr. Suri"/>
    <s v="N39"/>
    <s v="Physiotherapy"/>
    <s v="Teleconsultation"/>
    <n v="6118.59"/>
    <s v="Cash"/>
    <s v="No"/>
    <m/>
    <n v="7"/>
    <s v="Adult"/>
    <s v="Medium"/>
    <s v="Short Days"/>
    <m/>
    <m/>
    <m/>
    <m/>
    <m/>
    <m/>
  </r>
  <r>
    <s v="VIS202308"/>
    <d v="2024-04-26T00:00:00"/>
    <s v="PAT6874"/>
    <s v="Arjun Singh"/>
    <s v="Male"/>
    <n v="37"/>
    <s v="Hyderabad"/>
    <s v="Telangana"/>
    <x v="4"/>
    <s v="Dr. Bhavana"/>
    <s v="J45"/>
    <s v="Minor Surgery"/>
    <s v="OPD"/>
    <n v="1298.1099999999999"/>
    <s v="Cash"/>
    <s v="No"/>
    <m/>
    <m/>
    <s v="Adult"/>
    <s v="Low"/>
    <s v="Short Days"/>
    <m/>
    <m/>
    <m/>
    <m/>
    <m/>
    <m/>
  </r>
  <r>
    <s v="VIS200109"/>
    <d v="2025-04-19T00:00:00"/>
    <s v="PAT5693"/>
    <s v="Ishaan Iyer"/>
    <s v="Male"/>
    <n v="36"/>
    <s v="Hyderabad"/>
    <s v="Telangana"/>
    <x v="3"/>
    <s v="Dr. Pallavi"/>
    <s v="H10"/>
    <s v="Observation"/>
    <s v="Teleconsultation"/>
    <n v="18279.45"/>
    <s v="UPI"/>
    <s v="No"/>
    <m/>
    <m/>
    <s v="Adult"/>
    <s v="High"/>
    <s v="Short Days"/>
    <m/>
    <m/>
    <m/>
    <m/>
    <m/>
    <m/>
  </r>
  <r>
    <s v="VIS201516"/>
    <d v="2025-07-26T00:00:00"/>
    <s v="PAT6440"/>
    <s v="Sangeetha Nair"/>
    <s v="Male"/>
    <n v="53"/>
    <s v="Delhi"/>
    <s v="Delhi"/>
    <x v="7"/>
    <s v="Dr. Leela"/>
    <s v="I10"/>
    <s v="Medication"/>
    <s v="OPD"/>
    <n v="734.71"/>
    <s v="Insurance"/>
    <s v="Yes"/>
    <m/>
    <n v="30"/>
    <s v="Middle-Aged"/>
    <s v="Low"/>
    <s v="Short Days"/>
    <m/>
    <m/>
    <m/>
    <m/>
    <m/>
    <m/>
  </r>
  <r>
    <s v="VIS201169"/>
    <d v="2025-02-24T00:00:00"/>
    <s v="PAT5183"/>
    <s v="Vivaan Singh"/>
    <s v="Female"/>
    <n v="41"/>
    <s v="Jaipur"/>
    <s v="Rajasthan"/>
    <x v="3"/>
    <s v="Dr. Anand"/>
    <s v="J45"/>
    <s v="Physiotherapy"/>
    <s v="Teleconsultation"/>
    <n v="9062.44"/>
    <s v="Cash"/>
    <s v="No"/>
    <m/>
    <m/>
    <s v="Middle-Aged"/>
    <s v="Medium"/>
    <s v="Short Days"/>
    <m/>
    <m/>
    <m/>
    <m/>
    <m/>
    <m/>
  </r>
  <r>
    <s v="VIS202153"/>
    <d v="2025-03-25T00:00:00"/>
    <s v="PAT6616"/>
    <s v="Priya Khan"/>
    <s v="Female"/>
    <n v="48"/>
    <s v="Bengaluru"/>
    <s v="Karnataka"/>
    <x v="9"/>
    <s v="Dr. Kusum"/>
    <s v="J00"/>
    <s v="Surgery"/>
    <s v="OPD"/>
    <n v="6663.57"/>
    <s v="Insurance"/>
    <s v="Yes"/>
    <m/>
    <n v="30"/>
    <s v="Middle-Aged"/>
    <s v="Medium"/>
    <s v="Short Days"/>
    <m/>
    <m/>
    <m/>
    <m/>
    <m/>
    <m/>
  </r>
  <r>
    <s v="VIS202846"/>
    <d v="2024-09-16T00:00:00"/>
    <s v="PAT6734"/>
    <s v="Kavya Singh"/>
    <s v="Female"/>
    <n v="41"/>
    <s v="Bengaluru"/>
    <s v="Karnataka"/>
    <x v="8"/>
    <s v="Dr. Sneha"/>
    <s v="J00"/>
    <s v="Observation"/>
    <s v="OPD"/>
    <n v="941.37"/>
    <s v="Insurance"/>
    <s v="Yes"/>
    <m/>
    <n v="7"/>
    <s v="Middle-Aged"/>
    <s v="Low"/>
    <s v="Short Days"/>
    <m/>
    <m/>
    <m/>
    <m/>
    <m/>
    <m/>
  </r>
  <r>
    <s v="VIS202046"/>
    <d v="2025-10-19T00:00:00"/>
    <s v="PAT6450"/>
    <s v="Karthik Nair"/>
    <s v="Male"/>
    <n v="44"/>
    <s v="Trichy"/>
    <s v="Tamil Nadu"/>
    <x v="1"/>
    <s v="Dr. Anu"/>
    <s v="N39"/>
    <s v="Minor Surgery"/>
    <s v="Teleconsultation"/>
    <n v="6430.63"/>
    <s v="Cash"/>
    <s v="No"/>
    <m/>
    <n v="7"/>
    <s v="Middle-Aged"/>
    <s v="Medium"/>
    <s v="Short Days"/>
    <m/>
    <m/>
    <m/>
    <m/>
    <m/>
    <m/>
  </r>
  <r>
    <s v="VIS201278"/>
    <d v="2025-10-05T00:00:00"/>
    <s v="PAT6470"/>
    <s v="Siddharth Patel"/>
    <s v="Male"/>
    <n v="22"/>
    <s v="Mumbai"/>
    <s v="Maharashtra"/>
    <x v="5"/>
    <s v="Dr. Karthik"/>
    <s v="K21"/>
    <s v="Observation"/>
    <s v="OPD"/>
    <n v="3500.63"/>
    <s v="Net Banking"/>
    <s v="No"/>
    <m/>
    <n v="30"/>
    <s v="Adult"/>
    <s v="Low"/>
    <s v="Short Days"/>
    <m/>
    <m/>
    <m/>
    <m/>
    <m/>
    <m/>
  </r>
  <r>
    <s v="VIS202537"/>
    <d v="2024-01-22T00:00:00"/>
    <s v="PAT6684"/>
    <s v="Aditya Nair"/>
    <s v="Female"/>
    <n v="23"/>
    <s v="Bengaluru"/>
    <s v="Karnataka"/>
    <x v="2"/>
    <s v="Dr. Ramesh"/>
    <s v="K21"/>
    <s v="Minor Surgery"/>
    <s v="OPD"/>
    <n v="2918.3"/>
    <s v="Insurance"/>
    <s v="Yes"/>
    <m/>
    <m/>
    <s v="Adult"/>
    <s v="Low"/>
    <s v="Short Days"/>
    <m/>
    <m/>
    <m/>
    <m/>
    <m/>
    <m/>
  </r>
  <r>
    <s v="VIS202159"/>
    <d v="2024-01-14T00:00:00"/>
    <s v="PAT6505"/>
    <s v="Rahul Jose"/>
    <s v="Male"/>
    <n v="38"/>
    <s v="Coimbatore"/>
    <s v="Tamil Nadu"/>
    <x v="8"/>
    <s v="Dr. Sneha"/>
    <s v="M54"/>
    <s v="Surgery"/>
    <s v="OPD"/>
    <n v="2361.77"/>
    <s v="Cash"/>
    <s v="No"/>
    <m/>
    <n v="7"/>
    <s v="Adult"/>
    <s v="Low"/>
    <s v="Short Days"/>
    <m/>
    <m/>
    <m/>
    <m/>
    <m/>
    <m/>
  </r>
  <r>
    <s v="VIS202877"/>
    <d v="2024-10-10T00:00:00"/>
    <s v="PAT6784"/>
    <s v="Rohan Mishra"/>
    <s v="Female"/>
    <n v="33"/>
    <s v="Delhi"/>
    <s v="Delhi"/>
    <x v="6"/>
    <s v="Dr. Lalitha"/>
    <s v="I10"/>
    <s v="Medication"/>
    <s v="OPD"/>
    <n v="248.77"/>
    <s v="Debit Card"/>
    <s v="No"/>
    <m/>
    <n v="14"/>
    <s v="Adult"/>
    <s v="Low"/>
    <s v="Short Days"/>
    <m/>
    <m/>
    <m/>
    <m/>
    <m/>
    <m/>
  </r>
  <r>
    <s v="VIS200504"/>
    <d v="2024-07-18T00:00:00"/>
    <s v="PAT5460"/>
    <s v="Aishwarya Kumar"/>
    <s v="Male"/>
    <n v="42"/>
    <s v="Coimbatore"/>
    <s v="Tamil Nadu"/>
    <x v="3"/>
    <s v="Dr. Pallavi"/>
    <s v="K21"/>
    <s v="Observation"/>
    <s v="OPD"/>
    <n v="11226.84"/>
    <s v="Debit Card"/>
    <s v="No"/>
    <m/>
    <n v="14"/>
    <s v="Middle-Aged"/>
    <s v="High"/>
    <s v="Short Days"/>
    <m/>
    <m/>
    <m/>
    <m/>
    <m/>
    <m/>
  </r>
  <r>
    <s v="VIS202512"/>
    <d v="2025-01-02T00:00:00"/>
    <s v="PAT6266"/>
    <s v="Ananya Singh"/>
    <s v="Female"/>
    <n v="43"/>
    <s v="Lucknow"/>
    <s v="Uttar Pradesh"/>
    <x v="1"/>
    <s v="Dr. Suri"/>
    <s v="I10"/>
    <s v="Counselling"/>
    <s v="OPD"/>
    <n v="9948.1"/>
    <s v="Credit Card"/>
    <s v="No"/>
    <m/>
    <n v="14"/>
    <s v="Middle-Aged"/>
    <s v="Medium"/>
    <s v="Short Days"/>
    <m/>
    <m/>
    <m/>
    <m/>
    <m/>
    <m/>
  </r>
  <r>
    <s v="VIS202093"/>
    <d v="2024-01-27T00:00:00"/>
    <s v="PAT5058"/>
    <s v="Kavya Gupta"/>
    <s v="Female"/>
    <n v="65"/>
    <s v="Noida"/>
    <s v="Uttar Pradesh"/>
    <x v="9"/>
    <s v="Dr. Arvind"/>
    <s v="K21"/>
    <s v="Counselling"/>
    <s v="OPD"/>
    <n v="1639.34"/>
    <s v="Cash"/>
    <s v="No"/>
    <m/>
    <m/>
    <s v="Senior"/>
    <s v="Low"/>
    <s v="Short Days"/>
    <m/>
    <m/>
    <m/>
    <m/>
    <m/>
    <m/>
  </r>
  <r>
    <s v="VIS200591"/>
    <d v="2025-05-24T00:00:00"/>
    <s v="PAT5470"/>
    <s v="Anil Gupta"/>
    <s v="Other"/>
    <n v="44"/>
    <s v="Lucknow"/>
    <s v="Uttar Pradesh"/>
    <x v="5"/>
    <s v="Dr. Ravi"/>
    <s v="J45"/>
    <s v="Observation"/>
    <s v="OPD"/>
    <n v="2136.4"/>
    <s v="Insurance"/>
    <s v="Yes"/>
    <m/>
    <n v="14"/>
    <s v="Middle-Aged"/>
    <s v="Low"/>
    <s v="Short Days"/>
    <m/>
    <m/>
    <m/>
    <m/>
    <m/>
    <m/>
  </r>
  <r>
    <s v="VIS200495"/>
    <d v="2025-04-04T00:00:00"/>
    <s v="PAT6732"/>
    <s v="Sangeetha Jose"/>
    <s v="Female"/>
    <n v="22"/>
    <s v="Jaipur"/>
    <s v="Rajasthan"/>
    <x v="5"/>
    <s v="Dr. Meena"/>
    <s v="I10"/>
    <s v="Counselling"/>
    <s v="OPD"/>
    <n v="2194.69"/>
    <s v="Debit Card"/>
    <s v="No"/>
    <m/>
    <n v="7"/>
    <s v="Adult"/>
    <s v="Low"/>
    <s v="Short Days"/>
    <m/>
    <m/>
    <m/>
    <m/>
    <m/>
    <m/>
  </r>
  <r>
    <s v="VIS202469"/>
    <d v="2024-09-06T00:00:00"/>
    <s v="PAT5608"/>
    <s v="Rohan Sharma"/>
    <s v="Female"/>
    <n v="47"/>
    <s v="Chennai"/>
    <s v="Tamil Nadu"/>
    <x v="1"/>
    <s v="Dr. Anu"/>
    <s v="M54"/>
    <s v="Minor Surgery"/>
    <s v="IPD"/>
    <n v="5477.36"/>
    <s v="Cash"/>
    <s v="No"/>
    <n v="7"/>
    <n v="7"/>
    <s v="Middle-Aged"/>
    <s v="Medium"/>
    <s v="Long Days"/>
    <m/>
    <m/>
    <m/>
    <m/>
    <m/>
    <m/>
  </r>
  <r>
    <s v="VIS201271"/>
    <d v="2024-05-02T00:00:00"/>
    <s v="PAT5706"/>
    <s v="Aishwarya Jose"/>
    <s v="Female"/>
    <n v="13"/>
    <s v="Chennai"/>
    <s v="Tamil Nadu"/>
    <x v="3"/>
    <s v="Dr. Anand"/>
    <s v="I10"/>
    <s v="Minor Surgery"/>
    <s v="OPD"/>
    <n v="568.26"/>
    <s v="Credit Card"/>
    <s v="No"/>
    <m/>
    <n v="14"/>
    <s v="Child"/>
    <s v="Low"/>
    <s v="Short Days"/>
    <m/>
    <m/>
    <m/>
    <m/>
    <m/>
    <m/>
  </r>
  <r>
    <s v="VIS202413"/>
    <d v="2025-11-02T00:00:00"/>
    <s v="PAT5266"/>
    <s v="Sangeetha Mishra"/>
    <s v="Male"/>
    <n v="39"/>
    <s v="Chennai"/>
    <s v="Tamil Nadu"/>
    <x v="0"/>
    <s v="Dr. Nikhil"/>
    <s v="F41"/>
    <s v="Counselling"/>
    <s v="Teleconsultation"/>
    <n v="10650.95"/>
    <s v="Cash"/>
    <s v="No"/>
    <m/>
    <n v="90"/>
    <s v="Adult"/>
    <s v="High"/>
    <s v="Short Days"/>
    <m/>
    <m/>
    <m/>
    <m/>
    <m/>
    <m/>
  </r>
  <r>
    <s v="VIS201295"/>
    <d v="2024-04-01T00:00:00"/>
    <s v="PAT6992"/>
    <s v="Vivaan Jose"/>
    <s v="Female"/>
    <n v="64"/>
    <s v="Noida"/>
    <s v="Uttar Pradesh"/>
    <x v="0"/>
    <s v="Dr. Nikhil"/>
    <s v="H10"/>
    <s v="Prescription Refill"/>
    <s v="OPD"/>
    <n v="1259.8599999999999"/>
    <s v="Credit Card"/>
    <s v="No"/>
    <m/>
    <n v="90"/>
    <s v="Senior"/>
    <s v="Low"/>
    <s v="Short Days"/>
    <m/>
    <m/>
    <m/>
    <m/>
    <m/>
    <m/>
  </r>
  <r>
    <s v="VIS202345"/>
    <d v="2025-06-18T00:00:00"/>
    <s v="PAT5065"/>
    <s v="Sangeetha Reddy"/>
    <s v="Female"/>
    <n v="48"/>
    <s v="Trichy"/>
    <s v="Tamil Nadu"/>
    <x v="5"/>
    <s v="Dr. Karthik"/>
    <s v="J45"/>
    <s v="Observation"/>
    <s v="OPD"/>
    <n v="3134.13"/>
    <s v="Cash"/>
    <s v="No"/>
    <m/>
    <m/>
    <s v="Middle-Aged"/>
    <s v="Low"/>
    <s v="Short Days"/>
    <m/>
    <m/>
    <m/>
    <m/>
    <m/>
    <m/>
  </r>
  <r>
    <s v="VIS202490"/>
    <d v="2025-03-11T00:00:00"/>
    <s v="PAT6784"/>
    <s v="Vishal Kumar"/>
    <s v="Female"/>
    <n v="5"/>
    <s v="Delhi"/>
    <s v="Delhi"/>
    <x v="5"/>
    <s v="Dr. Karthik"/>
    <s v="J00"/>
    <s v="Medication"/>
    <s v="OPD"/>
    <n v="17311.73"/>
    <s v="Insurance"/>
    <s v="Yes"/>
    <m/>
    <n v="90"/>
    <s v="Child"/>
    <s v="High"/>
    <s v="Short Days"/>
    <m/>
    <m/>
    <m/>
    <m/>
    <m/>
    <m/>
  </r>
  <r>
    <s v="VIS201221"/>
    <d v="2024-10-02T00:00:00"/>
    <s v="PAT5123"/>
    <s v="Aarav Singh"/>
    <s v="Male"/>
    <n v="30"/>
    <s v="Pune"/>
    <s v="Maharashtra"/>
    <x v="8"/>
    <s v="Dr. Kavitha"/>
    <s v="N39"/>
    <s v="Medication"/>
    <s v="OPD"/>
    <n v="5975.51"/>
    <s v="UPI"/>
    <s v="No"/>
    <m/>
    <n v="30"/>
    <s v="Adult"/>
    <s v="Medium"/>
    <s v="Short Days"/>
    <m/>
    <m/>
    <m/>
    <m/>
    <m/>
    <m/>
  </r>
  <r>
    <s v="VIS200047"/>
    <d v="2024-07-13T00:00:00"/>
    <s v="PAT5820"/>
    <s v="Shruti Jose"/>
    <s v="Female"/>
    <n v="33"/>
    <s v="Pune"/>
    <s v="Maharashtra"/>
    <x v="7"/>
    <s v="Dr. Surya"/>
    <s v="I10"/>
    <s v="Surgery"/>
    <s v="OPD"/>
    <n v="4068.94"/>
    <s v="Cash"/>
    <s v="No"/>
    <m/>
    <m/>
    <s v="Adult"/>
    <s v="Low"/>
    <s v="Short Days"/>
    <m/>
    <m/>
    <m/>
    <m/>
    <m/>
    <m/>
  </r>
  <r>
    <s v="VIS201079"/>
    <d v="2024-05-19T00:00:00"/>
    <s v="PAT6248"/>
    <s v="Aarav Reddy"/>
    <s v="Female"/>
    <n v="52"/>
    <s v="Chennai"/>
    <s v="Tamil Nadu"/>
    <x v="9"/>
    <s v="Dr. Kusum"/>
    <s v="J45"/>
    <s v="Minor Procedure"/>
    <s v="OPD"/>
    <n v="3120.74"/>
    <s v="Cash"/>
    <s v="No"/>
    <m/>
    <n v="7"/>
    <s v="Middle-Aged"/>
    <s v="Low"/>
    <s v="Short Days"/>
    <m/>
    <m/>
    <m/>
    <m/>
    <m/>
    <m/>
  </r>
  <r>
    <s v="VIS201911"/>
    <d v="2024-03-20T00:00:00"/>
    <s v="PAT6168"/>
    <s v="Priya Gupta"/>
    <s v="Female"/>
    <n v="0"/>
    <s v="Coimbatore"/>
    <s v="Tamil Nadu"/>
    <x v="1"/>
    <s v="Dr. Anu"/>
    <s v="E11"/>
    <s v="Observation"/>
    <s v="Teleconsultation"/>
    <n v="7077.67"/>
    <s v="Credit Card"/>
    <s v="No"/>
    <m/>
    <n v="90"/>
    <s v="Child"/>
    <s v="Medium"/>
    <s v="Short Days"/>
    <m/>
    <m/>
    <m/>
    <m/>
    <m/>
    <m/>
  </r>
  <r>
    <s v="VIS200323"/>
    <d v="2024-01-07T00:00:00"/>
    <s v="PAT6376"/>
    <s v="Kavya Bose"/>
    <s v="Male"/>
    <n v="49"/>
    <s v="Delhi"/>
    <s v="Delhi"/>
    <x v="6"/>
    <s v="Dr. Lalitha"/>
    <s v="N39"/>
    <s v="Surgery"/>
    <s v="Teleconsultation"/>
    <n v="8498.32"/>
    <s v="Cash"/>
    <s v="No"/>
    <m/>
    <n v="30"/>
    <s v="Middle-Aged"/>
    <s v="Medium"/>
    <s v="Short Days"/>
    <m/>
    <m/>
    <m/>
    <m/>
    <m/>
    <m/>
  </r>
  <r>
    <s v="VIS200479"/>
    <d v="2024-02-02T00:00:00"/>
    <s v="PAT5944"/>
    <s v="Rohan Bose"/>
    <s v="Male"/>
    <n v="65"/>
    <s v="Kochi"/>
    <s v="Kerala"/>
    <x v="4"/>
    <s v="Dr. Bhavana"/>
    <s v="J00"/>
    <s v="Surgery"/>
    <s v="OPD"/>
    <n v="4572.87"/>
    <s v="Credit Card"/>
    <s v="No"/>
    <m/>
    <n v="30"/>
    <s v="Senior"/>
    <s v="Low"/>
    <s v="Short Days"/>
    <m/>
    <m/>
    <m/>
    <m/>
    <m/>
    <m/>
  </r>
  <r>
    <s v="VIS201446"/>
    <d v="2025-07-14T00:00:00"/>
    <s v="PAT5921"/>
    <s v="Aishwarya Gupta"/>
    <s v="Female"/>
    <n v="30"/>
    <s v="Lucknow"/>
    <s v="Uttar Pradesh"/>
    <x v="8"/>
    <s v="Dr. Sneha"/>
    <s v="F41"/>
    <s v="Minor Surgery"/>
    <s v="OPD"/>
    <n v="7235.05"/>
    <s v="Credit Card"/>
    <s v="No"/>
    <m/>
    <m/>
    <s v="Adult"/>
    <s v="Medium"/>
    <s v="Short Days"/>
    <m/>
    <m/>
    <m/>
    <m/>
    <m/>
    <m/>
  </r>
  <r>
    <s v="VIS200325"/>
    <d v="2024-06-04T00:00:00"/>
    <s v="PAT6145"/>
    <s v="Aarav Sharma"/>
    <s v="Female"/>
    <n v="30"/>
    <s v="Delhi"/>
    <s v="Tamil Nadu"/>
    <x v="8"/>
    <s v="Dr. Sneha"/>
    <s v="Z111"/>
    <s v="Surgery"/>
    <s v="OPD"/>
    <n v="4437.0200000000004"/>
    <s v="Debit Card"/>
    <s v="No"/>
    <m/>
    <m/>
    <s v="Adult"/>
    <s v="Low"/>
    <s v="Short Days"/>
    <m/>
    <m/>
    <m/>
    <m/>
    <m/>
    <m/>
  </r>
  <r>
    <s v="VIS200292"/>
    <d v="2025-01-03T00:00:00"/>
    <s v="PAT6294"/>
    <s v="Neha Jose"/>
    <s v="Female"/>
    <n v="43"/>
    <s v="Trichy"/>
    <s v="West Bengal"/>
    <x v="6"/>
    <s v="Dr. Lalitha"/>
    <s v="K21"/>
    <s v="Counselling"/>
    <s v="OPD"/>
    <n v="1463.94"/>
    <s v="UPI"/>
    <s v="No"/>
    <m/>
    <n v="7"/>
    <s v="Middle-Aged"/>
    <s v="Low"/>
    <s v="Short Days"/>
    <m/>
    <m/>
    <m/>
    <m/>
    <m/>
    <m/>
  </r>
  <r>
    <s v="VIS200673"/>
    <d v="2024-10-20T00:00:00"/>
    <s v="PAT5039"/>
    <s v="Sangeetha Mishra"/>
    <s v="Male"/>
    <n v="47"/>
    <s v="Trichy"/>
    <s v="Karnataka"/>
    <x v="6"/>
    <s v="Dr. Lalitha"/>
    <s v="J00"/>
    <s v="Medication"/>
    <s v="Teleconsultation"/>
    <n v="18796.7"/>
    <s v="Cash"/>
    <s v="No"/>
    <m/>
    <n v="7"/>
    <s v="Middle-Aged"/>
    <s v="High"/>
    <s v="Short Days"/>
    <m/>
    <m/>
    <m/>
    <m/>
    <m/>
    <m/>
  </r>
  <r>
    <s v="VIS200435"/>
    <d v="2025-05-29T00:00:00"/>
    <s v="PAT6021"/>
    <s v="Vivaan Gupta"/>
    <s v="Other"/>
    <n v="53"/>
    <s v="Trichy"/>
    <s v="Kerala"/>
    <x v="3"/>
    <s v="Dr. Pallavi"/>
    <s v="J00"/>
    <s v="Prescription Refill"/>
    <s v="Teleconsultation"/>
    <n v="5201.04"/>
    <s v="UPI"/>
    <s v="No"/>
    <m/>
    <m/>
    <s v="Middle-Aged"/>
    <s v="Medium"/>
    <s v="Short Days"/>
    <m/>
    <m/>
    <m/>
    <m/>
    <m/>
    <m/>
  </r>
  <r>
    <s v="VIS202867"/>
    <d v="2024-03-25T00:00:00"/>
    <s v="PAT6319"/>
    <s v="Karthik Sharma"/>
    <s v="Male"/>
    <n v="60"/>
    <s v="Trichy"/>
    <s v="Karnataka"/>
    <x v="7"/>
    <s v="Dr. Surya"/>
    <s v="J00"/>
    <s v="Observation"/>
    <s v="OPD"/>
    <n v="527.03"/>
    <s v="Insurance"/>
    <s v="Yes"/>
    <m/>
    <m/>
    <s v="Middle-Aged"/>
    <s v="Low"/>
    <s v="Short Days"/>
    <m/>
    <m/>
    <m/>
    <m/>
    <m/>
    <m/>
  </r>
  <r>
    <s v="VIS200987"/>
    <d v="2024-04-20T00:00:00"/>
    <s v="PAT6540"/>
    <s v="Arjun Iyer"/>
    <s v="Female"/>
    <n v="62"/>
    <s v="Trichy"/>
    <s v="Delhi"/>
    <x v="7"/>
    <s v="Dr. Surya"/>
    <s v="J00"/>
    <s v="Observation"/>
    <s v="Teleconsultation"/>
    <n v="5028.16"/>
    <s v="Debit Card"/>
    <s v="No"/>
    <m/>
    <n v="30"/>
    <s v="Senior"/>
    <s v="Medium"/>
    <s v="Short Days"/>
    <m/>
    <m/>
    <m/>
    <m/>
    <m/>
    <m/>
  </r>
  <r>
    <s v="VIS200563"/>
    <d v="2025-08-25T00:00:00"/>
    <s v="PAT5306"/>
    <s v="Deepa Bose"/>
    <s v="Male"/>
    <n v="48"/>
    <s v="Trichy"/>
    <s v="Maharashtra"/>
    <x v="4"/>
    <s v="Dr. Varun"/>
    <s v="L40"/>
    <s v="Observation"/>
    <s v="Teleconsultation"/>
    <n v="6631.77"/>
    <s v="Credit Card"/>
    <s v="No"/>
    <m/>
    <m/>
    <s v="Middle-Aged"/>
    <s v="Medium"/>
    <s v="Short Days"/>
    <m/>
    <m/>
    <m/>
    <m/>
    <m/>
    <m/>
  </r>
  <r>
    <s v="VIS201927"/>
    <d v="2025-03-15T00:00:00"/>
    <s v="PAT6407"/>
    <s v="Ananya Bose"/>
    <s v="Female"/>
    <n v="40"/>
    <s v="Trichy"/>
    <s v="Uttar Pradesh"/>
    <x v="6"/>
    <s v="Dr. Priya"/>
    <s v="J00"/>
    <s v="Surgery"/>
    <s v="OPD"/>
    <n v="4284.99"/>
    <s v="Insurance"/>
    <s v="Yes"/>
    <m/>
    <m/>
    <s v="Adult"/>
    <s v="Low"/>
    <s v="Short Days"/>
    <m/>
    <m/>
    <m/>
    <m/>
    <m/>
    <m/>
  </r>
  <r>
    <s v="VIS201793"/>
    <d v="2024-05-07T00:00:00"/>
    <s v="PAT5137"/>
    <s v="Ishaan Singh"/>
    <s v="Male"/>
    <n v="50"/>
    <s v="Trichy"/>
    <s v="Kerala"/>
    <x v="7"/>
    <s v="Dr. Leela"/>
    <s v="N39"/>
    <s v="Observation"/>
    <s v="OPD"/>
    <n v="6336.6"/>
    <s v="Insurance"/>
    <s v="Yes"/>
    <m/>
    <n v="14"/>
    <s v="Middle-Aged"/>
    <s v="Medium"/>
    <s v="Short Days"/>
    <m/>
    <m/>
    <m/>
    <m/>
    <m/>
    <m/>
  </r>
  <r>
    <s v="VIS201324"/>
    <d v="2024-07-14T00:00:00"/>
    <s v="PAT6931"/>
    <s v="Priya Nagar"/>
    <s v="Female"/>
    <n v="65"/>
    <s v="Trichy"/>
    <s v="Uttar Pradesh"/>
    <x v="4"/>
    <s v="Dr. Bhavana"/>
    <s v="N39"/>
    <s v="Surgery"/>
    <s v="OPD"/>
    <n v="10744.99"/>
    <s v="Insurance"/>
    <s v="Yes"/>
    <m/>
    <m/>
    <s v="Senior"/>
    <s v="High"/>
    <s v="Short Days"/>
    <m/>
    <m/>
    <m/>
    <m/>
    <m/>
    <m/>
  </r>
  <r>
    <s v="VIS202072"/>
    <d v="2025-01-26T00:00:00"/>
    <s v="PAT6106"/>
    <s v="Shruti Jose"/>
    <s v="Female"/>
    <n v="32"/>
    <s v="Trichy"/>
    <s v="Rajasthan"/>
    <x v="6"/>
    <s v="Dr. Priya"/>
    <s v="I10"/>
    <s v="Minor Procedure"/>
    <s v="OPD"/>
    <n v="2265.66"/>
    <s v="Debit Card"/>
    <s v="No"/>
    <m/>
    <n v="14"/>
    <s v="Adult"/>
    <s v="Low"/>
    <s v="Short Days"/>
    <m/>
    <m/>
    <m/>
    <m/>
    <m/>
    <m/>
  </r>
  <r>
    <s v="VIS200520"/>
    <d v="2025-02-24T00:00:00"/>
    <s v="PAT6883"/>
    <s v="Kavya Das"/>
    <s v="Male"/>
    <n v="47"/>
    <s v="Trichy"/>
    <s v="Tamil Nadu"/>
    <x v="3"/>
    <s v="Dr. Pallavi"/>
    <s v="M54"/>
    <s v="Physiotherapy"/>
    <s v="Emergency"/>
    <n v="19241.400000000001"/>
    <s v="Cash"/>
    <s v="No"/>
    <m/>
    <m/>
    <s v="Middle-Aged"/>
    <s v="High"/>
    <s v="Short Days"/>
    <m/>
    <m/>
    <m/>
    <m/>
    <m/>
    <m/>
  </r>
  <r>
    <s v="VIS202243"/>
    <d v="2025-10-06T00:00:00"/>
    <s v="PAT6552"/>
    <s v="Aarav Reddy"/>
    <s v="Female"/>
    <n v="38"/>
    <s v="Trichy"/>
    <s v="Uttar Pradesh"/>
    <x v="1"/>
    <s v="Dr. Anu"/>
    <s v="J00"/>
    <s v="Surgery"/>
    <s v="OPD"/>
    <n v="7944.76"/>
    <s v="Debit Card"/>
    <s v="No"/>
    <m/>
    <n v="14"/>
    <s v="Adult"/>
    <s v="Medium"/>
    <s v="Short Days"/>
    <m/>
    <m/>
    <m/>
    <m/>
    <m/>
    <m/>
  </r>
  <r>
    <s v="VIS202463"/>
    <d v="2024-08-28T00:00:00"/>
    <s v="PAT6567"/>
    <s v="Priya Khan"/>
    <s v="Female"/>
    <n v="20"/>
    <s v="Trichy"/>
    <s v="Rajasthan"/>
    <x v="4"/>
    <s v="Dr. Bhavana"/>
    <s v="J45"/>
    <s v="Counselling"/>
    <s v="OPD"/>
    <n v="6537.15"/>
    <s v="Cash"/>
    <s v="No"/>
    <m/>
    <n v="30"/>
    <s v="Adult"/>
    <s v="Medium"/>
    <s v="Short Days"/>
    <m/>
    <m/>
    <m/>
    <m/>
    <m/>
    <m/>
  </r>
  <r>
    <s v="VIS202600"/>
    <d v="2024-12-23T00:00:00"/>
    <s v="PAT5242"/>
    <s v="Ishaan Patel"/>
    <s v="Female"/>
    <n v="50"/>
    <s v="Trichy"/>
    <s v="Maharashtra"/>
    <x v="4"/>
    <s v="Dr. Bhavana"/>
    <s v="F41"/>
    <s v="Minor Procedure"/>
    <s v="OPD"/>
    <n v="23679.71"/>
    <s v="UPI"/>
    <s v="No"/>
    <m/>
    <m/>
    <s v="Middle-Aged"/>
    <s v="High"/>
    <s v="Short Days"/>
    <m/>
    <m/>
    <m/>
    <m/>
    <m/>
    <m/>
  </r>
  <r>
    <s v="VIS202516"/>
    <d v="2025-08-12T00:00:00"/>
    <s v="PAT6398"/>
    <s v="Ananya Sharma"/>
    <s v="Other"/>
    <n v="33"/>
    <s v="Trichy"/>
    <s v="Tamil Nadu"/>
    <x v="3"/>
    <s v="Dr. Anand"/>
    <s v="L40"/>
    <s v="Counselling"/>
    <s v="OPD"/>
    <n v="4350.12"/>
    <s v="Cash"/>
    <s v="No"/>
    <m/>
    <n v="7"/>
    <s v="Adult"/>
    <s v="Low"/>
    <s v="Short Days"/>
    <m/>
    <m/>
    <m/>
    <m/>
    <m/>
    <m/>
  </r>
  <r>
    <s v="VIS200727"/>
    <d v="2024-07-13T00:00:00"/>
    <s v="PAT5999"/>
    <s v="Sangeetha Singh"/>
    <s v="Female"/>
    <n v="27"/>
    <s v="Trichy"/>
    <s v="Uttar Pradesh"/>
    <x v="4"/>
    <s v="Dr. Varun"/>
    <s v="K21"/>
    <s v="Minor Procedure"/>
    <s v="Teleconsultation"/>
    <n v="27661.31"/>
    <s v="Debit Card"/>
    <s v="No"/>
    <m/>
    <n v="14"/>
    <s v="Adult"/>
    <s v="High"/>
    <s v="Short Days"/>
    <m/>
    <m/>
    <m/>
    <m/>
    <m/>
    <m/>
  </r>
  <r>
    <s v="VIS200674"/>
    <d v="2025-10-14T00:00:00"/>
    <s v="PAT6384"/>
    <s v="Neha Patel"/>
    <s v="Male"/>
    <n v="29.5"/>
    <s v="Delhi"/>
    <s v="Lucknow"/>
    <x v="6"/>
    <s v="Dr. Lalitha"/>
    <s v="Z111"/>
    <s v="Medication"/>
    <s v="IPD"/>
    <n v="8703.06"/>
    <s v="Insurance"/>
    <s v="Yes"/>
    <n v="7"/>
    <n v="14"/>
    <s v="Adult"/>
    <s v="Medium"/>
    <s v="Long Days"/>
    <m/>
    <m/>
    <m/>
    <m/>
    <m/>
    <m/>
  </r>
  <r>
    <s v="VIS202356"/>
    <d v="2025-09-15T00:00:00"/>
    <s v="PAT6420"/>
    <s v="Ishaan Bose"/>
    <s v="Female"/>
    <n v="36"/>
    <s v="Coimbatore"/>
    <s v="Kolkata"/>
    <x v="7"/>
    <s v="Dr. Leela"/>
    <s v="M54"/>
    <s v="Minor Procedure"/>
    <s v="OPD"/>
    <n v="3798.09"/>
    <s v="Cash"/>
    <s v="No"/>
    <m/>
    <n v="7"/>
    <s v="Adult"/>
    <s v="Low"/>
    <s v="Short Days"/>
    <m/>
    <m/>
    <m/>
    <m/>
    <m/>
    <m/>
  </r>
  <r>
    <s v="VIS201042"/>
    <d v="2024-12-29T00:00:00"/>
    <s v="PAT5949"/>
    <s v="Aditya Jose"/>
    <s v="Male"/>
    <n v="49"/>
    <s v="Kochi"/>
    <s v="Bengaluru"/>
    <x v="6"/>
    <s v="Dr. Lalitha"/>
    <s v="J45"/>
    <s v="Observation"/>
    <s v="IPD"/>
    <n v="17176.47"/>
    <s v="Debit Card"/>
    <s v="No"/>
    <n v="6"/>
    <n v="14"/>
    <s v="Middle-Aged"/>
    <s v="High"/>
    <s v="Long Days"/>
    <m/>
    <m/>
    <m/>
    <m/>
    <m/>
    <m/>
  </r>
  <r>
    <s v="VIS200034"/>
    <d v="2025-03-16T00:00:00"/>
    <s v="PAT6918"/>
    <s v="Kavya Nagar"/>
    <s v="Male"/>
    <n v="60"/>
    <s v="Chennai"/>
    <s v="Kochi"/>
    <x v="2"/>
    <s v="Dr. Manoj"/>
    <s v="L40"/>
    <s v="Physiotherapy"/>
    <s v="OPD"/>
    <n v="4091.48"/>
    <s v="Cash"/>
    <s v="No"/>
    <m/>
    <m/>
    <s v="Middle-Aged"/>
    <s v="Low"/>
    <s v="Short Days"/>
    <m/>
    <m/>
    <m/>
    <m/>
    <m/>
    <m/>
  </r>
  <r>
    <s v="VIS201567"/>
    <d v="2025-03-23T00:00:00"/>
    <s v="PAT6436"/>
    <s v="Neha Mishra"/>
    <s v="Male"/>
    <n v="28"/>
    <s v="Hyderabad"/>
    <s v="Bengaluru"/>
    <x v="8"/>
    <s v="Dr. Kavitha"/>
    <s v="N39"/>
    <s v="Physiotherapy"/>
    <s v="Teleconsultation"/>
    <n v="14983.08"/>
    <s v="Credit Card"/>
    <s v="No"/>
    <m/>
    <n v="7"/>
    <s v="Adult"/>
    <s v="High"/>
    <s v="Short Days"/>
    <m/>
    <m/>
    <m/>
    <m/>
    <m/>
    <m/>
  </r>
  <r>
    <s v="VIS202468"/>
    <d v="2025-05-14T00:00:00"/>
    <s v="PAT6536"/>
    <s v="Aishwarya Patel"/>
    <s v="Male"/>
    <n v="42"/>
    <s v="Kolkata"/>
    <s v="Delhi"/>
    <x v="7"/>
    <s v="Dr. Surya"/>
    <s v="M54"/>
    <s v="Medication"/>
    <s v="Emergency"/>
    <n v="10250.44"/>
    <s v="Insurance"/>
    <s v="Yes"/>
    <m/>
    <n v="30"/>
    <s v="Middle-Aged"/>
    <s v="High"/>
    <s v="Short Days"/>
    <m/>
    <m/>
    <m/>
    <m/>
    <m/>
    <m/>
  </r>
  <r>
    <s v="VIS201267"/>
    <d v="2024-11-19T00:00:00"/>
    <s v="PAT5594"/>
    <s v="Aarav Nair"/>
    <s v="Male"/>
    <n v="51"/>
    <s v="Noida"/>
    <s v="Pune"/>
    <x v="4"/>
    <s v="Dr. Varun"/>
    <s v="K21"/>
    <s v="Minor Surgery"/>
    <s v="OPD"/>
    <n v="2554.88"/>
    <s v="Cash"/>
    <s v="No"/>
    <m/>
    <n v="90"/>
    <s v="Middle-Aged"/>
    <s v="Low"/>
    <s v="Short Days"/>
    <m/>
    <m/>
    <m/>
    <m/>
    <m/>
    <m/>
  </r>
  <r>
    <s v="VIS200896"/>
    <d v="2025-01-28T00:00:00"/>
    <s v="PAT5990"/>
    <s v="Rohan Nair"/>
    <s v="Female"/>
    <n v="54"/>
    <s v="Chennai"/>
    <s v="Lucknow"/>
    <x v="8"/>
    <s v="Dr. Kavitha"/>
    <s v="F41"/>
    <s v="Minor Procedure"/>
    <s v="Teleconsultation"/>
    <n v="5883.3"/>
    <s v="Credit Card"/>
    <s v="No"/>
    <m/>
    <n v="7"/>
    <s v="Middle-Aged"/>
    <s v="Medium"/>
    <s v="Short Days"/>
    <m/>
    <m/>
    <m/>
    <m/>
    <m/>
    <m/>
  </r>
  <r>
    <s v="VIS201308"/>
    <d v="2024-11-06T00:00:00"/>
    <s v="PAT5504"/>
    <s v="Manisha Nair"/>
    <s v="Male"/>
    <n v="72"/>
    <s v="Jaipur"/>
    <s v="Kochi"/>
    <x v="2"/>
    <s v="Dr. Ramesh"/>
    <s v="I10"/>
    <s v="Observation"/>
    <s v="Emergency"/>
    <n v="27254.09"/>
    <s v="Insurance"/>
    <s v="Yes"/>
    <m/>
    <m/>
    <s v="Senior"/>
    <s v="High"/>
    <s v="Short Days"/>
    <m/>
    <m/>
    <m/>
    <m/>
    <m/>
    <m/>
  </r>
  <r>
    <s v="VIS200742"/>
    <d v="2024-05-03T00:00:00"/>
    <s v="PAT5288"/>
    <s v="Ananya Jose"/>
    <s v="Female"/>
    <n v="10"/>
    <s v="Mumbai"/>
    <s v="Lucknow"/>
    <x v="4"/>
    <s v="Dr. Varun"/>
    <s v="J00"/>
    <s v="Minor Procedure"/>
    <s v="OPD"/>
    <n v="4266.45"/>
    <s v="UPI"/>
    <s v="No"/>
    <m/>
    <n v="30"/>
    <s v="Child"/>
    <s v="Low"/>
    <s v="Short Days"/>
    <m/>
    <m/>
    <m/>
    <m/>
    <m/>
    <m/>
  </r>
  <r>
    <s v="VIS200927"/>
    <d v="2025-01-30T00:00:00"/>
    <s v="PAT5806"/>
    <s v="Shruti Iyer"/>
    <s v="Female"/>
    <n v="37"/>
    <s v="Kolkata"/>
    <s v="Jaipur"/>
    <x v="3"/>
    <s v="Dr. Pallavi"/>
    <s v="J45"/>
    <s v="Prescription Refill"/>
    <s v="OPD"/>
    <n v="720"/>
    <s v="Credit Card"/>
    <s v="No"/>
    <m/>
    <n v="7"/>
    <s v="Adult"/>
    <s v="Low"/>
    <s v="Short Days"/>
    <m/>
    <m/>
    <m/>
    <m/>
    <m/>
    <m/>
  </r>
  <r>
    <s v="VIS202629"/>
    <d v="2024-03-13T00:00:00"/>
    <s v="PAT6854"/>
    <s v="Ishaan Reddy"/>
    <s v="Female"/>
    <n v="43"/>
    <s v="Coimbatore"/>
    <s v="Coimbatore"/>
    <x v="4"/>
    <s v="Dr. Varun"/>
    <s v="N39"/>
    <s v="Prescription Refill"/>
    <s v="OPD"/>
    <n v="542.77"/>
    <s v="UPI"/>
    <s v="No"/>
    <m/>
    <n v="14"/>
    <s v="Middle-Aged"/>
    <s v="Low"/>
    <s v="Short Days"/>
    <m/>
    <m/>
    <m/>
    <m/>
    <m/>
    <m/>
  </r>
  <r>
    <s v="VIS201969"/>
    <d v="2024-08-06T00:00:00"/>
    <s v="PAT6930"/>
    <s v="Rahul Nagar"/>
    <s v="Male"/>
    <n v="32"/>
    <s v="Coimbatore"/>
    <s v="Lucknow"/>
    <x v="2"/>
    <s v="Dr. Ramesh"/>
    <s v="I10"/>
    <s v="Medication"/>
    <s v="OPD"/>
    <n v="671.81"/>
    <s v="Net Banking"/>
    <s v="No"/>
    <m/>
    <n v="90"/>
    <s v="Adult"/>
    <s v="Low"/>
    <s v="Short Days"/>
    <m/>
    <m/>
    <m/>
    <m/>
    <m/>
    <m/>
  </r>
  <r>
    <s v="VIS200670"/>
    <d v="2025-08-13T00:00:00"/>
    <s v="PAT6002"/>
    <s v="Anil Bose"/>
    <s v="Male"/>
    <n v="15"/>
    <s v="Hyderabad"/>
    <s v="Jaipur"/>
    <x v="8"/>
    <s v="Dr. Kavitha"/>
    <s v="K21"/>
    <s v="Physiotherapy"/>
    <s v="OPD"/>
    <n v="6913.12"/>
    <s v="Net Banking"/>
    <s v="No"/>
    <m/>
    <n v="30"/>
    <s v="Child"/>
    <s v="Medium"/>
    <s v="Short Days"/>
    <m/>
    <m/>
    <m/>
    <m/>
    <m/>
    <m/>
  </r>
  <r>
    <s v="VIS200009"/>
    <d v="2025-03-19T00:00:00"/>
    <s v="PAT6838"/>
    <s v="Aarav Bose"/>
    <s v="Female"/>
    <n v="32"/>
    <s v="Bengaluru"/>
    <s v="Pune"/>
    <x v="7"/>
    <s v="Dr. Surya"/>
    <s v="J00"/>
    <s v="Observation"/>
    <s v="OPD"/>
    <n v="3844.59"/>
    <s v="UPI"/>
    <s v="No"/>
    <m/>
    <m/>
    <s v="Adult"/>
    <s v="Low"/>
    <s v="Short Days"/>
    <m/>
    <m/>
    <m/>
    <m/>
    <m/>
    <m/>
  </r>
  <r>
    <s v="VIS201210"/>
    <d v="2025-07-11T00:00:00"/>
    <s v="PAT6003"/>
    <s v="Siddharth Jose"/>
    <s v="Male"/>
    <n v="30"/>
    <s v="Kolkata"/>
    <s v="Coimbatore"/>
    <x v="2"/>
    <s v="Dr. Ramesh"/>
    <s v="I10"/>
    <s v="Surgery"/>
    <s v="OPD"/>
    <n v="2803.91"/>
    <s v="Insurance"/>
    <s v="Yes"/>
    <m/>
    <n v="14"/>
    <s v="Adult"/>
    <s v="Low"/>
    <s v="Short Days"/>
    <m/>
    <m/>
    <m/>
    <m/>
    <m/>
    <m/>
  </r>
  <r>
    <s v="VIS200312"/>
    <d v="2024-06-29T00:00:00"/>
    <s v="PAT6523"/>
    <s v="Sangeetha Khan"/>
    <s v="Female"/>
    <n v="9"/>
    <s v="Noida"/>
    <s v="Lucknow"/>
    <x v="1"/>
    <s v="Dr. Anu"/>
    <s v="K21"/>
    <s v="Minor Procedure"/>
    <s v="OPD"/>
    <n v="23196.799999999999"/>
    <s v="Cash"/>
    <s v="No"/>
    <m/>
    <n v="14"/>
    <s v="Child"/>
    <s v="High"/>
    <s v="Short Days"/>
    <m/>
    <m/>
    <m/>
    <m/>
    <m/>
    <m/>
  </r>
  <r>
    <s v="VIS201724"/>
    <d v="2025-07-02T00:00:00"/>
    <s v="PAT5373"/>
    <s v="Neha Patel"/>
    <s v="Female"/>
    <n v="15"/>
    <s v="Jaipur"/>
    <s v="Rajasthan"/>
    <x v="9"/>
    <s v="Dr. Arvind"/>
    <s v="N39"/>
    <s v="Physiotherapy"/>
    <s v="Emergency"/>
    <n v="9149.5"/>
    <s v="Insurance"/>
    <s v="Yes"/>
    <m/>
    <m/>
    <s v="Child"/>
    <s v="Medium"/>
    <s v="Short Days"/>
    <m/>
    <m/>
    <m/>
    <m/>
    <m/>
    <m/>
  </r>
  <r>
    <s v="VIS200357"/>
    <d v="2025-04-22T00:00:00"/>
    <s v="PAT6660"/>
    <s v="Rohan Iyer"/>
    <s v="Female"/>
    <n v="32"/>
    <s v="Noida"/>
    <s v="Uttar Pradesh"/>
    <x v="3"/>
    <s v="Dr. Pallavi"/>
    <s v="I10"/>
    <s v="Prescription Refill"/>
    <s v="OPD"/>
    <n v="907.11"/>
    <s v="UPI"/>
    <s v="No"/>
    <m/>
    <m/>
    <s v="Adult"/>
    <s v="Low"/>
    <s v="Short Days"/>
    <m/>
    <m/>
    <m/>
    <m/>
    <m/>
    <m/>
  </r>
  <r>
    <s v="VIS201490"/>
    <d v="2025-06-15T00:00:00"/>
    <s v="PAT6755"/>
    <s v="Neha Bose"/>
    <s v="Female"/>
    <n v="37"/>
    <s v="Pune"/>
    <s v="Maharashtra"/>
    <x v="0"/>
    <s v="Dr. Shailesh"/>
    <s v="L40"/>
    <s v="Minor Surgery"/>
    <s v="OPD"/>
    <n v="14886.42"/>
    <s v="UPI"/>
    <s v="No"/>
    <m/>
    <n v="90"/>
    <s v="Adult"/>
    <s v="High"/>
    <s v="Short Days"/>
    <m/>
    <m/>
    <m/>
    <m/>
    <m/>
    <m/>
  </r>
  <r>
    <s v="VIS202854"/>
    <d v="2025-05-27T00:00:00"/>
    <s v="PAT5637"/>
    <s v="Priya Patel"/>
    <s v="Male"/>
    <n v="24"/>
    <s v="Chennai"/>
    <s v="Tamil Nadu"/>
    <x v="6"/>
    <s v="Dr. Lalitha"/>
    <s v="J00"/>
    <s v="Minor Procedure"/>
    <s v="OPD"/>
    <n v="1626.05"/>
    <s v="Insurance"/>
    <s v="Yes"/>
    <m/>
    <n v="90"/>
    <s v="Adult"/>
    <s v="Low"/>
    <s v="Short Days"/>
    <m/>
    <m/>
    <m/>
    <m/>
    <m/>
    <m/>
  </r>
  <r>
    <s v="VIS200983"/>
    <d v="2025-01-24T00:00:00"/>
    <s v="PAT6157"/>
    <s v="Aarav Das"/>
    <s v="Male"/>
    <n v="58"/>
    <s v="Ahmedabad"/>
    <s v="Gujarat"/>
    <x v="6"/>
    <s v="Dr. Priya"/>
    <s v="K21"/>
    <s v="Surgery"/>
    <s v="OPD"/>
    <n v="4573.32"/>
    <s v="Debit Card"/>
    <s v="No"/>
    <m/>
    <m/>
    <s v="Middle-Aged"/>
    <s v="Low"/>
    <s v="Short Days"/>
    <m/>
    <m/>
    <m/>
    <m/>
    <m/>
    <m/>
  </r>
  <r>
    <s v="VIS200039"/>
    <d v="2024-07-22T00:00:00"/>
    <s v="PAT5817"/>
    <s v="Arjun Reddy"/>
    <s v="Male"/>
    <n v="27"/>
    <s v="Kochi"/>
    <s v="Kerala"/>
    <x v="8"/>
    <s v="Dr. Kavitha"/>
    <s v="J45"/>
    <s v="Minor Procedure"/>
    <s v="OPD"/>
    <n v="5933.44"/>
    <s v="Insurance"/>
    <s v="Yes"/>
    <m/>
    <n v="7"/>
    <s v="Adult"/>
    <s v="Medium"/>
    <s v="Short Days"/>
    <m/>
    <m/>
    <m/>
    <m/>
    <m/>
    <m/>
  </r>
  <r>
    <s v="VIS200907"/>
    <d v="2025-03-16T00:00:00"/>
    <s v="PAT6429"/>
    <s v="Vishal Das"/>
    <s v="Female"/>
    <n v="52"/>
    <s v="Madurai"/>
    <s v="Tamil Nadu"/>
    <x v="2"/>
    <s v="Dr. Manoj"/>
    <s v="E11"/>
    <s v="Prescription Refill"/>
    <s v="IPD"/>
    <n v="9615.99"/>
    <s v="Credit Card"/>
    <s v="No"/>
    <n v="3"/>
    <m/>
    <s v="Middle-Aged"/>
    <s v="Medium"/>
    <s v="Short Days"/>
    <m/>
    <m/>
    <m/>
    <m/>
    <m/>
    <m/>
  </r>
  <r>
    <s v="VIS202305"/>
    <d v="2024-04-16T00:00:00"/>
    <s v="PAT6802"/>
    <s v="Kavya Sharma"/>
    <s v="Male"/>
    <n v="29"/>
    <s v="Hyderabad"/>
    <s v="Telangana"/>
    <x v="7"/>
    <s v="Dr. Surya"/>
    <s v="K21"/>
    <s v="Physiotherapy"/>
    <s v="OPD"/>
    <n v="3780.15"/>
    <s v="Insurance"/>
    <s v="Yes"/>
    <m/>
    <m/>
    <s v="Adult"/>
    <s v="Low"/>
    <s v="Short Days"/>
    <m/>
    <m/>
    <m/>
    <m/>
    <m/>
    <m/>
  </r>
  <r>
    <s v="VIS201252"/>
    <d v="2024-07-04T00:00:00"/>
    <s v="PAT5865"/>
    <s v="Siddharth Reddy"/>
    <s v="Male"/>
    <n v="46"/>
    <s v="Madurai"/>
    <s v="Tamil Nadu"/>
    <x v="5"/>
    <s v="Dr. Meena"/>
    <s v="I10"/>
    <s v="Prescription Refill"/>
    <s v="OPD"/>
    <n v="12751.09"/>
    <s v="Credit Card"/>
    <s v="No"/>
    <m/>
    <m/>
    <s v="Middle-Aged"/>
    <s v="High"/>
    <s v="Short Days"/>
    <m/>
    <m/>
    <m/>
    <m/>
    <m/>
    <m/>
  </r>
  <r>
    <s v="VIS200783"/>
    <d v="2025-04-23T00:00:00"/>
    <s v="PAT6975"/>
    <s v="Rohan Kumar"/>
    <s v="Male"/>
    <n v="0"/>
    <s v="Mumbai"/>
    <s v="Maharashtra"/>
    <x v="6"/>
    <s v="Dr. Lalitha"/>
    <s v="K21"/>
    <s v="Prescription Refill"/>
    <s v="OPD"/>
    <n v="8678.26"/>
    <s v="Insurance"/>
    <s v="Yes"/>
    <m/>
    <n v="14"/>
    <s v="Child"/>
    <s v="Medium"/>
    <s v="Short Days"/>
    <m/>
    <m/>
    <m/>
    <m/>
    <m/>
    <m/>
  </r>
  <r>
    <s v="VIS200514"/>
    <d v="2024-12-21T00:00:00"/>
    <s v="PAT5686"/>
    <s v="Vivaan Khan"/>
    <s v="Female"/>
    <n v="12"/>
    <s v="Delhi"/>
    <s v="West Bengal"/>
    <x v="8"/>
    <s v="Dr. Sneha"/>
    <s v="Z111"/>
    <s v="Counselling"/>
    <s v="Emergency"/>
    <n v="6385.96"/>
    <s v="Cash"/>
    <s v="No"/>
    <m/>
    <n v="90"/>
    <s v="Child"/>
    <s v="Medium"/>
    <s v="Short Days"/>
    <m/>
    <m/>
    <m/>
    <m/>
    <m/>
    <m/>
  </r>
  <r>
    <s v="VIS200407"/>
    <d v="2024-08-01T00:00:00"/>
    <s v="PAT5006"/>
    <s v="Ishaan Bose"/>
    <s v="Female"/>
    <n v="56"/>
    <s v="Lucknow"/>
    <s v="Uttar Pradesh"/>
    <x v="8"/>
    <s v="Dr. Kavitha"/>
    <s v="F41"/>
    <s v="Minor Procedure"/>
    <s v="OPD"/>
    <n v="1739.88"/>
    <s v="Insurance"/>
    <s v="Yes"/>
    <m/>
    <n v="7"/>
    <s v="Middle-Aged"/>
    <s v="Low"/>
    <s v="Short Days"/>
    <m/>
    <m/>
    <m/>
    <m/>
    <m/>
    <m/>
  </r>
  <r>
    <s v="VIS201174"/>
    <d v="2024-10-26T00:00:00"/>
    <s v="PAT6147"/>
    <s v="Ishaan Nagar"/>
    <s v="Female"/>
    <n v="61"/>
    <s v="Delhi"/>
    <s v="Delhi"/>
    <x v="1"/>
    <s v="Dr. Suri"/>
    <s v="I10"/>
    <s v="Medication"/>
    <s v="Teleconsultation"/>
    <n v="5998.53"/>
    <s v="UPI"/>
    <s v="No"/>
    <m/>
    <m/>
    <s v="Senior"/>
    <s v="Medium"/>
    <s v="Short Days"/>
    <m/>
    <m/>
    <m/>
    <m/>
    <m/>
    <m/>
  </r>
  <r>
    <s v="VIS200445"/>
    <d v="2024-08-27T00:00:00"/>
    <s v="PAT6358"/>
    <s v="Aishwarya Nagar"/>
    <s v="Male"/>
    <n v="45"/>
    <s v="Trichy"/>
    <s v="Tamil Nadu"/>
    <x v="2"/>
    <s v="Dr. Ramesh"/>
    <s v="N39"/>
    <s v="Observation"/>
    <s v="Teleconsultation"/>
    <n v="8421.91"/>
    <s v="Debit Card"/>
    <s v="No"/>
    <m/>
    <m/>
    <s v="Middle-Aged"/>
    <s v="Medium"/>
    <s v="Short Days"/>
    <m/>
    <m/>
    <m/>
    <m/>
    <m/>
    <m/>
  </r>
  <r>
    <s v="VIS202817"/>
    <d v="2025-11-01T00:00:00"/>
    <s v="PAT6797"/>
    <s v="Deepa Patel"/>
    <s v="Male"/>
    <n v="72"/>
    <s v="Lucknow"/>
    <s v="Uttar Pradesh"/>
    <x v="2"/>
    <s v="Dr. Ramesh"/>
    <s v="N39"/>
    <s v="Physiotherapy"/>
    <s v="Teleconsultation"/>
    <n v="14074.09"/>
    <s v="UPI"/>
    <s v="No"/>
    <m/>
    <m/>
    <s v="Senior"/>
    <s v="High"/>
    <s v="Short Days"/>
    <m/>
    <m/>
    <m/>
    <m/>
    <m/>
    <m/>
  </r>
  <r>
    <s v="VIS200072"/>
    <d v="2024-07-19T00:00:00"/>
    <s v="PAT5607"/>
    <s v="Kavya Mishra"/>
    <s v="Female"/>
    <n v="49"/>
    <s v="Noida"/>
    <s v="Uttar Pradesh"/>
    <x v="6"/>
    <s v="Dr. Priya"/>
    <s v="F41"/>
    <s v="Prescription Refill"/>
    <s v="OPD"/>
    <n v="3205.44"/>
    <s v="Cash"/>
    <s v="No"/>
    <m/>
    <n v="30"/>
    <s v="Middle-Aged"/>
    <s v="Low"/>
    <s v="Short Days"/>
    <m/>
    <m/>
    <m/>
    <m/>
    <m/>
    <m/>
  </r>
  <r>
    <s v="VIS200509"/>
    <d v="2025-10-01T00:00:00"/>
    <s v="PAT6631"/>
    <s v="Manisha Sharma"/>
    <s v="Female"/>
    <n v="61"/>
    <s v="Lucknow"/>
    <s v="Uttar Pradesh"/>
    <x v="9"/>
    <s v="Dr. Kusum"/>
    <s v="K21"/>
    <s v="Medication"/>
    <s v="OPD"/>
    <n v="8880"/>
    <s v="UPI"/>
    <s v="No"/>
    <m/>
    <m/>
    <s v="Senior"/>
    <s v="Medium"/>
    <s v="Short Days"/>
    <m/>
    <m/>
    <m/>
    <m/>
    <m/>
    <m/>
  </r>
  <r>
    <s v="VIS201098"/>
    <d v="2025-04-08T00:00:00"/>
    <s v="PAT5478"/>
    <s v="Neha Khan"/>
    <s v="Male"/>
    <n v="38"/>
    <s v="Coimbatore"/>
    <s v="Tamil Nadu"/>
    <x v="3"/>
    <s v="Dr. Pallavi"/>
    <s v="K21"/>
    <s v="Counselling"/>
    <s v="IPD"/>
    <n v="7917.56"/>
    <s v="Credit Card"/>
    <s v="No"/>
    <n v="4"/>
    <n v="90"/>
    <s v="Adult"/>
    <s v="Medium"/>
    <s v="Short Days"/>
    <m/>
    <m/>
    <m/>
    <m/>
    <m/>
    <m/>
  </r>
  <r>
    <s v="VIS201011"/>
    <d v="2025-07-31T00:00:00"/>
    <s v="PAT6555"/>
    <s v="Priya Jose"/>
    <s v="Male"/>
    <n v="17"/>
    <s v="Noida"/>
    <s v="Uttar Pradesh"/>
    <x v="9"/>
    <s v="Dr. Arvind"/>
    <s v="E11"/>
    <s v="Medication"/>
    <s v="OPD"/>
    <n v="863.05"/>
    <s v="UPI"/>
    <s v="No"/>
    <m/>
    <n v="7"/>
    <s v="Child"/>
    <s v="Low"/>
    <s v="Short Days"/>
    <m/>
    <m/>
    <m/>
    <m/>
    <m/>
    <m/>
  </r>
  <r>
    <s v="VIS201361"/>
    <d v="2024-07-15T00:00:00"/>
    <s v="PAT6041"/>
    <s v="Vishal Iyer"/>
    <s v="Male"/>
    <n v="31"/>
    <s v="Chennai"/>
    <s v="Tamil Nadu"/>
    <x v="1"/>
    <s v="Dr. Anu"/>
    <s v="J45"/>
    <s v="Medication"/>
    <s v="Teleconsultation"/>
    <n v="11941.69"/>
    <s v="Net Banking"/>
    <s v="No"/>
    <m/>
    <m/>
    <s v="Adult"/>
    <s v="High"/>
    <s v="Short Days"/>
    <m/>
    <m/>
    <m/>
    <m/>
    <m/>
    <m/>
  </r>
  <r>
    <s v="VIS202397"/>
    <d v="2024-01-24T00:00:00"/>
    <s v="PAT5250"/>
    <s v="Karthik Sharma"/>
    <s v="Male"/>
    <n v="10"/>
    <s v="Noida"/>
    <s v="Uttar Pradesh"/>
    <x v="0"/>
    <s v="Dr. Shailesh"/>
    <s v="K21"/>
    <s v="Physiotherapy"/>
    <s v="Teleconsultation"/>
    <n v="6252.38"/>
    <s v="Debit Card"/>
    <s v="No"/>
    <m/>
    <n v="90"/>
    <s v="Child"/>
    <s v="Medium"/>
    <s v="Short Days"/>
    <m/>
    <m/>
    <m/>
    <m/>
    <m/>
    <m/>
  </r>
  <r>
    <s v="VIS200294"/>
    <d v="2025-07-28T00:00:00"/>
    <s v="PAT5581"/>
    <s v="Neha Nair"/>
    <s v="Female"/>
    <n v="56"/>
    <s v="Pune"/>
    <s v="Maharashtra"/>
    <x v="5"/>
    <s v="Dr. Meena"/>
    <s v="F41"/>
    <s v="Prescription Refill"/>
    <s v="OPD"/>
    <n v="2009.45"/>
    <s v="Debit Card"/>
    <s v="No"/>
    <m/>
    <n v="90"/>
    <s v="Middle-Aged"/>
    <s v="Low"/>
    <s v="Short Days"/>
    <m/>
    <m/>
    <m/>
    <m/>
    <m/>
    <m/>
  </r>
  <r>
    <s v="VIS200759"/>
    <d v="2025-09-28T00:00:00"/>
    <s v="PAT6188"/>
    <s v="Rohan Gupta"/>
    <s v="Female"/>
    <n v="51"/>
    <s v="Noida"/>
    <s v="Uttar Pradesh"/>
    <x v="1"/>
    <s v="Dr. Suri"/>
    <s v="M54"/>
    <s v="Counselling"/>
    <s v="Emergency"/>
    <n v="6072.23"/>
    <s v="Credit Card"/>
    <s v="No"/>
    <m/>
    <m/>
    <s v="Middle-Aged"/>
    <s v="Medium"/>
    <s v="Short Days"/>
    <m/>
    <m/>
    <m/>
    <m/>
    <m/>
    <m/>
  </r>
  <r>
    <s v="VIS201204"/>
    <d v="2024-10-19T00:00:00"/>
    <s v="PAT6826"/>
    <s v="Deepa Singh"/>
    <s v="Female"/>
    <n v="25"/>
    <s v="Chennai"/>
    <s v="Tamil Nadu"/>
    <x v="3"/>
    <s v="Dr. Pallavi"/>
    <s v="I10"/>
    <s v="Physiotherapy"/>
    <s v="Teleconsultation"/>
    <n v="6984.01"/>
    <s v="Insurance"/>
    <s v="Yes"/>
    <m/>
    <m/>
    <s v="Adult"/>
    <s v="Medium"/>
    <s v="Short Days"/>
    <m/>
    <m/>
    <m/>
    <m/>
    <m/>
    <m/>
  </r>
  <r>
    <s v="VIS201868"/>
    <d v="2024-01-09T00:00:00"/>
    <s v="PAT6997"/>
    <s v="Rohan Mishra"/>
    <s v="Female"/>
    <n v="34"/>
    <s v="Madurai"/>
    <s v="Tamil Nadu"/>
    <x v="8"/>
    <s v="Dr. Kavitha"/>
    <s v="K21"/>
    <s v="Observation"/>
    <s v="Emergency"/>
    <n v="7327.93"/>
    <s v="Insurance"/>
    <s v="Yes"/>
    <m/>
    <m/>
    <s v="Adult"/>
    <s v="Medium"/>
    <s v="Short Days"/>
    <m/>
    <m/>
    <m/>
    <m/>
    <m/>
    <m/>
  </r>
  <r>
    <s v="VIS200925"/>
    <d v="2024-07-04T00:00:00"/>
    <s v="PAT5642"/>
    <s v="Priya Mishra"/>
    <s v="Male"/>
    <n v="36"/>
    <s v="Madurai"/>
    <s v="Tamil Nadu"/>
    <x v="4"/>
    <s v="Dr. Varun"/>
    <s v="E11"/>
    <s v="Minor Surgery"/>
    <s v="OPD"/>
    <n v="8732.9"/>
    <s v="UPI"/>
    <s v="No"/>
    <m/>
    <m/>
    <s v="Adult"/>
    <s v="Medium"/>
    <s v="Short Days"/>
    <m/>
    <m/>
    <m/>
    <m/>
    <m/>
    <m/>
  </r>
  <r>
    <s v="VIS202997"/>
    <d v="2024-01-12T00:00:00"/>
    <s v="PAT5804"/>
    <s v="Kavya Das"/>
    <s v="Male"/>
    <n v="8"/>
    <s v="Pune"/>
    <s v="Maharashtra"/>
    <x v="9"/>
    <s v="Dr. Kusum"/>
    <s v="K21"/>
    <s v="Prescription Refill"/>
    <s v="Teleconsultation"/>
    <n v="19547.439999999999"/>
    <s v="UPI"/>
    <s v="No"/>
    <m/>
    <m/>
    <s v="Child"/>
    <s v="High"/>
    <s v="Short Days"/>
    <m/>
    <m/>
    <m/>
    <m/>
    <m/>
    <m/>
  </r>
  <r>
    <s v="VIS200339"/>
    <d v="2024-08-08T00:00:00"/>
    <s v="PAT5583"/>
    <s v="Sangeetha Reddy"/>
    <s v="Female"/>
    <n v="38"/>
    <s v="Kochi"/>
    <s v="Kerala"/>
    <x v="4"/>
    <s v="Dr. Varun"/>
    <s v="E11"/>
    <s v="Observation"/>
    <s v="OPD"/>
    <n v="2047.01"/>
    <s v="UPI"/>
    <s v="No"/>
    <m/>
    <m/>
    <s v="Adult"/>
    <s v="Low"/>
    <s v="Short Days"/>
    <m/>
    <m/>
    <m/>
    <m/>
    <m/>
    <m/>
  </r>
  <r>
    <s v="VIS201350"/>
    <d v="2025-05-14T00:00:00"/>
    <s v="PAT6932"/>
    <s v="Aarav Gupta"/>
    <s v="Female"/>
    <n v="57"/>
    <s v="Noida"/>
    <s v="Uttar Pradesh"/>
    <x v="0"/>
    <s v="Dr. Nikhil"/>
    <s v="J00"/>
    <s v="Minor Procedure"/>
    <s v="Teleconsultation"/>
    <n v="5633.07"/>
    <s v="Insurance"/>
    <s v="Yes"/>
    <m/>
    <n v="14"/>
    <s v="Middle-Aged"/>
    <s v="Medium"/>
    <s v="Short Days"/>
    <m/>
    <m/>
    <m/>
    <m/>
    <m/>
    <m/>
  </r>
  <r>
    <s v="VIS200659"/>
    <d v="2024-10-22T00:00:00"/>
    <s v="PAT6898"/>
    <s v="Shruti Gupta"/>
    <s v="Male"/>
    <n v="32"/>
    <s v="Kochi"/>
    <s v="Kerala"/>
    <x v="1"/>
    <s v="Dr. Suri"/>
    <s v="N39"/>
    <s v="Counselling"/>
    <s v="OPD"/>
    <n v="1704.06"/>
    <s v="Insurance"/>
    <s v="Yes"/>
    <m/>
    <n v="14"/>
    <s v="Adult"/>
    <s v="Low"/>
    <s v="Short Days"/>
    <m/>
    <m/>
    <m/>
    <m/>
    <m/>
    <m/>
  </r>
  <r>
    <s v="VIS200103"/>
    <d v="2024-12-25T00:00:00"/>
    <s v="PAT6735"/>
    <s v="Arjun Iyer"/>
    <s v="Female"/>
    <n v="42"/>
    <s v="Coimbatore"/>
    <s v="Tamil Nadu"/>
    <x v="7"/>
    <s v="Dr. Leela"/>
    <s v="H10"/>
    <s v="Minor Procedure"/>
    <s v="OPD"/>
    <n v="1784.7"/>
    <s v="Cash"/>
    <s v="No"/>
    <m/>
    <n v="7"/>
    <s v="Middle-Aged"/>
    <s v="Low"/>
    <s v="Short Days"/>
    <m/>
    <m/>
    <m/>
    <m/>
    <m/>
    <m/>
  </r>
  <r>
    <s v="VIS201829"/>
    <d v="2025-08-11T00:00:00"/>
    <s v="PAT5688"/>
    <s v="Rohan Reddy"/>
    <s v="Male"/>
    <n v="7"/>
    <s v="Bengaluru"/>
    <s v="Karnataka"/>
    <x v="9"/>
    <s v="Dr. Arvind"/>
    <s v="L40"/>
    <s v="Surgery"/>
    <s v="OPD"/>
    <n v="2872.72"/>
    <s v="Net Banking"/>
    <s v="No"/>
    <m/>
    <m/>
    <s v="Child"/>
    <s v="Low"/>
    <s v="Short Days"/>
    <m/>
    <m/>
    <m/>
    <m/>
    <m/>
    <m/>
  </r>
  <r>
    <s v="VIS202544"/>
    <d v="2024-12-06T00:00:00"/>
    <s v="PAT5639"/>
    <s v="Vivaan Das"/>
    <s v="Female"/>
    <n v="46"/>
    <s v="Hyderabad"/>
    <s v="Telangana"/>
    <x v="5"/>
    <s v="Dr. Meena"/>
    <s v="N39"/>
    <s v="Physiotherapy"/>
    <s v="OPD"/>
    <n v="13756.67"/>
    <s v="Cash"/>
    <s v="No"/>
    <m/>
    <n v="14"/>
    <s v="Middle-Aged"/>
    <s v="High"/>
    <s v="Short Days"/>
    <m/>
    <m/>
    <m/>
    <m/>
    <m/>
    <m/>
  </r>
  <r>
    <s v="VIS200317"/>
    <d v="2024-08-10T00:00:00"/>
    <s v="PAT6348"/>
    <s v="Aditya Nagar"/>
    <s v="Other"/>
    <n v="38"/>
    <s v="Bengaluru"/>
    <s v="Karnataka"/>
    <x v="2"/>
    <s v="Dr. Manoj"/>
    <s v="N39"/>
    <s v="Counselling"/>
    <s v="OPD"/>
    <n v="8866.66"/>
    <s v="Debit Card"/>
    <s v="No"/>
    <m/>
    <m/>
    <s v="Adult"/>
    <s v="Medium"/>
    <s v="Short Days"/>
    <m/>
    <m/>
    <m/>
    <m/>
    <m/>
    <m/>
  </r>
  <r>
    <s v="VIS200337"/>
    <d v="2024-12-31T00:00:00"/>
    <s v="PAT6227"/>
    <s v="Deepa Gupta"/>
    <s v="Female"/>
    <n v="24"/>
    <s v="Jaipur"/>
    <s v="Rajasthan"/>
    <x v="7"/>
    <s v="Dr. Leela"/>
    <s v="L40"/>
    <s v="Medication"/>
    <s v="Teleconsultation"/>
    <n v="6328.26"/>
    <s v="Cash"/>
    <s v="No"/>
    <m/>
    <n v="30"/>
    <s v="Adult"/>
    <s v="Medium"/>
    <s v="Short Days"/>
    <m/>
    <m/>
    <m/>
    <m/>
    <m/>
    <m/>
  </r>
  <r>
    <s v="VIS201457"/>
    <d v="2024-05-28T00:00:00"/>
    <s v="PAT6711"/>
    <s v="Rahul Patel"/>
    <s v="Male"/>
    <n v="59"/>
    <s v="Bengaluru"/>
    <s v="Karnataka"/>
    <x v="7"/>
    <s v="Dr. Surya"/>
    <s v="M54"/>
    <s v="Observation"/>
    <s v="OPD"/>
    <n v="4261.5"/>
    <s v="Credit Card"/>
    <s v="No"/>
    <m/>
    <m/>
    <s v="Middle-Aged"/>
    <s v="Low"/>
    <s v="Short Days"/>
    <m/>
    <m/>
    <m/>
    <m/>
    <m/>
    <m/>
  </r>
  <r>
    <s v="VIS201319"/>
    <d v="2025-03-29T00:00:00"/>
    <s v="PAT5518"/>
    <s v="Aditya Bose"/>
    <s v="Female"/>
    <n v="47"/>
    <s v="Bengaluru"/>
    <s v="Karnataka"/>
    <x v="1"/>
    <s v="Dr. Suri"/>
    <s v="N39"/>
    <s v="Surgery"/>
    <s v="OPD"/>
    <n v="132.61000000000001"/>
    <s v="Cash"/>
    <s v="No"/>
    <m/>
    <n v="90"/>
    <s v="Middle-Aged"/>
    <s v="Low"/>
    <s v="Short Days"/>
    <m/>
    <m/>
    <m/>
    <m/>
    <m/>
    <m/>
  </r>
  <r>
    <s v="VIS202135"/>
    <d v="2024-05-10T00:00:00"/>
    <s v="PAT6376"/>
    <s v="Sangeetha Patel"/>
    <s v="Male"/>
    <n v="33"/>
    <s v="Jaipur"/>
    <s v="Rajasthan"/>
    <x v="8"/>
    <s v="Dr. Sneha"/>
    <s v="E11"/>
    <s v="Minor Surgery"/>
    <s v="OPD"/>
    <n v="7826.54"/>
    <s v="Credit Card"/>
    <s v="No"/>
    <m/>
    <n v="7"/>
    <s v="Adult"/>
    <s v="Medium"/>
    <s v="Short Days"/>
    <m/>
    <m/>
    <m/>
    <m/>
    <m/>
    <m/>
  </r>
  <r>
    <s v="VIS202738"/>
    <d v="2024-08-24T00:00:00"/>
    <s v="PAT5661"/>
    <s v="Ishaan Sharma"/>
    <s v="Female"/>
    <n v="67"/>
    <s v="Trichy"/>
    <s v="Tamil Nadu"/>
    <x v="4"/>
    <s v="Dr. Varun"/>
    <s v="J45"/>
    <s v="Surgery"/>
    <s v="OPD"/>
    <n v="3175.61"/>
    <s v="Debit Card"/>
    <s v="No"/>
    <m/>
    <n v="14"/>
    <s v="Senior"/>
    <s v="Low"/>
    <s v="Short Days"/>
    <m/>
    <m/>
    <m/>
    <m/>
    <m/>
    <m/>
  </r>
  <r>
    <s v="VIS202878"/>
    <d v="2024-12-09T00:00:00"/>
    <s v="PAT6880"/>
    <s v="Ananya Reddy"/>
    <s v="Female"/>
    <n v="19"/>
    <s v="Noida"/>
    <s v="Uttar Pradesh"/>
    <x v="7"/>
    <s v="Dr. Leela"/>
    <s v="J45"/>
    <s v="Minor Surgery"/>
    <s v="OPD"/>
    <n v="4886.71"/>
    <s v="Cash"/>
    <s v="No"/>
    <m/>
    <n v="7"/>
    <s v="Adult"/>
    <s v="Low"/>
    <s v="Short Days"/>
    <m/>
    <m/>
    <m/>
    <m/>
    <m/>
    <m/>
  </r>
  <r>
    <s v="VIS201456"/>
    <d v="2024-03-24T00:00:00"/>
    <s v="PAT5754"/>
    <s v="Siddharth Patel"/>
    <s v="Male"/>
    <n v="49"/>
    <s v="Bengaluru"/>
    <s v="Karnataka"/>
    <x v="6"/>
    <s v="Dr. Lalitha"/>
    <s v="H10"/>
    <s v="Medication"/>
    <s v="OPD"/>
    <n v="1321.06"/>
    <s v="Cash"/>
    <s v="No"/>
    <m/>
    <n v="7"/>
    <s v="Middle-Aged"/>
    <s v="Low"/>
    <s v="Short Days"/>
    <m/>
    <m/>
    <m/>
    <m/>
    <m/>
    <m/>
  </r>
  <r>
    <s v="VIS202012"/>
    <d v="2025-06-14T00:00:00"/>
    <s v="PAT6393"/>
    <s v="Kavya Bose"/>
    <s v="Male"/>
    <n v="51"/>
    <s v="Jaipur"/>
    <s v="Rajasthan"/>
    <x v="4"/>
    <s v="Dr. Bhavana"/>
    <s v="J45"/>
    <s v="Prescription Refill"/>
    <s v="Teleconsultation"/>
    <n v="12227.61"/>
    <s v="Net Banking"/>
    <s v="No"/>
    <m/>
    <n v="7"/>
    <s v="Middle-Aged"/>
    <s v="High"/>
    <s v="Short Days"/>
    <m/>
    <m/>
    <m/>
    <m/>
    <m/>
    <m/>
  </r>
  <r>
    <s v="VIS202779"/>
    <d v="2024-04-25T00:00:00"/>
    <s v="PAT5408"/>
    <s v="Sangeetha Patel"/>
    <s v="Male"/>
    <n v="77"/>
    <s v="Coimbatore"/>
    <s v="Tamil Nadu"/>
    <x v="3"/>
    <s v="Dr. Anand"/>
    <s v="J00"/>
    <s v="Prescription Refill"/>
    <s v="OPD"/>
    <n v="2058.4299999999998"/>
    <s v="UPI"/>
    <s v="No"/>
    <m/>
    <m/>
    <s v="Senior"/>
    <s v="Low"/>
    <s v="Short Days"/>
    <m/>
    <m/>
    <m/>
    <m/>
    <m/>
    <m/>
  </r>
  <r>
    <s v="VIS200217"/>
    <d v="2025-01-15T00:00:00"/>
    <s v="PAT5063"/>
    <s v="Sangeetha Sharma"/>
    <s v="Male"/>
    <n v="17"/>
    <s v="Bengaluru"/>
    <s v="Karnataka"/>
    <x v="8"/>
    <s v="Dr. Kavitha"/>
    <s v="I10"/>
    <s v="Minor Procedure"/>
    <s v="Teleconsultation"/>
    <n v="6429.24"/>
    <s v="Credit Card"/>
    <s v="No"/>
    <m/>
    <n v="30"/>
    <s v="Child"/>
    <s v="Medium"/>
    <s v="Short Days"/>
    <m/>
    <m/>
    <m/>
    <m/>
    <m/>
    <m/>
  </r>
  <r>
    <s v="VIS201898"/>
    <d v="2024-01-20T00:00:00"/>
    <s v="PAT6028"/>
    <s v="Arjun Bose"/>
    <s v="Male"/>
    <n v="25"/>
    <s v="Delhi"/>
    <s v="Uttar Pradesh"/>
    <x v="9"/>
    <s v="Dr. Arvind"/>
    <s v="Z111"/>
    <s v="Minor Surgery"/>
    <s v="IPD"/>
    <n v="11314.99"/>
    <s v="Net Banking"/>
    <s v="No"/>
    <n v="9"/>
    <n v="7"/>
    <s v="Adult"/>
    <s v="High"/>
    <s v="Long Days"/>
    <m/>
    <m/>
    <m/>
    <m/>
    <m/>
    <m/>
  </r>
  <r>
    <s v="VIS201243"/>
    <d v="2024-10-07T00:00:00"/>
    <s v="PAT5141"/>
    <s v="Ananya Singh"/>
    <s v="Male"/>
    <n v="54"/>
    <s v="Kolkata"/>
    <s v="West Bengal"/>
    <x v="6"/>
    <s v="Dr. Priya"/>
    <s v="J00"/>
    <s v="Minor Procedure"/>
    <s v="OPD"/>
    <n v="3147.33"/>
    <s v="Cash"/>
    <s v="No"/>
    <m/>
    <m/>
    <s v="Middle-Aged"/>
    <s v="Low"/>
    <s v="Short Days"/>
    <m/>
    <m/>
    <m/>
    <m/>
    <m/>
    <m/>
  </r>
  <r>
    <s v="VIS200362"/>
    <d v="2024-09-18T00:00:00"/>
    <s v="PAT5571"/>
    <s v="Aditya Nagar"/>
    <s v="Male"/>
    <n v="58"/>
    <s v="Trichy"/>
    <s v="Tamil Nadu"/>
    <x v="9"/>
    <s v="Dr. Arvind"/>
    <s v="K21"/>
    <s v="Medication"/>
    <s v="OPD"/>
    <n v="3120.03"/>
    <s v="Insurance"/>
    <s v="Yes"/>
    <m/>
    <m/>
    <s v="Middle-Aged"/>
    <s v="Low"/>
    <s v="Short Days"/>
    <m/>
    <m/>
    <m/>
    <m/>
    <m/>
    <m/>
  </r>
  <r>
    <s v="VIS201273"/>
    <d v="2024-04-06T00:00:00"/>
    <s v="PAT5692"/>
    <s v="Karthik Nair"/>
    <s v="Female"/>
    <n v="46"/>
    <s v="Delhi"/>
    <s v="Delhi"/>
    <x v="5"/>
    <s v="Dr. Meena"/>
    <s v="N39"/>
    <s v="Medication"/>
    <s v="OPD"/>
    <n v="11579.41"/>
    <s v="Cash"/>
    <s v="No"/>
    <m/>
    <n v="30"/>
    <s v="Middle-Aged"/>
    <s v="High"/>
    <s v="Short Days"/>
    <m/>
    <m/>
    <m/>
    <m/>
    <m/>
    <m/>
  </r>
  <r>
    <s v="VIS201960"/>
    <d v="2024-02-13T00:00:00"/>
    <s v="PAT6765"/>
    <s v="Manisha Mishra"/>
    <s v="Female"/>
    <n v="45"/>
    <s v="Delhi"/>
    <s v="Delhi"/>
    <x v="1"/>
    <s v="Dr. Suri"/>
    <s v="F41"/>
    <s v="Physiotherapy"/>
    <s v="OPD"/>
    <n v="4693.7"/>
    <s v="UPI"/>
    <s v="No"/>
    <m/>
    <n v="90"/>
    <s v="Middle-Aged"/>
    <s v="Low"/>
    <s v="Short Days"/>
    <m/>
    <m/>
    <m/>
    <m/>
    <m/>
    <m/>
  </r>
  <r>
    <s v="VIS202076"/>
    <d v="2024-12-15T00:00:00"/>
    <s v="PAT6321"/>
    <s v="Vishal Gupta"/>
    <s v="Male"/>
    <n v="58"/>
    <s v="Bengaluru"/>
    <s v="Karnataka"/>
    <x v="3"/>
    <s v="Dr. Pallavi"/>
    <s v="I10"/>
    <s v="Counselling"/>
    <s v="OPD"/>
    <n v="5136.87"/>
    <s v="Insurance"/>
    <s v="Yes"/>
    <m/>
    <n v="14"/>
    <s v="Middle-Aged"/>
    <s v="Medium"/>
    <s v="Short Days"/>
    <m/>
    <m/>
    <m/>
    <m/>
    <m/>
    <m/>
  </r>
  <r>
    <s v="VIS201785"/>
    <d v="2025-04-28T00:00:00"/>
    <s v="PAT6627"/>
    <s v="Sangeetha Bose"/>
    <s v="Male"/>
    <n v="43"/>
    <s v="Kochi"/>
    <s v="Kerala"/>
    <x v="2"/>
    <s v="Dr. Ramesh"/>
    <s v="J00"/>
    <s v="Surgery"/>
    <s v="OPD"/>
    <n v="16161.8"/>
    <s v="Insurance"/>
    <s v="Yes"/>
    <m/>
    <m/>
    <s v="Middle-Aged"/>
    <s v="High"/>
    <s v="Short Days"/>
    <m/>
    <m/>
    <m/>
    <m/>
    <m/>
    <m/>
  </r>
  <r>
    <s v="VIS202422"/>
    <d v="2024-05-01T00:00:00"/>
    <s v="PAT5894"/>
    <s v="Aarav Mishra"/>
    <s v="Female"/>
    <n v="56"/>
    <s v="Kochi"/>
    <s v="Kerala"/>
    <x v="7"/>
    <s v="Dr. Surya"/>
    <s v="M54"/>
    <s v="Counselling"/>
    <s v="OPD"/>
    <n v="251.79"/>
    <s v="Net Banking"/>
    <s v="No"/>
    <m/>
    <m/>
    <s v="Middle-Aged"/>
    <s v="Low"/>
    <s v="Short Days"/>
    <m/>
    <m/>
    <m/>
    <m/>
    <m/>
    <m/>
  </r>
  <r>
    <s v="VIS201879"/>
    <d v="2025-04-01T00:00:00"/>
    <s v="PAT6828"/>
    <s v="Vishal Khan"/>
    <s v="Female"/>
    <n v="1"/>
    <s v="Trichy"/>
    <s v="Tamil Nadu"/>
    <x v="9"/>
    <s v="Dr. Arvind"/>
    <s v="H10"/>
    <s v="Minor Procedure"/>
    <s v="OPD"/>
    <n v="4235.46"/>
    <s v="Cash"/>
    <s v="No"/>
    <m/>
    <n v="14"/>
    <s v="Child"/>
    <s v="Low"/>
    <s v="Short Days"/>
    <m/>
    <m/>
    <m/>
    <m/>
    <m/>
    <m/>
  </r>
  <r>
    <s v="VIS200194"/>
    <d v="2024-07-28T00:00:00"/>
    <s v="PAT5970"/>
    <s v="Ishaan Kumar"/>
    <s v="Female"/>
    <n v="39"/>
    <s v="Noida"/>
    <s v="Uttar Pradesh"/>
    <x v="6"/>
    <s v="Dr. Lalitha"/>
    <s v="N39"/>
    <s v="Surgery"/>
    <s v="OPD"/>
    <n v="2826.46"/>
    <s v="Cash"/>
    <s v="No"/>
    <m/>
    <n v="14"/>
    <s v="Adult"/>
    <s v="Low"/>
    <s v="Short Days"/>
    <m/>
    <m/>
    <m/>
    <m/>
    <m/>
    <m/>
  </r>
  <r>
    <s v="VIS201587"/>
    <d v="2024-06-06T00:00:00"/>
    <s v="PAT5970"/>
    <s v="Ananya Reddy"/>
    <s v="Male"/>
    <n v="23"/>
    <s v="Lucknow"/>
    <s v="Uttar Pradesh"/>
    <x v="8"/>
    <s v="Dr. Kavitha"/>
    <s v="L40"/>
    <s v="Surgery"/>
    <s v="Emergency"/>
    <n v="12979.72"/>
    <s v="Credit Card"/>
    <s v="No"/>
    <m/>
    <n v="30"/>
    <s v="Adult"/>
    <s v="High"/>
    <s v="Short Days"/>
    <m/>
    <m/>
    <m/>
    <m/>
    <m/>
    <m/>
  </r>
  <r>
    <s v="VIS200708"/>
    <d v="2025-10-16T00:00:00"/>
    <s v="PAT5547"/>
    <s v="Deepa Jose"/>
    <s v="Female"/>
    <n v="30"/>
    <s v="Lucknow"/>
    <s v="Uttar Pradesh"/>
    <x v="8"/>
    <s v="Dr. Sneha"/>
    <s v="M54"/>
    <s v="Surgery"/>
    <s v="Teleconsultation"/>
    <n v="11478.06"/>
    <s v="UPI"/>
    <s v="No"/>
    <m/>
    <n v="7"/>
    <s v="Adult"/>
    <s v="High"/>
    <s v="Short Days"/>
    <m/>
    <m/>
    <m/>
    <m/>
    <m/>
    <m/>
  </r>
  <r>
    <s v="VIS201059"/>
    <d v="2024-02-11T00:00:00"/>
    <s v="PAT5303"/>
    <s v="Neha Singh"/>
    <s v="Female"/>
    <n v="59"/>
    <s v="Pune"/>
    <s v="Maharashtra"/>
    <x v="1"/>
    <s v="Dr. Anu"/>
    <s v="K21"/>
    <s v="Prescription Refill"/>
    <s v="OPD"/>
    <n v="841.75"/>
    <s v="Credit Card"/>
    <s v="No"/>
    <m/>
    <n v="7"/>
    <s v="Middle-Aged"/>
    <s v="Low"/>
    <s v="Short Days"/>
    <m/>
    <m/>
    <m/>
    <m/>
    <m/>
    <m/>
  </r>
  <r>
    <s v="VIS201157"/>
    <d v="2024-06-09T00:00:00"/>
    <s v="PAT5728"/>
    <s v="Neha Kumar"/>
    <s v="Male"/>
    <n v="38"/>
    <s v="Delhi"/>
    <s v="Delhi"/>
    <x v="5"/>
    <s v="Dr. Karthik"/>
    <s v="H10"/>
    <s v="Medication"/>
    <s v="OPD"/>
    <n v="2753.66"/>
    <s v="Insurance"/>
    <s v="Yes"/>
    <m/>
    <m/>
    <s v="Adult"/>
    <s v="Low"/>
    <s v="Short Days"/>
    <m/>
    <m/>
    <m/>
    <m/>
    <m/>
    <m/>
  </r>
  <r>
    <s v="VIS200910"/>
    <d v="2024-03-28T00:00:00"/>
    <s v="PAT6962"/>
    <s v="Aditya Kumar"/>
    <s v="Female"/>
    <n v="7"/>
    <s v="Delhi"/>
    <s v="Delhi"/>
    <x v="3"/>
    <s v="Dr. Anand"/>
    <s v="F41"/>
    <s v="Observation"/>
    <s v="OPD"/>
    <n v="7657.67"/>
    <s v="Debit Card"/>
    <s v="No"/>
    <m/>
    <n v="14"/>
    <s v="Child"/>
    <s v="Medium"/>
    <s v="Short Days"/>
    <m/>
    <m/>
    <m/>
    <m/>
    <m/>
    <m/>
  </r>
  <r>
    <s v="VIS201304"/>
    <d v="2024-07-16T00:00:00"/>
    <s v="PAT5982"/>
    <s v="Sangeetha Jose"/>
    <s v="Female"/>
    <n v="35"/>
    <s v="Kolkata"/>
    <s v="West Bengal"/>
    <x v="2"/>
    <s v="Dr. Ramesh"/>
    <s v="H10"/>
    <s v="Surgery"/>
    <s v="OPD"/>
    <n v="1281.46"/>
    <s v="Insurance"/>
    <s v="Yes"/>
    <m/>
    <m/>
    <s v="Adult"/>
    <s v="Low"/>
    <s v="Short Days"/>
    <m/>
    <m/>
    <m/>
    <m/>
    <m/>
    <m/>
  </r>
  <r>
    <s v="VIS201150"/>
    <d v="2024-08-29T00:00:00"/>
    <s v="PAT6208"/>
    <s v="Neha Das"/>
    <s v="Female"/>
    <n v="18"/>
    <s v="Hyderabad"/>
    <s v="Telangana"/>
    <x v="8"/>
    <s v="Dr. Kavitha"/>
    <s v="N39"/>
    <s v="Observation"/>
    <s v="IPD"/>
    <n v="5045.08"/>
    <s v="UPI"/>
    <s v="No"/>
    <n v="5"/>
    <n v="7"/>
    <s v="Adult"/>
    <s v="Medium"/>
    <s v="Short Days"/>
    <m/>
    <m/>
    <m/>
    <m/>
    <m/>
    <m/>
  </r>
  <r>
    <s v="VIS202550"/>
    <d v="2025-08-27T00:00:00"/>
    <s v="PAT5539"/>
    <s v="Priya Bose"/>
    <s v="Male"/>
    <n v="15"/>
    <s v="Lucknow"/>
    <s v="Uttar Pradesh"/>
    <x v="3"/>
    <s v="Dr. Pallavi"/>
    <s v="H10"/>
    <s v="Surgery"/>
    <s v="Teleconsultation"/>
    <n v="5397.9"/>
    <s v="Cash"/>
    <s v="No"/>
    <m/>
    <m/>
    <s v="Child"/>
    <s v="Medium"/>
    <s v="Short Days"/>
    <m/>
    <m/>
    <m/>
    <m/>
    <m/>
    <m/>
  </r>
  <r>
    <s v="VIS201573"/>
    <d v="2024-04-27T00:00:00"/>
    <s v="PAT5311"/>
    <s v="Manisha Patel"/>
    <s v="Female"/>
    <n v="44"/>
    <s v="Kolkata"/>
    <s v="West Bengal"/>
    <x v="8"/>
    <s v="Dr. Sneha"/>
    <s v="J45"/>
    <s v="Minor Surgery"/>
    <s v="OPD"/>
    <n v="10162.6"/>
    <s v="UPI"/>
    <s v="No"/>
    <m/>
    <n v="14"/>
    <s v="Middle-Aged"/>
    <s v="High"/>
    <s v="Short Days"/>
    <m/>
    <m/>
    <m/>
    <m/>
    <m/>
    <m/>
  </r>
  <r>
    <s v="VIS201164"/>
    <d v="2024-10-11T00:00:00"/>
    <s v="PAT5190"/>
    <s v="Vishal Sharma"/>
    <s v="Female"/>
    <n v="24"/>
    <s v="Chennai"/>
    <s v="Tamil Nadu"/>
    <x v="6"/>
    <s v="Dr. Priya"/>
    <s v="E11"/>
    <s v="Observation"/>
    <s v="OPD"/>
    <n v="2137.8200000000002"/>
    <s v="Cash"/>
    <s v="No"/>
    <m/>
    <m/>
    <s v="Adult"/>
    <s v="Low"/>
    <s v="Short Days"/>
    <m/>
    <m/>
    <m/>
    <m/>
    <m/>
    <m/>
  </r>
  <r>
    <s v="VIS201297"/>
    <d v="2025-05-26T00:00:00"/>
    <s v="PAT5328"/>
    <s v="Ananya Gupta"/>
    <s v="Female"/>
    <n v="49"/>
    <s v="Kochi"/>
    <s v="Kerala"/>
    <x v="0"/>
    <s v="Dr. Shailesh"/>
    <s v="E11"/>
    <s v="Minor Surgery"/>
    <s v="OPD"/>
    <n v="3449.9"/>
    <s v="Net Banking"/>
    <s v="No"/>
    <m/>
    <n v="90"/>
    <s v="Middle-Aged"/>
    <s v="Low"/>
    <s v="Short Days"/>
    <m/>
    <m/>
    <m/>
    <m/>
    <m/>
    <m/>
  </r>
  <r>
    <s v="VIS200975"/>
    <d v="2025-08-05T00:00:00"/>
    <s v="PAT6487"/>
    <s v="Priya Khan"/>
    <s v="Male"/>
    <n v="12"/>
    <s v="Pune"/>
    <s v="Maharashtra"/>
    <x v="0"/>
    <s v="Dr. Shailesh"/>
    <s v="E11"/>
    <s v="Surgery"/>
    <s v="OPD"/>
    <n v="11933.09"/>
    <s v="UPI"/>
    <s v="No"/>
    <m/>
    <n v="7"/>
    <s v="Child"/>
    <s v="High"/>
    <s v="Short Days"/>
    <m/>
    <m/>
    <m/>
    <m/>
    <m/>
    <m/>
  </r>
  <r>
    <s v="VIS201934"/>
    <d v="2025-09-06T00:00:00"/>
    <s v="PAT6416"/>
    <s v="Ishaan Jose"/>
    <s v="Female"/>
    <n v="0"/>
    <s v="Jaipur"/>
    <s v="Rajasthan"/>
    <x v="5"/>
    <s v="Dr. Meena"/>
    <s v="K21"/>
    <s v="Counselling"/>
    <s v="OPD"/>
    <n v="2874.86"/>
    <s v="Debit Card"/>
    <s v="No"/>
    <m/>
    <m/>
    <s v="Child"/>
    <s v="Low"/>
    <s v="Short Days"/>
    <m/>
    <m/>
    <m/>
    <m/>
    <m/>
    <m/>
  </r>
  <r>
    <s v="VIS200211"/>
    <d v="2025-05-31T00:00:00"/>
    <s v="PAT5826"/>
    <s v="Siddharth Iyer"/>
    <s v="Male"/>
    <n v="30"/>
    <s v="Noida"/>
    <s v="Uttar Pradesh"/>
    <x v="7"/>
    <s v="Dr. Leela"/>
    <s v="J00"/>
    <s v="Counselling"/>
    <s v="Emergency"/>
    <n v="5195.43"/>
    <s v="Debit Card"/>
    <s v="No"/>
    <m/>
    <m/>
    <s v="Adult"/>
    <s v="Medium"/>
    <s v="Short Days"/>
    <m/>
    <m/>
    <m/>
    <m/>
    <m/>
    <m/>
  </r>
  <r>
    <s v="VIS201842"/>
    <d v="2025-08-10T00:00:00"/>
    <s v="PAT5283"/>
    <s v="Rahul Gupta"/>
    <s v="Male"/>
    <n v="29"/>
    <s v="Coimbatore"/>
    <s v="Tamil Nadu"/>
    <x v="4"/>
    <s v="Dr. Varun"/>
    <s v="M54"/>
    <s v="Minor Procedure"/>
    <s v="Teleconsultation"/>
    <n v="23628.97"/>
    <s v="Debit Card"/>
    <s v="No"/>
    <m/>
    <m/>
    <s v="Adult"/>
    <s v="High"/>
    <s v="Short Days"/>
    <m/>
    <m/>
    <m/>
    <m/>
    <m/>
    <m/>
  </r>
  <r>
    <s v="VIS202194"/>
    <d v="2025-09-04T00:00:00"/>
    <s v="PAT6424"/>
    <s v="Manisha Jose"/>
    <s v="Female"/>
    <n v="39"/>
    <s v="Lucknow"/>
    <s v="Uttar Pradesh"/>
    <x v="1"/>
    <s v="Dr. Anu"/>
    <s v="J45"/>
    <s v="Physiotherapy"/>
    <s v="OPD"/>
    <n v="1854.14"/>
    <s v="Insurance"/>
    <s v="Yes"/>
    <m/>
    <n v="7"/>
    <s v="Adult"/>
    <s v="Low"/>
    <s v="Short Days"/>
    <m/>
    <m/>
    <m/>
    <m/>
    <m/>
    <m/>
  </r>
  <r>
    <s v="VIS200560"/>
    <d v="2024-03-13T00:00:00"/>
    <s v="PAT6157"/>
    <s v="Aishwarya Das"/>
    <s v="Male"/>
    <n v="16"/>
    <s v="Trichy"/>
    <s v="Tamil Nadu"/>
    <x v="6"/>
    <s v="Dr. Lalitha"/>
    <s v="J45"/>
    <s v="Minor Surgery"/>
    <s v="Teleconsultation"/>
    <n v="8983.0300000000007"/>
    <s v="Credit Card"/>
    <s v="No"/>
    <m/>
    <n v="7"/>
    <s v="Child"/>
    <s v="Medium"/>
    <s v="Short Days"/>
    <m/>
    <m/>
    <m/>
    <m/>
    <m/>
    <m/>
  </r>
  <r>
    <s v="VIS202896"/>
    <d v="2025-02-09T00:00:00"/>
    <s v="PAT6236"/>
    <s v="Neha Nagar"/>
    <s v="Male"/>
    <n v="68"/>
    <s v="Kolkata"/>
    <s v="West Bengal"/>
    <x v="6"/>
    <s v="Dr. Lalitha"/>
    <s v="L40"/>
    <s v="Physiotherapy"/>
    <s v="Teleconsultation"/>
    <n v="11012.33"/>
    <s v="Credit Card"/>
    <s v="No"/>
    <m/>
    <n v="90"/>
    <s v="Senior"/>
    <s v="High"/>
    <s v="Short Days"/>
    <m/>
    <m/>
    <m/>
    <m/>
    <m/>
    <m/>
  </r>
  <r>
    <s v="VIS200649"/>
    <d v="2025-09-11T00:00:00"/>
    <s v="PAT6982"/>
    <s v="Aditya Reddy"/>
    <s v="Female"/>
    <n v="21"/>
    <s v="Trichy"/>
    <s v="Tamil Nadu"/>
    <x v="8"/>
    <s v="Dr. Kavitha"/>
    <s v="J45"/>
    <s v="Physiotherapy"/>
    <s v="OPD"/>
    <n v="1133.3499999999999"/>
    <s v="Insurance"/>
    <s v="Yes"/>
    <m/>
    <n v="7"/>
    <s v="Adult"/>
    <s v="Low"/>
    <s v="Short Days"/>
    <m/>
    <m/>
    <m/>
    <m/>
    <m/>
    <m/>
  </r>
  <r>
    <s v="VIS201979"/>
    <d v="2024-02-06T00:00:00"/>
    <s v="PAT5572"/>
    <s v="Kavya Bose"/>
    <s v="Female"/>
    <n v="64"/>
    <s v="Kochi"/>
    <s v="Kerala"/>
    <x v="2"/>
    <s v="Dr. Ramesh"/>
    <s v="H10"/>
    <s v="Observation"/>
    <s v="OPD"/>
    <n v="8717.86"/>
    <s v="Debit Card"/>
    <s v="No"/>
    <m/>
    <n v="90"/>
    <s v="Senior"/>
    <s v="Medium"/>
    <s v="Short Days"/>
    <m/>
    <m/>
    <m/>
    <m/>
    <m/>
    <m/>
  </r>
  <r>
    <s v="VIS202890"/>
    <d v="2024-05-26T00:00:00"/>
    <s v="PAT6387"/>
    <s v="Rohan Bose"/>
    <s v="Female"/>
    <n v="18"/>
    <s v="Noida"/>
    <s v="Uttar Pradesh"/>
    <x v="3"/>
    <s v="Dr. Pallavi"/>
    <s v="I10"/>
    <s v="Medication"/>
    <s v="OPD"/>
    <n v="3237.52"/>
    <s v="Cash"/>
    <s v="No"/>
    <m/>
    <n v="30"/>
    <s v="Adult"/>
    <s v="Low"/>
    <s v="Short Days"/>
    <m/>
    <m/>
    <m/>
    <m/>
    <m/>
    <m/>
  </r>
  <r>
    <s v="VIS201690"/>
    <d v="2025-06-02T00:00:00"/>
    <s v="PAT5221"/>
    <s v="Aditya Khan"/>
    <s v="Male"/>
    <n v="35"/>
    <s v="Coimbatore"/>
    <s v="Tamil Nadu"/>
    <x v="5"/>
    <s v="Dr. Ravi"/>
    <s v="K21"/>
    <s v="Prescription Refill"/>
    <s v="OPD"/>
    <n v="7905.02"/>
    <s v="Insurance"/>
    <s v="Yes"/>
    <m/>
    <n v="30"/>
    <s v="Adult"/>
    <s v="Medium"/>
    <s v="Short Days"/>
    <m/>
    <m/>
    <m/>
    <m/>
    <m/>
    <m/>
  </r>
  <r>
    <s v="VIS200868"/>
    <d v="2025-03-03T00:00:00"/>
    <s v="PAT5798"/>
    <s v="Aishwarya Nagar"/>
    <s v="Female"/>
    <n v="23"/>
    <s v="Hyderabad"/>
    <s v="Telangana"/>
    <x v="5"/>
    <s v="Dr. Meena"/>
    <s v="N39"/>
    <s v="Minor Procedure"/>
    <s v="OPD"/>
    <n v="3124.88"/>
    <s v="Insurance"/>
    <s v="Yes"/>
    <m/>
    <n v="7"/>
    <s v="Adult"/>
    <s v="Low"/>
    <s v="Short Days"/>
    <m/>
    <m/>
    <m/>
    <m/>
    <m/>
    <m/>
  </r>
  <r>
    <s v="VIS202378"/>
    <d v="2024-08-30T00:00:00"/>
    <s v="PAT5730"/>
    <s v="Neha Reddy"/>
    <s v="Male"/>
    <n v="20"/>
    <s v="Kochi"/>
    <s v="Kerala"/>
    <x v="8"/>
    <s v="Dr. Kavitha"/>
    <s v="H10"/>
    <s v="Surgery"/>
    <s v="OPD"/>
    <n v="7094.07"/>
    <s v="Insurance"/>
    <s v="Yes"/>
    <m/>
    <n v="7"/>
    <s v="Adult"/>
    <s v="Medium"/>
    <s v="Short Days"/>
    <m/>
    <m/>
    <m/>
    <m/>
    <m/>
    <m/>
  </r>
  <r>
    <s v="VIS200628"/>
    <d v="2025-07-06T00:00:00"/>
    <s v="PAT6780"/>
    <s v="Manisha Bose"/>
    <s v="Male"/>
    <n v="48"/>
    <s v="Chennai"/>
    <s v="Tamil Nadu"/>
    <x v="5"/>
    <s v="Dr. Ravi"/>
    <s v="I10"/>
    <s v="Medication"/>
    <s v="Teleconsultation"/>
    <n v="15791.65"/>
    <s v="Cash"/>
    <s v="No"/>
    <m/>
    <m/>
    <s v="Middle-Aged"/>
    <s v="High"/>
    <s v="Short Days"/>
    <m/>
    <m/>
    <m/>
    <m/>
    <m/>
    <m/>
  </r>
  <r>
    <s v="VIS201506"/>
    <d v="2025-06-09T00:00:00"/>
    <s v="PAT5036"/>
    <s v="Anil Das"/>
    <s v="Female"/>
    <n v="61"/>
    <s v="Lucknow"/>
    <s v="Uttar Pradesh"/>
    <x v="6"/>
    <s v="Dr. Lalitha"/>
    <s v="L40"/>
    <s v="Physiotherapy"/>
    <s v="Teleconsultation"/>
    <n v="12419.5"/>
    <s v="Cash"/>
    <s v="No"/>
    <m/>
    <n v="30"/>
    <s v="Senior"/>
    <s v="High"/>
    <s v="Short Days"/>
    <m/>
    <m/>
    <m/>
    <m/>
    <m/>
    <m/>
  </r>
  <r>
    <s v="VIS200503"/>
    <d v="2024-02-11T00:00:00"/>
    <s v="PAT6941"/>
    <s v="Rahul Iyer"/>
    <s v="Female"/>
    <n v="24"/>
    <s v="Bengaluru"/>
    <s v="Karnataka"/>
    <x v="0"/>
    <s v="Dr. Nikhil"/>
    <s v="L40"/>
    <s v="Counselling"/>
    <s v="OPD"/>
    <n v="8334.7000000000007"/>
    <s v="Cash"/>
    <s v="No"/>
    <m/>
    <n v="90"/>
    <s v="Adult"/>
    <s v="Medium"/>
    <s v="Short Days"/>
    <m/>
    <m/>
    <m/>
    <m/>
    <m/>
    <m/>
  </r>
  <r>
    <s v="VIS202450"/>
    <d v="2024-08-19T00:00:00"/>
    <s v="PAT5088"/>
    <s v="Ananya Sharma"/>
    <s v="Female"/>
    <n v="14"/>
    <s v="Lucknow"/>
    <s v="Uttar Pradesh"/>
    <x v="7"/>
    <s v="Dr. Surya"/>
    <s v="K21"/>
    <s v="Surgery"/>
    <s v="OPD"/>
    <n v="1743.43"/>
    <s v="Debit Card"/>
    <s v="No"/>
    <m/>
    <n v="14"/>
    <s v="Child"/>
    <s v="Low"/>
    <s v="Short Days"/>
    <m/>
    <m/>
    <m/>
    <m/>
    <m/>
    <m/>
  </r>
  <r>
    <s v="VIS201769"/>
    <d v="2025-09-08T00:00:00"/>
    <s v="PAT5885"/>
    <s v="Rohan Nagar"/>
    <s v="Male"/>
    <n v="57"/>
    <s v="Jaipur"/>
    <s v="Rajasthan"/>
    <x v="2"/>
    <s v="Dr. Manoj"/>
    <s v="L40"/>
    <s v="Prescription Refill"/>
    <s v="OPD"/>
    <n v="566.84"/>
    <s v="Insurance"/>
    <s v="Yes"/>
    <m/>
    <m/>
    <s v="Middle-Aged"/>
    <s v="Low"/>
    <s v="Short Days"/>
    <m/>
    <m/>
    <m/>
    <m/>
    <m/>
    <m/>
  </r>
  <r>
    <s v="VIS201353"/>
    <d v="2025-08-11T00:00:00"/>
    <s v="PAT6982"/>
    <s v="Deepa Mishra"/>
    <s v="Female"/>
    <n v="30"/>
    <s v="Chennai"/>
    <s v="Tamil Nadu"/>
    <x v="2"/>
    <s v="Dr. Manoj"/>
    <s v="E11"/>
    <s v="Minor Surgery"/>
    <s v="Teleconsultation"/>
    <n v="22999.61"/>
    <s v="Debit Card"/>
    <s v="No"/>
    <m/>
    <n v="30"/>
    <s v="Adult"/>
    <s v="High"/>
    <s v="Short Days"/>
    <m/>
    <m/>
    <m/>
    <m/>
    <m/>
    <m/>
  </r>
  <r>
    <s v="VIS202662"/>
    <d v="2024-11-01T00:00:00"/>
    <s v="PAT5670"/>
    <s v="Manisha Reddy"/>
    <s v="Female"/>
    <n v="24"/>
    <s v="Pune"/>
    <s v="Maharashtra"/>
    <x v="0"/>
    <s v="Dr. Shailesh"/>
    <s v="K21"/>
    <s v="Physiotherapy"/>
    <s v="OPD"/>
    <n v="4133.6499999999996"/>
    <s v="Cash"/>
    <s v="No"/>
    <m/>
    <m/>
    <s v="Adult"/>
    <s v="Low"/>
    <s v="Short Days"/>
    <m/>
    <m/>
    <m/>
    <m/>
    <m/>
    <m/>
  </r>
  <r>
    <s v="VIS201534"/>
    <d v="2025-05-24T00:00:00"/>
    <s v="PAT5290"/>
    <s v="Neha Reddy"/>
    <s v="Male"/>
    <n v="37"/>
    <s v="Noida"/>
    <s v="Uttar Pradesh"/>
    <x v="9"/>
    <s v="Dr. Arvind"/>
    <s v="K21"/>
    <s v="Prescription Refill"/>
    <s v="OPD"/>
    <n v="1100.04"/>
    <s v="Credit Card"/>
    <s v="No"/>
    <m/>
    <m/>
    <s v="Adult"/>
    <s v="Low"/>
    <s v="Short Days"/>
    <m/>
    <m/>
    <m/>
    <m/>
    <m/>
    <m/>
  </r>
  <r>
    <s v="VIS202607"/>
    <d v="2024-05-11T00:00:00"/>
    <s v="PAT6650"/>
    <s v="Anil Mishra"/>
    <s v="Female"/>
    <n v="44"/>
    <s v="Jaipur"/>
    <s v="Rajasthan"/>
    <x v="5"/>
    <s v="Dr. Meena"/>
    <s v="N39"/>
    <s v="Minor Procedure"/>
    <s v="Emergency"/>
    <n v="18942.75"/>
    <s v="UPI"/>
    <s v="No"/>
    <m/>
    <n v="90"/>
    <s v="Middle-Aged"/>
    <s v="High"/>
    <s v="Short Days"/>
    <m/>
    <m/>
    <m/>
    <m/>
    <m/>
    <m/>
  </r>
  <r>
    <s v="VIS200286"/>
    <d v="2025-03-07T00:00:00"/>
    <s v="PAT6604"/>
    <s v="Rahul Reddy"/>
    <s v="Female"/>
    <n v="25"/>
    <s v="Ahmedabad"/>
    <s v="Gujarat"/>
    <x v="7"/>
    <s v="Dr. Leela"/>
    <s v="L40"/>
    <s v="Prescription Refill"/>
    <s v="OPD"/>
    <n v="1500.27"/>
    <s v="Cash"/>
    <s v="No"/>
    <m/>
    <n v="30"/>
    <s v="Adult"/>
    <s v="Low"/>
    <s v="Short Days"/>
    <m/>
    <m/>
    <m/>
    <m/>
    <m/>
    <m/>
  </r>
  <r>
    <s v="VIS202341"/>
    <d v="2025-09-25T00:00:00"/>
    <s v="PAT5743"/>
    <s v="Vivaan Mishra"/>
    <s v="Female"/>
    <n v="68"/>
    <s v="Mumbai"/>
    <s v="Maharashtra"/>
    <x v="5"/>
    <s v="Dr. Meena"/>
    <s v="F41"/>
    <s v="Medication"/>
    <s v="Teleconsultation"/>
    <n v="6770.48"/>
    <s v="Debit Card"/>
    <s v="No"/>
    <m/>
    <n v="90"/>
    <s v="Senior"/>
    <s v="Medium"/>
    <s v="Short Days"/>
    <m/>
    <m/>
    <m/>
    <m/>
    <m/>
    <m/>
  </r>
  <r>
    <s v="VIS202000"/>
    <d v="2025-03-17T00:00:00"/>
    <s v="PAT5887"/>
    <s v="Deepa Mishra"/>
    <s v="Female"/>
    <n v="48"/>
    <s v="Kolkata"/>
    <s v="West Bengal"/>
    <x v="8"/>
    <s v="Dr. Sneha"/>
    <s v="E11"/>
    <s v="Minor Procedure"/>
    <s v="Emergency"/>
    <n v="12292.38"/>
    <s v="UPI"/>
    <s v="No"/>
    <m/>
    <m/>
    <s v="Middle-Aged"/>
    <s v="High"/>
    <s v="Short Days"/>
    <m/>
    <m/>
    <m/>
    <m/>
    <m/>
    <m/>
  </r>
  <r>
    <s v="VIS202564"/>
    <d v="2024-05-26T00:00:00"/>
    <s v="PAT6102"/>
    <s v="Neha Gupta"/>
    <s v="Female"/>
    <n v="83"/>
    <s v="Jaipur"/>
    <s v="Rajasthan"/>
    <x v="3"/>
    <s v="Dr. Pallavi"/>
    <s v="L40"/>
    <s v="Physiotherapy"/>
    <s v="OPD"/>
    <n v="4339.97"/>
    <s v="UPI"/>
    <s v="No"/>
    <m/>
    <n v="90"/>
    <s v="Senior"/>
    <s v="Low"/>
    <s v="Short Days"/>
    <m/>
    <m/>
    <m/>
    <m/>
    <m/>
    <m/>
  </r>
  <r>
    <s v="VIS201751"/>
    <d v="2024-05-20T00:00:00"/>
    <s v="PAT6409"/>
    <s v="Priya Khan"/>
    <s v="Male"/>
    <n v="46"/>
    <s v="Mumbai"/>
    <s v="Maharashtra"/>
    <x v="9"/>
    <s v="Dr. Kusum"/>
    <s v="F41"/>
    <s v="Surgery"/>
    <s v="OPD"/>
    <n v="6063.8"/>
    <s v="Cash"/>
    <s v="No"/>
    <m/>
    <n v="7"/>
    <s v="Middle-Aged"/>
    <s v="Medium"/>
    <s v="Short Days"/>
    <m/>
    <m/>
    <m/>
    <m/>
    <m/>
    <m/>
  </r>
  <r>
    <s v="VIS200811"/>
    <d v="2024-04-05T00:00:00"/>
    <s v="PAT6197"/>
    <s v="Ananya Reddy"/>
    <s v="Male"/>
    <n v="26"/>
    <s v="Mumbai"/>
    <s v="Maharashtra"/>
    <x v="5"/>
    <s v="Dr. Meena"/>
    <s v="J45"/>
    <s v="Minor Surgery"/>
    <s v="IPD"/>
    <n v="7618.51"/>
    <s v="Net Banking"/>
    <s v="No"/>
    <n v="7"/>
    <n v="30"/>
    <s v="Adult"/>
    <s v="Medium"/>
    <s v="Long Days"/>
    <m/>
    <m/>
    <m/>
    <m/>
    <m/>
    <m/>
  </r>
  <r>
    <s v="VIS202645"/>
    <d v="2025-09-29T00:00:00"/>
    <s v="PAT5070"/>
    <s v="Priya Bose"/>
    <s v="Male"/>
    <n v="25"/>
    <s v="Kolkata"/>
    <s v="West Bengal"/>
    <x v="3"/>
    <s v="Dr. Pallavi"/>
    <s v="H10"/>
    <s v="Physiotherapy"/>
    <s v="OPD"/>
    <n v="4810.93"/>
    <s v="Net Banking"/>
    <s v="No"/>
    <m/>
    <n v="14"/>
    <s v="Adult"/>
    <s v="Low"/>
    <s v="Short Days"/>
    <m/>
    <m/>
    <m/>
    <m/>
    <m/>
    <m/>
  </r>
  <r>
    <s v="VIS202778"/>
    <d v="2025-07-29T00:00:00"/>
    <s v="PAT6508"/>
    <s v="Rahul Bose"/>
    <s v="Female"/>
    <n v="25"/>
    <s v="Trichy"/>
    <s v="Tamil Nadu"/>
    <x v="8"/>
    <s v="Dr. Sneha"/>
    <s v="K21"/>
    <s v="Minor Surgery"/>
    <s v="Teleconsultation"/>
    <n v="8909.1"/>
    <s v="Cash"/>
    <s v="No"/>
    <m/>
    <n v="14"/>
    <s v="Adult"/>
    <s v="Medium"/>
    <s v="Short Days"/>
    <m/>
    <m/>
    <m/>
    <m/>
    <m/>
    <m/>
  </r>
  <r>
    <s v="VIS202617"/>
    <d v="2024-01-09T00:00:00"/>
    <s v="PAT6956"/>
    <s v="Karthik Gupta"/>
    <s v="Female"/>
    <n v="44"/>
    <s v="Madurai"/>
    <s v="Tamil Nadu"/>
    <x v="5"/>
    <s v="Dr. Ravi"/>
    <s v="L40"/>
    <s v="Prescription Refill"/>
    <s v="Emergency"/>
    <n v="9676.66"/>
    <s v="Cash"/>
    <s v="No"/>
    <m/>
    <m/>
    <s v="Middle-Aged"/>
    <s v="Medium"/>
    <s v="Short Days"/>
    <m/>
    <m/>
    <m/>
    <m/>
    <m/>
    <m/>
  </r>
  <r>
    <s v="VIS202503"/>
    <d v="2025-10-25T00:00:00"/>
    <s v="PAT5126"/>
    <s v="Ishaan Das"/>
    <s v="Female"/>
    <n v="49"/>
    <s v="Mumbai"/>
    <s v="Maharashtra"/>
    <x v="4"/>
    <s v="Dr. Bhavana"/>
    <s v="J00"/>
    <s v="Counselling"/>
    <s v="OPD"/>
    <n v="2187.36"/>
    <s v="UPI"/>
    <s v="No"/>
    <m/>
    <m/>
    <s v="Middle-Aged"/>
    <s v="Low"/>
    <s v="Short Days"/>
    <m/>
    <m/>
    <m/>
    <m/>
    <m/>
    <m/>
  </r>
  <r>
    <s v="VIS202372"/>
    <d v="2025-07-14T00:00:00"/>
    <s v="PAT5102"/>
    <s v="Rohan Singh"/>
    <s v="Male"/>
    <n v="25"/>
    <s v="Pune"/>
    <s v="Maharashtra"/>
    <x v="7"/>
    <s v="Dr. Leela"/>
    <s v="E11"/>
    <s v="Physiotherapy"/>
    <s v="Emergency"/>
    <n v="5454.77"/>
    <s v="Cash"/>
    <s v="No"/>
    <m/>
    <n v="30"/>
    <s v="Adult"/>
    <s v="Medium"/>
    <s v="Short Days"/>
    <m/>
    <m/>
    <m/>
    <m/>
    <m/>
    <m/>
  </r>
  <r>
    <s v="VIS201799"/>
    <d v="2025-03-31T00:00:00"/>
    <s v="PAT6645"/>
    <s v="Aditya Sharma"/>
    <s v="Male"/>
    <n v="50"/>
    <s v="Trichy"/>
    <s v="Tamil Nadu"/>
    <x v="5"/>
    <s v="Dr. Ravi"/>
    <s v="I10"/>
    <s v="Observation"/>
    <s v="OPD"/>
    <n v="4306.99"/>
    <s v="Insurance"/>
    <s v="Yes"/>
    <m/>
    <n v="14"/>
    <s v="Middle-Aged"/>
    <s v="Low"/>
    <s v="Short Days"/>
    <m/>
    <m/>
    <m/>
    <m/>
    <m/>
    <m/>
  </r>
  <r>
    <s v="VIS200970"/>
    <d v="2025-06-17T00:00:00"/>
    <s v="PAT5331"/>
    <s v="Aarav Reddy"/>
    <s v="Male"/>
    <n v="43"/>
    <s v="Kochi"/>
    <s v="Kerala"/>
    <x v="3"/>
    <s v="Dr. Anand"/>
    <s v="J45"/>
    <s v="Minor Surgery"/>
    <s v="Teleconsultation"/>
    <n v="18956.02"/>
    <s v="Debit Card"/>
    <s v="No"/>
    <m/>
    <n v="90"/>
    <s v="Middle-Aged"/>
    <s v="High"/>
    <s v="Short Days"/>
    <m/>
    <m/>
    <m/>
    <m/>
    <m/>
    <m/>
  </r>
  <r>
    <s v="VIS201021"/>
    <d v="2025-11-02T00:00:00"/>
    <s v="PAT5761"/>
    <s v="Neha Nair"/>
    <s v="Female"/>
    <n v="53"/>
    <s v="Hyderabad"/>
    <s v="Telangana"/>
    <x v="5"/>
    <s v="Dr. Ravi"/>
    <s v="J45"/>
    <s v="Counselling"/>
    <s v="Emergency"/>
    <n v="9194.56"/>
    <s v="Cash"/>
    <s v="No"/>
    <m/>
    <m/>
    <s v="Middle-Aged"/>
    <s v="Medium"/>
    <s v="Short Days"/>
    <m/>
    <m/>
    <m/>
    <m/>
    <m/>
    <m/>
  </r>
  <r>
    <s v="VIS200431"/>
    <d v="2024-12-09T00:00:00"/>
    <s v="PAT6076"/>
    <s v="Shruti Mishra"/>
    <s v="Female"/>
    <n v="52"/>
    <s v="Mumbai"/>
    <s v="Maharashtra"/>
    <x v="4"/>
    <s v="Dr. Varun"/>
    <s v="M54"/>
    <s v="Prescription Refill"/>
    <s v="Teleconsultation"/>
    <n v="15101.2"/>
    <s v="Cash"/>
    <s v="No"/>
    <m/>
    <n v="30"/>
    <s v="Middle-Aged"/>
    <s v="High"/>
    <s v="Short Days"/>
    <m/>
    <m/>
    <m/>
    <m/>
    <m/>
    <m/>
  </r>
  <r>
    <s v="VIS200825"/>
    <d v="2024-03-03T00:00:00"/>
    <s v="PAT6770"/>
    <s v="Rahul Nagar"/>
    <s v="Male"/>
    <n v="42"/>
    <s v="Lucknow"/>
    <s v="Uttar Pradesh"/>
    <x v="5"/>
    <s v="Dr. Ravi"/>
    <s v="K21"/>
    <s v="Counselling"/>
    <s v="OPD"/>
    <n v="670.03"/>
    <s v="Credit Card"/>
    <s v="No"/>
    <m/>
    <m/>
    <s v="Middle-Aged"/>
    <s v="Low"/>
    <s v="Short Days"/>
    <m/>
    <m/>
    <m/>
    <m/>
    <m/>
    <m/>
  </r>
  <r>
    <s v="VIS202452"/>
    <d v="2024-04-13T00:00:00"/>
    <s v="PAT5162"/>
    <s v="Aishwarya Sharma"/>
    <s v="Male"/>
    <n v="22"/>
    <s v="Chennai"/>
    <s v="Tamil Nadu"/>
    <x v="1"/>
    <s v="Dr. Suri"/>
    <s v="Z111"/>
    <s v="Minor Procedure"/>
    <s v="IPD"/>
    <n v="9258.35"/>
    <s v="Net Banking"/>
    <s v="No"/>
    <n v="5"/>
    <m/>
    <s v="Adult"/>
    <s v="Medium"/>
    <s v="Short Days"/>
    <m/>
    <m/>
    <m/>
    <m/>
    <m/>
    <m/>
  </r>
  <r>
    <s v="VIS201494"/>
    <d v="2024-04-21T00:00:00"/>
    <s v="PAT5568"/>
    <s v="Vishal Gupta"/>
    <s v="Female"/>
    <n v="26"/>
    <s v="Kolkata"/>
    <s v="West Bengal"/>
    <x v="2"/>
    <s v="Dr. Ramesh"/>
    <s v="N39"/>
    <s v="Medication"/>
    <s v="Emergency"/>
    <n v="5905.72"/>
    <s v="Credit Card"/>
    <s v="No"/>
    <m/>
    <n v="14"/>
    <s v="Adult"/>
    <s v="Medium"/>
    <s v="Short Days"/>
    <m/>
    <m/>
    <m/>
    <m/>
    <m/>
    <m/>
  </r>
  <r>
    <s v="VIS200930"/>
    <d v="2024-06-23T00:00:00"/>
    <s v="PAT5980"/>
    <s v="Manisha Gupta"/>
    <s v="Female"/>
    <n v="47"/>
    <s v="Trichy"/>
    <s v="Tamil Nadu"/>
    <x v="4"/>
    <s v="Dr. Bhavana"/>
    <s v="N39"/>
    <s v="Prescription Refill"/>
    <s v="OPD"/>
    <n v="4810.7"/>
    <s v="Debit Card"/>
    <s v="No"/>
    <m/>
    <m/>
    <s v="Middle-Aged"/>
    <s v="Low"/>
    <s v="Short Days"/>
    <m/>
    <m/>
    <m/>
    <m/>
    <m/>
    <m/>
  </r>
  <r>
    <s v="VIS201269"/>
    <d v="2024-09-15T00:00:00"/>
    <s v="PAT6871"/>
    <s v="Aishwarya Singh"/>
    <s v="Female"/>
    <n v="35"/>
    <s v="Hyderabad"/>
    <s v="Telangana"/>
    <x v="8"/>
    <s v="Dr. Kavitha"/>
    <s v="H10"/>
    <s v="Minor Surgery"/>
    <s v="OPD"/>
    <n v="10912.86"/>
    <s v="Cash"/>
    <s v="No"/>
    <m/>
    <n v="90"/>
    <s v="Adult"/>
    <s v="High"/>
    <s v="Short Days"/>
    <m/>
    <m/>
    <m/>
    <m/>
    <m/>
    <m/>
  </r>
  <r>
    <s v="VIS201987"/>
    <d v="2025-05-02T00:00:00"/>
    <s v="PAT5044"/>
    <s v="Aarav Jose"/>
    <s v="Male"/>
    <n v="45"/>
    <s v="Coimbatore"/>
    <s v="Tamil Nadu"/>
    <x v="4"/>
    <s v="Dr. Varun"/>
    <s v="J45"/>
    <s v="Minor Procedure"/>
    <s v="OPD"/>
    <n v="5269.51"/>
    <s v="Credit Card"/>
    <s v="No"/>
    <m/>
    <n v="14"/>
    <s v="Middle-Aged"/>
    <s v="Medium"/>
    <s v="Short Days"/>
    <m/>
    <m/>
    <m/>
    <m/>
    <m/>
    <m/>
  </r>
  <r>
    <s v="VIS202900"/>
    <d v="2025-08-06T00:00:00"/>
    <s v="PAT5006"/>
    <s v="Rahul Jose"/>
    <s v="Female"/>
    <n v="64"/>
    <s v="Hyderabad"/>
    <s v="Telangana"/>
    <x v="3"/>
    <s v="Dr. Pallavi"/>
    <s v="E11"/>
    <s v="Minor Surgery"/>
    <s v="OPD"/>
    <n v="2680.89"/>
    <s v="Credit Card"/>
    <s v="No"/>
    <m/>
    <m/>
    <s v="Senior"/>
    <s v="Low"/>
    <s v="Short Days"/>
    <m/>
    <m/>
    <m/>
    <m/>
    <m/>
    <m/>
  </r>
  <r>
    <s v="VIS202054"/>
    <d v="2025-01-30T00:00:00"/>
    <s v="PAT5737"/>
    <s v="Aarav Bose"/>
    <s v="Female"/>
    <n v="35"/>
    <s v="Lucknow"/>
    <s v="Uttar Pradesh"/>
    <x v="5"/>
    <s v="Dr. Meena"/>
    <s v="L40"/>
    <s v="Minor Procedure"/>
    <s v="OPD"/>
    <n v="2392.64"/>
    <s v="Debit Card"/>
    <s v="No"/>
    <m/>
    <n v="30"/>
    <s v="Adult"/>
    <s v="Low"/>
    <s v="Short Days"/>
    <m/>
    <m/>
    <m/>
    <m/>
    <m/>
    <m/>
  </r>
  <r>
    <s v="VIS202429"/>
    <d v="2024-05-27T00:00:00"/>
    <s v="PAT6714"/>
    <s v="Shruti Khan"/>
    <s v="Female"/>
    <n v="22"/>
    <s v="Bengaluru"/>
    <s v="Karnataka"/>
    <x v="3"/>
    <s v="Dr. Anand"/>
    <s v="F41"/>
    <s v="Prescription Refill"/>
    <s v="IPD"/>
    <n v="6059.51"/>
    <s v="Insurance"/>
    <s v="Yes"/>
    <n v="7"/>
    <n v="90"/>
    <s v="Adult"/>
    <s v="Medium"/>
    <s v="Long Days"/>
    <m/>
    <m/>
    <m/>
    <m/>
    <m/>
    <m/>
  </r>
  <r>
    <s v="VIS200403"/>
    <d v="2024-06-18T00:00:00"/>
    <s v="PAT5254"/>
    <s v="Siddharth Bose"/>
    <s v="Female"/>
    <n v="59"/>
    <s v="Kochi"/>
    <s v="Kerala"/>
    <x v="3"/>
    <s v="Dr. Anand"/>
    <s v="L40"/>
    <s v="Surgery"/>
    <s v="OPD"/>
    <n v="276.23"/>
    <s v="Cash"/>
    <s v="No"/>
    <m/>
    <n v="30"/>
    <s v="Middle-Aged"/>
    <s v="Low"/>
    <s v="Short Days"/>
    <m/>
    <m/>
    <m/>
    <m/>
    <m/>
    <m/>
  </r>
  <r>
    <s v="VIS200733"/>
    <d v="2025-01-08T00:00:00"/>
    <s v="PAT5408"/>
    <s v="Anil Jose"/>
    <s v="Female"/>
    <n v="10"/>
    <s v="Madurai"/>
    <s v="Tamil Nadu"/>
    <x v="3"/>
    <s v="Dr. Pallavi"/>
    <s v="K21"/>
    <s v="Prescription Refill"/>
    <s v="Teleconsultation"/>
    <n v="9553.6"/>
    <s v="Cash"/>
    <s v="No"/>
    <m/>
    <n v="14"/>
    <s v="Child"/>
    <s v="Medium"/>
    <s v="Short Days"/>
    <m/>
    <m/>
    <m/>
    <m/>
    <m/>
    <m/>
  </r>
  <r>
    <s v="VIS201605"/>
    <d v="2024-09-04T00:00:00"/>
    <s v="PAT6676"/>
    <s v="Rahul Reddy"/>
    <s v="Male"/>
    <n v="21"/>
    <s v="Ahmedabad"/>
    <s v="Gujarat"/>
    <x v="7"/>
    <s v="Dr. Leela"/>
    <s v="H10"/>
    <s v="Physiotherapy"/>
    <s v="Emergency"/>
    <n v="12239.75"/>
    <s v="Credit Card"/>
    <s v="No"/>
    <m/>
    <m/>
    <s v="Adult"/>
    <s v="High"/>
    <s v="Short Days"/>
    <m/>
    <m/>
    <m/>
    <m/>
    <m/>
    <m/>
  </r>
  <r>
    <s v="VIS201385"/>
    <d v="2024-08-31T00:00:00"/>
    <s v="PAT6226"/>
    <s v="Neha Nair"/>
    <s v="Female"/>
    <n v="51"/>
    <s v="Mumbai"/>
    <s v="Maharashtra"/>
    <x v="9"/>
    <s v="Dr. Kusum"/>
    <s v="I10"/>
    <s v="Prescription Refill"/>
    <s v="OPD"/>
    <n v="2023.95"/>
    <s v="Credit Card"/>
    <s v="No"/>
    <m/>
    <n v="7"/>
    <s v="Middle-Aged"/>
    <s v="Low"/>
    <s v="Short Days"/>
    <m/>
    <m/>
    <m/>
    <m/>
    <m/>
    <m/>
  </r>
  <r>
    <s v="VIS201700"/>
    <d v="2025-08-03T00:00:00"/>
    <s v="PAT6365"/>
    <s v="Deepa Patel"/>
    <s v="Male"/>
    <n v="32"/>
    <s v="Bengaluru"/>
    <s v="Karnataka"/>
    <x v="3"/>
    <s v="Dr. Anand"/>
    <s v="H10"/>
    <s v="Counselling"/>
    <s v="Emergency"/>
    <n v="9034.17"/>
    <s v="Debit Card"/>
    <s v="No"/>
    <m/>
    <n v="30"/>
    <s v="Adult"/>
    <s v="Medium"/>
    <s v="Short Days"/>
    <m/>
    <m/>
    <m/>
    <m/>
    <m/>
    <m/>
  </r>
  <r>
    <s v="VIS200145"/>
    <d v="2025-04-06T00:00:00"/>
    <s v="PAT6071"/>
    <s v="Priya Nair"/>
    <s v="Female"/>
    <n v="36"/>
    <s v="Kochi"/>
    <s v="Kerala"/>
    <x v="7"/>
    <s v="Dr. Surya"/>
    <s v="M54"/>
    <s v="Prescription Refill"/>
    <s v="OPD"/>
    <n v="2071.6799999999998"/>
    <s v="Insurance"/>
    <s v="Yes"/>
    <m/>
    <n v="30"/>
    <s v="Adult"/>
    <s v="Low"/>
    <s v="Short Days"/>
    <m/>
    <m/>
    <m/>
    <m/>
    <m/>
    <m/>
  </r>
  <r>
    <s v="VIS202009"/>
    <d v="2025-02-17T00:00:00"/>
    <s v="PAT5959"/>
    <s v="Karthik Nair"/>
    <s v="Male"/>
    <n v="46"/>
    <s v="Jaipur"/>
    <s v="Rajasthan"/>
    <x v="0"/>
    <s v="Dr. Nikhil"/>
    <s v="F41"/>
    <s v="Minor Procedure"/>
    <s v="OPD"/>
    <n v="3372.83"/>
    <s v="Debit Card"/>
    <s v="No"/>
    <m/>
    <n v="14"/>
    <s v="Middle-Aged"/>
    <s v="Low"/>
    <s v="Short Days"/>
    <m/>
    <m/>
    <m/>
    <m/>
    <m/>
    <m/>
  </r>
  <r>
    <s v="VIS200897"/>
    <d v="2024-07-06T00:00:00"/>
    <s v="PAT6421"/>
    <s v="Siddharth Singh"/>
    <s v="Female"/>
    <n v="32"/>
    <s v="Kolkata"/>
    <s v="West Bengal"/>
    <x v="8"/>
    <s v="Dr. Sneha"/>
    <s v="E11"/>
    <s v="Medication"/>
    <s v="OPD"/>
    <n v="2510.44"/>
    <s v="Net Banking"/>
    <s v="No"/>
    <m/>
    <m/>
    <s v="Adult"/>
    <s v="Low"/>
    <s v="Short Days"/>
    <m/>
    <m/>
    <m/>
    <m/>
    <m/>
    <m/>
  </r>
  <r>
    <s v="VIS201266"/>
    <d v="2024-07-03T00:00:00"/>
    <s v="PAT6509"/>
    <s v="Priya Gupta"/>
    <s v="Female"/>
    <n v="84"/>
    <s v="Bengaluru"/>
    <s v="Karnataka"/>
    <x v="0"/>
    <s v="Dr. Nikhil"/>
    <s v="F41"/>
    <s v="Physiotherapy"/>
    <s v="OPD"/>
    <n v="412.05"/>
    <s v="UPI"/>
    <s v="No"/>
    <m/>
    <n v="14"/>
    <s v="Senior"/>
    <s v="Low"/>
    <s v="Short Days"/>
    <m/>
    <m/>
    <m/>
    <m/>
    <m/>
    <m/>
  </r>
  <r>
    <s v="VIS202693"/>
    <d v="2025-10-20T00:00:00"/>
    <s v="PAT5936"/>
    <s v="Ishaan Reddy"/>
    <s v="Female"/>
    <n v="31"/>
    <s v="Lucknow"/>
    <s v="Uttar Pradesh"/>
    <x v="7"/>
    <s v="Dr. Surya"/>
    <s v="F41"/>
    <s v="Surgery"/>
    <s v="OPD"/>
    <n v="6180.58"/>
    <s v="Insurance"/>
    <s v="Yes"/>
    <m/>
    <m/>
    <s v="Adult"/>
    <s v="Medium"/>
    <s v="Short Days"/>
    <m/>
    <m/>
    <m/>
    <m/>
    <m/>
    <m/>
  </r>
  <r>
    <s v="VIS200122"/>
    <d v="2024-11-17T00:00:00"/>
    <s v="PAT6249"/>
    <s v="Deepa Bose"/>
    <s v="Female"/>
    <n v="8"/>
    <s v="Ahmedabad"/>
    <s v="Gujarat"/>
    <x v="4"/>
    <s v="Dr. Bhavana"/>
    <s v="E11"/>
    <s v="Physiotherapy"/>
    <s v="Teleconsultation"/>
    <n v="14729.91"/>
    <s v="Debit Card"/>
    <s v="No"/>
    <m/>
    <m/>
    <s v="Child"/>
    <s v="High"/>
    <s v="Short Days"/>
    <m/>
    <m/>
    <m/>
    <m/>
    <m/>
    <m/>
  </r>
  <r>
    <s v="VIS201881"/>
    <d v="2025-10-21T00:00:00"/>
    <s v="PAT6394"/>
    <s v="Aditya Bose"/>
    <s v="Female"/>
    <n v="54"/>
    <s v="Lucknow"/>
    <s v="Uttar Pradesh"/>
    <x v="0"/>
    <s v="Dr. Shailesh"/>
    <s v="M54"/>
    <s v="Surgery"/>
    <s v="Emergency"/>
    <n v="9170.67"/>
    <s v="Cash"/>
    <s v="No"/>
    <m/>
    <m/>
    <s v="Middle-Aged"/>
    <s v="Medium"/>
    <s v="Short Days"/>
    <m/>
    <m/>
    <m/>
    <m/>
    <m/>
    <m/>
  </r>
  <r>
    <s v="VIS202006"/>
    <d v="2025-09-19T00:00:00"/>
    <s v="PAT6558"/>
    <s v="Arjun Iyer"/>
    <s v="Male"/>
    <n v="51"/>
    <s v="Mumbai"/>
    <s v="Maharashtra"/>
    <x v="2"/>
    <s v="Dr. Manoj"/>
    <s v="K21"/>
    <s v="Prescription Refill"/>
    <s v="Emergency"/>
    <n v="7295.29"/>
    <s v="UPI"/>
    <s v="No"/>
    <m/>
    <n v="7"/>
    <s v="Middle-Aged"/>
    <s v="Medium"/>
    <s v="Short Days"/>
    <m/>
    <m/>
    <m/>
    <m/>
    <m/>
    <m/>
  </r>
  <r>
    <s v="VIS201945"/>
    <d v="2024-06-23T00:00:00"/>
    <s v="PAT5046"/>
    <s v="Arjun Gupta"/>
    <s v="Female"/>
    <n v="41"/>
    <s v="Chennai"/>
    <s v="Tamil Nadu"/>
    <x v="0"/>
    <s v="Dr. Shailesh"/>
    <s v="E11"/>
    <s v="Minor Procedure"/>
    <s v="Teleconsultation"/>
    <n v="7871.32"/>
    <s v="Debit Card"/>
    <s v="No"/>
    <m/>
    <m/>
    <s v="Middle-Aged"/>
    <s v="Medium"/>
    <s v="Short Days"/>
    <m/>
    <m/>
    <m/>
    <m/>
    <m/>
    <m/>
  </r>
  <r>
    <s v="VIS201757"/>
    <d v="2025-06-25T00:00:00"/>
    <s v="PAT6044"/>
    <s v="Aditya Nair"/>
    <s v="Female"/>
    <n v="4"/>
    <s v="Kolkata"/>
    <s v="West Bengal"/>
    <x v="8"/>
    <s v="Dr. Kavitha"/>
    <s v="J00"/>
    <s v="Physiotherapy"/>
    <s v="OPD"/>
    <n v="671.59"/>
    <s v="Insurance"/>
    <s v="Yes"/>
    <m/>
    <n v="30"/>
    <s v="Child"/>
    <s v="Low"/>
    <s v="Short Days"/>
    <m/>
    <m/>
    <m/>
    <m/>
    <m/>
    <m/>
  </r>
  <r>
    <s v="VIS201146"/>
    <d v="2024-12-19T00:00:00"/>
    <s v="PAT6590"/>
    <s v="Shruti Das"/>
    <s v="Male"/>
    <n v="39"/>
    <s v="Kolkata"/>
    <s v="West Bengal"/>
    <x v="0"/>
    <s v="Dr. Shailesh"/>
    <s v="J00"/>
    <s v="Counselling"/>
    <s v="OPD"/>
    <n v="21256.3"/>
    <s v="Cash"/>
    <s v="No"/>
    <m/>
    <n v="14"/>
    <s v="Adult"/>
    <s v="High"/>
    <s v="Short Days"/>
    <m/>
    <m/>
    <m/>
    <m/>
    <m/>
    <m/>
  </r>
  <r>
    <s v="VIS200267"/>
    <d v="2024-05-17T00:00:00"/>
    <s v="PAT6846"/>
    <s v="Anil Nair"/>
    <s v="Male"/>
    <n v="11"/>
    <s v="Kolkata"/>
    <s v="West Bengal"/>
    <x v="2"/>
    <s v="Dr. Manoj"/>
    <s v="K21"/>
    <s v="Prescription Refill"/>
    <s v="OPD"/>
    <n v="3360.37"/>
    <s v="UPI"/>
    <s v="No"/>
    <m/>
    <n v="90"/>
    <s v="Child"/>
    <s v="Low"/>
    <s v="Short Days"/>
    <m/>
    <m/>
    <m/>
    <m/>
    <m/>
    <m/>
  </r>
  <r>
    <s v="VIS201241"/>
    <d v="2025-08-03T00:00:00"/>
    <s v="PAT6672"/>
    <s v="Arjun Khan"/>
    <s v="Male"/>
    <n v="35"/>
    <s v="Noida"/>
    <s v="Uttar Pradesh"/>
    <x v="5"/>
    <s v="Dr. Meena"/>
    <s v="L40"/>
    <s v="Counselling"/>
    <s v="Emergency"/>
    <n v="8895.74"/>
    <s v="Credit Card"/>
    <s v="No"/>
    <m/>
    <m/>
    <s v="Adult"/>
    <s v="Medium"/>
    <s v="Short Days"/>
    <m/>
    <m/>
    <m/>
    <m/>
    <m/>
    <m/>
  </r>
  <r>
    <s v="VIS202806"/>
    <d v="2024-01-09T00:00:00"/>
    <s v="PAT6667"/>
    <s v="Ishaan Sharma"/>
    <s v="Female"/>
    <n v="57"/>
    <s v="Jaipur"/>
    <s v="Rajasthan"/>
    <x v="1"/>
    <s v="Dr. Suri"/>
    <s v="J00"/>
    <s v="Counselling"/>
    <s v="Emergency"/>
    <n v="5213.5200000000004"/>
    <s v="Insurance"/>
    <s v="Yes"/>
    <m/>
    <m/>
    <s v="Middle-Aged"/>
    <s v="Medium"/>
    <s v="Short Days"/>
    <m/>
    <m/>
    <m/>
    <m/>
    <m/>
    <m/>
  </r>
  <r>
    <s v="VIS202296"/>
    <d v="2025-09-24T00:00:00"/>
    <s v="PAT5127"/>
    <s v="Kavya Sharma"/>
    <s v="Female"/>
    <n v="34"/>
    <s v="Madurai"/>
    <s v="Tamil Nadu"/>
    <x v="7"/>
    <s v="Dr. Surya"/>
    <s v="J00"/>
    <s v="Medication"/>
    <s v="OPD"/>
    <n v="4995.57"/>
    <s v="Insurance"/>
    <s v="Yes"/>
    <m/>
    <n v="90"/>
    <s v="Adult"/>
    <s v="Low"/>
    <s v="Short Days"/>
    <m/>
    <m/>
    <m/>
    <m/>
    <m/>
    <m/>
  </r>
  <r>
    <s v="VIS202843"/>
    <d v="2025-04-17T00:00:00"/>
    <s v="PAT5097"/>
    <s v="Ananya Das"/>
    <s v="Female"/>
    <n v="26"/>
    <s v="Jaipur"/>
    <s v="Rajasthan"/>
    <x v="4"/>
    <s v="Dr. Varun"/>
    <s v="I10"/>
    <s v="Medication"/>
    <s v="Emergency"/>
    <n v="28432.799999999999"/>
    <s v="Net Banking"/>
    <s v="No"/>
    <m/>
    <m/>
    <s v="Adult"/>
    <s v="High"/>
    <s v="Short Days"/>
    <m/>
    <m/>
    <m/>
    <m/>
    <m/>
    <m/>
  </r>
  <r>
    <s v="VIS201124"/>
    <d v="2024-11-02T00:00:00"/>
    <s v="PAT5502"/>
    <s v="Neha Mishra"/>
    <s v="Female"/>
    <n v="49"/>
    <s v="Noida"/>
    <s v="Uttar Pradesh"/>
    <x v="6"/>
    <s v="Dr. Priya"/>
    <s v="L40"/>
    <s v="Physiotherapy"/>
    <s v="OPD"/>
    <n v="7954.34"/>
    <s v="Credit Card"/>
    <s v="No"/>
    <m/>
    <m/>
    <s v="Middle-Aged"/>
    <s v="Medium"/>
    <s v="Short Days"/>
    <m/>
    <m/>
    <m/>
    <m/>
    <m/>
    <m/>
  </r>
  <r>
    <s v="VIS200054"/>
    <d v="2024-04-11T00:00:00"/>
    <s v="PAT6563"/>
    <s v="Deepa Khan"/>
    <s v="Female"/>
    <n v="26"/>
    <s v="Kolkata"/>
    <s v="West Bengal"/>
    <x v="7"/>
    <s v="Dr. Surya"/>
    <s v="K21"/>
    <s v="Observation"/>
    <s v="Emergency"/>
    <n v="9590.19"/>
    <s v="UPI"/>
    <s v="No"/>
    <m/>
    <m/>
    <s v="Adult"/>
    <s v="Medium"/>
    <s v="Short Days"/>
    <m/>
    <m/>
    <m/>
    <m/>
    <m/>
    <m/>
  </r>
  <r>
    <s v="VIS201155"/>
    <d v="2024-11-08T00:00:00"/>
    <s v="PAT5276"/>
    <s v="Arjun Mishra"/>
    <s v="Male"/>
    <n v="17"/>
    <s v="Kochi"/>
    <s v="Kerala"/>
    <x v="1"/>
    <s v="Dr. Anu"/>
    <s v="J00"/>
    <s v="Medication"/>
    <s v="OPD"/>
    <n v="11963.11"/>
    <s v="UPI"/>
    <s v="No"/>
    <m/>
    <n v="14"/>
    <s v="Child"/>
    <s v="High"/>
    <s v="Short Days"/>
    <m/>
    <m/>
    <m/>
    <m/>
    <m/>
    <m/>
  </r>
  <r>
    <s v="VIS200497"/>
    <d v="2025-03-21T00:00:00"/>
    <s v="PAT5987"/>
    <s v="Karthik Iyer"/>
    <s v="Male"/>
    <n v="49"/>
    <s v="Ahmedabad"/>
    <s v="Gujarat"/>
    <x v="2"/>
    <s v="Dr. Manoj"/>
    <s v="E11"/>
    <s v="Physiotherapy"/>
    <s v="OPD"/>
    <n v="709.89"/>
    <s v="Cash"/>
    <s v="No"/>
    <m/>
    <m/>
    <s v="Middle-Aged"/>
    <s v="Low"/>
    <s v="Short Days"/>
    <m/>
    <m/>
    <m/>
    <m/>
    <m/>
    <m/>
  </r>
  <r>
    <s v="VIS201593"/>
    <d v="2024-06-01T00:00:00"/>
    <s v="PAT6511"/>
    <s v="Ishaan Kumar"/>
    <s v="Male"/>
    <n v="68"/>
    <s v="Chennai"/>
    <s v="Tamil Nadu"/>
    <x v="1"/>
    <s v="Dr. Anu"/>
    <s v="F41"/>
    <s v="Physiotherapy"/>
    <s v="Teleconsultation"/>
    <n v="5931.87"/>
    <s v="Cash"/>
    <s v="No"/>
    <m/>
    <m/>
    <s v="Senior"/>
    <s v="Medium"/>
    <s v="Short Days"/>
    <m/>
    <m/>
    <m/>
    <m/>
    <m/>
    <m/>
  </r>
  <r>
    <s v="VIS201833"/>
    <d v="2024-03-22T00:00:00"/>
    <s v="PAT6187"/>
    <s v="Shruti Jose"/>
    <s v="Female"/>
    <n v="55"/>
    <s v="Delhi"/>
    <s v="Delhi"/>
    <x v="0"/>
    <s v="Dr. Shailesh"/>
    <s v="I10"/>
    <s v="Medication"/>
    <s v="OPD"/>
    <n v="4714.45"/>
    <s v="UPI"/>
    <s v="No"/>
    <m/>
    <n v="90"/>
    <s v="Middle-Aged"/>
    <s v="Low"/>
    <s v="Short Days"/>
    <m/>
    <m/>
    <m/>
    <m/>
    <m/>
    <m/>
  </r>
  <r>
    <s v="VIS202818"/>
    <d v="2024-12-22T00:00:00"/>
    <s v="PAT6624"/>
    <s v="Shruti Kumar"/>
    <s v="Male"/>
    <n v="49"/>
    <s v="Kolkata"/>
    <s v="West Bengal"/>
    <x v="8"/>
    <s v="Dr. Kavitha"/>
    <s v="E11"/>
    <s v="Counselling"/>
    <s v="OPD"/>
    <n v="2058.85"/>
    <s v="UPI"/>
    <s v="No"/>
    <m/>
    <n v="14"/>
    <s v="Middle-Aged"/>
    <s v="Low"/>
    <s v="Short Days"/>
    <m/>
    <m/>
    <m/>
    <m/>
    <m/>
    <m/>
  </r>
  <r>
    <s v="VIS201701"/>
    <d v="2025-04-17T00:00:00"/>
    <s v="PAT6455"/>
    <s v="Kavya Nair"/>
    <s v="Female"/>
    <n v="26"/>
    <s v="Lucknow"/>
    <s v="Uttar Pradesh"/>
    <x v="4"/>
    <s v="Dr. Varun"/>
    <s v="J45"/>
    <s v="Prescription Refill"/>
    <s v="OPD"/>
    <n v="2359.29"/>
    <s v="Debit Card"/>
    <s v="No"/>
    <m/>
    <m/>
    <s v="Adult"/>
    <s v="Low"/>
    <s v="Short Days"/>
    <m/>
    <m/>
    <m/>
    <m/>
    <m/>
    <m/>
  </r>
  <r>
    <s v="VIS200834"/>
    <d v="2025-10-23T00:00:00"/>
    <s v="PAT5920"/>
    <s v="Neha Gupta"/>
    <s v="Female"/>
    <n v="23"/>
    <s v="Lucknow"/>
    <s v="Uttar Pradesh"/>
    <x v="8"/>
    <s v="Dr. Sneha"/>
    <s v="L40"/>
    <s v="Surgery"/>
    <s v="OPD"/>
    <n v="170.82"/>
    <s v="Credit Card"/>
    <s v="No"/>
    <m/>
    <m/>
    <s v="Adult"/>
    <s v="Low"/>
    <s v="Short Days"/>
    <m/>
    <m/>
    <m/>
    <m/>
    <m/>
    <m/>
  </r>
  <r>
    <s v="VIS202215"/>
    <d v="2024-09-15T00:00:00"/>
    <s v="PAT5570"/>
    <s v="Arjun Gupta"/>
    <s v="Male"/>
    <n v="48"/>
    <s v="Ahmedabad"/>
    <s v="Gujarat"/>
    <x v="0"/>
    <s v="Dr. Shailesh"/>
    <s v="I10"/>
    <s v="Physiotherapy"/>
    <s v="Teleconsultation"/>
    <n v="6326.45"/>
    <s v="Debit Card"/>
    <s v="No"/>
    <m/>
    <n v="7"/>
    <s v="Middle-Aged"/>
    <s v="Medium"/>
    <s v="Short Days"/>
    <m/>
    <m/>
    <m/>
    <m/>
    <m/>
    <m/>
  </r>
  <r>
    <s v="VIS202888"/>
    <d v="2024-09-23T00:00:00"/>
    <s v="PAT6917"/>
    <s v="Aarav Patel"/>
    <s v="Male"/>
    <n v="36"/>
    <s v="Jaipur"/>
    <s v="Rajasthan"/>
    <x v="4"/>
    <s v="Dr. Bhavana"/>
    <s v="J00"/>
    <s v="Minor Procedure"/>
    <s v="OPD"/>
    <n v="537.9"/>
    <s v="Insurance"/>
    <s v="Yes"/>
    <m/>
    <n v="14"/>
    <s v="Adult"/>
    <s v="Low"/>
    <s v="Short Days"/>
    <m/>
    <m/>
    <m/>
    <m/>
    <m/>
    <m/>
  </r>
  <r>
    <s v="VIS202604"/>
    <d v="2025-04-06T00:00:00"/>
    <s v="PAT5486"/>
    <s v="Neha Singh"/>
    <s v="Female"/>
    <n v="43"/>
    <s v="Trichy"/>
    <s v="Tamil Nadu"/>
    <x v="4"/>
    <s v="Dr. Bhavana"/>
    <s v="M54"/>
    <s v="Counselling"/>
    <s v="OPD"/>
    <n v="1503.97"/>
    <s v="Insurance"/>
    <s v="Yes"/>
    <m/>
    <n v="30"/>
    <s v="Middle-Aged"/>
    <s v="Low"/>
    <s v="Short Days"/>
    <m/>
    <m/>
    <m/>
    <m/>
    <m/>
    <m/>
  </r>
  <r>
    <s v="VIS202977"/>
    <d v="2024-07-30T00:00:00"/>
    <s v="PAT5905"/>
    <s v="Kavya Nagar"/>
    <s v="Female"/>
    <n v="38"/>
    <s v="Chennai"/>
    <s v="Tamil Nadu"/>
    <x v="3"/>
    <s v="Dr. Pallavi"/>
    <s v="N39"/>
    <s v="Minor Surgery"/>
    <s v="OPD"/>
    <n v="1467.21"/>
    <s v="Cash"/>
    <s v="No"/>
    <m/>
    <n v="7"/>
    <s v="Adult"/>
    <s v="Low"/>
    <s v="Short Days"/>
    <m/>
    <m/>
    <m/>
    <m/>
    <m/>
    <m/>
  </r>
  <r>
    <s v="VIS202350"/>
    <d v="2025-07-31T00:00:00"/>
    <s v="PAT6091"/>
    <s v="Aishwarya Bose"/>
    <s v="Male"/>
    <n v="39"/>
    <s v="Delhi"/>
    <s v="Delhi"/>
    <x v="5"/>
    <s v="Dr. Meena"/>
    <s v="K21"/>
    <s v="Counselling"/>
    <s v="OPD"/>
    <n v="381.16"/>
    <s v="Cash"/>
    <s v="No"/>
    <m/>
    <m/>
    <s v="Adult"/>
    <s v="Low"/>
    <s v="Short Days"/>
    <m/>
    <m/>
    <m/>
    <m/>
    <m/>
    <m/>
  </r>
  <r>
    <s v="VIS201613"/>
    <d v="2025-03-02T00:00:00"/>
    <s v="PAT5775"/>
    <s v="Kavya Khan"/>
    <s v="Male"/>
    <n v="28"/>
    <s v="Pune"/>
    <s v="Maharashtra"/>
    <x v="4"/>
    <s v="Dr. Bhavana"/>
    <s v="J00"/>
    <s v="Minor Procedure"/>
    <s v="OPD"/>
    <n v="163.94"/>
    <s v="Debit Card"/>
    <s v="No"/>
    <m/>
    <n v="7"/>
    <s v="Adult"/>
    <s v="Low"/>
    <s v="Short Days"/>
    <m/>
    <m/>
    <m/>
    <m/>
    <m/>
    <m/>
  </r>
  <r>
    <s v="VIS202457"/>
    <d v="2024-06-09T00:00:00"/>
    <s v="PAT5930"/>
    <s v="Vivaan Nagar"/>
    <s v="Female"/>
    <n v="46"/>
    <s v="Lucknow"/>
    <s v="Uttar Pradesh"/>
    <x v="0"/>
    <s v="Dr. Nikhil"/>
    <s v="J00"/>
    <s v="Counselling"/>
    <s v="Teleconsultation"/>
    <n v="5571.96"/>
    <s v="UPI"/>
    <s v="No"/>
    <m/>
    <n v="7"/>
    <s v="Middle-Aged"/>
    <s v="Medium"/>
    <s v="Short Days"/>
    <m/>
    <m/>
    <m/>
    <m/>
    <m/>
    <m/>
  </r>
  <r>
    <s v="VIS202837"/>
    <d v="2024-07-15T00:00:00"/>
    <s v="PAT6937"/>
    <s v="Vivaan Sharma"/>
    <s v="Female"/>
    <n v="47"/>
    <s v="Kochi"/>
    <s v="Kerala"/>
    <x v="8"/>
    <s v="Dr. Kavitha"/>
    <s v="H10"/>
    <s v="Prescription Refill"/>
    <s v="OPD"/>
    <n v="23680.78"/>
    <s v="Insurance"/>
    <s v="Yes"/>
    <m/>
    <m/>
    <s v="Middle-Aged"/>
    <s v="High"/>
    <s v="Short Days"/>
    <m/>
    <m/>
    <m/>
    <m/>
    <m/>
    <m/>
  </r>
  <r>
    <s v="VIS200532"/>
    <d v="2024-08-17T00:00:00"/>
    <s v="PAT6781"/>
    <s v="Karthik Nair"/>
    <s v="Male"/>
    <n v="62"/>
    <s v="Kolkata"/>
    <s v="West Bengal"/>
    <x v="3"/>
    <s v="Dr. Pallavi"/>
    <s v="L40"/>
    <s v="Minor Surgery"/>
    <s v="OPD"/>
    <n v="1644.43"/>
    <s v="Cash"/>
    <s v="No"/>
    <m/>
    <m/>
    <s v="Senior"/>
    <s v="Low"/>
    <s v="Short Days"/>
    <m/>
    <m/>
    <m/>
    <m/>
    <m/>
    <m/>
  </r>
  <r>
    <s v="VIS200878"/>
    <d v="2025-05-19T00:00:00"/>
    <s v="PAT6003"/>
    <s v="Aditya Sharma"/>
    <s v="Male"/>
    <n v="54"/>
    <s v="Hyderabad"/>
    <s v="Telangana"/>
    <x v="2"/>
    <s v="Dr. Ramesh"/>
    <s v="E11"/>
    <s v="Observation"/>
    <s v="OPD"/>
    <n v="2317.2600000000002"/>
    <s v="UPI"/>
    <s v="No"/>
    <m/>
    <n v="14"/>
    <s v="Middle-Aged"/>
    <s v="Low"/>
    <s v="Short Days"/>
    <m/>
    <m/>
    <m/>
    <m/>
    <m/>
    <m/>
  </r>
  <r>
    <s v="VIS202123"/>
    <d v="2024-01-02T00:00:00"/>
    <s v="PAT6608"/>
    <s v="Ananya Das"/>
    <s v="Female"/>
    <n v="6"/>
    <s v="Kochi"/>
    <s v="Kerala"/>
    <x v="3"/>
    <s v="Dr. Anand"/>
    <s v="J00"/>
    <s v="Medication"/>
    <s v="OPD"/>
    <n v="513.55999999999995"/>
    <s v="UPI"/>
    <s v="No"/>
    <m/>
    <m/>
    <s v="Child"/>
    <s v="Low"/>
    <s v="Short Days"/>
    <m/>
    <m/>
    <m/>
    <m/>
    <m/>
    <m/>
  </r>
  <r>
    <s v="VIS201546"/>
    <d v="2025-03-13T00:00:00"/>
    <s v="PAT6727"/>
    <s v="Vivaan Kumar"/>
    <s v="Other"/>
    <n v="66"/>
    <s v="Mumbai"/>
    <s v="Maharashtra"/>
    <x v="0"/>
    <s v="Dr. Shailesh"/>
    <s v="I10"/>
    <s v="Minor Surgery"/>
    <s v="Teleconsultation"/>
    <n v="5401.2"/>
    <s v="Cash"/>
    <s v="No"/>
    <m/>
    <m/>
    <s v="Senior"/>
    <s v="Medium"/>
    <s v="Short Days"/>
    <m/>
    <m/>
    <m/>
    <m/>
    <m/>
    <m/>
  </r>
  <r>
    <s v="VIS201040"/>
    <d v="2025-09-05T00:00:00"/>
    <s v="PAT6868"/>
    <s v="Rahul Patel"/>
    <s v="Female"/>
    <n v="54"/>
    <s v="Hyderabad"/>
    <s v="Telangana"/>
    <x v="9"/>
    <s v="Dr. Kusum"/>
    <s v="M54"/>
    <s v="Physiotherapy"/>
    <s v="IPD"/>
    <n v="9457.0499999999993"/>
    <s v="Cash"/>
    <s v="No"/>
    <n v="10"/>
    <n v="7"/>
    <s v="Middle-Aged"/>
    <s v="Medium"/>
    <s v="Long Days"/>
    <m/>
    <m/>
    <m/>
    <m/>
    <m/>
    <m/>
  </r>
  <r>
    <s v="VIS200463"/>
    <d v="2024-11-04T00:00:00"/>
    <s v="PAT5723"/>
    <s v="Aarav Sharma"/>
    <s v="Female"/>
    <n v="58"/>
    <s v="Chennai"/>
    <s v="Tamil Nadu"/>
    <x v="7"/>
    <s v="Dr. Surya"/>
    <s v="N39"/>
    <s v="Counselling"/>
    <s v="OPD"/>
    <n v="3177.62"/>
    <s v="Insurance"/>
    <s v="Yes"/>
    <m/>
    <m/>
    <s v="Middle-Aged"/>
    <s v="Low"/>
    <s v="Short Days"/>
    <m/>
    <m/>
    <m/>
    <m/>
    <m/>
    <m/>
  </r>
  <r>
    <s v="VIS202472"/>
    <d v="2024-12-24T00:00:00"/>
    <s v="PAT6300"/>
    <s v="Vivaan Nagar"/>
    <s v="Female"/>
    <n v="12"/>
    <s v="Ahmedabad"/>
    <s v="Gujarat"/>
    <x v="2"/>
    <s v="Dr. Manoj"/>
    <s v="J00"/>
    <s v="Surgery"/>
    <s v="OPD"/>
    <n v="4366.8599999999997"/>
    <s v="UPI"/>
    <s v="No"/>
    <m/>
    <m/>
    <s v="Child"/>
    <s v="Low"/>
    <s v="Short Days"/>
    <m/>
    <m/>
    <m/>
    <m/>
    <m/>
    <m/>
  </r>
  <r>
    <s v="VIS201531"/>
    <d v="2025-03-19T00:00:00"/>
    <s v="PAT6461"/>
    <s v="Vishal Nair"/>
    <s v="Female"/>
    <n v="43"/>
    <s v="Chennai"/>
    <s v="Tamil Nadu"/>
    <x v="4"/>
    <s v="Dr. Varun"/>
    <s v="M54"/>
    <s v="Physiotherapy"/>
    <s v="OPD"/>
    <n v="909.88"/>
    <s v="UPI"/>
    <s v="No"/>
    <m/>
    <n v="14"/>
    <s v="Middle-Aged"/>
    <s v="Low"/>
    <s v="Short Days"/>
    <m/>
    <m/>
    <m/>
    <m/>
    <m/>
    <m/>
  </r>
  <r>
    <s v="VIS202379"/>
    <d v="2025-04-27T00:00:00"/>
    <s v="PAT5625"/>
    <s v="Shruti Gupta"/>
    <s v="Male"/>
    <n v="48"/>
    <s v="Bengaluru"/>
    <s v="Karnataka"/>
    <x v="3"/>
    <s v="Dr. Pallavi"/>
    <s v="J00"/>
    <s v="Observation"/>
    <s v="IPD"/>
    <n v="9565.1"/>
    <s v="Insurance"/>
    <s v="Yes"/>
    <n v="6"/>
    <m/>
    <s v="Middle-Aged"/>
    <s v="Medium"/>
    <s v="Long Days"/>
    <m/>
    <m/>
    <m/>
    <m/>
    <m/>
    <m/>
  </r>
  <r>
    <s v="VIS202264"/>
    <d v="2025-08-22T00:00:00"/>
    <s v="PAT6795"/>
    <s v="Kavya Kumar"/>
    <s v="Female"/>
    <n v="27"/>
    <s v="Delhi"/>
    <s v="Gujarat"/>
    <x v="4"/>
    <s v="Dr. Bhavana"/>
    <s v="Z111"/>
    <s v="Physiotherapy"/>
    <s v="OPD"/>
    <n v="1484.1"/>
    <s v="Cash"/>
    <s v="No"/>
    <m/>
    <n v="14"/>
    <s v="Adult"/>
    <s v="Low"/>
    <s v="Short Days"/>
    <m/>
    <m/>
    <m/>
    <m/>
    <m/>
    <m/>
  </r>
  <r>
    <s v="VIS202438"/>
    <d v="2025-06-21T00:00:00"/>
    <s v="PAT5687"/>
    <s v="Anil Gupta"/>
    <s v="Female"/>
    <n v="53"/>
    <s v="Pune"/>
    <s v="Maharashtra"/>
    <x v="7"/>
    <s v="Dr. Surya"/>
    <s v="K21"/>
    <s v="Surgery"/>
    <s v="OPD"/>
    <n v="8858.66"/>
    <s v="Cash"/>
    <s v="No"/>
    <m/>
    <n v="30"/>
    <s v="Middle-Aged"/>
    <s v="Medium"/>
    <s v="Short Days"/>
    <m/>
    <m/>
    <m/>
    <m/>
    <m/>
    <m/>
  </r>
  <r>
    <s v="VIS202470"/>
    <d v="2025-04-23T00:00:00"/>
    <s v="PAT5347"/>
    <s v="Priya Gupta"/>
    <s v="Female"/>
    <n v="36"/>
    <s v="Jaipur"/>
    <s v="Rajasthan"/>
    <x v="4"/>
    <s v="Dr. Bhavana"/>
    <s v="J45"/>
    <s v="Minor Surgery"/>
    <s v="OPD"/>
    <n v="3406.86"/>
    <s v="Insurance"/>
    <s v="Yes"/>
    <m/>
    <n v="7"/>
    <s v="Adult"/>
    <s v="Low"/>
    <s v="Short Days"/>
    <m/>
    <m/>
    <m/>
    <m/>
    <m/>
    <m/>
  </r>
  <r>
    <s v="VIS201677"/>
    <d v="2024-02-02T00:00:00"/>
    <s v="PAT5683"/>
    <s v="Siddharth Iyer"/>
    <s v="Female"/>
    <n v="52"/>
    <s v="Mumbai"/>
    <s v="Maharashtra"/>
    <x v="9"/>
    <s v="Dr. Kusum"/>
    <s v="J00"/>
    <s v="Minor Surgery"/>
    <s v="OPD"/>
    <n v="931.62"/>
    <s v="Net Banking"/>
    <s v="No"/>
    <m/>
    <n v="7"/>
    <s v="Middle-Aged"/>
    <s v="Low"/>
    <s v="Short Days"/>
    <m/>
    <m/>
    <m/>
    <m/>
    <m/>
    <m/>
  </r>
  <r>
    <s v="VIS201538"/>
    <d v="2024-02-08T00:00:00"/>
    <s v="PAT5052"/>
    <s v="Vivaan Mishra"/>
    <s v="Other"/>
    <n v="36"/>
    <s v="Jaipur"/>
    <s v="Rajasthan"/>
    <x v="7"/>
    <s v="Dr. Surya"/>
    <s v="E11"/>
    <s v="Medication"/>
    <s v="OPD"/>
    <n v="3832.6"/>
    <s v="Credit Card"/>
    <s v="No"/>
    <m/>
    <n v="90"/>
    <s v="Adult"/>
    <s v="Low"/>
    <s v="Short Days"/>
    <m/>
    <m/>
    <m/>
    <m/>
    <m/>
    <m/>
  </r>
  <r>
    <s v="VIS202340"/>
    <d v="2024-05-04T00:00:00"/>
    <s v="PAT6578"/>
    <s v="Ananya Bose"/>
    <s v="Female"/>
    <n v="38"/>
    <s v="Jaipur"/>
    <s v="Rajasthan"/>
    <x v="4"/>
    <s v="Dr. Bhavana"/>
    <s v="K21"/>
    <s v="Counselling"/>
    <s v="Teleconsultation"/>
    <n v="11751.75"/>
    <s v="Insurance"/>
    <s v="Yes"/>
    <m/>
    <n v="90"/>
    <s v="Adult"/>
    <s v="High"/>
    <s v="Short Days"/>
    <m/>
    <m/>
    <m/>
    <m/>
    <m/>
    <m/>
  </r>
  <r>
    <s v="VIS202616"/>
    <d v="2024-02-05T00:00:00"/>
    <s v="PAT6845"/>
    <s v="Priya Reddy"/>
    <s v="Male"/>
    <n v="56"/>
    <s v="Ahmedabad"/>
    <s v="Gujarat"/>
    <x v="3"/>
    <s v="Dr. Pallavi"/>
    <s v="J00"/>
    <s v="Prescription Refill"/>
    <s v="OPD"/>
    <n v="18150.29"/>
    <s v="Debit Card"/>
    <s v="No"/>
    <m/>
    <m/>
    <s v="Middle-Aged"/>
    <s v="High"/>
    <s v="Short Days"/>
    <m/>
    <m/>
    <m/>
    <m/>
    <m/>
    <m/>
  </r>
  <r>
    <s v="VIS200646"/>
    <d v="2024-08-23T00:00:00"/>
    <s v="PAT5376"/>
    <s v="Manisha Sharma"/>
    <s v="Male"/>
    <n v="20"/>
    <s v="Kochi"/>
    <s v="Kerala"/>
    <x v="7"/>
    <s v="Dr. Leela"/>
    <s v="K21"/>
    <s v="Counselling"/>
    <s v="OPD"/>
    <n v="3887.78"/>
    <s v="Debit Card"/>
    <s v="No"/>
    <m/>
    <n v="90"/>
    <s v="Adult"/>
    <s v="Low"/>
    <s v="Short Days"/>
    <m/>
    <m/>
    <m/>
    <m/>
    <m/>
    <m/>
  </r>
  <r>
    <s v="VIS201281"/>
    <d v="2024-08-16T00:00:00"/>
    <s v="PAT5026"/>
    <s v="Rohan Nair"/>
    <s v="Male"/>
    <n v="22"/>
    <s v="Lucknow"/>
    <s v="Uttar Pradesh"/>
    <x v="4"/>
    <s v="Dr. Varun"/>
    <s v="E11"/>
    <s v="Counselling"/>
    <s v="OPD"/>
    <n v="9225.86"/>
    <s v="Cash"/>
    <s v="No"/>
    <m/>
    <n v="14"/>
    <s v="Adult"/>
    <s v="Medium"/>
    <s v="Short Days"/>
    <m/>
    <m/>
    <m/>
    <m/>
    <m/>
    <m/>
  </r>
  <r>
    <s v="VIS200081"/>
    <d v="2024-08-24T00:00:00"/>
    <s v="PAT6995"/>
    <s v="Vishal Jose"/>
    <s v="Male"/>
    <n v="42"/>
    <s v="Coimbatore"/>
    <s v="Tamil Nadu"/>
    <x v="7"/>
    <s v="Dr. Leela"/>
    <s v="I10"/>
    <s v="Medication"/>
    <s v="OPD"/>
    <n v="3706.49"/>
    <s v="Insurance"/>
    <s v="Yes"/>
    <m/>
    <m/>
    <s v="Middle-Aged"/>
    <s v="Low"/>
    <s v="Short Days"/>
    <m/>
    <m/>
    <m/>
    <m/>
    <m/>
    <m/>
  </r>
  <r>
    <s v="VIS201156"/>
    <d v="2024-05-06T00:00:00"/>
    <s v="PAT6507"/>
    <s v="Neha Kumar"/>
    <s v="Female"/>
    <n v="26"/>
    <s v="Hyderabad"/>
    <s v="Telangana"/>
    <x v="3"/>
    <s v="Dr. Anand"/>
    <s v="F41"/>
    <s v="Counselling"/>
    <s v="OPD"/>
    <n v="5227.32"/>
    <s v="Cash"/>
    <s v="No"/>
    <m/>
    <m/>
    <s v="Adult"/>
    <s v="Medium"/>
    <s v="Short Days"/>
    <m/>
    <m/>
    <m/>
    <m/>
    <m/>
    <m/>
  </r>
  <r>
    <s v="VIS200706"/>
    <d v="2024-04-20T00:00:00"/>
    <s v="PAT5079"/>
    <s v="Neha Patel"/>
    <s v="Female"/>
    <n v="10"/>
    <s v="Bengaluru"/>
    <s v="Karnataka"/>
    <x v="6"/>
    <s v="Dr. Lalitha"/>
    <s v="N39"/>
    <s v="Counselling"/>
    <s v="OPD"/>
    <n v="8984.01"/>
    <s v="UPI"/>
    <s v="No"/>
    <m/>
    <n v="90"/>
    <s v="Child"/>
    <s v="Medium"/>
    <s v="Short Days"/>
    <m/>
    <m/>
    <m/>
    <m/>
    <m/>
    <m/>
  </r>
  <r>
    <s v="VIS202207"/>
    <d v="2025-07-17T00:00:00"/>
    <s v="PAT5477"/>
    <s v="Ishaan Kumar"/>
    <s v="Female"/>
    <n v="0"/>
    <s v="Jaipur"/>
    <s v="Rajasthan"/>
    <x v="8"/>
    <s v="Dr. Kavitha"/>
    <s v="M54"/>
    <s v="Medication"/>
    <s v="OPD"/>
    <n v="9565.33"/>
    <s v="Net Banking"/>
    <s v="No"/>
    <m/>
    <m/>
    <s v="Child"/>
    <s v="Medium"/>
    <s v="Short Days"/>
    <m/>
    <m/>
    <m/>
    <m/>
    <m/>
    <m/>
  </r>
  <r>
    <s v="VIS201870"/>
    <d v="2024-07-09T00:00:00"/>
    <s v="PAT5814"/>
    <s v="Rahul Patel"/>
    <s v="Female"/>
    <n v="23"/>
    <s v="Delhi"/>
    <s v="Delhi"/>
    <x v="4"/>
    <s v="Dr. Bhavana"/>
    <s v="M54"/>
    <s v="Counselling"/>
    <s v="OPD"/>
    <n v="2876.49"/>
    <s v="Debit Card"/>
    <s v="No"/>
    <m/>
    <n v="30"/>
    <s v="Adult"/>
    <s v="Low"/>
    <s v="Short Days"/>
    <m/>
    <m/>
    <m/>
    <m/>
    <m/>
    <m/>
  </r>
  <r>
    <s v="VIS200426"/>
    <d v="2024-11-22T00:00:00"/>
    <s v="PAT6657"/>
    <s v="Aarav Patel"/>
    <s v="Female"/>
    <n v="41"/>
    <s v="Ahmedabad"/>
    <s v="Gujarat"/>
    <x v="4"/>
    <s v="Dr. Varun"/>
    <s v="E11"/>
    <s v="Medication"/>
    <s v="IPD"/>
    <n v="11367.23"/>
    <s v="Insurance"/>
    <s v="Yes"/>
    <n v="6"/>
    <m/>
    <s v="Middle-Aged"/>
    <s v="High"/>
    <s v="Long Days"/>
    <m/>
    <m/>
    <m/>
    <m/>
    <m/>
    <m/>
  </r>
  <r>
    <s v="VIS200571"/>
    <d v="2025-05-17T00:00:00"/>
    <s v="PAT5915"/>
    <s v="Kavya Singh"/>
    <s v="Male"/>
    <n v="49"/>
    <s v="Delhi"/>
    <s v="Delhi"/>
    <x v="6"/>
    <s v="Dr. Priya"/>
    <s v="K21"/>
    <s v="Medication"/>
    <s v="OPD"/>
    <n v="551.09"/>
    <s v="UPI"/>
    <s v="No"/>
    <m/>
    <m/>
    <s v="Middle-Aged"/>
    <s v="Low"/>
    <s v="Short Days"/>
    <m/>
    <m/>
    <m/>
    <m/>
    <m/>
    <m/>
  </r>
  <r>
    <s v="VIS202774"/>
    <d v="2025-10-17T00:00:00"/>
    <s v="PAT5035"/>
    <s v="Ananya Nair"/>
    <s v="Male"/>
    <n v="31"/>
    <s v="Mumbai"/>
    <s v="Maharashtra"/>
    <x v="8"/>
    <s v="Dr. Sneha"/>
    <s v="I10"/>
    <s v="Minor Procedure"/>
    <s v="OPD"/>
    <n v="858.13"/>
    <s v="Cash"/>
    <s v="No"/>
    <m/>
    <n v="30"/>
    <s v="Adult"/>
    <s v="Low"/>
    <s v="Short Days"/>
    <m/>
    <m/>
    <m/>
    <m/>
    <m/>
    <m/>
  </r>
  <r>
    <s v="VIS201120"/>
    <d v="2024-10-23T00:00:00"/>
    <s v="PAT6772"/>
    <s v="Aishwarya Iyer"/>
    <s v="Male"/>
    <n v="84"/>
    <s v="Bengaluru"/>
    <s v="Karnataka"/>
    <x v="0"/>
    <s v="Dr. Nikhil"/>
    <s v="K21"/>
    <s v="Medication"/>
    <s v="OPD"/>
    <n v="638.21"/>
    <s v="Debit Card"/>
    <s v="No"/>
    <m/>
    <n v="14"/>
    <s v="Senior"/>
    <s v="Low"/>
    <s v="Short Days"/>
    <m/>
    <m/>
    <m/>
    <m/>
    <m/>
    <m/>
  </r>
  <r>
    <s v="VIS202475"/>
    <d v="2025-04-22T00:00:00"/>
    <s v="PAT6835"/>
    <s v="Rohan Bose"/>
    <s v="Male"/>
    <n v="60"/>
    <s v="Chennai"/>
    <s v="Tamil Nadu"/>
    <x v="0"/>
    <s v="Dr. Nikhil"/>
    <s v="L40"/>
    <s v="Medication"/>
    <s v="OPD"/>
    <n v="1894.87"/>
    <s v="Cash"/>
    <s v="No"/>
    <m/>
    <n v="30"/>
    <s v="Middle-Aged"/>
    <s v="Low"/>
    <s v="Short Days"/>
    <m/>
    <m/>
    <m/>
    <m/>
    <m/>
    <m/>
  </r>
  <r>
    <s v="VIS202263"/>
    <d v="2024-12-26T00:00:00"/>
    <s v="PAT5459"/>
    <s v="Siddharth Das"/>
    <s v="Male"/>
    <n v="19"/>
    <s v="Madurai"/>
    <s v="Tamil Nadu"/>
    <x v="6"/>
    <s v="Dr. Priya"/>
    <s v="F41"/>
    <s v="Physiotherapy"/>
    <s v="Teleconsultation"/>
    <n v="15079.48"/>
    <s v="Insurance"/>
    <s v="Yes"/>
    <m/>
    <m/>
    <s v="Adult"/>
    <s v="High"/>
    <s v="Short Days"/>
    <m/>
    <m/>
    <m/>
    <m/>
    <m/>
    <m/>
  </r>
  <r>
    <s v="VIS201942"/>
    <d v="2025-01-14T00:00:00"/>
    <s v="PAT5050"/>
    <s v="Karthik Khan"/>
    <s v="Male"/>
    <n v="49"/>
    <s v="Hyderabad"/>
    <s v="Telangana"/>
    <x v="5"/>
    <s v="Dr. Karthik"/>
    <s v="M54"/>
    <s v="Counselling"/>
    <s v="OPD"/>
    <n v="9903.42"/>
    <s v="Insurance"/>
    <s v="Yes"/>
    <m/>
    <n v="30"/>
    <s v="Middle-Aged"/>
    <s v="Medium"/>
    <s v="Short Days"/>
    <m/>
    <m/>
    <m/>
    <m/>
    <m/>
    <m/>
  </r>
  <r>
    <s v="VIS201026"/>
    <d v="2024-05-01T00:00:00"/>
    <s v="PAT5603"/>
    <s v="Aishwarya Nagar"/>
    <s v="Male"/>
    <n v="44"/>
    <s v="Mumbai"/>
    <s v="Maharashtra"/>
    <x v="1"/>
    <s v="Dr. Anu"/>
    <s v="J00"/>
    <s v="Minor Surgery"/>
    <s v="Teleconsultation"/>
    <n v="8606.48"/>
    <s v="Insurance"/>
    <s v="Yes"/>
    <m/>
    <n v="30"/>
    <s v="Middle-Aged"/>
    <s v="Medium"/>
    <s v="Short Days"/>
    <m/>
    <m/>
    <m/>
    <m/>
    <m/>
    <m/>
  </r>
  <r>
    <s v="VIS201484"/>
    <d v="2024-03-03T00:00:00"/>
    <s v="PAT5321"/>
    <s v="Deepa Mishra"/>
    <s v="Female"/>
    <n v="31"/>
    <s v="Trichy"/>
    <s v="Tamil Nadu"/>
    <x v="6"/>
    <s v="Dr. Priya"/>
    <s v="L40"/>
    <s v="Surgery"/>
    <s v="OPD"/>
    <n v="5665.18"/>
    <s v="Insurance"/>
    <s v="Yes"/>
    <m/>
    <n v="7"/>
    <s v="Adult"/>
    <s v="Medium"/>
    <s v="Short Days"/>
    <m/>
    <m/>
    <m/>
    <m/>
    <m/>
    <m/>
  </r>
  <r>
    <s v="VIS201939"/>
    <d v="2025-07-24T00:00:00"/>
    <s v="PAT5949"/>
    <s v="Shruti Iyer"/>
    <s v="Male"/>
    <n v="88"/>
    <s v="Bengaluru"/>
    <s v="Karnataka"/>
    <x v="5"/>
    <s v="Dr. Karthik"/>
    <s v="L40"/>
    <s v="Medication"/>
    <s v="OPD"/>
    <n v="2085.46"/>
    <s v="UPI"/>
    <s v="No"/>
    <m/>
    <m/>
    <s v="Senior"/>
    <s v="Low"/>
    <s v="Short Days"/>
    <m/>
    <m/>
    <m/>
    <m/>
    <m/>
    <m/>
  </r>
  <r>
    <s v="VIS200353"/>
    <d v="2025-09-18T00:00:00"/>
    <s v="PAT6194"/>
    <s v="Anil Das"/>
    <s v="Male"/>
    <n v="37"/>
    <s v="Madurai"/>
    <s v="Tamil Nadu"/>
    <x v="5"/>
    <s v="Dr. Meena"/>
    <s v="K21"/>
    <s v="Surgery"/>
    <s v="OPD"/>
    <n v="11313.16"/>
    <s v="Net Banking"/>
    <s v="No"/>
    <m/>
    <m/>
    <s v="Adult"/>
    <s v="High"/>
    <s v="Short Days"/>
    <m/>
    <m/>
    <m/>
    <m/>
    <m/>
    <m/>
  </r>
  <r>
    <s v="VIS201217"/>
    <d v="2024-01-24T00:00:00"/>
    <s v="PAT6128"/>
    <s v="Priya Nagar"/>
    <s v="Male"/>
    <n v="11"/>
    <s v="Mumbai"/>
    <s v="Maharashtra"/>
    <x v="0"/>
    <s v="Dr. Nikhil"/>
    <s v="J00"/>
    <s v="Minor Procedure"/>
    <s v="Emergency"/>
    <n v="9224.31"/>
    <s v="Cash"/>
    <s v="No"/>
    <m/>
    <n v="30"/>
    <s v="Child"/>
    <s v="Medium"/>
    <s v="Short Days"/>
    <m/>
    <m/>
    <m/>
    <m/>
    <m/>
    <m/>
  </r>
  <r>
    <s v="VIS200887"/>
    <d v="2025-07-01T00:00:00"/>
    <s v="PAT5694"/>
    <s v="Shruti Reddy"/>
    <s v="Male"/>
    <n v="14"/>
    <s v="Madurai"/>
    <s v="Tamil Nadu"/>
    <x v="0"/>
    <s v="Dr. Nikhil"/>
    <s v="L40"/>
    <s v="Physiotherapy"/>
    <s v="OPD"/>
    <n v="5514.9"/>
    <s v="Credit Card"/>
    <s v="No"/>
    <m/>
    <n v="90"/>
    <s v="Child"/>
    <s v="Medium"/>
    <s v="Short Days"/>
    <m/>
    <m/>
    <m/>
    <m/>
    <m/>
    <m/>
  </r>
  <r>
    <s v="VIS202329"/>
    <d v="2024-10-07T00:00:00"/>
    <s v="PAT5483"/>
    <s v="Vivaan Kumar"/>
    <s v="Male"/>
    <n v="6"/>
    <s v="Pune"/>
    <s v="Maharashtra"/>
    <x v="3"/>
    <s v="Dr. Pallavi"/>
    <s v="M54"/>
    <s v="Medication"/>
    <s v="Teleconsultation"/>
    <n v="10268.56"/>
    <s v="Debit Card"/>
    <s v="No"/>
    <m/>
    <m/>
    <s v="Child"/>
    <s v="High"/>
    <s v="Short Days"/>
    <m/>
    <m/>
    <m/>
    <m/>
    <m/>
    <m/>
  </r>
  <r>
    <s v="VIS201822"/>
    <d v="2025-02-24T00:00:00"/>
    <s v="PAT5104"/>
    <s v="Arjun Reddy"/>
    <s v="Female"/>
    <n v="35"/>
    <s v="Kolkata"/>
    <s v="West Bengal"/>
    <x v="7"/>
    <s v="Dr. Surya"/>
    <s v="E11"/>
    <s v="Observation"/>
    <s v="OPD"/>
    <n v="676.42"/>
    <s v="Debit Card"/>
    <s v="No"/>
    <m/>
    <n v="30"/>
    <s v="Adult"/>
    <s v="Low"/>
    <s v="Short Days"/>
    <m/>
    <m/>
    <m/>
    <m/>
    <m/>
    <m/>
  </r>
  <r>
    <s v="VIS202542"/>
    <d v="2024-12-27T00:00:00"/>
    <s v="PAT6691"/>
    <s v="Deepa Patel"/>
    <s v="Male"/>
    <n v="43"/>
    <s v="Pune"/>
    <s v="Maharashtra"/>
    <x v="5"/>
    <s v="Dr. Meena"/>
    <s v="E11"/>
    <s v="Surgery"/>
    <s v="Teleconsultation"/>
    <n v="6239.27"/>
    <s v="Insurance"/>
    <s v="Yes"/>
    <m/>
    <n v="7"/>
    <s v="Middle-Aged"/>
    <s v="Medium"/>
    <s v="Short Days"/>
    <m/>
    <m/>
    <m/>
    <m/>
    <m/>
    <m/>
  </r>
  <r>
    <s v="VIS201022"/>
    <d v="2025-01-31T00:00:00"/>
    <s v="PAT6335"/>
    <s v="Vishal Patel"/>
    <s v="Male"/>
    <n v="60"/>
    <s v="Kolkata"/>
    <s v="West Bengal"/>
    <x v="4"/>
    <s v="Dr. Varun"/>
    <s v="J00"/>
    <s v="Minor Surgery"/>
    <s v="IPD"/>
    <n v="15078.8"/>
    <s v="UPI"/>
    <s v="No"/>
    <n v="5"/>
    <m/>
    <s v="Middle-Aged"/>
    <s v="High"/>
    <s v="Short Days"/>
    <m/>
    <m/>
    <m/>
    <m/>
    <m/>
    <m/>
  </r>
  <r>
    <s v="VIS200160"/>
    <d v="2025-07-18T00:00:00"/>
    <s v="PAT5752"/>
    <s v="Aditya Kumar"/>
    <s v="Male"/>
    <n v="39"/>
    <s v="Chennai"/>
    <s v="Tamil Nadu"/>
    <x v="2"/>
    <s v="Dr. Ramesh"/>
    <s v="J00"/>
    <s v="Prescription Refill"/>
    <s v="Teleconsultation"/>
    <n v="10334.450000000001"/>
    <s v="UPI"/>
    <s v="No"/>
    <m/>
    <m/>
    <s v="Adult"/>
    <s v="High"/>
    <s v="Short Days"/>
    <m/>
    <m/>
    <m/>
    <m/>
    <m/>
    <m/>
  </r>
  <r>
    <s v="VIS200782"/>
    <d v="2024-08-28T00:00:00"/>
    <s v="PAT6719"/>
    <s v="Sangeetha Das"/>
    <s v="Female"/>
    <n v="45"/>
    <s v="Coimbatore"/>
    <s v="Tamil Nadu"/>
    <x v="8"/>
    <s v="Dr. Kavitha"/>
    <s v="H10"/>
    <s v="Minor Surgery"/>
    <s v="OPD"/>
    <n v="3111.04"/>
    <s v="UPI"/>
    <s v="No"/>
    <m/>
    <n v="14"/>
    <s v="Middle-Aged"/>
    <s v="Low"/>
    <s v="Short Days"/>
    <m/>
    <m/>
    <m/>
    <m/>
    <m/>
    <m/>
  </r>
  <r>
    <s v="VIS202895"/>
    <d v="2024-10-02T00:00:00"/>
    <s v="PAT6951"/>
    <s v="Aishwarya Patel"/>
    <s v="Male"/>
    <n v="39"/>
    <s v="Trichy"/>
    <s v="Tamil Nadu"/>
    <x v="9"/>
    <s v="Dr. Kusum"/>
    <s v="K21"/>
    <s v="Medication"/>
    <s v="OPD"/>
    <n v="977.9"/>
    <s v="Insurance"/>
    <s v="Yes"/>
    <m/>
    <m/>
    <s v="Adult"/>
    <s v="Low"/>
    <s v="Short Days"/>
    <m/>
    <m/>
    <m/>
    <m/>
    <m/>
    <m/>
  </r>
  <r>
    <s v="VIS202271"/>
    <d v="2024-06-16T00:00:00"/>
    <s v="PAT6103"/>
    <s v="Karthik Jose"/>
    <s v="Male"/>
    <n v="52"/>
    <s v="Mumbai"/>
    <s v="Maharashtra"/>
    <x v="4"/>
    <s v="Dr. Bhavana"/>
    <s v="N39"/>
    <s v="Minor Surgery"/>
    <s v="OPD"/>
    <n v="5347.89"/>
    <s v="UPI"/>
    <s v="No"/>
    <m/>
    <n v="7"/>
    <s v="Middle-Aged"/>
    <s v="Medium"/>
    <s v="Short Days"/>
    <m/>
    <m/>
    <m/>
    <m/>
    <m/>
    <m/>
  </r>
  <r>
    <s v="VIS201388"/>
    <d v="2024-12-30T00:00:00"/>
    <s v="PAT5355"/>
    <s v="Shruti Jose"/>
    <s v="Female"/>
    <n v="24"/>
    <s v="Madurai"/>
    <s v="Tamil Nadu"/>
    <x v="8"/>
    <s v="Dr. Sneha"/>
    <s v="F41"/>
    <s v="Medication"/>
    <s v="Teleconsultation"/>
    <n v="8541.6299999999992"/>
    <s v="UPI"/>
    <s v="No"/>
    <m/>
    <n v="7"/>
    <s v="Adult"/>
    <s v="Medium"/>
    <s v="Short Days"/>
    <m/>
    <m/>
    <m/>
    <m/>
    <m/>
    <m/>
  </r>
  <r>
    <s v="VIS202309"/>
    <d v="2024-08-30T00:00:00"/>
    <s v="PAT6841"/>
    <s v="Aishwarya Gupta"/>
    <s v="Male"/>
    <n v="40"/>
    <s v="Madurai"/>
    <s v="Tamil Nadu"/>
    <x v="8"/>
    <s v="Dr. Kavitha"/>
    <s v="J00"/>
    <s v="Surgery"/>
    <s v="OPD"/>
    <n v="5641.77"/>
    <s v="Cash"/>
    <s v="No"/>
    <m/>
    <n v="7"/>
    <s v="Adult"/>
    <s v="Medium"/>
    <s v="Short Days"/>
    <m/>
    <m/>
    <m/>
    <m/>
    <m/>
    <m/>
  </r>
  <r>
    <s v="VIS202701"/>
    <d v="2025-02-10T00:00:00"/>
    <s v="PAT6820"/>
    <s v="Priya Nagar"/>
    <s v="Female"/>
    <n v="21"/>
    <s v="Ahmedabad"/>
    <s v="Gujarat"/>
    <x v="0"/>
    <s v="Dr. Nikhil"/>
    <s v="J00"/>
    <s v="Observation"/>
    <s v="OPD"/>
    <n v="3735.44"/>
    <s v="UPI"/>
    <s v="No"/>
    <m/>
    <n v="7"/>
    <s v="Adult"/>
    <s v="Low"/>
    <s v="Short Days"/>
    <m/>
    <m/>
    <m/>
    <m/>
    <m/>
    <m/>
  </r>
  <r>
    <s v="VIS202160"/>
    <d v="2025-06-03T00:00:00"/>
    <s v="PAT6666"/>
    <s v="Sangeetha Mishra"/>
    <s v="Female"/>
    <n v="27"/>
    <s v="Coimbatore"/>
    <s v="Tamil Nadu"/>
    <x v="2"/>
    <s v="Dr. Ramesh"/>
    <s v="J00"/>
    <s v="Physiotherapy"/>
    <s v="Teleconsultation"/>
    <n v="7686.05"/>
    <s v="Net Banking"/>
    <s v="No"/>
    <m/>
    <m/>
    <s v="Adult"/>
    <s v="Medium"/>
    <s v="Short Days"/>
    <m/>
    <m/>
    <m/>
    <m/>
    <m/>
    <m/>
  </r>
  <r>
    <s v="VIS201369"/>
    <d v="2024-12-24T00:00:00"/>
    <s v="PAT5433"/>
    <s v="Deepa Nair"/>
    <s v="Male"/>
    <n v="0"/>
    <s v="Jaipur"/>
    <s v="Rajasthan"/>
    <x v="9"/>
    <s v="Dr. Kusum"/>
    <s v="J00"/>
    <s v="Medication"/>
    <s v="Teleconsultation"/>
    <n v="10724.28"/>
    <s v="Insurance"/>
    <s v="Yes"/>
    <m/>
    <m/>
    <s v="Child"/>
    <s v="High"/>
    <s v="Short Days"/>
    <m/>
    <m/>
    <m/>
    <m/>
    <m/>
    <m/>
  </r>
  <r>
    <s v="VIS202772"/>
    <d v="2025-03-28T00:00:00"/>
    <s v="PAT6348"/>
    <s v="Rahul Reddy"/>
    <s v="Male"/>
    <n v="19.5"/>
    <s v="Delhi"/>
    <s v="Telangana"/>
    <x v="0"/>
    <s v="Dr. Nikhil"/>
    <s v="Z111"/>
    <s v="Physiotherapy"/>
    <s v="OPD"/>
    <n v="6684.9"/>
    <s v="Insurance"/>
    <s v="Yes"/>
    <m/>
    <n v="7"/>
    <s v="Adult"/>
    <s v="Medium"/>
    <s v="Short Days"/>
    <m/>
    <m/>
    <m/>
    <m/>
    <m/>
    <m/>
  </r>
  <r>
    <s v="VIS202876"/>
    <d v="2024-08-02T00:00:00"/>
    <s v="PAT5491"/>
    <s v="Vivaan Jose"/>
    <s v="Female"/>
    <n v="35"/>
    <s v="Trichy"/>
    <s v="Tamil Nadu"/>
    <x v="3"/>
    <s v="Dr. Pallavi"/>
    <s v="F41"/>
    <s v="Minor Procedure"/>
    <s v="OPD"/>
    <n v="6111.69"/>
    <s v="Cash"/>
    <s v="No"/>
    <m/>
    <n v="7"/>
    <s v="Adult"/>
    <s v="Medium"/>
    <s v="Short Days"/>
    <m/>
    <m/>
    <m/>
    <m/>
    <m/>
    <m/>
  </r>
  <r>
    <s v="VIS202567"/>
    <d v="2025-08-03T00:00:00"/>
    <s v="PAT5960"/>
    <s v="Anil Mishra"/>
    <s v="Female"/>
    <n v="35"/>
    <s v="Kolkata"/>
    <s v="West Bengal"/>
    <x v="7"/>
    <s v="Dr. Leela"/>
    <s v="E11"/>
    <s v="Counselling"/>
    <s v="OPD"/>
    <n v="6994.8"/>
    <s v="UPI"/>
    <s v="No"/>
    <m/>
    <m/>
    <s v="Adult"/>
    <s v="Medium"/>
    <s v="Short Days"/>
    <m/>
    <m/>
    <m/>
    <m/>
    <m/>
    <m/>
  </r>
  <r>
    <s v="VIS202814"/>
    <d v="2025-01-14T00:00:00"/>
    <s v="PAT6664"/>
    <s v="Rohan Iyer"/>
    <s v="Male"/>
    <n v="62"/>
    <s v="Lucknow"/>
    <s v="Uttar Pradesh"/>
    <x v="4"/>
    <s v="Dr. Bhavana"/>
    <s v="I10"/>
    <s v="Minor Procedure"/>
    <s v="Teleconsultation"/>
    <n v="6024.19"/>
    <s v="Cash"/>
    <s v="No"/>
    <m/>
    <n v="30"/>
    <s v="Senior"/>
    <s v="Medium"/>
    <s v="Short Days"/>
    <m/>
    <m/>
    <m/>
    <m/>
    <m/>
    <m/>
  </r>
  <r>
    <s v="VIS200256"/>
    <d v="2025-09-30T00:00:00"/>
    <s v="PAT5151"/>
    <s v="Vishal Kumar"/>
    <s v="Female"/>
    <n v="52"/>
    <s v="Mumbai"/>
    <s v="Maharashtra"/>
    <x v="5"/>
    <s v="Dr. Ravi"/>
    <s v="J45"/>
    <s v="Medication"/>
    <s v="Teleconsultation"/>
    <n v="5891.67"/>
    <s v="UPI"/>
    <s v="No"/>
    <m/>
    <n v="7"/>
    <s v="Middle-Aged"/>
    <s v="Medium"/>
    <s v="Short Days"/>
    <m/>
    <m/>
    <m/>
    <m/>
    <m/>
    <m/>
  </r>
  <r>
    <s v="VIS202163"/>
    <d v="2024-12-02T00:00:00"/>
    <s v="PAT6647"/>
    <s v="Arjun Mishra"/>
    <s v="Male"/>
    <n v="36"/>
    <s v="Delhi"/>
    <s v="Delhi"/>
    <x v="1"/>
    <s v="Dr. Anu"/>
    <s v="F41"/>
    <s v="Physiotherapy"/>
    <s v="Teleconsultation"/>
    <n v="5233.26"/>
    <s v="Insurance"/>
    <s v="Yes"/>
    <m/>
    <m/>
    <s v="Adult"/>
    <s v="Medium"/>
    <s v="Short Days"/>
    <m/>
    <m/>
    <m/>
    <m/>
    <m/>
    <m/>
  </r>
  <r>
    <s v="VIS200696"/>
    <d v="2024-09-04T00:00:00"/>
    <s v="PAT6192"/>
    <s v="Deepa Nair"/>
    <s v="Male"/>
    <n v="63"/>
    <s v="Hyderabad"/>
    <s v="Telangana"/>
    <x v="8"/>
    <s v="Dr. Kavitha"/>
    <s v="H10"/>
    <s v="Medication"/>
    <s v="OPD"/>
    <n v="6086.57"/>
    <s v="Credit Card"/>
    <s v="No"/>
    <m/>
    <n v="30"/>
    <s v="Senior"/>
    <s v="Medium"/>
    <s v="Short Days"/>
    <m/>
    <m/>
    <m/>
    <m/>
    <m/>
    <m/>
  </r>
  <r>
    <s v="VIS202863"/>
    <d v="2025-05-15T00:00:00"/>
    <s v="PAT5844"/>
    <s v="Arjun Nagar"/>
    <s v="Female"/>
    <n v="50"/>
    <s v="Delhi"/>
    <s v="Delhi"/>
    <x v="5"/>
    <s v="Dr. Meena"/>
    <s v="I10"/>
    <s v="Medication"/>
    <s v="Teleconsultation"/>
    <n v="5351.19"/>
    <s v="Insurance"/>
    <s v="Yes"/>
    <m/>
    <m/>
    <s v="Middle-Aged"/>
    <s v="Medium"/>
    <s v="Short Days"/>
    <m/>
    <m/>
    <m/>
    <m/>
    <m/>
    <m/>
  </r>
  <r>
    <s v="VIS200132"/>
    <d v="2024-10-03T00:00:00"/>
    <s v="PAT5850"/>
    <s v="Anil Das"/>
    <s v="Male"/>
    <n v="31"/>
    <s v="Kochi"/>
    <s v="Kerala"/>
    <x v="6"/>
    <s v="Dr. Priya"/>
    <s v="M54"/>
    <s v="Prescription Refill"/>
    <s v="OPD"/>
    <n v="1840.9"/>
    <s v="UPI"/>
    <s v="No"/>
    <m/>
    <n v="90"/>
    <s v="Adult"/>
    <s v="Low"/>
    <s v="Short Days"/>
    <m/>
    <m/>
    <m/>
    <m/>
    <m/>
    <m/>
  </r>
  <r>
    <s v="VIS200213"/>
    <d v="2024-03-04T00:00:00"/>
    <s v="PAT6965"/>
    <s v="Rohan Reddy"/>
    <s v="Male"/>
    <n v="42"/>
    <s v="Noida"/>
    <s v="Uttar Pradesh"/>
    <x v="8"/>
    <s v="Dr. Kavitha"/>
    <s v="K21"/>
    <s v="Minor Surgery"/>
    <s v="Teleconsultation"/>
    <n v="5966.88"/>
    <s v="Insurance"/>
    <s v="Yes"/>
    <m/>
    <n v="90"/>
    <s v="Middle-Aged"/>
    <s v="Medium"/>
    <s v="Short Days"/>
    <m/>
    <m/>
    <m/>
    <m/>
    <m/>
    <m/>
  </r>
  <r>
    <s v="VIS202492"/>
    <d v="2024-01-01T00:00:00"/>
    <s v="PAT5747"/>
    <s v="Vishal Gupta"/>
    <s v="Female"/>
    <n v="46"/>
    <s v="Bengaluru"/>
    <s v="Karnataka"/>
    <x v="2"/>
    <s v="Dr. Manoj"/>
    <s v="J00"/>
    <s v="Observation"/>
    <s v="OPD"/>
    <n v="5573.79"/>
    <s v="Insurance"/>
    <s v="Yes"/>
    <m/>
    <m/>
    <s v="Middle-Aged"/>
    <s v="Medium"/>
    <s v="Short Days"/>
    <m/>
    <m/>
    <m/>
    <m/>
    <m/>
    <m/>
  </r>
  <r>
    <s v="VIS201342"/>
    <d v="2024-09-29T00:00:00"/>
    <s v="PAT6534"/>
    <s v="Neha Das"/>
    <s v="Male"/>
    <n v="10"/>
    <s v="Delhi"/>
    <s v="Delhi"/>
    <x v="6"/>
    <s v="Dr. Priya"/>
    <s v="E11"/>
    <s v="Physiotherapy"/>
    <s v="OPD"/>
    <n v="726.19"/>
    <s v="UPI"/>
    <s v="No"/>
    <m/>
    <m/>
    <s v="Child"/>
    <s v="Low"/>
    <s v="Short Days"/>
    <m/>
    <m/>
    <m/>
    <m/>
    <m/>
    <m/>
  </r>
  <r>
    <s v="VIS200059"/>
    <d v="2025-01-08T00:00:00"/>
    <s v="PAT5656"/>
    <s v="Ananya Jose"/>
    <s v="Female"/>
    <n v="30"/>
    <s v="Trichy"/>
    <s v="Tamil Nadu"/>
    <x v="7"/>
    <s v="Dr. Surya"/>
    <s v="F41"/>
    <s v="Observation"/>
    <s v="IPD"/>
    <n v="9208.2800000000007"/>
    <s v="Cash"/>
    <s v="No"/>
    <n v="7"/>
    <n v="14"/>
    <s v="Adult"/>
    <s v="Medium"/>
    <s v="Long Days"/>
    <m/>
    <m/>
    <m/>
    <m/>
    <m/>
    <m/>
  </r>
  <r>
    <s v="VIS202392"/>
    <d v="2025-10-21T00:00:00"/>
    <s v="PAT5599"/>
    <s v="Deepa Iyer"/>
    <s v="Female"/>
    <n v="46.5"/>
    <s v="Delhi"/>
    <s v="Tamil Nadu"/>
    <x v="3"/>
    <s v="Dr. Pallavi"/>
    <s v="Z111"/>
    <s v="Surgery"/>
    <s v="OPD"/>
    <n v="10452.69"/>
    <s v="Credit Card"/>
    <s v="No"/>
    <m/>
    <n v="30"/>
    <s v="Middle-Aged"/>
    <s v="High"/>
    <s v="Short Days"/>
    <m/>
    <m/>
    <m/>
    <m/>
    <m/>
    <m/>
  </r>
  <r>
    <s v="VIS201197"/>
    <d v="2025-04-30T00:00:00"/>
    <s v="PAT5981"/>
    <s v="Neha Bose"/>
    <s v="Male"/>
    <n v="59"/>
    <s v="Chennai"/>
    <s v="Tamil Nadu"/>
    <x v="1"/>
    <s v="Dr. Anu"/>
    <s v="E11"/>
    <s v="Minor Procedure"/>
    <s v="OPD"/>
    <n v="6165.18"/>
    <s v="UPI"/>
    <s v="No"/>
    <m/>
    <m/>
    <s v="Middle-Aged"/>
    <s v="Medium"/>
    <s v="Short Days"/>
    <m/>
    <m/>
    <m/>
    <m/>
    <m/>
    <m/>
  </r>
  <r>
    <s v="VIS200824"/>
    <d v="2024-01-20T00:00:00"/>
    <s v="PAT6848"/>
    <s v="Shruti Gupta"/>
    <s v="Female"/>
    <n v="48"/>
    <s v="Trichy"/>
    <s v="Tamil Nadu"/>
    <x v="5"/>
    <s v="Dr. Meena"/>
    <s v="L40"/>
    <s v="Physiotherapy"/>
    <s v="OPD"/>
    <n v="276.7"/>
    <s v="Debit Card"/>
    <s v="No"/>
    <m/>
    <n v="90"/>
    <s v="Middle-Aged"/>
    <s v="Low"/>
    <s v="Short Days"/>
    <m/>
    <m/>
    <m/>
    <m/>
    <m/>
    <m/>
  </r>
  <r>
    <s v="VIS201499"/>
    <d v="2025-05-22T00:00:00"/>
    <s v="PAT6069"/>
    <s v="Karthik Das"/>
    <s v="Female"/>
    <n v="37"/>
    <s v="Bengaluru"/>
    <s v="Karnataka"/>
    <x v="6"/>
    <s v="Dr. Priya"/>
    <s v="E11"/>
    <s v="Minor Surgery"/>
    <s v="OPD"/>
    <n v="6429.26"/>
    <s v="UPI"/>
    <s v="No"/>
    <m/>
    <m/>
    <s v="Adult"/>
    <s v="Medium"/>
    <s v="Short Days"/>
    <m/>
    <m/>
    <m/>
    <m/>
    <m/>
    <m/>
  </r>
  <r>
    <s v="VIS200429"/>
    <d v="2025-01-07T00:00:00"/>
    <s v="PAT6430"/>
    <s v="Vivaan Das"/>
    <s v="Female"/>
    <n v="41"/>
    <s v="Trichy"/>
    <s v="Tamil Nadu"/>
    <x v="6"/>
    <s v="Dr. Lalitha"/>
    <s v="H10"/>
    <s v="Surgery"/>
    <s v="OPD"/>
    <n v="2645.39"/>
    <s v="Insurance"/>
    <s v="Yes"/>
    <m/>
    <m/>
    <s v="Middle-Aged"/>
    <s v="Low"/>
    <s v="Short Days"/>
    <m/>
    <m/>
    <m/>
    <m/>
    <m/>
    <m/>
  </r>
  <r>
    <s v="VIS202473"/>
    <d v="2025-08-23T00:00:00"/>
    <s v="PAT6918"/>
    <s v="Aarav Sharma"/>
    <s v="Male"/>
    <n v="63"/>
    <s v="Mumbai"/>
    <s v="Maharashtra"/>
    <x v="1"/>
    <s v="Dr. Anu"/>
    <s v="K21"/>
    <s v="Counselling"/>
    <s v="OPD"/>
    <n v="5697.45"/>
    <s v="Cash"/>
    <s v="No"/>
    <m/>
    <n v="90"/>
    <s v="Senior"/>
    <s v="Medium"/>
    <s v="Short Days"/>
    <m/>
    <m/>
    <m/>
    <m/>
    <m/>
    <m/>
  </r>
  <r>
    <s v="VIS200555"/>
    <d v="2024-03-16T00:00:00"/>
    <s v="PAT6596"/>
    <s v="Neha Iyer"/>
    <s v="Male"/>
    <n v="42"/>
    <s v="Kochi"/>
    <s v="Kerala"/>
    <x v="5"/>
    <s v="Dr. Ravi"/>
    <s v="M54"/>
    <s v="Prescription Refill"/>
    <s v="Teleconsultation"/>
    <n v="5016.18"/>
    <s v="Debit Card"/>
    <s v="No"/>
    <m/>
    <m/>
    <s v="Middle-Aged"/>
    <s v="Medium"/>
    <s v="Short Days"/>
    <m/>
    <m/>
    <m/>
    <m/>
    <m/>
    <m/>
  </r>
  <r>
    <s v="VIS200626"/>
    <d v="2024-04-05T00:00:00"/>
    <s v="PAT5082"/>
    <s v="Deepa Jose"/>
    <s v="Male"/>
    <n v="63"/>
    <s v="Pune"/>
    <s v="Maharashtra"/>
    <x v="6"/>
    <s v="Dr. Lalitha"/>
    <s v="E11"/>
    <s v="Prescription Refill"/>
    <s v="OPD"/>
    <n v="757.18"/>
    <s v="UPI"/>
    <s v="No"/>
    <m/>
    <m/>
    <s v="Senior"/>
    <s v="Low"/>
    <s v="Short Days"/>
    <m/>
    <m/>
    <m/>
    <m/>
    <m/>
    <m/>
  </r>
  <r>
    <s v="VIS200762"/>
    <d v="2024-03-04T00:00:00"/>
    <s v="PAT6464"/>
    <s v="Priya Kumar"/>
    <s v="Male"/>
    <n v="6"/>
    <s v="Ahmedabad"/>
    <s v="Gujarat"/>
    <x v="4"/>
    <s v="Dr. Varun"/>
    <s v="N39"/>
    <s v="Observation"/>
    <s v="OPD"/>
    <n v="236.96"/>
    <s v="Credit Card"/>
    <s v="No"/>
    <m/>
    <m/>
    <s v="Child"/>
    <s v="Low"/>
    <s v="Short Days"/>
    <m/>
    <m/>
    <m/>
    <m/>
    <m/>
    <m/>
  </r>
  <r>
    <s v="VIS201148"/>
    <d v="2024-08-20T00:00:00"/>
    <s v="PAT5320"/>
    <s v="Anil Gupta"/>
    <s v="Female"/>
    <n v="32"/>
    <s v="Mumbai"/>
    <s v="Maharashtra"/>
    <x v="2"/>
    <s v="Dr. Manoj"/>
    <s v="F41"/>
    <s v="Medication"/>
    <s v="OPD"/>
    <n v="72.489999999999995"/>
    <s v="Debit Card"/>
    <s v="No"/>
    <m/>
    <n v="30"/>
    <s v="Adult"/>
    <s v="Low"/>
    <s v="Short Days"/>
    <m/>
    <m/>
    <m/>
    <m/>
    <m/>
    <m/>
  </r>
  <r>
    <s v="VIS200616"/>
    <d v="2024-10-23T00:00:00"/>
    <s v="PAT6878"/>
    <s v="Rohan Patel"/>
    <s v="Male"/>
    <n v="34"/>
    <s v="Lucknow"/>
    <s v="Uttar Pradesh"/>
    <x v="7"/>
    <s v="Dr. Surya"/>
    <s v="I10"/>
    <s v="Minor Surgery"/>
    <s v="OPD"/>
    <n v="675.85"/>
    <s v="Cash"/>
    <s v="No"/>
    <m/>
    <m/>
    <s v="Adult"/>
    <s v="Low"/>
    <s v="Short Days"/>
    <m/>
    <m/>
    <m/>
    <m/>
    <m/>
    <m/>
  </r>
  <r>
    <s v="VIS202118"/>
    <d v="2024-08-28T00:00:00"/>
    <s v="PAT6374"/>
    <s v="Sangeetha Sharma"/>
    <s v="Female"/>
    <n v="30"/>
    <s v="Ahmedabad"/>
    <s v="Gujarat"/>
    <x v="0"/>
    <s v="Dr. Shailesh"/>
    <s v="I10"/>
    <s v="Counselling"/>
    <s v="Teleconsultation"/>
    <n v="8290"/>
    <s v="Net Banking"/>
    <s v="No"/>
    <m/>
    <n v="14"/>
    <s v="Adult"/>
    <s v="Medium"/>
    <s v="Short Days"/>
    <m/>
    <m/>
    <m/>
    <m/>
    <m/>
    <m/>
  </r>
  <r>
    <s v="VIS201387"/>
    <d v="2025-02-08T00:00:00"/>
    <s v="PAT5544"/>
    <s v="Manisha Singh"/>
    <s v="Male"/>
    <n v="29"/>
    <s v="Delhi"/>
    <s v="Delhi"/>
    <x v="3"/>
    <s v="Dr. Anand"/>
    <s v="E11"/>
    <s v="Physiotherapy"/>
    <s v="OPD"/>
    <n v="15000.54"/>
    <s v="Credit Card"/>
    <s v="No"/>
    <m/>
    <m/>
    <s v="Adult"/>
    <s v="High"/>
    <s v="Short Days"/>
    <m/>
    <m/>
    <m/>
    <m/>
    <m/>
    <m/>
  </r>
  <r>
    <s v="VIS200794"/>
    <d v="2024-10-22T00:00:00"/>
    <s v="PAT6709"/>
    <s v="Arjun Nair"/>
    <s v="Female"/>
    <n v="59"/>
    <s v="Hyderabad"/>
    <s v="Telangana"/>
    <x v="8"/>
    <s v="Dr. Sneha"/>
    <s v="I10"/>
    <s v="Physiotherapy"/>
    <s v="Teleconsultation"/>
    <n v="6115.62"/>
    <s v="Credit Card"/>
    <s v="No"/>
    <m/>
    <n v="30"/>
    <s v="Middle-Aged"/>
    <s v="Medium"/>
    <s v="Short Days"/>
    <m/>
    <m/>
    <m/>
    <m/>
    <m/>
    <m/>
  </r>
  <r>
    <s v="VIS201279"/>
    <d v="2025-09-04T00:00:00"/>
    <s v="PAT5963"/>
    <s v="Kavya Bose"/>
    <s v="Female"/>
    <n v="43"/>
    <s v="Noida"/>
    <s v="Uttar Pradesh"/>
    <x v="1"/>
    <s v="Dr. Suri"/>
    <s v="F41"/>
    <s v="Minor Surgery"/>
    <s v="Teleconsultation"/>
    <n v="9545.4500000000007"/>
    <s v="Debit Card"/>
    <s v="No"/>
    <m/>
    <n v="7"/>
    <s v="Middle-Aged"/>
    <s v="Medium"/>
    <s v="Short Days"/>
    <m/>
    <m/>
    <m/>
    <m/>
    <m/>
    <m/>
  </r>
  <r>
    <s v="VIS201584"/>
    <d v="2024-11-13T00:00:00"/>
    <s v="PAT5778"/>
    <s v="Ishaan Jose"/>
    <s v="Female"/>
    <n v="46"/>
    <s v="Lucknow"/>
    <s v="Uttar Pradesh"/>
    <x v="7"/>
    <s v="Dr. Leela"/>
    <s v="F41"/>
    <s v="Counselling"/>
    <s v="OPD"/>
    <n v="1059.26"/>
    <s v="UPI"/>
    <s v="No"/>
    <m/>
    <n v="30"/>
    <s v="Middle-Aged"/>
    <s v="Low"/>
    <s v="Short Days"/>
    <m/>
    <m/>
    <m/>
    <m/>
    <m/>
    <m/>
  </r>
  <r>
    <s v="VIS200433"/>
    <d v="2025-08-25T00:00:00"/>
    <s v="PAT6545"/>
    <s v="Rohan Bose"/>
    <s v="Male"/>
    <n v="45"/>
    <s v="Bengaluru"/>
    <s v="Karnataka"/>
    <x v="1"/>
    <s v="Dr. Anu"/>
    <s v="N39"/>
    <s v="Minor Surgery"/>
    <s v="IPD"/>
    <n v="6247.93"/>
    <s v="Cash"/>
    <s v="No"/>
    <n v="5"/>
    <m/>
    <s v="Middle-Aged"/>
    <s v="Medium"/>
    <s v="Short Days"/>
    <m/>
    <m/>
    <m/>
    <m/>
    <m/>
    <m/>
  </r>
  <r>
    <s v="VIS202248"/>
    <d v="2024-09-03T00:00:00"/>
    <s v="PAT5756"/>
    <s v="Ananya Mishra"/>
    <s v="Female"/>
    <n v="44"/>
    <s v="Hyderabad"/>
    <s v="Telangana"/>
    <x v="4"/>
    <s v="Dr. Varun"/>
    <s v="H10"/>
    <s v="Surgery"/>
    <s v="Teleconsultation"/>
    <n v="13903.86"/>
    <s v="UPI"/>
    <s v="No"/>
    <m/>
    <n v="7"/>
    <s v="Middle-Aged"/>
    <s v="High"/>
    <s v="Short Days"/>
    <m/>
    <m/>
    <m/>
    <m/>
    <m/>
    <m/>
  </r>
  <r>
    <s v="VIS200635"/>
    <d v="2024-06-17T00:00:00"/>
    <s v="PAT5316"/>
    <s v="Anil Jose"/>
    <s v="Male"/>
    <n v="60"/>
    <s v="Ahmedabad"/>
    <s v="Gujarat"/>
    <x v="7"/>
    <s v="Dr. Surya"/>
    <s v="J45"/>
    <s v="Prescription Refill"/>
    <s v="Teleconsultation"/>
    <n v="5716.28"/>
    <s v="Insurance"/>
    <s v="Yes"/>
    <m/>
    <m/>
    <s v="Middle-Aged"/>
    <s v="Medium"/>
    <s v="Short Days"/>
    <m/>
    <m/>
    <m/>
    <m/>
    <m/>
    <m/>
  </r>
  <r>
    <s v="VIS201766"/>
    <d v="2025-08-19T00:00:00"/>
    <s v="PAT6639"/>
    <s v="Rahul Iyer"/>
    <s v="Female"/>
    <n v="40"/>
    <s v="Delhi"/>
    <s v="Delhi"/>
    <x v="1"/>
    <s v="Dr. Suri"/>
    <s v="K21"/>
    <s v="Physiotherapy"/>
    <s v="Teleconsultation"/>
    <n v="6197.53"/>
    <s v="Debit Card"/>
    <s v="No"/>
    <m/>
    <m/>
    <s v="Adult"/>
    <s v="Medium"/>
    <s v="Short Days"/>
    <m/>
    <m/>
    <m/>
    <m/>
    <m/>
    <m/>
  </r>
  <r>
    <s v="VIS202139"/>
    <d v="2024-01-22T00:00:00"/>
    <s v="PAT6465"/>
    <s v="Ishaan Bose"/>
    <s v="Male"/>
    <n v="21"/>
    <s v="Delhi"/>
    <s v="Delhi"/>
    <x v="9"/>
    <s v="Dr. Kusum"/>
    <s v="I10"/>
    <s v="Medication"/>
    <s v="OPD"/>
    <n v="3134.58"/>
    <s v="Credit Card"/>
    <s v="No"/>
    <m/>
    <m/>
    <s v="Adult"/>
    <s v="Low"/>
    <s v="Short Days"/>
    <m/>
    <m/>
    <m/>
    <m/>
    <m/>
    <m/>
  </r>
  <r>
    <s v="VIS201714"/>
    <d v="2024-05-15T00:00:00"/>
    <s v="PAT5245"/>
    <s v="Priya Nair"/>
    <s v="Female"/>
    <n v="7"/>
    <s v="Bengaluru"/>
    <s v="Karnataka"/>
    <x v="2"/>
    <s v="Dr. Ramesh"/>
    <s v="E11"/>
    <s v="Minor Surgery"/>
    <s v="OPD"/>
    <n v="3741.87"/>
    <s v="UPI"/>
    <s v="No"/>
    <m/>
    <m/>
    <s v="Child"/>
    <s v="Low"/>
    <s v="Short Days"/>
    <m/>
    <m/>
    <m/>
    <m/>
    <m/>
    <m/>
  </r>
  <r>
    <s v="VIS200135"/>
    <d v="2025-09-20T00:00:00"/>
    <s v="PAT5712"/>
    <s v="Aishwarya Jose"/>
    <s v="Male"/>
    <n v="25"/>
    <s v="Jaipur"/>
    <s v="Rajasthan"/>
    <x v="4"/>
    <s v="Dr. Varun"/>
    <s v="F41"/>
    <s v="Physiotherapy"/>
    <s v="Teleconsultation"/>
    <n v="9157.11"/>
    <s v="UPI"/>
    <s v="No"/>
    <m/>
    <m/>
    <s v="Adult"/>
    <s v="Medium"/>
    <s v="Short Days"/>
    <m/>
    <m/>
    <m/>
    <m/>
    <m/>
    <m/>
  </r>
  <r>
    <s v="VIS200088"/>
    <d v="2025-07-10T00:00:00"/>
    <s v="PAT6522"/>
    <s v="Deepa Mishra"/>
    <s v="Male"/>
    <n v="79"/>
    <s v="Mumbai"/>
    <s v="Maharashtra"/>
    <x v="2"/>
    <s v="Dr. Ramesh"/>
    <s v="N39"/>
    <s v="Surgery"/>
    <s v="OPD"/>
    <n v="77.8"/>
    <s v="UPI"/>
    <s v="No"/>
    <m/>
    <m/>
    <s v="Senior"/>
    <s v="Low"/>
    <s v="Short Days"/>
    <m/>
    <m/>
    <m/>
    <m/>
    <m/>
    <m/>
  </r>
  <r>
    <s v="VIS200947"/>
    <d v="2024-02-18T00:00:00"/>
    <s v="PAT6402"/>
    <s v="Kavya Jose"/>
    <s v="Male"/>
    <n v="28"/>
    <s v="Chennai"/>
    <s v="Tamil Nadu"/>
    <x v="9"/>
    <s v="Dr. Kusum"/>
    <s v="M54"/>
    <s v="Surgery"/>
    <s v="OPD"/>
    <n v="8580.34"/>
    <s v="Credit Card"/>
    <s v="No"/>
    <m/>
    <m/>
    <s v="Adult"/>
    <s v="Medium"/>
    <s v="Short Days"/>
    <m/>
    <m/>
    <m/>
    <m/>
    <m/>
    <m/>
  </r>
  <r>
    <s v="VIS202254"/>
    <d v="2024-07-19T00:00:00"/>
    <s v="PAT5802"/>
    <s v="Neha Reddy"/>
    <s v="Female"/>
    <n v="59"/>
    <s v="Pune"/>
    <s v="Maharashtra"/>
    <x v="6"/>
    <s v="Dr. Lalitha"/>
    <s v="I10"/>
    <s v="Counselling"/>
    <s v="Teleconsultation"/>
    <n v="13729.54"/>
    <s v="Cash"/>
    <s v="No"/>
    <m/>
    <n v="7"/>
    <s v="Middle-Aged"/>
    <s v="High"/>
    <s v="Short Days"/>
    <m/>
    <m/>
    <m/>
    <m/>
    <m/>
    <m/>
  </r>
  <r>
    <s v="VIS201598"/>
    <d v="2024-02-20T00:00:00"/>
    <s v="PAT6942"/>
    <s v="Deepa Sharma"/>
    <s v="Male"/>
    <n v="13"/>
    <s v="Kolkata"/>
    <s v="West Bengal"/>
    <x v="8"/>
    <s v="Dr. Kavitha"/>
    <s v="L40"/>
    <s v="Prescription Refill"/>
    <s v="OPD"/>
    <n v="3410.13"/>
    <s v="UPI"/>
    <s v="No"/>
    <m/>
    <m/>
    <s v="Child"/>
    <s v="Low"/>
    <s v="Short Days"/>
    <m/>
    <m/>
    <m/>
    <m/>
    <m/>
    <m/>
  </r>
  <r>
    <s v="VIS200587"/>
    <d v="2024-12-18T00:00:00"/>
    <s v="PAT6098"/>
    <s v="Rahul Reddy"/>
    <s v="Male"/>
    <n v="34"/>
    <s v="Lucknow"/>
    <s v="Uttar Pradesh"/>
    <x v="3"/>
    <s v="Dr. Anand"/>
    <s v="N39"/>
    <s v="Surgery"/>
    <s v="Emergency"/>
    <n v="9442.5"/>
    <s v="Cash"/>
    <s v="No"/>
    <m/>
    <n v="7"/>
    <s v="Adult"/>
    <s v="Medium"/>
    <s v="Short Days"/>
    <m/>
    <m/>
    <m/>
    <m/>
    <m/>
    <m/>
  </r>
  <r>
    <s v="VIS200511"/>
    <d v="2024-11-04T00:00:00"/>
    <s v="PAT6400"/>
    <s v="Manisha Singh"/>
    <s v="Female"/>
    <n v="53"/>
    <s v="Lucknow"/>
    <s v="Uttar Pradesh"/>
    <x v="7"/>
    <s v="Dr. Surya"/>
    <s v="L40"/>
    <s v="Observation"/>
    <s v="Teleconsultation"/>
    <n v="9274.49"/>
    <s v="Cash"/>
    <s v="No"/>
    <m/>
    <n v="30"/>
    <s v="Middle-Aged"/>
    <s v="Medium"/>
    <s v="Short Days"/>
    <m/>
    <m/>
    <m/>
    <m/>
    <m/>
    <m/>
  </r>
  <r>
    <s v="VIS202058"/>
    <d v="2024-04-14T00:00:00"/>
    <s v="PAT6408"/>
    <s v="Deepa Bose"/>
    <s v="Male"/>
    <n v="22"/>
    <s v="Ahmedabad"/>
    <s v="Gujarat"/>
    <x v="8"/>
    <s v="Dr. Kavitha"/>
    <s v="J00"/>
    <s v="Counselling"/>
    <s v="OPD"/>
    <n v="340.25"/>
    <s v="Credit Card"/>
    <s v="No"/>
    <m/>
    <n v="90"/>
    <s v="Adult"/>
    <s v="Low"/>
    <s v="Short Days"/>
    <m/>
    <m/>
    <m/>
    <m/>
    <m/>
    <m/>
  </r>
  <r>
    <s v="VIS201924"/>
    <d v="2024-11-13T00:00:00"/>
    <s v="PAT6392"/>
    <s v="Karthik Sharma"/>
    <s v="Female"/>
    <n v="77"/>
    <s v="Pune"/>
    <s v="Maharashtra"/>
    <x v="6"/>
    <s v="Dr. Lalitha"/>
    <s v="F41"/>
    <s v="Medication"/>
    <s v="Teleconsultation"/>
    <n v="6714.35"/>
    <s v="UPI"/>
    <s v="No"/>
    <m/>
    <m/>
    <s v="Senior"/>
    <s v="Medium"/>
    <s v="Short Days"/>
    <m/>
    <m/>
    <m/>
    <m/>
    <m/>
    <m/>
  </r>
  <r>
    <s v="VIS200768"/>
    <d v="2024-09-07T00:00:00"/>
    <s v="PAT6990"/>
    <s v="Rohan Iyer"/>
    <s v="Female"/>
    <n v="61"/>
    <s v="Bengaluru"/>
    <s v="Karnataka"/>
    <x v="3"/>
    <s v="Dr. Anand"/>
    <s v="E11"/>
    <s v="Minor Surgery"/>
    <s v="OPD"/>
    <n v="7514.06"/>
    <s v="UPI"/>
    <s v="No"/>
    <m/>
    <n v="7"/>
    <s v="Senior"/>
    <s v="Medium"/>
    <s v="Short Days"/>
    <m/>
    <m/>
    <m/>
    <m/>
    <m/>
    <m/>
  </r>
  <r>
    <s v="VIS202624"/>
    <d v="2024-08-16T00:00:00"/>
    <s v="PAT6295"/>
    <s v="Deepa Singh"/>
    <s v="Female"/>
    <n v="46"/>
    <s v="Trichy"/>
    <s v="Tamil Nadu"/>
    <x v="4"/>
    <s v="Dr. Varun"/>
    <s v="M54"/>
    <s v="Physiotherapy"/>
    <s v="Teleconsultation"/>
    <n v="9727.9"/>
    <s v="Insurance"/>
    <s v="Yes"/>
    <m/>
    <n v="30"/>
    <s v="Middle-Aged"/>
    <s v="Medium"/>
    <s v="Short Days"/>
    <m/>
    <m/>
    <m/>
    <m/>
    <m/>
    <m/>
  </r>
  <r>
    <s v="VIS202849"/>
    <d v="2024-08-13T00:00:00"/>
    <s v="PAT6069"/>
    <s v="Rahul Nair"/>
    <s v="Female"/>
    <n v="48"/>
    <s v="Pune"/>
    <s v="Maharashtra"/>
    <x v="2"/>
    <s v="Dr. Ramesh"/>
    <s v="H10"/>
    <s v="Physiotherapy"/>
    <s v="Teleconsultation"/>
    <n v="8334.11"/>
    <s v="Cash"/>
    <s v="No"/>
    <m/>
    <m/>
    <s v="Middle-Aged"/>
    <s v="Medium"/>
    <s v="Short Days"/>
    <m/>
    <m/>
    <m/>
    <m/>
    <m/>
    <m/>
  </r>
  <r>
    <s v="VIS201039"/>
    <d v="2024-07-22T00:00:00"/>
    <s v="PAT6172"/>
    <s v="Aditya Iyer"/>
    <s v="Female"/>
    <n v="17"/>
    <s v="Lucknow"/>
    <s v="Uttar Pradesh"/>
    <x v="3"/>
    <s v="Dr. Anand"/>
    <s v="N39"/>
    <s v="Physiotherapy"/>
    <s v="IPD"/>
    <n v="7762.46"/>
    <s v="Net Banking"/>
    <s v="No"/>
    <n v="4"/>
    <n v="30"/>
    <s v="Child"/>
    <s v="Medium"/>
    <s v="Short Days"/>
    <m/>
    <m/>
    <m/>
    <m/>
    <m/>
    <m/>
  </r>
  <r>
    <s v="VIS201424"/>
    <d v="2025-11-02T00:00:00"/>
    <s v="PAT5299"/>
    <s v="Vivaan Singh"/>
    <s v="Female"/>
    <n v="57"/>
    <s v="Noida"/>
    <s v="Uttar Pradesh"/>
    <x v="2"/>
    <s v="Dr. Manoj"/>
    <s v="L40"/>
    <s v="Prescription Refill"/>
    <s v="OPD"/>
    <n v="643.75"/>
    <s v="Cash"/>
    <s v="No"/>
    <m/>
    <n v="90"/>
    <s v="Middle-Aged"/>
    <s v="Low"/>
    <s v="Short Days"/>
    <m/>
    <m/>
    <m/>
    <m/>
    <m/>
    <m/>
  </r>
  <r>
    <s v="VIS202404"/>
    <d v="2024-06-24T00:00:00"/>
    <s v="PAT5220"/>
    <s v="Kavya Patel"/>
    <s v="Male"/>
    <n v="51"/>
    <s v="Lucknow"/>
    <s v="Uttar Pradesh"/>
    <x v="3"/>
    <s v="Dr. Pallavi"/>
    <s v="M54"/>
    <s v="Observation"/>
    <s v="OPD"/>
    <n v="4785.3500000000004"/>
    <s v="Cash"/>
    <s v="No"/>
    <m/>
    <m/>
    <s v="Middle-Aged"/>
    <s v="Low"/>
    <s v="Short Days"/>
    <m/>
    <m/>
    <m/>
    <m/>
    <m/>
    <m/>
  </r>
  <r>
    <s v="VIS200199"/>
    <d v="2024-05-01T00:00:00"/>
    <s v="PAT6030"/>
    <s v="Aditya Bose"/>
    <s v="Female"/>
    <n v="70"/>
    <s v="Coimbatore"/>
    <s v="Tamil Nadu"/>
    <x v="6"/>
    <s v="Dr. Lalitha"/>
    <s v="I10"/>
    <s v="Physiotherapy"/>
    <s v="OPD"/>
    <n v="570.41999999999996"/>
    <s v="UPI"/>
    <s v="No"/>
    <m/>
    <n v="14"/>
    <s v="Senior"/>
    <s v="Low"/>
    <s v="Short Days"/>
    <m/>
    <m/>
    <m/>
    <m/>
    <m/>
    <m/>
  </r>
  <r>
    <s v="VIS201580"/>
    <d v="2024-10-13T00:00:00"/>
    <s v="PAT6910"/>
    <s v="Kavya Reddy"/>
    <s v="Female"/>
    <n v="26"/>
    <s v="Kolkata"/>
    <s v="West Bengal"/>
    <x v="5"/>
    <s v="Dr. Meena"/>
    <s v="I10"/>
    <s v="Minor Procedure"/>
    <s v="OPD"/>
    <n v="795.21"/>
    <s v="UPI"/>
    <s v="No"/>
    <m/>
    <n v="14"/>
    <s v="Adult"/>
    <s v="Low"/>
    <s v="Short Days"/>
    <m/>
    <m/>
    <m/>
    <m/>
    <m/>
    <m/>
  </r>
  <r>
    <s v="VIS201635"/>
    <d v="2024-03-11T00:00:00"/>
    <s v="PAT5335"/>
    <s v="Neha Kumar"/>
    <s v="Male"/>
    <n v="51"/>
    <s v="Coimbatore"/>
    <s v="Tamil Nadu"/>
    <x v="0"/>
    <s v="Dr. Shailesh"/>
    <s v="K21"/>
    <s v="Medication"/>
    <s v="OPD"/>
    <n v="3450.19"/>
    <s v="Cash"/>
    <s v="No"/>
    <m/>
    <n v="90"/>
    <s v="Middle-Aged"/>
    <s v="Low"/>
    <s v="Short Days"/>
    <m/>
    <m/>
    <m/>
    <m/>
    <m/>
    <m/>
  </r>
  <r>
    <s v="VIS202660"/>
    <d v="2024-10-06T00:00:00"/>
    <s v="PAT5923"/>
    <s v="Shruti Gupta"/>
    <s v="Male"/>
    <n v="30"/>
    <s v="Kochi"/>
    <s v="Kerala"/>
    <x v="0"/>
    <s v="Dr. Shailesh"/>
    <s v="M54"/>
    <s v="Minor Procedure"/>
    <s v="Teleconsultation"/>
    <n v="6450.67"/>
    <s v="Credit Card"/>
    <s v="No"/>
    <m/>
    <m/>
    <s v="Adult"/>
    <s v="Medium"/>
    <s v="Short Days"/>
    <m/>
    <m/>
    <m/>
    <m/>
    <m/>
    <m/>
  </r>
  <r>
    <s v="VIS200660"/>
    <d v="2024-07-05T00:00:00"/>
    <s v="PAT6910"/>
    <s v="Neha Reddy"/>
    <s v="Male"/>
    <n v="39"/>
    <s v="Chennai"/>
    <s v="Tamil Nadu"/>
    <x v="8"/>
    <s v="Dr. Kavitha"/>
    <s v="I10"/>
    <s v="Minor Surgery"/>
    <s v="OPD"/>
    <n v="5615.37"/>
    <s v="Net Banking"/>
    <s v="No"/>
    <m/>
    <n v="30"/>
    <s v="Adult"/>
    <s v="Medium"/>
    <s v="Short Days"/>
    <m/>
    <m/>
    <m/>
    <m/>
    <m/>
    <m/>
  </r>
  <r>
    <s v="VIS200260"/>
    <d v="2025-06-26T00:00:00"/>
    <s v="PAT5031"/>
    <s v="Neha Reddy"/>
    <s v="Female"/>
    <n v="57"/>
    <s v="Trichy"/>
    <s v="Tamil Nadu"/>
    <x v="1"/>
    <s v="Dr. Suri"/>
    <s v="L40"/>
    <s v="Prescription Refill"/>
    <s v="OPD"/>
    <n v="3707.08"/>
    <s v="Cash"/>
    <s v="No"/>
    <m/>
    <m/>
    <s v="Middle-Aged"/>
    <s v="Low"/>
    <s v="Short Days"/>
    <m/>
    <m/>
    <m/>
    <m/>
    <m/>
    <m/>
  </r>
  <r>
    <s v="VIS200625"/>
    <d v="2024-02-20T00:00:00"/>
    <s v="PAT5977"/>
    <s v="Rahul Khan"/>
    <s v="Male"/>
    <n v="3"/>
    <s v="Delhi"/>
    <s v="Delhi"/>
    <x v="2"/>
    <s v="Dr. Manoj"/>
    <s v="J45"/>
    <s v="Physiotherapy"/>
    <s v="OPD"/>
    <n v="1413.54"/>
    <s v="Cash"/>
    <s v="No"/>
    <m/>
    <m/>
    <s v="Child"/>
    <s v="Low"/>
    <s v="Short Days"/>
    <m/>
    <m/>
    <m/>
    <m/>
    <m/>
    <m/>
  </r>
  <r>
    <s v="VIS201562"/>
    <d v="2024-09-02T00:00:00"/>
    <s v="PAT6196"/>
    <s v="Siddharth Sharma"/>
    <s v="Male"/>
    <n v="61"/>
    <s v="Coimbatore"/>
    <s v="Tamil Nadu"/>
    <x v="1"/>
    <s v="Dr. Anu"/>
    <s v="K21"/>
    <s v="Medication"/>
    <s v="OPD"/>
    <n v="3640.92"/>
    <s v="Cash"/>
    <s v="No"/>
    <m/>
    <n v="30"/>
    <s v="Senior"/>
    <s v="Low"/>
    <s v="Short Days"/>
    <m/>
    <m/>
    <m/>
    <m/>
    <m/>
    <m/>
  </r>
  <r>
    <s v="VIS200847"/>
    <d v="2025-05-27T00:00:00"/>
    <s v="PAT6557"/>
    <s v="Aarav Iyer"/>
    <s v="Female"/>
    <n v="32"/>
    <s v="Trichy"/>
    <s v="Tamil Nadu"/>
    <x v="7"/>
    <s v="Dr. Leela"/>
    <s v="J45"/>
    <s v="Minor Procedure"/>
    <s v="OPD"/>
    <n v="721.46"/>
    <s v="Cash"/>
    <s v="No"/>
    <m/>
    <m/>
    <s v="Adult"/>
    <s v="Low"/>
    <s v="Short Days"/>
    <m/>
    <m/>
    <m/>
    <m/>
    <m/>
    <m/>
  </r>
  <r>
    <s v="VIS200097"/>
    <d v="2025-01-26T00:00:00"/>
    <s v="PAT5775"/>
    <s v="Kavya Kumar"/>
    <s v="Male"/>
    <n v="40"/>
    <s v="Trichy"/>
    <s v="Tamil Nadu"/>
    <x v="3"/>
    <s v="Dr. Anand"/>
    <s v="E11"/>
    <s v="Surgery"/>
    <s v="OPD"/>
    <n v="1398.96"/>
    <s v="UPI"/>
    <s v="No"/>
    <m/>
    <n v="30"/>
    <s v="Adult"/>
    <s v="Low"/>
    <s v="Short Days"/>
    <m/>
    <m/>
    <m/>
    <m/>
    <m/>
    <m/>
  </r>
  <r>
    <s v="VIS200176"/>
    <d v="2024-04-20T00:00:00"/>
    <s v="PAT5440"/>
    <s v="Anil Patel"/>
    <s v="Female"/>
    <n v="60"/>
    <s v="Pune"/>
    <s v="Maharashtra"/>
    <x v="4"/>
    <s v="Dr. Bhavana"/>
    <s v="M54"/>
    <s v="Physiotherapy"/>
    <s v="OPD"/>
    <n v="5329.98"/>
    <s v="Debit Card"/>
    <s v="No"/>
    <m/>
    <m/>
    <s v="Middle-Aged"/>
    <s v="Medium"/>
    <s v="Short Days"/>
    <m/>
    <m/>
    <m/>
    <m/>
    <m/>
    <m/>
  </r>
  <r>
    <s v="VIS200875"/>
    <d v="2024-02-29T00:00:00"/>
    <s v="PAT5280"/>
    <s v="Ishaan Bose"/>
    <s v="Male"/>
    <n v="30"/>
    <s v="Kochi"/>
    <s v="Kerala"/>
    <x v="0"/>
    <s v="Dr. Nikhil"/>
    <s v="H10"/>
    <s v="Minor Surgery"/>
    <s v="OPD"/>
    <n v="6479.28"/>
    <s v="Net Banking"/>
    <s v="No"/>
    <m/>
    <n v="14"/>
    <s v="Adult"/>
    <s v="Medium"/>
    <s v="Short Days"/>
    <m/>
    <m/>
    <m/>
    <m/>
    <m/>
    <m/>
  </r>
  <r>
    <s v="VIS200666"/>
    <d v="2024-08-23T00:00:00"/>
    <s v="PAT6618"/>
    <s v="Arjun Das"/>
    <s v="Male"/>
    <n v="39"/>
    <s v="Hyderabad"/>
    <s v="Telangana"/>
    <x v="4"/>
    <s v="Dr. Varun"/>
    <s v="L40"/>
    <s v="Observation"/>
    <s v="Teleconsultation"/>
    <n v="13702.3"/>
    <s v="Cash"/>
    <s v="No"/>
    <m/>
    <n v="30"/>
    <s v="Adult"/>
    <s v="High"/>
    <s v="Short Days"/>
    <m/>
    <m/>
    <m/>
    <m/>
    <m/>
    <m/>
  </r>
  <r>
    <s v="VIS200419"/>
    <d v="2024-02-23T00:00:00"/>
    <s v="PAT6910"/>
    <s v="Shruti Bose"/>
    <s v="Male"/>
    <n v="20"/>
    <s v="Chennai"/>
    <s v="Tamil Nadu"/>
    <x v="5"/>
    <s v="Dr. Ravi"/>
    <s v="I10"/>
    <s v="Prescription Refill"/>
    <s v="IPD"/>
    <n v="5247.26"/>
    <s v="Cash"/>
    <s v="No"/>
    <n v="4"/>
    <n v="30"/>
    <s v="Adult"/>
    <s v="Medium"/>
    <s v="Short Days"/>
    <m/>
    <m/>
    <m/>
    <m/>
    <m/>
    <m/>
  </r>
  <r>
    <s v="VIS202580"/>
    <d v="2024-10-04T00:00:00"/>
    <s v="PAT6218"/>
    <s v="Deepa Bose"/>
    <s v="Female"/>
    <n v="42"/>
    <s v="Madurai"/>
    <s v="Tamil Nadu"/>
    <x v="4"/>
    <s v="Dr. Bhavana"/>
    <s v="M54"/>
    <s v="Observation"/>
    <s v="IPD"/>
    <n v="6034.9"/>
    <s v="UPI"/>
    <s v="No"/>
    <n v="7"/>
    <n v="90"/>
    <s v="Middle-Aged"/>
    <s v="Medium"/>
    <s v="Long Days"/>
    <m/>
    <m/>
    <m/>
    <m/>
    <m/>
    <m/>
  </r>
  <r>
    <s v="VIS202142"/>
    <d v="2024-03-10T00:00:00"/>
    <s v="PAT6887"/>
    <s v="Aditya Patel"/>
    <s v="Male"/>
    <n v="51"/>
    <s v="Mumbai"/>
    <s v="Maharashtra"/>
    <x v="2"/>
    <s v="Dr. Ramesh"/>
    <s v="E11"/>
    <s v="Physiotherapy"/>
    <s v="OPD"/>
    <n v="4525.4399999999996"/>
    <s v="UPI"/>
    <s v="No"/>
    <m/>
    <m/>
    <s v="Middle-Aged"/>
    <s v="Low"/>
    <s v="Short Days"/>
    <m/>
    <m/>
    <m/>
    <m/>
    <m/>
    <m/>
  </r>
  <r>
    <s v="VIS200858"/>
    <d v="2024-09-07T00:00:00"/>
    <s v="PAT5416"/>
    <s v="Vivaan Singh"/>
    <s v="Male"/>
    <n v="20"/>
    <s v="Bengaluru"/>
    <s v="Karnataka"/>
    <x v="3"/>
    <s v="Dr. Anand"/>
    <s v="K21"/>
    <s v="Minor Procedure"/>
    <s v="OPD"/>
    <n v="17581.099999999999"/>
    <s v="Cash"/>
    <s v="No"/>
    <m/>
    <m/>
    <s v="Adult"/>
    <s v="High"/>
    <s v="Short Days"/>
    <m/>
    <m/>
    <m/>
    <m/>
    <m/>
    <m/>
  </r>
  <r>
    <s v="VIS202742"/>
    <d v="2024-04-14T00:00:00"/>
    <s v="PAT6705"/>
    <s v="Rahul Gupta"/>
    <s v="Female"/>
    <n v="53"/>
    <s v="Pune"/>
    <s v="Maharashtra"/>
    <x v="6"/>
    <s v="Dr. Priya"/>
    <s v="J00"/>
    <s v="Minor Procedure"/>
    <s v="OPD"/>
    <n v="8853.0499999999993"/>
    <s v="Credit Card"/>
    <s v="No"/>
    <m/>
    <n v="7"/>
    <s v="Middle-Aged"/>
    <s v="Medium"/>
    <s v="Short Days"/>
    <m/>
    <m/>
    <m/>
    <m/>
    <m/>
    <m/>
  </r>
  <r>
    <s v="VIS200113"/>
    <d v="2025-08-21T00:00:00"/>
    <s v="PAT6910"/>
    <s v="Priya Patel"/>
    <s v="Male"/>
    <n v="34"/>
    <s v="Kolkata"/>
    <s v="West Bengal"/>
    <x v="8"/>
    <s v="Dr. Kavitha"/>
    <s v="I10"/>
    <s v="Surgery"/>
    <s v="Teleconsultation"/>
    <n v="8882.2099999999991"/>
    <s v="Debit Card"/>
    <s v="No"/>
    <m/>
    <n v="90"/>
    <s v="Adult"/>
    <s v="Medium"/>
    <s v="Short Days"/>
    <m/>
    <m/>
    <m/>
    <m/>
    <m/>
    <m/>
  </r>
  <r>
    <s v="VIS201488"/>
    <d v="2025-05-25T00:00:00"/>
    <s v="PAT6819"/>
    <s v="Aishwarya Singh"/>
    <s v="Female"/>
    <n v="63"/>
    <s v="Pune"/>
    <s v="Maharashtra"/>
    <x v="2"/>
    <s v="Dr. Manoj"/>
    <s v="N39"/>
    <s v="Physiotherapy"/>
    <s v="OPD"/>
    <n v="2639.23"/>
    <s v="Cash"/>
    <s v="No"/>
    <m/>
    <n v="90"/>
    <s v="Senior"/>
    <s v="Low"/>
    <s v="Short Days"/>
    <m/>
    <m/>
    <m/>
    <m/>
    <m/>
    <m/>
  </r>
  <r>
    <s v="VIS200051"/>
    <d v="2025-09-10T00:00:00"/>
    <s v="PAT6452"/>
    <s v="Aditya Khan"/>
    <s v="Female"/>
    <n v="40"/>
    <s v="Trichy"/>
    <s v="Tamil Nadu"/>
    <x v="3"/>
    <s v="Dr. Anand"/>
    <s v="L40"/>
    <s v="Surgery"/>
    <s v="OPD"/>
    <n v="3719.95"/>
    <s v="Debit Card"/>
    <s v="No"/>
    <m/>
    <m/>
    <s v="Adult"/>
    <s v="Low"/>
    <s v="Short Days"/>
    <m/>
    <m/>
    <m/>
    <m/>
    <m/>
    <m/>
  </r>
  <r>
    <s v="VIS202037"/>
    <d v="2024-06-07T00:00:00"/>
    <s v="PAT6766"/>
    <s v="Aditya Mishra"/>
    <s v="Male"/>
    <n v="41"/>
    <s v="Delhi"/>
    <s v="Tamil Nadu"/>
    <x v="9"/>
    <s v="Dr. Arvind"/>
    <s v="Z111"/>
    <s v="Minor Procedure"/>
    <s v="OPD"/>
    <n v="511.39"/>
    <s v="Cash"/>
    <s v="No"/>
    <m/>
    <n v="7"/>
    <s v="Middle-Aged"/>
    <s v="Low"/>
    <s v="Short Days"/>
    <m/>
    <m/>
    <m/>
    <m/>
    <m/>
    <m/>
  </r>
  <r>
    <s v="VIS200850"/>
    <d v="2024-11-18T00:00:00"/>
    <s v="PAT5159"/>
    <s v="Aishwarya Iyer"/>
    <s v="Female"/>
    <n v="58"/>
    <s v="Noida"/>
    <s v="Uttar Pradesh"/>
    <x v="9"/>
    <s v="Dr. Arvind"/>
    <s v="H10"/>
    <s v="Counselling"/>
    <s v="Emergency"/>
    <n v="5914.27"/>
    <s v="Cash"/>
    <s v="No"/>
    <m/>
    <n v="7"/>
    <s v="Middle-Aged"/>
    <s v="Medium"/>
    <s v="Short Days"/>
    <m/>
    <m/>
    <m/>
    <m/>
    <m/>
    <m/>
  </r>
  <r>
    <s v="VIS200594"/>
    <d v="2024-11-24T00:00:00"/>
    <s v="PAT5605"/>
    <s v="Deepa Patel"/>
    <s v="Male"/>
    <n v="38"/>
    <s v="Kolkata"/>
    <s v="West Bengal"/>
    <x v="5"/>
    <s v="Dr. Meena"/>
    <s v="J00"/>
    <s v="Counselling"/>
    <s v="OPD"/>
    <n v="5877.08"/>
    <s v="UPI"/>
    <s v="No"/>
    <m/>
    <n v="7"/>
    <s v="Adult"/>
    <s v="Medium"/>
    <s v="Short Days"/>
    <m/>
    <m/>
    <m/>
    <m/>
    <m/>
    <m/>
  </r>
  <r>
    <s v="VIS200025"/>
    <d v="2024-10-02T00:00:00"/>
    <s v="PAT6074"/>
    <s v="Siddharth Bose"/>
    <s v="Female"/>
    <n v="25"/>
    <s v="Ahmedabad"/>
    <s v="Gujarat"/>
    <x v="0"/>
    <s v="Dr. Nikhil"/>
    <s v="L40"/>
    <s v="Prescription Refill"/>
    <s v="OPD"/>
    <n v="3621.06"/>
    <s v="UPI"/>
    <s v="No"/>
    <m/>
    <n v="7"/>
    <s v="Adult"/>
    <s v="Low"/>
    <s v="Short Days"/>
    <m/>
    <m/>
    <m/>
    <m/>
    <m/>
    <m/>
  </r>
  <r>
    <s v="VIS201698"/>
    <d v="2024-01-09T00:00:00"/>
    <s v="PAT6236"/>
    <s v="Aishwarya Patel"/>
    <s v="Female"/>
    <n v="29.5"/>
    <s v="Delhi"/>
    <s v="Kerala"/>
    <x v="6"/>
    <s v="Dr. Lalitha"/>
    <s v="Z111"/>
    <s v="Medication"/>
    <s v="OPD"/>
    <n v="1232.8499999999999"/>
    <s v="Cash"/>
    <s v="No"/>
    <m/>
    <m/>
    <s v="Adult"/>
    <s v="Low"/>
    <s v="Short Days"/>
    <m/>
    <m/>
    <m/>
    <m/>
    <m/>
    <m/>
  </r>
  <r>
    <s v="VIS202102"/>
    <d v="2025-01-07T00:00:00"/>
    <s v="PAT6506"/>
    <s v="Rohan Nagar"/>
    <s v="Female"/>
    <n v="50"/>
    <s v="Delhi"/>
    <s v="Delhi"/>
    <x v="2"/>
    <s v="Dr. Manoj"/>
    <s v="F41"/>
    <s v="Minor Procedure"/>
    <s v="OPD"/>
    <n v="400.46"/>
    <s v="Cash"/>
    <s v="No"/>
    <m/>
    <n v="14"/>
    <s v="Middle-Aged"/>
    <s v="Low"/>
    <s v="Short Days"/>
    <m/>
    <m/>
    <m/>
    <m/>
    <m/>
    <m/>
  </r>
  <r>
    <s v="VIS200693"/>
    <d v="2024-03-28T00:00:00"/>
    <s v="PAT5771"/>
    <s v="Aishwarya Kumar"/>
    <s v="Female"/>
    <n v="80"/>
    <s v="Trichy"/>
    <s v="Tamil Nadu"/>
    <x v="3"/>
    <s v="Dr. Pallavi"/>
    <s v="K21"/>
    <s v="Minor Procedure"/>
    <s v="OPD"/>
    <n v="18970.21"/>
    <s v="Insurance"/>
    <s v="Yes"/>
    <m/>
    <n v="7"/>
    <s v="Senior"/>
    <s v="High"/>
    <s v="Short Days"/>
    <m/>
    <m/>
    <m/>
    <m/>
    <m/>
    <m/>
  </r>
  <r>
    <s v="VIS200187"/>
    <d v="2024-11-28T00:00:00"/>
    <s v="PAT5842"/>
    <s v="Ananya Singh"/>
    <s v="Other"/>
    <n v="36"/>
    <s v="Trichy"/>
    <s v="Tamil Nadu"/>
    <x v="2"/>
    <s v="Dr. Manoj"/>
    <s v="J45"/>
    <s v="Physiotherapy"/>
    <s v="Teleconsultation"/>
    <n v="6692.09"/>
    <s v="Insurance"/>
    <s v="Yes"/>
    <m/>
    <n v="7"/>
    <s v="Adult"/>
    <s v="Medium"/>
    <s v="Short Days"/>
    <m/>
    <m/>
    <m/>
    <m/>
    <m/>
    <m/>
  </r>
  <r>
    <s v="VIS202458"/>
    <d v="2024-07-04T00:00:00"/>
    <s v="PAT6571"/>
    <s v="Priya Nagar"/>
    <s v="Female"/>
    <n v="10"/>
    <s v="Pune"/>
    <s v="Maharashtra"/>
    <x v="9"/>
    <s v="Dr. Kusum"/>
    <s v="J00"/>
    <s v="Minor Surgery"/>
    <s v="OPD"/>
    <n v="662.92"/>
    <s v="Credit Card"/>
    <s v="No"/>
    <m/>
    <n v="30"/>
    <s v="Child"/>
    <s v="Low"/>
    <s v="Short Days"/>
    <m/>
    <m/>
    <m/>
    <m/>
    <m/>
    <m/>
  </r>
  <r>
    <s v="VIS202332"/>
    <d v="2024-06-16T00:00:00"/>
    <s v="PAT6974"/>
    <s v="Aditya Gupta"/>
    <s v="Male"/>
    <n v="48"/>
    <s v="Noida"/>
    <s v="Uttar Pradesh"/>
    <x v="6"/>
    <s v="Dr. Lalitha"/>
    <s v="J45"/>
    <s v="Physiotherapy"/>
    <s v="OPD"/>
    <n v="5423.45"/>
    <s v="UPI"/>
    <s v="No"/>
    <m/>
    <n v="7"/>
    <s v="Middle-Aged"/>
    <s v="Medium"/>
    <s v="Short Days"/>
    <m/>
    <m/>
    <m/>
    <m/>
    <m/>
    <m/>
  </r>
  <r>
    <s v="VIS201296"/>
    <d v="2024-08-10T00:00:00"/>
    <s v="PAT5118"/>
    <s v="Aarav Patel"/>
    <s v="Female"/>
    <n v="41"/>
    <s v="Kochi"/>
    <s v="Kerala"/>
    <x v="8"/>
    <s v="Dr. Kavitha"/>
    <s v="J45"/>
    <s v="Counselling"/>
    <s v="OPD"/>
    <n v="17413.68"/>
    <s v="Cash"/>
    <s v="No"/>
    <m/>
    <n v="90"/>
    <s v="Middle-Aged"/>
    <s v="High"/>
    <s v="Short Days"/>
    <m/>
    <m/>
    <m/>
    <m/>
    <m/>
    <m/>
  </r>
  <r>
    <s v="VIS202272"/>
    <d v="2025-04-26T00:00:00"/>
    <s v="PAT6231"/>
    <s v="Rohan Jose"/>
    <s v="Male"/>
    <n v="50"/>
    <s v="Mumbai"/>
    <s v="Maharashtra"/>
    <x v="2"/>
    <s v="Dr. Manoj"/>
    <s v="K21"/>
    <s v="Medication"/>
    <s v="OPD"/>
    <n v="1542.76"/>
    <s v="Debit Card"/>
    <s v="No"/>
    <m/>
    <n v="7"/>
    <s v="Middle-Aged"/>
    <s v="Low"/>
    <s v="Short Days"/>
    <m/>
    <m/>
    <m/>
    <m/>
    <m/>
    <m/>
  </r>
  <r>
    <s v="VIS200913"/>
    <d v="2025-08-09T00:00:00"/>
    <s v="PAT5629"/>
    <s v="Aarav Iyer"/>
    <s v="Male"/>
    <n v="14"/>
    <s v="Noida"/>
    <s v="Uttar Pradesh"/>
    <x v="6"/>
    <s v="Dr. Priya"/>
    <s v="I10"/>
    <s v="Counselling"/>
    <s v="OPD"/>
    <n v="140.34"/>
    <s v="Insurance"/>
    <s v="Yes"/>
    <m/>
    <n v="30"/>
    <s v="Child"/>
    <s v="Low"/>
    <s v="Short Days"/>
    <m/>
    <m/>
    <m/>
    <m/>
    <m/>
    <m/>
  </r>
  <r>
    <s v="VIS202279"/>
    <d v="2025-04-17T00:00:00"/>
    <s v="PAT5197"/>
    <s v="Rahul Nair"/>
    <s v="Male"/>
    <n v="7"/>
    <s v="Pune"/>
    <s v="Maharashtra"/>
    <x v="3"/>
    <s v="Dr. Anand"/>
    <s v="J00"/>
    <s v="Minor Procedure"/>
    <s v="OPD"/>
    <n v="8590.92"/>
    <s v="Credit Card"/>
    <s v="No"/>
    <m/>
    <m/>
    <s v="Child"/>
    <s v="Medium"/>
    <s v="Short Days"/>
    <m/>
    <m/>
    <m/>
    <m/>
    <m/>
    <m/>
  </r>
  <r>
    <s v="VIS201586"/>
    <d v="2025-08-06T00:00:00"/>
    <s v="PAT6474"/>
    <s v="Manisha Bose"/>
    <s v="Female"/>
    <n v="57"/>
    <s v="Pune"/>
    <s v="Maharashtra"/>
    <x v="1"/>
    <s v="Dr. Suri"/>
    <s v="J00"/>
    <s v="Prescription Refill"/>
    <s v="Teleconsultation"/>
    <n v="11271.95"/>
    <s v="Insurance"/>
    <s v="Yes"/>
    <m/>
    <n v="7"/>
    <s v="Middle-Aged"/>
    <s v="High"/>
    <s v="Short Days"/>
    <m/>
    <m/>
    <m/>
    <m/>
    <m/>
    <m/>
  </r>
  <r>
    <s v="VIS202741"/>
    <d v="2024-11-21T00:00:00"/>
    <s v="PAT6276"/>
    <s v="Kavya Das"/>
    <s v="Male"/>
    <n v="36"/>
    <s v="Trichy"/>
    <s v="Tamil Nadu"/>
    <x v="2"/>
    <s v="Dr. Ramesh"/>
    <s v="J00"/>
    <s v="Medication"/>
    <s v="OPD"/>
    <n v="90.24"/>
    <s v="Cash"/>
    <s v="No"/>
    <m/>
    <m/>
    <s v="Adult"/>
    <s v="Low"/>
    <s v="Short Days"/>
    <m/>
    <m/>
    <m/>
    <m/>
    <m/>
    <m/>
  </r>
  <r>
    <s v="VIS201988"/>
    <d v="2024-03-18T00:00:00"/>
    <s v="PAT5621"/>
    <s v="Ishaan Nair"/>
    <s v="Male"/>
    <n v="70"/>
    <s v="Jaipur"/>
    <s v="Rajasthan"/>
    <x v="9"/>
    <s v="Dr. Kusum"/>
    <s v="K21"/>
    <s v="Minor Procedure"/>
    <s v="OPD"/>
    <n v="166.89"/>
    <s v="Insurance"/>
    <s v="Yes"/>
    <m/>
    <n v="90"/>
    <s v="Senior"/>
    <s v="Low"/>
    <s v="Short Days"/>
    <m/>
    <m/>
    <m/>
    <m/>
    <m/>
    <m/>
  </r>
  <r>
    <s v="VIS200950"/>
    <d v="2024-04-18T00:00:00"/>
    <s v="PAT6938"/>
    <s v="Aishwarya Das"/>
    <s v="Female"/>
    <n v="28"/>
    <s v="Kochi"/>
    <s v="Kerala"/>
    <x v="7"/>
    <s v="Dr. Leela"/>
    <s v="I10"/>
    <s v="Counselling"/>
    <s v="OPD"/>
    <n v="5775.25"/>
    <s v="Insurance"/>
    <s v="Yes"/>
    <m/>
    <n v="90"/>
    <s v="Adult"/>
    <s v="Medium"/>
    <s v="Short Days"/>
    <m/>
    <m/>
    <m/>
    <m/>
    <m/>
    <m/>
  </r>
  <r>
    <s v="VIS201367"/>
    <d v="2025-06-23T00:00:00"/>
    <s v="PAT6058"/>
    <s v="Rohan Khan"/>
    <s v="Male"/>
    <n v="26"/>
    <s v="Jaipur"/>
    <s v="Rajasthan"/>
    <x v="5"/>
    <s v="Dr. Ravi"/>
    <s v="N39"/>
    <s v="Medication"/>
    <s v="OPD"/>
    <n v="2345.8200000000002"/>
    <s v="Insurance"/>
    <s v="Yes"/>
    <m/>
    <m/>
    <s v="Adult"/>
    <s v="Low"/>
    <s v="Short Days"/>
    <m/>
    <m/>
    <m/>
    <m/>
    <m/>
    <m/>
  </r>
  <r>
    <s v="VIS201069"/>
    <d v="2024-08-24T00:00:00"/>
    <s v="PAT6412"/>
    <s v="Vishal Sharma"/>
    <s v="Male"/>
    <n v="36"/>
    <s v="Coimbatore"/>
    <s v="Tamil Nadu"/>
    <x v="0"/>
    <s v="Dr. Shailesh"/>
    <s v="J00"/>
    <s v="Observation"/>
    <s v="OPD"/>
    <n v="3989.16"/>
    <s v="Net Banking"/>
    <s v="No"/>
    <m/>
    <n v="14"/>
    <s v="Adult"/>
    <s v="Low"/>
    <s v="Short Days"/>
    <m/>
    <m/>
    <m/>
    <m/>
    <m/>
    <m/>
  </r>
  <r>
    <s v="VIS201670"/>
    <d v="2024-02-19T00:00:00"/>
    <s v="PAT6772"/>
    <s v="Ishaan Bose"/>
    <s v="Male"/>
    <n v="31"/>
    <s v="Noida"/>
    <s v="Uttar Pradesh"/>
    <x v="5"/>
    <s v="Dr. Karthik"/>
    <s v="N39"/>
    <s v="Prescription Refill"/>
    <s v="Teleconsultation"/>
    <n v="5279.35"/>
    <s v="UPI"/>
    <s v="No"/>
    <m/>
    <n v="30"/>
    <s v="Adult"/>
    <s v="Medium"/>
    <s v="Short Days"/>
    <m/>
    <m/>
    <m/>
    <m/>
    <m/>
    <m/>
  </r>
  <r>
    <s v="VIS202474"/>
    <d v="2025-08-30T00:00:00"/>
    <s v="PAT6212"/>
    <s v="Ishaan Sharma"/>
    <s v="Male"/>
    <n v="40"/>
    <s v="Kochi"/>
    <s v="Kerala"/>
    <x v="3"/>
    <s v="Dr. Pallavi"/>
    <s v="K21"/>
    <s v="Surgery"/>
    <s v="OPD"/>
    <n v="5860.44"/>
    <s v="Insurance"/>
    <s v="Yes"/>
    <m/>
    <n v="7"/>
    <s v="Adult"/>
    <s v="Medium"/>
    <s v="Short Days"/>
    <m/>
    <m/>
    <m/>
    <m/>
    <m/>
    <m/>
  </r>
  <r>
    <s v="VIS200454"/>
    <d v="2025-04-07T00:00:00"/>
    <s v="PAT5949"/>
    <s v="Kavya Bose"/>
    <s v="Male"/>
    <n v="40"/>
    <s v="Jaipur"/>
    <s v="Rajasthan"/>
    <x v="3"/>
    <s v="Dr. Pallavi"/>
    <s v="F41"/>
    <s v="Medication"/>
    <s v="Teleconsultation"/>
    <n v="21824"/>
    <s v="Cash"/>
    <s v="No"/>
    <m/>
    <n v="7"/>
    <s v="Adult"/>
    <s v="High"/>
    <s v="Short Days"/>
    <m/>
    <m/>
    <m/>
    <m/>
    <m/>
    <m/>
  </r>
  <r>
    <s v="VIS201128"/>
    <d v="2025-10-11T00:00:00"/>
    <s v="PAT5893"/>
    <s v="Manisha Mishra"/>
    <s v="Male"/>
    <n v="26"/>
    <s v="Coimbatore"/>
    <s v="Tamil Nadu"/>
    <x v="7"/>
    <s v="Dr. Surya"/>
    <s v="K21"/>
    <s v="Prescription Refill"/>
    <s v="OPD"/>
    <n v="3583.15"/>
    <s v="Insurance"/>
    <s v="Yes"/>
    <m/>
    <n v="90"/>
    <s v="Adult"/>
    <s v="Low"/>
    <s v="Short Days"/>
    <m/>
    <m/>
    <m/>
    <m/>
    <m/>
    <m/>
  </r>
  <r>
    <s v="VIS200499"/>
    <d v="2024-10-30T00:00:00"/>
    <s v="PAT6793"/>
    <s v="Siddharth Gupta"/>
    <s v="Male"/>
    <n v="37"/>
    <s v="Kolkata"/>
    <s v="West Bengal"/>
    <x v="1"/>
    <s v="Dr. Suri"/>
    <s v="I10"/>
    <s v="Physiotherapy"/>
    <s v="Teleconsultation"/>
    <n v="9862.25"/>
    <s v="UPI"/>
    <s v="No"/>
    <m/>
    <n v="90"/>
    <s v="Adult"/>
    <s v="Medium"/>
    <s v="Short Days"/>
    <m/>
    <m/>
    <m/>
    <m/>
    <m/>
    <m/>
  </r>
  <r>
    <s v="VIS200922"/>
    <d v="2024-09-10T00:00:00"/>
    <s v="PAT5330"/>
    <s v="Aditya Das"/>
    <s v="Male"/>
    <n v="61"/>
    <s v="Delhi"/>
    <s v="Delhi"/>
    <x v="4"/>
    <s v="Dr. Bhavana"/>
    <s v="I10"/>
    <s v="Medication"/>
    <s v="OPD"/>
    <n v="19224.86"/>
    <s v="Credit Card"/>
    <s v="No"/>
    <m/>
    <n v="14"/>
    <s v="Senior"/>
    <s v="High"/>
    <s v="Short Days"/>
    <m/>
    <m/>
    <m/>
    <m/>
    <m/>
    <m/>
  </r>
  <r>
    <s v="VIS201056"/>
    <d v="2024-03-23T00:00:00"/>
    <s v="PAT5930"/>
    <s v="Rahul Gupta"/>
    <s v="Male"/>
    <n v="45"/>
    <s v="Pune"/>
    <s v="Maharashtra"/>
    <x v="3"/>
    <s v="Dr. Anand"/>
    <s v="E11"/>
    <s v="Minor Surgery"/>
    <s v="Teleconsultation"/>
    <n v="6066.08"/>
    <s v="Credit Card"/>
    <s v="No"/>
    <m/>
    <n v="7"/>
    <s v="Middle-Aged"/>
    <s v="Medium"/>
    <s v="Short Days"/>
    <m/>
    <m/>
    <m/>
    <m/>
    <m/>
    <m/>
  </r>
  <r>
    <s v="VIS202590"/>
    <d v="2025-06-10T00:00:00"/>
    <s v="PAT5660"/>
    <s v="Priya Kumar"/>
    <s v="Male"/>
    <n v="42"/>
    <s v="Bengaluru"/>
    <s v="Karnataka"/>
    <x v="1"/>
    <s v="Dr. Suri"/>
    <s v="F41"/>
    <s v="Counselling"/>
    <s v="OPD"/>
    <n v="753.58"/>
    <s v="Debit Card"/>
    <s v="No"/>
    <m/>
    <n v="90"/>
    <s v="Middle-Aged"/>
    <s v="Low"/>
    <s v="Short Days"/>
    <m/>
    <m/>
    <m/>
    <m/>
    <m/>
    <m/>
  </r>
  <r>
    <s v="VIS201481"/>
    <d v="2025-06-14T00:00:00"/>
    <s v="PAT6450"/>
    <s v="Deepa Patel"/>
    <s v="Male"/>
    <n v="40"/>
    <s v="Coimbatore"/>
    <s v="Tamil Nadu"/>
    <x v="8"/>
    <s v="Dr. Kavitha"/>
    <s v="K21"/>
    <s v="Prescription Refill"/>
    <s v="Emergency"/>
    <n v="5631.88"/>
    <s v="Cash"/>
    <s v="No"/>
    <m/>
    <n v="30"/>
    <s v="Adult"/>
    <s v="Medium"/>
    <s v="Short Days"/>
    <m/>
    <m/>
    <m/>
    <m/>
    <m/>
    <m/>
  </r>
  <r>
    <s v="VIS202812"/>
    <d v="2025-05-27T00:00:00"/>
    <s v="PAT6349"/>
    <s v="Aishwarya Patel"/>
    <s v="Female"/>
    <n v="60"/>
    <s v="Hyderabad"/>
    <s v="Telangana"/>
    <x v="9"/>
    <s v="Dr. Arvind"/>
    <s v="F41"/>
    <s v="Physiotherapy"/>
    <s v="OPD"/>
    <n v="2777.44"/>
    <s v="UPI"/>
    <s v="No"/>
    <m/>
    <m/>
    <s v="Middle-Aged"/>
    <s v="Low"/>
    <s v="Short Days"/>
    <m/>
    <m/>
    <m/>
    <m/>
    <m/>
    <m/>
  </r>
  <r>
    <s v="VIS202964"/>
    <d v="2025-05-20T00:00:00"/>
    <s v="PAT6338"/>
    <s v="Neha Singh"/>
    <s v="Male"/>
    <n v="15"/>
    <s v="Madurai"/>
    <s v="Tamil Nadu"/>
    <x v="7"/>
    <s v="Dr. Surya"/>
    <s v="N39"/>
    <s v="Surgery"/>
    <s v="OPD"/>
    <n v="253.19"/>
    <s v="Net Banking"/>
    <s v="No"/>
    <m/>
    <m/>
    <s v="Child"/>
    <s v="Low"/>
    <s v="Short Days"/>
    <m/>
    <m/>
    <m/>
    <m/>
    <m/>
    <m/>
  </r>
  <r>
    <s v="VIS201699"/>
    <d v="2024-05-23T00:00:00"/>
    <s v="PAT5021"/>
    <s v="Deepa Jose"/>
    <s v="Male"/>
    <n v="39"/>
    <s v="Delhi"/>
    <s v="Delhi"/>
    <x v="7"/>
    <s v="Dr. Leela"/>
    <s v="I10"/>
    <s v="Prescription Refill"/>
    <s v="OPD"/>
    <n v="16409.919999999998"/>
    <s v="Cash"/>
    <s v="No"/>
    <m/>
    <m/>
    <s v="Adult"/>
    <s v="High"/>
    <s v="Short Days"/>
    <m/>
    <m/>
    <m/>
    <m/>
    <m/>
    <m/>
  </r>
  <r>
    <s v="VIS200645"/>
    <d v="2025-07-22T00:00:00"/>
    <s v="PAT6474"/>
    <s v="Arjun Bose"/>
    <s v="Male"/>
    <n v="61"/>
    <s v="Bengaluru"/>
    <s v="Karnataka"/>
    <x v="5"/>
    <s v="Dr. Ravi"/>
    <s v="H10"/>
    <s v="Medication"/>
    <s v="Teleconsultation"/>
    <n v="29338.59"/>
    <s v="Credit Card"/>
    <s v="No"/>
    <m/>
    <n v="14"/>
    <s v="Senior"/>
    <s v="High"/>
    <s v="Short Days"/>
    <m/>
    <m/>
    <m/>
    <m/>
    <m/>
    <m/>
  </r>
  <r>
    <s v="VIS200089"/>
    <d v="2025-09-28T00:00:00"/>
    <s v="PAT6869"/>
    <s v="Vishal Gupta"/>
    <s v="Male"/>
    <n v="52"/>
    <s v="Mumbai"/>
    <s v="Maharashtra"/>
    <x v="0"/>
    <s v="Dr. Shailesh"/>
    <s v="I10"/>
    <s v="Physiotherapy"/>
    <s v="OPD"/>
    <n v="3367.06"/>
    <s v="UPI"/>
    <s v="No"/>
    <m/>
    <m/>
    <s v="Middle-Aged"/>
    <s v="Low"/>
    <s v="Short Days"/>
    <m/>
    <m/>
    <m/>
    <m/>
    <m/>
    <m/>
  </r>
  <r>
    <s v="VIS202240"/>
    <d v="2025-10-17T00:00:00"/>
    <s v="PAT6020"/>
    <s v="Arjun Nagar"/>
    <s v="Female"/>
    <n v="25"/>
    <s v="Coimbatore"/>
    <s v="Tamil Nadu"/>
    <x v="9"/>
    <s v="Dr. Kusum"/>
    <s v="I10"/>
    <s v="Physiotherapy"/>
    <s v="OPD"/>
    <n v="196.1"/>
    <s v="Credit Card"/>
    <s v="No"/>
    <m/>
    <m/>
    <s v="Adult"/>
    <s v="Low"/>
    <s v="Short Days"/>
    <m/>
    <m/>
    <m/>
    <m/>
    <m/>
    <m/>
  </r>
  <r>
    <s v="VIS202425"/>
    <d v="2024-10-03T00:00:00"/>
    <s v="PAT5159"/>
    <s v="Rohan Kumar"/>
    <s v="Male"/>
    <n v="29"/>
    <s v="Jaipur"/>
    <s v="Rajasthan"/>
    <x v="1"/>
    <s v="Dr. Suri"/>
    <s v="J45"/>
    <s v="Minor Surgery"/>
    <s v="OPD"/>
    <n v="1716.28"/>
    <s v="UPI"/>
    <s v="No"/>
    <m/>
    <n v="14"/>
    <s v="Adult"/>
    <s v="Low"/>
    <s v="Short Days"/>
    <m/>
    <m/>
    <m/>
    <m/>
    <m/>
    <m/>
  </r>
  <r>
    <s v="VIS202229"/>
    <d v="2024-06-30T00:00:00"/>
    <s v="PAT6508"/>
    <s v="Arjun Nair"/>
    <s v="Male"/>
    <n v="57"/>
    <s v="Jaipur"/>
    <s v="Rajasthan"/>
    <x v="5"/>
    <s v="Dr. Meena"/>
    <s v="H10"/>
    <s v="Minor Surgery"/>
    <s v="OPD"/>
    <n v="758.46"/>
    <s v="Cash"/>
    <s v="No"/>
    <m/>
    <m/>
    <s v="Middle-Aged"/>
    <s v="Low"/>
    <s v="Short Days"/>
    <m/>
    <m/>
    <m/>
    <m/>
    <m/>
    <m/>
  </r>
  <r>
    <s v="VIS201396"/>
    <d v="2025-03-29T00:00:00"/>
    <s v="PAT5237"/>
    <s v="Ananya Patel"/>
    <s v="Male"/>
    <n v="36"/>
    <s v="Delhi"/>
    <s v="Tamil Nadu"/>
    <x v="5"/>
    <s v="Dr. Meena"/>
    <s v="Z111"/>
    <s v="Observation"/>
    <s v="Teleconsultation"/>
    <n v="7361.82"/>
    <s v="Credit Card"/>
    <s v="No"/>
    <m/>
    <m/>
    <s v="Adult"/>
    <s v="Medium"/>
    <s v="Short Days"/>
    <m/>
    <m/>
    <m/>
    <m/>
    <m/>
    <m/>
  </r>
  <r>
    <s v="VIS200101"/>
    <d v="2025-10-24T00:00:00"/>
    <s v="PAT5389"/>
    <s v="Sangeetha Reddy"/>
    <s v="Male"/>
    <n v="14"/>
    <s v="Mumbai"/>
    <s v="Maharashtra"/>
    <x v="4"/>
    <s v="Dr. Varun"/>
    <s v="J00"/>
    <s v="Physiotherapy"/>
    <s v="OPD"/>
    <n v="2299.25"/>
    <s v="UPI"/>
    <s v="No"/>
    <m/>
    <m/>
    <s v="Child"/>
    <s v="Low"/>
    <s v="Short Days"/>
    <m/>
    <m/>
    <m/>
    <m/>
    <m/>
    <m/>
  </r>
  <r>
    <s v="VIS200568"/>
    <d v="2024-10-04T00:00:00"/>
    <s v="PAT6012"/>
    <s v="Rohan Jose"/>
    <s v="Male"/>
    <n v="37.5"/>
    <s v="Delhi"/>
    <s v="Delhi"/>
    <x v="4"/>
    <s v="Dr. Bhavana"/>
    <s v="Z111"/>
    <s v="Counselling"/>
    <s v="Teleconsultation"/>
    <n v="6066.93"/>
    <s v="Debit Card"/>
    <s v="No"/>
    <m/>
    <m/>
    <s v="Adult"/>
    <s v="Medium"/>
    <s v="Short Days"/>
    <m/>
    <m/>
    <m/>
    <m/>
    <m/>
    <m/>
  </r>
  <r>
    <s v="VIS202121"/>
    <d v="2025-10-26T00:00:00"/>
    <s v="PAT5758"/>
    <s v="Priya Reddy"/>
    <s v="Female"/>
    <n v="36"/>
    <s v="Kolkata"/>
    <s v="West Bengal"/>
    <x v="4"/>
    <s v="Dr. Bhavana"/>
    <s v="I10"/>
    <s v="Medication"/>
    <s v="Emergency"/>
    <n v="5765.31"/>
    <s v="Insurance"/>
    <s v="Yes"/>
    <m/>
    <n v="90"/>
    <s v="Adult"/>
    <s v="Medium"/>
    <s v="Short Days"/>
    <m/>
    <m/>
    <m/>
    <m/>
    <m/>
    <m/>
  </r>
  <r>
    <s v="VIS201733"/>
    <d v="2025-06-12T00:00:00"/>
    <s v="PAT5628"/>
    <s v="Arjun Khan"/>
    <s v="Female"/>
    <n v="8"/>
    <s v="Pune"/>
    <s v="Maharashtra"/>
    <x v="3"/>
    <s v="Dr. Pallavi"/>
    <s v="I10"/>
    <s v="Surgery"/>
    <s v="Teleconsultation"/>
    <n v="6237.61"/>
    <s v="Debit Card"/>
    <s v="No"/>
    <m/>
    <n v="14"/>
    <s v="Child"/>
    <s v="Medium"/>
    <s v="Short Days"/>
    <m/>
    <m/>
    <m/>
    <m/>
    <m/>
    <m/>
  </r>
  <r>
    <s v="VIS201892"/>
    <d v="2025-08-11T00:00:00"/>
    <s v="PAT6726"/>
    <s v="Aditya Kumar"/>
    <s v="Male"/>
    <n v="21"/>
    <s v="Noida"/>
    <s v="Uttar Pradesh"/>
    <x v="9"/>
    <s v="Dr. Kusum"/>
    <s v="H10"/>
    <s v="Physiotherapy"/>
    <s v="OPD"/>
    <n v="45628.09"/>
    <s v="Debit Card"/>
    <s v="No"/>
    <m/>
    <n v="7"/>
    <s v="Adult"/>
    <s v="High"/>
    <s v="Short Days"/>
    <m/>
    <m/>
    <m/>
    <m/>
    <m/>
    <m/>
  </r>
  <r>
    <s v="VIS200551"/>
    <d v="2025-10-17T00:00:00"/>
    <s v="PAT5012"/>
    <s v="Siddharth Kumar"/>
    <s v="Male"/>
    <n v="68"/>
    <s v="Hyderabad"/>
    <s v="Telangana"/>
    <x v="6"/>
    <s v="Dr. Priya"/>
    <s v="I10"/>
    <s v="Surgery"/>
    <s v="OPD"/>
    <n v="11452.41"/>
    <s v="Debit Card"/>
    <s v="No"/>
    <m/>
    <n v="14"/>
    <s v="Senior"/>
    <s v="High"/>
    <s v="Short Days"/>
    <m/>
    <m/>
    <m/>
    <m/>
    <m/>
    <m/>
  </r>
  <r>
    <s v="VIS200840"/>
    <d v="2024-01-02T00:00:00"/>
    <s v="PAT6391"/>
    <s v="Deepa Jose"/>
    <s v="Male"/>
    <n v="63"/>
    <s v="Coimbatore"/>
    <s v="Tamil Nadu"/>
    <x v="5"/>
    <s v="Dr. Meena"/>
    <s v="E11"/>
    <s v="Surgery"/>
    <s v="Emergency"/>
    <n v="8572.0300000000007"/>
    <s v="Credit Card"/>
    <s v="No"/>
    <m/>
    <m/>
    <s v="Senior"/>
    <s v="Medium"/>
    <s v="Short Days"/>
    <m/>
    <m/>
    <m/>
    <m/>
    <m/>
    <m/>
  </r>
  <r>
    <s v="VIS202349"/>
    <d v="2024-10-28T00:00:00"/>
    <s v="PAT5830"/>
    <s v="Vishal Singh"/>
    <s v="Male"/>
    <n v="26"/>
    <s v="Hyderabad"/>
    <s v="Telangana"/>
    <x v="7"/>
    <s v="Dr. Surya"/>
    <s v="L40"/>
    <s v="Prescription Refill"/>
    <s v="Teleconsultation"/>
    <n v="11555.14"/>
    <s v="Insurance"/>
    <s v="Yes"/>
    <m/>
    <n v="30"/>
    <s v="Adult"/>
    <s v="High"/>
    <s v="Short Days"/>
    <m/>
    <m/>
    <m/>
    <m/>
    <m/>
    <m/>
  </r>
  <r>
    <s v="VIS201421"/>
    <d v="2025-07-25T00:00:00"/>
    <s v="PAT5461"/>
    <s v="Ananya Khan"/>
    <s v="Female"/>
    <n v="40"/>
    <s v="Noida"/>
    <s v="Uttar Pradesh"/>
    <x v="8"/>
    <s v="Dr. Sneha"/>
    <s v="H10"/>
    <s v="Physiotherapy"/>
    <s v="OPD"/>
    <n v="1475.65"/>
    <s v="Cash"/>
    <s v="No"/>
    <m/>
    <n v="90"/>
    <s v="Adult"/>
    <s v="Low"/>
    <s v="Short Days"/>
    <m/>
    <m/>
    <m/>
    <m/>
    <m/>
    <m/>
  </r>
  <r>
    <s v="VIS201467"/>
    <d v="2025-06-11T00:00:00"/>
    <s v="PAT6936"/>
    <s v="Vishal Jose"/>
    <s v="Female"/>
    <n v="11"/>
    <s v="Trichy"/>
    <s v="Tamil Nadu"/>
    <x v="1"/>
    <s v="Dr. Suri"/>
    <s v="H10"/>
    <s v="Minor Procedure"/>
    <s v="OPD"/>
    <n v="5271.77"/>
    <s v="Cash"/>
    <s v="No"/>
    <m/>
    <m/>
    <s v="Child"/>
    <s v="Medium"/>
    <s v="Short Days"/>
    <m/>
    <m/>
    <m/>
    <m/>
    <m/>
    <m/>
  </r>
  <r>
    <s v="VIS200818"/>
    <d v="2025-06-09T00:00:00"/>
    <s v="PAT5154"/>
    <s v="Manisha Jose"/>
    <s v="Male"/>
    <n v="72"/>
    <s v="Pune"/>
    <s v="Maharashtra"/>
    <x v="3"/>
    <s v="Dr. Anand"/>
    <s v="J00"/>
    <s v="Surgery"/>
    <s v="OPD"/>
    <n v="8574.32"/>
    <s v="Insurance"/>
    <s v="Yes"/>
    <m/>
    <n v="30"/>
    <s v="Senior"/>
    <s v="Medium"/>
    <s v="Short Days"/>
    <m/>
    <m/>
    <m/>
    <m/>
    <m/>
    <m/>
  </r>
  <r>
    <s v="VIS201696"/>
    <d v="2024-03-23T00:00:00"/>
    <s v="PAT5318"/>
    <s v="Kavya Patel"/>
    <s v="Male"/>
    <n v="36"/>
    <s v="Delhi"/>
    <s v="Delhi"/>
    <x v="0"/>
    <s v="Dr. Shailesh"/>
    <s v="E11"/>
    <s v="Minor Surgery"/>
    <s v="Teleconsultation"/>
    <n v="15488.12"/>
    <s v="Insurance"/>
    <s v="Yes"/>
    <m/>
    <m/>
    <s v="Adult"/>
    <s v="High"/>
    <s v="Short Days"/>
    <m/>
    <m/>
    <m/>
    <m/>
    <m/>
    <m/>
  </r>
  <r>
    <s v="VIS201487"/>
    <d v="2025-09-18T00:00:00"/>
    <s v="PAT5770"/>
    <s v="Vishal Iyer"/>
    <s v="Male"/>
    <n v="42"/>
    <s v="Jaipur"/>
    <s v="Rajasthan"/>
    <x v="2"/>
    <s v="Dr. Manoj"/>
    <s v="E11"/>
    <s v="Physiotherapy"/>
    <s v="Teleconsultation"/>
    <n v="15202.77"/>
    <s v="Net Banking"/>
    <s v="No"/>
    <m/>
    <n v="14"/>
    <s v="Middle-Aged"/>
    <s v="High"/>
    <s v="Short Days"/>
    <m/>
    <m/>
    <m/>
    <m/>
    <m/>
    <m/>
  </r>
  <r>
    <s v="VIS201574"/>
    <d v="2025-06-14T00:00:00"/>
    <s v="PAT6221"/>
    <s v="Karthik Nair"/>
    <s v="Female"/>
    <n v="48"/>
    <s v="Ahmedabad"/>
    <s v="Gujarat"/>
    <x v="4"/>
    <s v="Dr. Varun"/>
    <s v="E11"/>
    <s v="Observation"/>
    <s v="Teleconsultation"/>
    <n v="13187.92"/>
    <s v="Insurance"/>
    <s v="Yes"/>
    <m/>
    <m/>
    <s v="Middle-Aged"/>
    <s v="High"/>
    <s v="Short Days"/>
    <m/>
    <m/>
    <m/>
    <m/>
    <m/>
    <m/>
  </r>
  <r>
    <s v="VIS201310"/>
    <d v="2025-01-07T00:00:00"/>
    <s v="PAT6922"/>
    <s v="Arjun Singh"/>
    <s v="Female"/>
    <n v="31"/>
    <s v="Jaipur"/>
    <s v="Rajasthan"/>
    <x v="3"/>
    <s v="Dr. Pallavi"/>
    <s v="N39"/>
    <s v="Minor Procedure"/>
    <s v="OPD"/>
    <n v="2565.2199999999998"/>
    <s v="Cash"/>
    <s v="No"/>
    <m/>
    <m/>
    <s v="Adult"/>
    <s v="Low"/>
    <s v="Short Days"/>
    <m/>
    <m/>
    <m/>
    <m/>
    <m/>
    <m/>
  </r>
  <r>
    <s v="VIS202926"/>
    <d v="2025-08-02T00:00:00"/>
    <s v="PAT5347"/>
    <s v="Sangeetha Jose"/>
    <s v="Male"/>
    <n v="37"/>
    <s v="Jaipur"/>
    <s v="Rajasthan"/>
    <x v="3"/>
    <s v="Dr. Pallavi"/>
    <s v="M54"/>
    <s v="Minor Surgery"/>
    <s v="OPD"/>
    <n v="11256.01"/>
    <s v="Debit Card"/>
    <s v="No"/>
    <m/>
    <m/>
    <s v="Adult"/>
    <s v="High"/>
    <s v="Short Days"/>
    <m/>
    <m/>
    <m/>
    <m/>
    <m/>
    <m/>
  </r>
  <r>
    <s v="VIS202573"/>
    <d v="2024-11-03T00:00:00"/>
    <s v="PAT6243"/>
    <s v="Priya Nagar"/>
    <s v="Male"/>
    <n v="9"/>
    <s v="Trichy"/>
    <s v="Tamil Nadu"/>
    <x v="0"/>
    <s v="Dr. Nikhil"/>
    <s v="E11"/>
    <s v="Physiotherapy"/>
    <s v="Teleconsultation"/>
    <n v="7037.54"/>
    <s v="Cash"/>
    <s v="No"/>
    <m/>
    <m/>
    <s v="Child"/>
    <s v="Medium"/>
    <s v="Short Days"/>
    <m/>
    <m/>
    <m/>
    <m/>
    <m/>
    <m/>
  </r>
  <r>
    <s v="VIS202432"/>
    <d v="2025-02-09T00:00:00"/>
    <s v="PAT5509"/>
    <s v="Rahul Nair"/>
    <s v="Female"/>
    <n v="63"/>
    <s v="Hyderabad"/>
    <s v="Telangana"/>
    <x v="7"/>
    <s v="Dr. Leela"/>
    <s v="M54"/>
    <s v="Minor Surgery"/>
    <s v="OPD"/>
    <n v="7482.8"/>
    <s v="Credit Card"/>
    <s v="No"/>
    <m/>
    <m/>
    <s v="Senior"/>
    <s v="Medium"/>
    <s v="Short Days"/>
    <m/>
    <m/>
    <m/>
    <m/>
    <m/>
    <m/>
  </r>
  <r>
    <s v="VIS202179"/>
    <d v="2025-08-11T00:00:00"/>
    <s v="PAT5765"/>
    <s v="Vivaan Iyer"/>
    <s v="Male"/>
    <n v="49.5"/>
    <s v="Delhi"/>
    <s v="Telangana"/>
    <x v="1"/>
    <s v="Dr. Anu"/>
    <s v="Z111"/>
    <s v="Surgery"/>
    <s v="OPD"/>
    <n v="3662.36"/>
    <s v="Debit Card"/>
    <s v="No"/>
    <m/>
    <n v="7"/>
    <s v="Middle-Aged"/>
    <s v="Low"/>
    <s v="Short Days"/>
    <m/>
    <m/>
    <m/>
    <m/>
    <m/>
    <m/>
  </r>
  <r>
    <s v="VIS200529"/>
    <d v="2025-04-28T00:00:00"/>
    <s v="PAT6942"/>
    <s v="Shruti Bose"/>
    <s v="Male"/>
    <n v="55"/>
    <s v="Pune"/>
    <s v="Maharashtra"/>
    <x v="3"/>
    <s v="Dr. Pallavi"/>
    <s v="H10"/>
    <s v="Medication"/>
    <s v="OPD"/>
    <n v="15596.31"/>
    <s v="Debit Card"/>
    <s v="No"/>
    <m/>
    <n v="7"/>
    <s v="Middle-Aged"/>
    <s v="High"/>
    <s v="Short Days"/>
    <m/>
    <m/>
    <m/>
    <m/>
    <m/>
    <m/>
  </r>
  <r>
    <s v="VIS202201"/>
    <d v="2024-08-03T00:00:00"/>
    <s v="PAT6944"/>
    <s v="Karthik Mishra"/>
    <s v="Male"/>
    <n v="47"/>
    <s v="Kolkata"/>
    <s v="West Bengal"/>
    <x v="0"/>
    <s v="Dr. Nikhil"/>
    <s v="F41"/>
    <s v="Counselling"/>
    <s v="OPD"/>
    <n v="1535.62"/>
    <s v="Insurance"/>
    <s v="Yes"/>
    <m/>
    <n v="7"/>
    <s v="Middle-Aged"/>
    <s v="Low"/>
    <s v="Short Days"/>
    <m/>
    <m/>
    <m/>
    <m/>
    <m/>
    <m/>
  </r>
  <r>
    <s v="VIS200869"/>
    <d v="2024-01-22T00:00:00"/>
    <s v="PAT6164"/>
    <s v="Ananya Khan"/>
    <s v="Male"/>
    <n v="20"/>
    <s v="Kolkata"/>
    <s v="West Bengal"/>
    <x v="5"/>
    <s v="Dr. Karthik"/>
    <s v="N39"/>
    <s v="Observation"/>
    <s v="Teleconsultation"/>
    <n v="6960.57"/>
    <s v="UPI"/>
    <s v="No"/>
    <m/>
    <m/>
    <s v="Adult"/>
    <s v="Medium"/>
    <s v="Short Days"/>
    <m/>
    <m/>
    <m/>
    <m/>
    <m/>
    <m/>
  </r>
  <r>
    <s v="VIS201872"/>
    <d v="2024-01-12T00:00:00"/>
    <s v="PAT5751"/>
    <s v="Manisha Sharma"/>
    <s v="Female"/>
    <n v="40"/>
    <s v="Ahmedabad"/>
    <s v="Gujarat"/>
    <x v="8"/>
    <s v="Dr. Kavitha"/>
    <s v="H10"/>
    <s v="Minor Surgery"/>
    <s v="OPD"/>
    <n v="3107.86"/>
    <s v="Cash"/>
    <s v="No"/>
    <m/>
    <m/>
    <s v="Adult"/>
    <s v="Low"/>
    <s v="Short Days"/>
    <m/>
    <m/>
    <m/>
    <m/>
    <m/>
    <m/>
  </r>
  <r>
    <s v="VIS200665"/>
    <d v="2025-06-06T00:00:00"/>
    <s v="PAT6896"/>
    <s v="Siddharth Reddy"/>
    <s v="Female"/>
    <n v="11"/>
    <s v="Ahmedabad"/>
    <s v="Gujarat"/>
    <x v="6"/>
    <s v="Dr. Priya"/>
    <s v="J00"/>
    <s v="Minor Surgery"/>
    <s v="OPD"/>
    <n v="5128.0600000000004"/>
    <s v="Cash"/>
    <s v="No"/>
    <m/>
    <n v="90"/>
    <s v="Child"/>
    <s v="Medium"/>
    <s v="Short Days"/>
    <m/>
    <m/>
    <m/>
    <m/>
    <m/>
    <m/>
  </r>
  <r>
    <s v="VIS202623"/>
    <d v="2024-01-22T00:00:00"/>
    <s v="PAT5137"/>
    <s v="Deepa Mishra"/>
    <s v="Female"/>
    <n v="44"/>
    <s v="Hyderabad"/>
    <s v="Telangana"/>
    <x v="1"/>
    <s v="Dr. Suri"/>
    <s v="J45"/>
    <s v="Counselling"/>
    <s v="OPD"/>
    <n v="18978.55"/>
    <s v="Net Banking"/>
    <s v="No"/>
    <m/>
    <m/>
    <s v="Middle-Aged"/>
    <s v="High"/>
    <s v="Short Days"/>
    <m/>
    <m/>
    <m/>
    <m/>
    <m/>
    <m/>
  </r>
  <r>
    <s v="VIS201509"/>
    <d v="2024-07-10T00:00:00"/>
    <s v="PAT6727"/>
    <s v="Vishal Patel"/>
    <s v="Male"/>
    <n v="31"/>
    <s v="Madurai"/>
    <s v="Tamil Nadu"/>
    <x v="0"/>
    <s v="Dr. Nikhil"/>
    <s v="H10"/>
    <s v="Minor Procedure"/>
    <s v="OPD"/>
    <n v="2697.06"/>
    <s v="Credit Card"/>
    <s v="No"/>
    <m/>
    <n v="30"/>
    <s v="Adult"/>
    <s v="Low"/>
    <s v="Short Days"/>
    <m/>
    <m/>
    <m/>
    <m/>
    <m/>
    <m/>
  </r>
  <r>
    <s v="VIS202092"/>
    <d v="2024-05-07T00:00:00"/>
    <s v="PAT6960"/>
    <s v="Vishal Kumar"/>
    <s v="Female"/>
    <n v="54"/>
    <s v="Pune"/>
    <s v="Maharashtra"/>
    <x v="7"/>
    <s v="Dr. Surya"/>
    <s v="F41"/>
    <s v="Minor Surgery"/>
    <s v="Teleconsultation"/>
    <n v="9450.7000000000007"/>
    <s v="Credit Card"/>
    <s v="No"/>
    <m/>
    <n v="14"/>
    <s v="Middle-Aged"/>
    <s v="Medium"/>
    <s v="Short Days"/>
    <m/>
    <m/>
    <m/>
    <m/>
    <m/>
    <m/>
  </r>
  <r>
    <s v="VIS202497"/>
    <d v="2025-05-17T00:00:00"/>
    <s v="PAT5194"/>
    <s v="Vivaan Kumar"/>
    <s v="Male"/>
    <n v="59"/>
    <s v="Hyderabad"/>
    <s v="Telangana"/>
    <x v="3"/>
    <s v="Dr. Anand"/>
    <s v="I10"/>
    <s v="Minor Surgery"/>
    <s v="Teleconsultation"/>
    <n v="12567.56"/>
    <s v="Cash"/>
    <s v="No"/>
    <m/>
    <m/>
    <s v="Middle-Aged"/>
    <s v="High"/>
    <s v="Short Days"/>
    <m/>
    <m/>
    <m/>
    <m/>
    <m/>
    <m/>
  </r>
  <r>
    <s v="VIS200423"/>
    <d v="2025-07-08T00:00:00"/>
    <s v="PAT5118"/>
    <s v="Ananya Mishra"/>
    <s v="Female"/>
    <n v="45"/>
    <s v="Mumbai"/>
    <s v="Maharashtra"/>
    <x v="1"/>
    <s v="Dr. Anu"/>
    <s v="M54"/>
    <s v="Counselling"/>
    <s v="IPD"/>
    <n v="20831.990000000002"/>
    <s v="UPI"/>
    <s v="No"/>
    <n v="6"/>
    <n v="30"/>
    <s v="Middle-Aged"/>
    <s v="High"/>
    <s v="Long Days"/>
    <m/>
    <m/>
    <m/>
    <m/>
    <m/>
    <m/>
  </r>
  <r>
    <s v="VIS202743"/>
    <d v="2025-08-06T00:00:00"/>
    <s v="PAT6532"/>
    <s v="Shruti Das"/>
    <s v="Female"/>
    <n v="50"/>
    <s v="Noida"/>
    <s v="Uttar Pradesh"/>
    <x v="1"/>
    <s v="Dr. Suri"/>
    <s v="J00"/>
    <s v="Observation"/>
    <s v="Teleconsultation"/>
    <n v="13230.3"/>
    <s v="Cash"/>
    <s v="No"/>
    <m/>
    <n v="7"/>
    <s v="Middle-Aged"/>
    <s v="High"/>
    <s v="Short Days"/>
    <m/>
    <m/>
    <m/>
    <m/>
    <m/>
    <m/>
  </r>
  <r>
    <s v="VIS201462"/>
    <d v="2024-06-03T00:00:00"/>
    <s v="PAT5332"/>
    <s v="Shruti Iyer"/>
    <s v="Female"/>
    <n v="55"/>
    <s v="Jaipur"/>
    <s v="Rajasthan"/>
    <x v="3"/>
    <s v="Dr. Pallavi"/>
    <s v="H10"/>
    <s v="Physiotherapy"/>
    <s v="Teleconsultation"/>
    <n v="10448.91"/>
    <s v="UPI"/>
    <s v="No"/>
    <m/>
    <n v="14"/>
    <s v="Middle-Aged"/>
    <s v="High"/>
    <s v="Short Days"/>
    <m/>
    <m/>
    <m/>
    <m/>
    <m/>
    <m/>
  </r>
  <r>
    <s v="VIS201173"/>
    <d v="2025-01-25T00:00:00"/>
    <s v="PAT6527"/>
    <s v="Aarav Sharma"/>
    <s v="Male"/>
    <n v="57"/>
    <s v="Delhi"/>
    <s v="Delhi"/>
    <x v="2"/>
    <s v="Dr. Manoj"/>
    <s v="F41"/>
    <s v="Counselling"/>
    <s v="Teleconsultation"/>
    <n v="9444.64"/>
    <s v="UPI"/>
    <s v="No"/>
    <m/>
    <n v="14"/>
    <s v="Middle-Aged"/>
    <s v="Medium"/>
    <s v="Short Days"/>
    <m/>
    <m/>
    <m/>
    <m/>
    <m/>
    <m/>
  </r>
  <r>
    <s v="VIS200843"/>
    <d v="2025-03-10T00:00:00"/>
    <s v="PAT6605"/>
    <s v="Rohan Iyer"/>
    <s v="Male"/>
    <n v="59"/>
    <s v="Kolkata"/>
    <s v="West Bengal"/>
    <x v="2"/>
    <s v="Dr. Ramesh"/>
    <s v="E11"/>
    <s v="Medication"/>
    <s v="OPD"/>
    <n v="3380.46"/>
    <s v="Insurance"/>
    <s v="Yes"/>
    <m/>
    <n v="90"/>
    <s v="Middle-Aged"/>
    <s v="Low"/>
    <s v="Short Days"/>
    <m/>
    <m/>
    <m/>
    <m/>
    <m/>
    <m/>
  </r>
  <r>
    <s v="VIS200609"/>
    <d v="2025-07-20T00:00:00"/>
    <s v="PAT6493"/>
    <s v="Vivaan Bose"/>
    <s v="Male"/>
    <n v="80"/>
    <s v="Ahmedabad"/>
    <s v="Gujarat"/>
    <x v="3"/>
    <s v="Dr. Pallavi"/>
    <s v="M54"/>
    <s v="Surgery"/>
    <s v="OPD"/>
    <n v="441.34"/>
    <s v="Cash"/>
    <s v="No"/>
    <m/>
    <m/>
    <s v="Senior"/>
    <s v="Low"/>
    <s v="Short Days"/>
    <m/>
    <m/>
    <m/>
    <m/>
    <m/>
    <m/>
  </r>
  <r>
    <s v="VIS200300"/>
    <d v="2024-01-06T00:00:00"/>
    <s v="PAT5514"/>
    <s v="Ishaan Khan"/>
    <s v="Male"/>
    <n v="44"/>
    <s v="Ahmedabad"/>
    <s v="Gujarat"/>
    <x v="8"/>
    <s v="Dr. Sneha"/>
    <s v="H10"/>
    <s v="Surgery"/>
    <s v="Teleconsultation"/>
    <n v="7167.03"/>
    <s v="Cash"/>
    <s v="No"/>
    <m/>
    <m/>
    <s v="Middle-Aged"/>
    <s v="Medium"/>
    <s v="Short Days"/>
    <m/>
    <m/>
    <m/>
    <m/>
    <m/>
    <m/>
  </r>
  <r>
    <s v="VIS201703"/>
    <d v="2024-10-29T00:00:00"/>
    <s v="PAT6473"/>
    <s v="Vivaan Khan"/>
    <s v="Female"/>
    <n v="19"/>
    <s v="Pune"/>
    <s v="Maharashtra"/>
    <x v="0"/>
    <s v="Dr. Nikhil"/>
    <s v="E11"/>
    <s v="Medication"/>
    <s v="OPD"/>
    <n v="3245.1"/>
    <s v="UPI"/>
    <s v="No"/>
    <m/>
    <n v="90"/>
    <s v="Adult"/>
    <s v="Low"/>
    <s v="Short Days"/>
    <m/>
    <m/>
    <m/>
    <m/>
    <m/>
    <m/>
  </r>
  <r>
    <s v="VIS200458"/>
    <d v="2024-03-17T00:00:00"/>
    <s v="PAT5750"/>
    <s v="Ananya Reddy"/>
    <s v="Female"/>
    <n v="36"/>
    <s v="Jaipur"/>
    <s v="Rajasthan"/>
    <x v="0"/>
    <s v="Dr. Nikhil"/>
    <s v="I10"/>
    <s v="Minor Procedure"/>
    <s v="OPD"/>
    <n v="12940.74"/>
    <s v="UPI"/>
    <s v="No"/>
    <m/>
    <m/>
    <s v="Adult"/>
    <s v="High"/>
    <s v="Short Days"/>
    <m/>
    <m/>
    <m/>
    <m/>
    <m/>
    <m/>
  </r>
  <r>
    <s v="VIS200517"/>
    <d v="2024-02-19T00:00:00"/>
    <s v="PAT6575"/>
    <s v="Shruti Bose"/>
    <s v="Female"/>
    <n v="45"/>
    <s v="Bengaluru"/>
    <s v="Karnataka"/>
    <x v="6"/>
    <s v="Dr. Priya"/>
    <s v="J45"/>
    <s v="Counselling"/>
    <s v="OPD"/>
    <n v="433.04"/>
    <s v="UPI"/>
    <s v="No"/>
    <m/>
    <m/>
    <s v="Middle-Aged"/>
    <s v="Low"/>
    <s v="Short Days"/>
    <m/>
    <m/>
    <m/>
    <m/>
    <m/>
    <m/>
  </r>
  <r>
    <s v="VIS202411"/>
    <d v="2024-10-14T00:00:00"/>
    <s v="PAT5488"/>
    <s v="Vivaan Mishra"/>
    <s v="Male"/>
    <n v="13"/>
    <s v="Kolkata"/>
    <s v="West Bengal"/>
    <x v="3"/>
    <s v="Dr. Pallavi"/>
    <s v="E11"/>
    <s v="Observation"/>
    <s v="OPD"/>
    <n v="8279.18"/>
    <s v="Debit Card"/>
    <s v="No"/>
    <m/>
    <n v="90"/>
    <s v="Child"/>
    <s v="Medium"/>
    <s v="Short Days"/>
    <m/>
    <m/>
    <m/>
    <m/>
    <m/>
    <m/>
  </r>
  <r>
    <s v="VIS201957"/>
    <d v="2025-02-03T00:00:00"/>
    <s v="PAT6249"/>
    <s v="Shruti Jose"/>
    <s v="Male"/>
    <n v="21"/>
    <s v="Pune"/>
    <s v="Maharashtra"/>
    <x v="8"/>
    <s v="Dr. Kavitha"/>
    <s v="I10"/>
    <s v="Medication"/>
    <s v="OPD"/>
    <n v="5325.77"/>
    <s v="UPI"/>
    <s v="No"/>
    <m/>
    <n v="14"/>
    <s v="Adult"/>
    <s v="Medium"/>
    <s v="Short Days"/>
    <m/>
    <m/>
    <m/>
    <m/>
    <m/>
    <m/>
  </r>
  <r>
    <s v="VIS202625"/>
    <d v="2024-09-04T00:00:00"/>
    <s v="PAT6091"/>
    <s v="Karthik Mishra"/>
    <s v="Male"/>
    <n v="56"/>
    <s v="Pune"/>
    <s v="Maharashtra"/>
    <x v="0"/>
    <s v="Dr. Nikhil"/>
    <s v="J45"/>
    <s v="Surgery"/>
    <s v="OPD"/>
    <n v="2638.09"/>
    <s v="Credit Card"/>
    <s v="No"/>
    <m/>
    <n v="7"/>
    <s v="Middle-Aged"/>
    <s v="Low"/>
    <s v="Short Days"/>
    <m/>
    <m/>
    <m/>
    <m/>
    <m/>
    <m/>
  </r>
  <r>
    <s v="VIS202702"/>
    <d v="2025-08-13T00:00:00"/>
    <s v="PAT5958"/>
    <s v="Arjun Gupta"/>
    <s v="Female"/>
    <n v="64"/>
    <s v="Madurai"/>
    <s v="Tamil Nadu"/>
    <x v="1"/>
    <s v="Dr. Anu"/>
    <s v="L40"/>
    <s v="Counselling"/>
    <s v="OPD"/>
    <n v="4125.1099999999997"/>
    <s v="Credit Card"/>
    <s v="No"/>
    <m/>
    <n v="7"/>
    <s v="Senior"/>
    <s v="Low"/>
    <s v="Short Days"/>
    <m/>
    <m/>
    <m/>
    <m/>
    <m/>
    <m/>
  </r>
  <r>
    <s v="VIS200462"/>
    <d v="2024-09-29T00:00:00"/>
    <s v="PAT6179"/>
    <s v="Shruti Das"/>
    <s v="Male"/>
    <n v="34"/>
    <s v="Coimbatore"/>
    <s v="Tamil Nadu"/>
    <x v="5"/>
    <s v="Dr. Meena"/>
    <s v="M54"/>
    <s v="Minor Procedure"/>
    <s v="OPD"/>
    <n v="3437.49"/>
    <s v="Cash"/>
    <s v="No"/>
    <m/>
    <m/>
    <s v="Adult"/>
    <s v="Low"/>
    <s v="Short Days"/>
    <m/>
    <m/>
    <m/>
    <m/>
    <m/>
    <m/>
  </r>
  <r>
    <s v="VIS200319"/>
    <d v="2024-11-04T00:00:00"/>
    <s v="PAT6387"/>
    <s v="Kavya Nagar"/>
    <s v="Female"/>
    <n v="35"/>
    <s v="Kochi"/>
    <s v="Kerala"/>
    <x v="7"/>
    <s v="Dr. Leela"/>
    <s v="M54"/>
    <s v="Medication"/>
    <s v="OPD"/>
    <n v="9893.92"/>
    <s v="Net Banking"/>
    <s v="No"/>
    <m/>
    <n v="90"/>
    <s v="Adult"/>
    <s v="Medium"/>
    <s v="Short Days"/>
    <m/>
    <m/>
    <m/>
    <m/>
    <m/>
    <m/>
  </r>
  <r>
    <s v="VIS202489"/>
    <d v="2024-03-01T00:00:00"/>
    <s v="PAT5194"/>
    <s v="Arjun Patel"/>
    <s v="Male"/>
    <n v="25"/>
    <s v="Madurai"/>
    <s v="Tamil Nadu"/>
    <x v="5"/>
    <s v="Dr. Meena"/>
    <s v="I10"/>
    <s v="Prescription Refill"/>
    <s v="Teleconsultation"/>
    <n v="9540.52"/>
    <s v="Cash"/>
    <s v="No"/>
    <m/>
    <n v="14"/>
    <s v="Adult"/>
    <s v="Medium"/>
    <s v="Short Days"/>
    <m/>
    <m/>
    <m/>
    <m/>
    <m/>
    <m/>
  </r>
  <r>
    <s v="VIS201794"/>
    <d v="2024-10-10T00:00:00"/>
    <s v="PAT6562"/>
    <s v="Ananya Khan"/>
    <s v="Female"/>
    <n v="24"/>
    <s v="Noida"/>
    <s v="Uttar Pradesh"/>
    <x v="9"/>
    <s v="Dr. Kusum"/>
    <s v="I10"/>
    <s v="Medication"/>
    <s v="Teleconsultation"/>
    <n v="7706.63"/>
    <s v="Cash"/>
    <s v="No"/>
    <m/>
    <n v="90"/>
    <s v="Adult"/>
    <s v="Medium"/>
    <s v="Short Days"/>
    <m/>
    <m/>
    <m/>
    <m/>
    <m/>
    <m/>
  </r>
  <r>
    <s v="VIS201469"/>
    <d v="2025-08-19T00:00:00"/>
    <s v="PAT5298"/>
    <s v="Vishal Reddy"/>
    <s v="Female"/>
    <n v="44"/>
    <s v="Pune"/>
    <s v="Maharashtra"/>
    <x v="5"/>
    <s v="Dr. Ravi"/>
    <s v="J00"/>
    <s v="Counselling"/>
    <s v="OPD"/>
    <n v="7171.77"/>
    <s v="Cash"/>
    <s v="No"/>
    <m/>
    <m/>
    <s v="Middle-Aged"/>
    <s v="Medium"/>
    <s v="Short Days"/>
    <m/>
    <m/>
    <m/>
    <m/>
    <m/>
    <m/>
  </r>
  <r>
    <s v="VIS200535"/>
    <d v="2024-08-20T00:00:00"/>
    <s v="PAT6779"/>
    <s v="Aishwarya Das"/>
    <s v="Female"/>
    <n v="53"/>
    <s v="Lucknow"/>
    <s v="Uttar Pradesh"/>
    <x v="5"/>
    <s v="Dr. Meena"/>
    <s v="J00"/>
    <s v="Observation"/>
    <s v="OPD"/>
    <n v="3229.68"/>
    <s v="Debit Card"/>
    <s v="No"/>
    <m/>
    <n v="30"/>
    <s v="Middle-Aged"/>
    <s v="Low"/>
    <s v="Short Days"/>
    <m/>
    <m/>
    <m/>
    <m/>
    <m/>
    <m/>
  </r>
  <r>
    <s v="VIS200570"/>
    <d v="2024-08-31T00:00:00"/>
    <s v="PAT5806"/>
    <s v="Arjun Iyer"/>
    <s v="Male"/>
    <n v="36"/>
    <s v="Madurai"/>
    <s v="Tamil Nadu"/>
    <x v="0"/>
    <s v="Dr. Shailesh"/>
    <s v="H10"/>
    <s v="Minor Surgery"/>
    <s v="OPD"/>
    <n v="3134.93"/>
    <s v="Debit Card"/>
    <s v="No"/>
    <m/>
    <n v="30"/>
    <s v="Adult"/>
    <s v="Low"/>
    <s v="Short Days"/>
    <m/>
    <m/>
    <m/>
    <m/>
    <m/>
    <m/>
  </r>
  <r>
    <s v="VIS200371"/>
    <d v="2024-12-20T00:00:00"/>
    <s v="PAT6820"/>
    <s v="Ishaan Mishra"/>
    <s v="Male"/>
    <n v="39"/>
    <s v="Madurai"/>
    <s v="Tamil Nadu"/>
    <x v="3"/>
    <s v="Dr. Anand"/>
    <s v="K21"/>
    <s v="Minor Procedure"/>
    <s v="Emergency"/>
    <n v="6438.11"/>
    <s v="Debit Card"/>
    <s v="No"/>
    <m/>
    <n v="30"/>
    <s v="Adult"/>
    <s v="Medium"/>
    <s v="Short Days"/>
    <m/>
    <m/>
    <m/>
    <m/>
    <m/>
    <m/>
  </r>
  <r>
    <s v="VIS200343"/>
    <d v="2025-07-03T00:00:00"/>
    <s v="PAT6180"/>
    <s v="Aishwarya Reddy"/>
    <s v="Male"/>
    <n v="22"/>
    <s v="Noida"/>
    <s v="Uttar Pradesh"/>
    <x v="4"/>
    <s v="Dr. Bhavana"/>
    <s v="N39"/>
    <s v="Surgery"/>
    <s v="OPD"/>
    <n v="1065.52"/>
    <s v="UPI"/>
    <s v="No"/>
    <m/>
    <n v="30"/>
    <s v="Adult"/>
    <s v="Low"/>
    <s v="Short Days"/>
    <m/>
    <m/>
    <m/>
    <m/>
    <m/>
    <m/>
  </r>
  <r>
    <s v="VIS200510"/>
    <d v="2024-06-02T00:00:00"/>
    <s v="PAT5686"/>
    <s v="Rohan Singh"/>
    <s v="Male"/>
    <n v="36"/>
    <s v="Bengaluru"/>
    <s v="Karnataka"/>
    <x v="6"/>
    <s v="Dr. Priya"/>
    <s v="J45"/>
    <s v="Prescription Refill"/>
    <s v="OPD"/>
    <n v="1896.37"/>
    <s v="Debit Card"/>
    <s v="No"/>
    <m/>
    <n v="90"/>
    <s v="Adult"/>
    <s v="Low"/>
    <s v="Short Days"/>
    <m/>
    <m/>
    <m/>
    <m/>
    <m/>
    <m/>
  </r>
  <r>
    <s v="VIS201557"/>
    <d v="2025-07-11T00:00:00"/>
    <s v="PAT6103"/>
    <s v="Rohan Gupta"/>
    <s v="Male"/>
    <n v="27"/>
    <s v="Coimbatore"/>
    <s v="Tamil Nadu"/>
    <x v="3"/>
    <s v="Dr. Anand"/>
    <s v="F41"/>
    <s v="Prescription Refill"/>
    <s v="OPD"/>
    <n v="2208.3200000000002"/>
    <s v="Insurance"/>
    <s v="Yes"/>
    <m/>
    <n v="14"/>
    <s v="Adult"/>
    <s v="Low"/>
    <s v="Short Days"/>
    <m/>
    <m/>
    <m/>
    <m/>
    <m/>
    <m/>
  </r>
  <r>
    <s v="VIS200200"/>
    <d v="2024-10-21T00:00:00"/>
    <s v="PAT5654"/>
    <s v="Siddharth Iyer"/>
    <s v="Female"/>
    <n v="27"/>
    <s v="Bengaluru"/>
    <s v="Karnataka"/>
    <x v="3"/>
    <s v="Dr. Pallavi"/>
    <s v="L40"/>
    <s v="Surgery"/>
    <s v="OPD"/>
    <n v="849.22"/>
    <s v="Cash"/>
    <s v="No"/>
    <m/>
    <m/>
    <s v="Adult"/>
    <s v="Low"/>
    <s v="Short Days"/>
    <m/>
    <m/>
    <m/>
    <m/>
    <m/>
    <m/>
  </r>
  <r>
    <s v="VIS200872"/>
    <d v="2024-11-12T00:00:00"/>
    <s v="PAT6521"/>
    <s v="Sangeetha Das"/>
    <s v="Male"/>
    <n v="22"/>
    <s v="Mumbai"/>
    <s v="Maharashtra"/>
    <x v="2"/>
    <s v="Dr. Manoj"/>
    <s v="J00"/>
    <s v="Prescription Refill"/>
    <s v="Emergency"/>
    <n v="29547.73"/>
    <s v="Credit Card"/>
    <s v="No"/>
    <m/>
    <n v="7"/>
    <s v="Adult"/>
    <s v="High"/>
    <s v="Short Days"/>
    <m/>
    <m/>
    <m/>
    <m/>
    <m/>
    <m/>
  </r>
  <r>
    <s v="VIS202819"/>
    <d v="2024-11-16T00:00:00"/>
    <s v="PAT5667"/>
    <s v="Priya Nair"/>
    <s v="Male"/>
    <n v="23"/>
    <s v="Noida"/>
    <s v="Uttar Pradesh"/>
    <x v="1"/>
    <s v="Dr. Suri"/>
    <s v="I10"/>
    <s v="Minor Surgery"/>
    <s v="OPD"/>
    <n v="2339.5500000000002"/>
    <s v="Credit Card"/>
    <s v="No"/>
    <m/>
    <n v="14"/>
    <s v="Adult"/>
    <s v="Low"/>
    <s v="Short Days"/>
    <m/>
    <m/>
    <m/>
    <m/>
    <m/>
    <m/>
  </r>
  <r>
    <s v="VIS201448"/>
    <d v="2025-10-25T00:00:00"/>
    <s v="PAT5395"/>
    <s v="Rohan Iyer"/>
    <s v="Other"/>
    <n v="36"/>
    <s v="Hyderabad"/>
    <s v="Telangana"/>
    <x v="4"/>
    <s v="Dr. Bhavana"/>
    <s v="H10"/>
    <s v="Prescription Refill"/>
    <s v="IPD"/>
    <n v="13545.09"/>
    <s v="Credit Card"/>
    <s v="No"/>
    <n v="3"/>
    <n v="30"/>
    <s v="Adult"/>
    <s v="High"/>
    <s v="Short Days"/>
    <m/>
    <m/>
    <m/>
    <m/>
    <m/>
    <m/>
  </r>
  <r>
    <s v="VIS200166"/>
    <d v="2024-03-26T00:00:00"/>
    <s v="PAT6422"/>
    <s v="Vishal Bose"/>
    <s v="Male"/>
    <n v="22"/>
    <s v="Chennai"/>
    <s v="Tamil Nadu"/>
    <x v="4"/>
    <s v="Dr. Bhavana"/>
    <s v="L40"/>
    <s v="Physiotherapy"/>
    <s v="OPD"/>
    <n v="2804.06"/>
    <s v="UPI"/>
    <s v="No"/>
    <m/>
    <n v="90"/>
    <s v="Adult"/>
    <s v="Low"/>
    <s v="Short Days"/>
    <m/>
    <m/>
    <m/>
    <m/>
    <m/>
    <m/>
  </r>
  <r>
    <s v="VIS202753"/>
    <d v="2024-03-01T00:00:00"/>
    <s v="PAT5717"/>
    <s v="Karthik Sharma"/>
    <s v="Male"/>
    <n v="48"/>
    <s v="Kochi"/>
    <s v="Kerala"/>
    <x v="4"/>
    <s v="Dr. Bhavana"/>
    <s v="E11"/>
    <s v="Prescription Refill"/>
    <s v="OPD"/>
    <n v="4188.2700000000004"/>
    <s v="UPI"/>
    <s v="No"/>
    <m/>
    <m/>
    <s v="Middle-Aged"/>
    <s v="Low"/>
    <s v="Short Days"/>
    <m/>
    <m/>
    <m/>
    <m/>
    <m/>
    <m/>
  </r>
  <r>
    <s v="VIS201307"/>
    <d v="2024-10-30T00:00:00"/>
    <s v="PAT5420"/>
    <s v="Arjun Nagar"/>
    <s v="Male"/>
    <n v="39"/>
    <s v="Kolkata"/>
    <s v="West Bengal"/>
    <x v="2"/>
    <s v="Dr. Ramesh"/>
    <s v="J00"/>
    <s v="Observation"/>
    <s v="Emergency"/>
    <n v="9311.7000000000007"/>
    <s v="Credit Card"/>
    <s v="No"/>
    <m/>
    <m/>
    <s v="Adult"/>
    <s v="Medium"/>
    <s v="Short Days"/>
    <m/>
    <m/>
    <m/>
    <m/>
    <m/>
    <m/>
  </r>
  <r>
    <s v="VIS201837"/>
    <d v="2024-01-02T00:00:00"/>
    <s v="PAT6310"/>
    <s v="Vishal Nair"/>
    <s v="Male"/>
    <n v="46"/>
    <s v="Madurai"/>
    <s v="Tamil Nadu"/>
    <x v="6"/>
    <s v="Dr. Priya"/>
    <s v="I10"/>
    <s v="Surgery"/>
    <s v="IPD"/>
    <n v="7860.33"/>
    <s v="UPI"/>
    <s v="No"/>
    <n v="5"/>
    <n v="90"/>
    <s v="Middle-Aged"/>
    <s v="Medium"/>
    <s v="Short Days"/>
    <m/>
    <m/>
    <m/>
    <m/>
    <m/>
    <m/>
  </r>
  <r>
    <s v="VIS200349"/>
    <d v="2024-10-14T00:00:00"/>
    <s v="PAT6323"/>
    <s v="Sangeetha Khan"/>
    <s v="Male"/>
    <n v="29"/>
    <s v="Madurai"/>
    <s v="Tamil Nadu"/>
    <x v="0"/>
    <s v="Dr. Shailesh"/>
    <s v="M54"/>
    <s v="Surgery"/>
    <s v="OPD"/>
    <n v="5563.12"/>
    <s v="UPI"/>
    <s v="No"/>
    <m/>
    <n v="90"/>
    <s v="Adult"/>
    <s v="Medium"/>
    <s v="Short Days"/>
    <m/>
    <m/>
    <m/>
    <m/>
    <m/>
    <m/>
  </r>
  <r>
    <s v="VIS202435"/>
    <d v="2025-01-16T00:00:00"/>
    <s v="PAT5977"/>
    <s v="Rahul Khan"/>
    <s v="Male"/>
    <n v="28"/>
    <s v="Noida"/>
    <s v="Uttar Pradesh"/>
    <x v="4"/>
    <s v="Dr. Bhavana"/>
    <s v="F41"/>
    <s v="Counselling"/>
    <s v="OPD"/>
    <n v="13025.27"/>
    <s v="Debit Card"/>
    <s v="No"/>
    <m/>
    <m/>
    <s v="Adult"/>
    <s v="High"/>
    <s v="Short Days"/>
    <m/>
    <m/>
    <m/>
    <m/>
    <m/>
    <m/>
  </r>
  <r>
    <s v="VIS201331"/>
    <d v="2025-06-24T00:00:00"/>
    <s v="PAT6047"/>
    <s v="Anil Gupta"/>
    <s v="Female"/>
    <n v="58"/>
    <s v="Madurai"/>
    <s v="Tamil Nadu"/>
    <x v="4"/>
    <s v="Dr. Varun"/>
    <s v="I10"/>
    <s v="Counselling"/>
    <s v="OPD"/>
    <n v="2041.93"/>
    <s v="Debit Card"/>
    <s v="No"/>
    <m/>
    <m/>
    <s v="Middle-Aged"/>
    <s v="Low"/>
    <s v="Short Days"/>
    <m/>
    <m/>
    <m/>
    <m/>
    <m/>
    <m/>
  </r>
  <r>
    <s v="VIS200341"/>
    <d v="2025-06-12T00:00:00"/>
    <s v="PAT5006"/>
    <s v="Priya Nagar"/>
    <s v="Female"/>
    <n v="25"/>
    <s v="Madurai"/>
    <s v="Tamil Nadu"/>
    <x v="5"/>
    <s v="Dr. Meena"/>
    <s v="I10"/>
    <s v="Medication"/>
    <s v="OPD"/>
    <n v="6392.84"/>
    <s v="UPI"/>
    <s v="No"/>
    <m/>
    <n v="14"/>
    <s v="Adult"/>
    <s v="Medium"/>
    <s v="Short Days"/>
    <m/>
    <m/>
    <m/>
    <m/>
    <m/>
    <m/>
  </r>
  <r>
    <s v="VIS202101"/>
    <d v="2025-01-24T00:00:00"/>
    <s v="PAT5373"/>
    <s v="Arjun Patel"/>
    <s v="Female"/>
    <n v="19"/>
    <s v="Hyderabad"/>
    <s v="Telangana"/>
    <x v="1"/>
    <s v="Dr. Anu"/>
    <s v="N39"/>
    <s v="Prescription Refill"/>
    <s v="Emergency"/>
    <n v="7688.37"/>
    <s v="Debit Card"/>
    <s v="No"/>
    <m/>
    <n v="14"/>
    <s v="Adult"/>
    <s v="Medium"/>
    <s v="Short Days"/>
    <m/>
    <m/>
    <m/>
    <m/>
    <m/>
    <m/>
  </r>
  <r>
    <s v="VIS200336"/>
    <d v="2025-05-17T00:00:00"/>
    <s v="PAT5474"/>
    <s v="Deepa Jose"/>
    <s v="Male"/>
    <n v="43"/>
    <s v="Bengaluru"/>
    <s v="Karnataka"/>
    <x v="8"/>
    <s v="Dr. Kavitha"/>
    <s v="I10"/>
    <s v="Medication"/>
    <s v="OPD"/>
    <n v="3304.42"/>
    <s v="Cash"/>
    <s v="No"/>
    <m/>
    <n v="30"/>
    <s v="Middle-Aged"/>
    <s v="Low"/>
    <s v="Short Days"/>
    <m/>
    <m/>
    <m/>
    <m/>
    <m/>
    <m/>
  </r>
  <r>
    <s v="VIS202689"/>
    <d v="2025-10-13T00:00:00"/>
    <s v="PAT5883"/>
    <s v="Aishwarya Bose"/>
    <s v="Female"/>
    <n v="42"/>
    <s v="Trichy"/>
    <s v="Tamil Nadu"/>
    <x v="3"/>
    <s v="Dr. Anand"/>
    <s v="F41"/>
    <s v="Surgery"/>
    <s v="OPD"/>
    <n v="775.54"/>
    <s v="UPI"/>
    <s v="No"/>
    <m/>
    <m/>
    <s v="Middle-Aged"/>
    <s v="Low"/>
    <s v="Short Days"/>
    <m/>
    <m/>
    <m/>
    <m/>
    <m/>
    <m/>
  </r>
  <r>
    <s v="VIS201091"/>
    <d v="2025-10-20T00:00:00"/>
    <s v="PAT5705"/>
    <s v="Priya Singh"/>
    <s v="Female"/>
    <n v="18"/>
    <s v="Jaipur"/>
    <s v="Rajasthan"/>
    <x v="9"/>
    <s v="Dr. Kusum"/>
    <s v="H10"/>
    <s v="Observation"/>
    <s v="OPD"/>
    <n v="11951.7"/>
    <s v="Cash"/>
    <s v="No"/>
    <m/>
    <m/>
    <s v="Adult"/>
    <s v="High"/>
    <s v="Short Days"/>
    <m/>
    <m/>
    <m/>
    <m/>
    <m/>
    <m/>
  </r>
  <r>
    <s v="VIS202481"/>
    <d v="2025-07-24T00:00:00"/>
    <s v="PAT6953"/>
    <s v="Rahul Sharma"/>
    <s v="Male"/>
    <n v="55"/>
    <s v="Kolkata"/>
    <s v="West Bengal"/>
    <x v="2"/>
    <s v="Dr. Manoj"/>
    <s v="I10"/>
    <s v="Surgery"/>
    <s v="OPD"/>
    <n v="6512.97"/>
    <s v="Insurance"/>
    <s v="Yes"/>
    <m/>
    <m/>
    <s v="Middle-Aged"/>
    <s v="Medium"/>
    <s v="Short Days"/>
    <m/>
    <m/>
    <m/>
    <m/>
    <m/>
    <m/>
  </r>
  <r>
    <s v="VIS202003"/>
    <d v="2025-04-06T00:00:00"/>
    <s v="PAT5898"/>
    <s v="Sangeetha Bose"/>
    <s v="Male"/>
    <n v="76"/>
    <s v="Kochi"/>
    <s v="Kerala"/>
    <x v="6"/>
    <s v="Dr. Priya"/>
    <s v="M54"/>
    <s v="Medication"/>
    <s v="Teleconsultation"/>
    <n v="6438.17"/>
    <s v="Cash"/>
    <s v="No"/>
    <m/>
    <n v="7"/>
    <s v="Senior"/>
    <s v="Medium"/>
    <s v="Short Days"/>
    <m/>
    <m/>
    <m/>
    <m/>
    <m/>
    <m/>
  </r>
  <r>
    <s v="VIS201030"/>
    <d v="2025-02-23T00:00:00"/>
    <s v="PAT5611"/>
    <s v="Rohan Kumar"/>
    <s v="Female"/>
    <n v="10"/>
    <s v="Ahmedabad"/>
    <s v="Gujarat"/>
    <x v="9"/>
    <s v="Dr. Arvind"/>
    <s v="J45"/>
    <s v="Prescription Refill"/>
    <s v="OPD"/>
    <n v="7726.31"/>
    <s v="Cash"/>
    <s v="No"/>
    <m/>
    <n v="30"/>
    <s v="Child"/>
    <s v="Medium"/>
    <s v="Short Days"/>
    <m/>
    <m/>
    <m/>
    <m/>
    <m/>
    <m/>
  </r>
  <r>
    <s v="VIS201063"/>
    <d v="2025-05-30T00:00:00"/>
    <s v="PAT6597"/>
    <s v="Anil Khan"/>
    <s v="Female"/>
    <n v="0"/>
    <s v="Lucknow"/>
    <s v="Uttar Pradesh"/>
    <x v="2"/>
    <s v="Dr. Manoj"/>
    <s v="J00"/>
    <s v="Observation"/>
    <s v="OPD"/>
    <n v="5096.43"/>
    <s v="UPI"/>
    <s v="No"/>
    <m/>
    <n v="30"/>
    <s v="Child"/>
    <s v="Medium"/>
    <s v="Short Days"/>
    <m/>
    <m/>
    <m/>
    <m/>
    <m/>
    <m/>
  </r>
  <r>
    <s v="VIS202287"/>
    <d v="2024-09-30T00:00:00"/>
    <s v="PAT5758"/>
    <s v="Manisha Bose"/>
    <s v="Male"/>
    <n v="29"/>
    <s v="Hyderabad"/>
    <s v="Telangana"/>
    <x v="9"/>
    <s v="Dr. Kusum"/>
    <s v="L40"/>
    <s v="Minor Procedure"/>
    <s v="OPD"/>
    <n v="7979.33"/>
    <s v="Insurance"/>
    <s v="Yes"/>
    <m/>
    <n v="7"/>
    <s v="Adult"/>
    <s v="Medium"/>
    <s v="Short Days"/>
    <m/>
    <m/>
    <m/>
    <m/>
    <m/>
    <m/>
  </r>
  <r>
    <s v="VIS201986"/>
    <d v="2025-10-31T00:00:00"/>
    <s v="PAT5463"/>
    <s v="Aishwarya Gupta"/>
    <s v="Female"/>
    <n v="18"/>
    <s v="Bengaluru"/>
    <s v="Karnataka"/>
    <x v="0"/>
    <s v="Dr. Nikhil"/>
    <s v="K21"/>
    <s v="Counselling"/>
    <s v="IPD"/>
    <n v="6205.34"/>
    <s v="Insurance"/>
    <s v="Yes"/>
    <n v="12"/>
    <n v="14"/>
    <s v="Adult"/>
    <s v="Medium"/>
    <s v="Long Days"/>
    <m/>
    <m/>
    <m/>
    <m/>
    <m/>
    <m/>
  </r>
  <r>
    <s v="VIS201867"/>
    <d v="2024-06-02T00:00:00"/>
    <s v="PAT6376"/>
    <s v="Manisha Patel"/>
    <s v="Male"/>
    <n v="72"/>
    <s v="Madurai"/>
    <s v="Tamil Nadu"/>
    <x v="9"/>
    <s v="Dr. Arvind"/>
    <s v="K21"/>
    <s v="Physiotherapy"/>
    <s v="Teleconsultation"/>
    <n v="5816.49"/>
    <s v="UPI"/>
    <s v="No"/>
    <m/>
    <n v="30"/>
    <s v="Senior"/>
    <s v="Medium"/>
    <s v="Short Days"/>
    <m/>
    <m/>
    <m/>
    <m/>
    <m/>
    <m/>
  </r>
  <r>
    <s v="VIS200914"/>
    <d v="2024-03-01T00:00:00"/>
    <s v="PAT6545"/>
    <s v="Kavya Khan"/>
    <s v="Male"/>
    <n v="26"/>
    <s v="Kochi"/>
    <s v="Kerala"/>
    <x v="8"/>
    <s v="Dr. Sneha"/>
    <s v="K21"/>
    <s v="Counselling"/>
    <s v="Teleconsultation"/>
    <n v="22286"/>
    <s v="UPI"/>
    <s v="No"/>
    <m/>
    <n v="14"/>
    <s v="Adult"/>
    <s v="High"/>
    <s v="Short Days"/>
    <m/>
    <m/>
    <m/>
    <m/>
    <m/>
    <m/>
  </r>
  <r>
    <s v="VIS201985"/>
    <d v="2024-08-09T00:00:00"/>
    <s v="PAT5347"/>
    <s v="Rahul Singh"/>
    <s v="Female"/>
    <n v="47"/>
    <s v="Jaipur"/>
    <s v="Rajasthan"/>
    <x v="9"/>
    <s v="Dr. Kusum"/>
    <s v="L40"/>
    <s v="Minor Surgery"/>
    <s v="OPD"/>
    <n v="6731.42"/>
    <s v="Debit Card"/>
    <s v="No"/>
    <m/>
    <m/>
    <s v="Middle-Aged"/>
    <s v="Medium"/>
    <s v="Short Days"/>
    <m/>
    <m/>
    <m/>
    <m/>
    <m/>
    <m/>
  </r>
  <r>
    <s v="VIS200092"/>
    <d v="2025-01-16T00:00:00"/>
    <s v="PAT6298"/>
    <s v="Ananya Patel"/>
    <s v="Male"/>
    <n v="50"/>
    <s v="Jaipur"/>
    <s v="Rajasthan"/>
    <x v="5"/>
    <s v="Dr. Karthik"/>
    <s v="J00"/>
    <s v="Observation"/>
    <s v="OPD"/>
    <n v="1217.54"/>
    <s v="Debit Card"/>
    <s v="No"/>
    <m/>
    <n v="7"/>
    <s v="Middle-Aged"/>
    <s v="Low"/>
    <s v="Short Days"/>
    <m/>
    <m/>
    <m/>
    <m/>
    <m/>
    <m/>
  </r>
  <r>
    <s v="VIS202108"/>
    <d v="2025-05-20T00:00:00"/>
    <s v="PAT5949"/>
    <s v="Deepa Reddy"/>
    <s v="Female"/>
    <n v="54"/>
    <s v="Delhi"/>
    <s v="Delhi"/>
    <x v="6"/>
    <s v="Dr. Lalitha"/>
    <s v="F41"/>
    <s v="Prescription Refill"/>
    <s v="OPD"/>
    <n v="101.46"/>
    <s v="Insurance"/>
    <s v="Yes"/>
    <m/>
    <n v="30"/>
    <s v="Middle-Aged"/>
    <s v="Low"/>
    <s v="Short Days"/>
    <m/>
    <m/>
    <m/>
    <m/>
    <m/>
    <m/>
  </r>
  <r>
    <s v="VIS200080"/>
    <d v="2025-10-14T00:00:00"/>
    <s v="PAT5049"/>
    <s v="Aditya Nair"/>
    <s v="Male"/>
    <n v="32"/>
    <s v="Jaipur"/>
    <s v="Rajasthan"/>
    <x v="4"/>
    <s v="Dr. Bhavana"/>
    <s v="I10"/>
    <s v="Prescription Refill"/>
    <s v="OPD"/>
    <n v="7908.29"/>
    <s v="Insurance"/>
    <s v="Yes"/>
    <m/>
    <n v="7"/>
    <s v="Adult"/>
    <s v="Medium"/>
    <s v="Short Days"/>
    <m/>
    <m/>
    <m/>
    <m/>
    <m/>
    <m/>
  </r>
  <r>
    <s v="VIS200632"/>
    <d v="2025-09-12T00:00:00"/>
    <s v="PAT5658"/>
    <s v="Anil Sharma"/>
    <s v="Male"/>
    <n v="81"/>
    <s v="Delhi"/>
    <s v="Delhi"/>
    <x v="1"/>
    <s v="Dr. Suri"/>
    <s v="J00"/>
    <s v="Minor Surgery"/>
    <s v="OPD"/>
    <n v="19776.849999999999"/>
    <s v="UPI"/>
    <s v="No"/>
    <m/>
    <n v="14"/>
    <s v="Senior"/>
    <s v="High"/>
    <s v="Short Days"/>
    <m/>
    <m/>
    <m/>
    <m/>
    <m/>
    <m/>
  </r>
  <r>
    <s v="VIS202827"/>
    <d v="2025-10-12T00:00:00"/>
    <s v="PAT6720"/>
    <s v="Ananya Jose"/>
    <s v="Female"/>
    <n v="38"/>
    <s v="Kolkata"/>
    <s v="West Bengal"/>
    <x v="7"/>
    <s v="Dr. Surya"/>
    <s v="M54"/>
    <s v="Surgery"/>
    <s v="IPD"/>
    <n v="9698.48"/>
    <s v="UPI"/>
    <s v="No"/>
    <n v="5"/>
    <n v="14"/>
    <s v="Adult"/>
    <s v="Medium"/>
    <s v="Short Days"/>
    <m/>
    <m/>
    <m/>
    <m/>
    <m/>
    <m/>
  </r>
  <r>
    <s v="VIS200767"/>
    <d v="2024-05-17T00:00:00"/>
    <s v="PAT5875"/>
    <s v="Manisha Nair"/>
    <s v="Female"/>
    <n v="40"/>
    <s v="Trichy"/>
    <s v="Tamil Nadu"/>
    <x v="1"/>
    <s v="Dr. Suri"/>
    <s v="J00"/>
    <s v="Prescription Refill"/>
    <s v="OPD"/>
    <n v="2008.32"/>
    <s v="Credit Card"/>
    <s v="No"/>
    <m/>
    <n v="90"/>
    <s v="Adult"/>
    <s v="Low"/>
    <s v="Short Days"/>
    <m/>
    <m/>
    <m/>
    <m/>
    <m/>
    <m/>
  </r>
  <r>
    <s v="VIS202328"/>
    <d v="2024-07-31T00:00:00"/>
    <s v="PAT6745"/>
    <s v="Aarav Nagar"/>
    <s v="Male"/>
    <n v="45"/>
    <s v="Trichy"/>
    <s v="Tamil Nadu"/>
    <x v="8"/>
    <s v="Dr. Kavitha"/>
    <s v="J00"/>
    <s v="Observation"/>
    <s v="Emergency"/>
    <n v="8347.2099999999991"/>
    <s v="UPI"/>
    <s v="No"/>
    <m/>
    <n v="7"/>
    <s v="Middle-Aged"/>
    <s v="Medium"/>
    <s v="Short Days"/>
    <m/>
    <m/>
    <m/>
    <m/>
    <m/>
    <m/>
  </r>
  <r>
    <s v="VIS202941"/>
    <d v="2024-03-01T00:00:00"/>
    <s v="PAT5707"/>
    <s v="Aishwarya Reddy"/>
    <s v="Male"/>
    <n v="10"/>
    <s v="Bengaluru"/>
    <s v="Karnataka"/>
    <x v="6"/>
    <s v="Dr. Priya"/>
    <s v="F41"/>
    <s v="Surgery"/>
    <s v="OPD"/>
    <n v="9329.35"/>
    <s v="Insurance"/>
    <s v="Yes"/>
    <m/>
    <n v="90"/>
    <s v="Child"/>
    <s v="Medium"/>
    <s v="Short Days"/>
    <m/>
    <m/>
    <m/>
    <m/>
    <m/>
    <m/>
  </r>
  <r>
    <s v="VIS202261"/>
    <d v="2024-10-25T00:00:00"/>
    <s v="PAT6365"/>
    <s v="Ananya Mishra"/>
    <s v="Female"/>
    <n v="16"/>
    <s v="Bengaluru"/>
    <s v="Karnataka"/>
    <x v="4"/>
    <s v="Dr. Bhavana"/>
    <s v="I10"/>
    <s v="Medication"/>
    <s v="OPD"/>
    <n v="7317.11"/>
    <s v="Cash"/>
    <s v="No"/>
    <m/>
    <n v="7"/>
    <s v="Child"/>
    <s v="Medium"/>
    <s v="Short Days"/>
    <m/>
    <m/>
    <m/>
    <m/>
    <m/>
    <m/>
  </r>
  <r>
    <s v="VIS201973"/>
    <d v="2025-10-28T00:00:00"/>
    <s v="PAT5709"/>
    <s v="Sangeetha Singh"/>
    <s v="Female"/>
    <n v="25"/>
    <s v="Trichy"/>
    <s v="Tamil Nadu"/>
    <x v="4"/>
    <s v="Dr. Bhavana"/>
    <s v="F41"/>
    <s v="Counselling"/>
    <s v="Teleconsultation"/>
    <n v="18798.59"/>
    <s v="Cash"/>
    <s v="No"/>
    <m/>
    <m/>
    <s v="Adult"/>
    <s v="High"/>
    <s v="Short Days"/>
    <m/>
    <m/>
    <m/>
    <m/>
    <m/>
    <m/>
  </r>
  <r>
    <s v="VIS201901"/>
    <d v="2025-01-14T00:00:00"/>
    <s v="PAT6005"/>
    <s v="Kavya Jose"/>
    <s v="Female"/>
    <n v="62"/>
    <s v="Lucknow"/>
    <s v="Uttar Pradesh"/>
    <x v="6"/>
    <s v="Dr. Priya"/>
    <s v="F41"/>
    <s v="Counselling"/>
    <s v="Teleconsultation"/>
    <n v="13837.11"/>
    <s v="Cash"/>
    <s v="No"/>
    <m/>
    <m/>
    <s v="Senior"/>
    <s v="High"/>
    <s v="Short Days"/>
    <m/>
    <m/>
    <m/>
    <m/>
    <m/>
    <m/>
  </r>
  <r>
    <s v="VIS201893"/>
    <d v="2024-02-29T00:00:00"/>
    <s v="PAT5102"/>
    <s v="Anil Singh"/>
    <s v="Female"/>
    <n v="39"/>
    <s v="Noida"/>
    <s v="Uttar Pradesh"/>
    <x v="6"/>
    <s v="Dr. Lalitha"/>
    <s v="L40"/>
    <s v="Prescription Refill"/>
    <s v="OPD"/>
    <n v="8555.7000000000007"/>
    <s v="Credit Card"/>
    <s v="No"/>
    <m/>
    <n v="30"/>
    <s v="Adult"/>
    <s v="Medium"/>
    <s v="Short Days"/>
    <m/>
    <m/>
    <m/>
    <m/>
    <m/>
    <m/>
  </r>
  <r>
    <s v="VIS201904"/>
    <d v="2025-06-07T00:00:00"/>
    <s v="PAT5115"/>
    <s v="Deepa Iyer"/>
    <s v="Female"/>
    <n v="56"/>
    <s v="Jaipur"/>
    <s v="Rajasthan"/>
    <x v="5"/>
    <s v="Dr. Ravi"/>
    <s v="M54"/>
    <s v="Minor Surgery"/>
    <s v="Teleconsultation"/>
    <n v="8699.74"/>
    <s v="UPI"/>
    <s v="No"/>
    <m/>
    <m/>
    <s v="Middle-Aged"/>
    <s v="Medium"/>
    <s v="Short Days"/>
    <m/>
    <m/>
    <m/>
    <m/>
    <m/>
    <m/>
  </r>
  <r>
    <s v="VIS201732"/>
    <d v="2024-12-21T00:00:00"/>
    <s v="PAT5039"/>
    <s v="Aishwarya Gupta"/>
    <s v="Female"/>
    <n v="7"/>
    <s v="Ahmedabad"/>
    <s v="Gujarat"/>
    <x v="0"/>
    <s v="Dr. Shailesh"/>
    <s v="N39"/>
    <s v="Counselling"/>
    <s v="Teleconsultation"/>
    <n v="6092.27"/>
    <s v="Credit Card"/>
    <s v="No"/>
    <m/>
    <m/>
    <s v="Child"/>
    <s v="Medium"/>
    <s v="Short Days"/>
    <m/>
    <m/>
    <m/>
    <m/>
    <m/>
    <m/>
  </r>
  <r>
    <s v="VIS202922"/>
    <d v="2024-03-04T00:00:00"/>
    <s v="PAT5380"/>
    <s v="Aarav Bose"/>
    <s v="Female"/>
    <n v="37"/>
    <s v="Mumbai"/>
    <s v="Maharashtra"/>
    <x v="9"/>
    <s v="Dr. Kusum"/>
    <s v="I10"/>
    <s v="Physiotherapy"/>
    <s v="Teleconsultation"/>
    <n v="10457.08"/>
    <s v="UPI"/>
    <s v="No"/>
    <m/>
    <n v="30"/>
    <s v="Adult"/>
    <s v="High"/>
    <s v="Short Days"/>
    <m/>
    <m/>
    <m/>
    <m/>
    <m/>
    <m/>
  </r>
  <r>
    <s v="VIS200045"/>
    <d v="2025-08-05T00:00:00"/>
    <s v="PAT5109"/>
    <s v="Rahul Jose"/>
    <s v="Male"/>
    <n v="58"/>
    <s v="Delhi"/>
    <s v="Delhi"/>
    <x v="6"/>
    <s v="Dr. Lalitha"/>
    <s v="J00"/>
    <s v="Minor Procedure"/>
    <s v="OPD"/>
    <n v="2236.83"/>
    <s v="Debit Card"/>
    <s v="No"/>
    <m/>
    <n v="14"/>
    <s v="Middle-Aged"/>
    <s v="Low"/>
    <s v="Short Days"/>
    <m/>
    <m/>
    <m/>
    <m/>
    <m/>
    <m/>
  </r>
  <r>
    <s v="VIS201213"/>
    <d v="2024-01-10T00:00:00"/>
    <s v="PAT5811"/>
    <s v="Rohan Nair"/>
    <s v="Female"/>
    <n v="60"/>
    <s v="Kolkata"/>
    <s v="West Bengal"/>
    <x v="6"/>
    <s v="Dr. Priya"/>
    <s v="H10"/>
    <s v="Prescription Refill"/>
    <s v="OPD"/>
    <n v="4138.95"/>
    <s v="Credit Card"/>
    <s v="No"/>
    <m/>
    <n v="7"/>
    <s v="Middle-Aged"/>
    <s v="Low"/>
    <s v="Short Days"/>
    <m/>
    <m/>
    <m/>
    <m/>
    <m/>
    <m/>
  </r>
  <r>
    <s v="VIS201374"/>
    <d v="2024-09-01T00:00:00"/>
    <s v="PAT5114"/>
    <s v="Sangeetha Sharma"/>
    <s v="Male"/>
    <n v="48"/>
    <s v="Jaipur"/>
    <s v="Rajasthan"/>
    <x v="2"/>
    <s v="Dr. Manoj"/>
    <s v="J00"/>
    <s v="Surgery"/>
    <s v="OPD"/>
    <n v="6482.56"/>
    <s v="UPI"/>
    <s v="No"/>
    <m/>
    <n v="14"/>
    <s v="Middle-Aged"/>
    <s v="Medium"/>
    <s v="Short Days"/>
    <m/>
    <m/>
    <m/>
    <m/>
    <m/>
    <m/>
  </r>
  <r>
    <s v="VIS200390"/>
    <d v="2025-10-01T00:00:00"/>
    <s v="PAT5410"/>
    <s v="Ishaan Patel"/>
    <s v="Male"/>
    <n v="39"/>
    <s v="Mumbai"/>
    <s v="Maharashtra"/>
    <x v="1"/>
    <s v="Dr. Anu"/>
    <s v="K21"/>
    <s v="Medication"/>
    <s v="Teleconsultation"/>
    <n v="5183.55"/>
    <s v="Insurance"/>
    <s v="Yes"/>
    <m/>
    <n v="14"/>
    <s v="Adult"/>
    <s v="Medium"/>
    <s v="Short Days"/>
    <m/>
    <m/>
    <m/>
    <m/>
    <m/>
    <m/>
  </r>
  <r>
    <s v="VIS202103"/>
    <d v="2024-04-01T00:00:00"/>
    <s v="PAT5378"/>
    <s v="Ishaan Jose"/>
    <s v="Female"/>
    <n v="45"/>
    <s v="Kolkata"/>
    <s v="West Bengal"/>
    <x v="4"/>
    <s v="Dr. Varun"/>
    <s v="F41"/>
    <s v="Surgery"/>
    <s v="OPD"/>
    <n v="1800.61"/>
    <s v="Insurance"/>
    <s v="Yes"/>
    <m/>
    <n v="30"/>
    <s v="Middle-Aged"/>
    <s v="Low"/>
    <s v="Short Days"/>
    <m/>
    <m/>
    <m/>
    <m/>
    <m/>
    <m/>
  </r>
  <r>
    <s v="VIS200828"/>
    <d v="2024-03-25T00:00:00"/>
    <s v="PAT5335"/>
    <s v="Neha Reddy"/>
    <s v="Female"/>
    <n v="0"/>
    <s v="Ahmedabad"/>
    <s v="Gujarat"/>
    <x v="9"/>
    <s v="Dr. Arvind"/>
    <s v="F41"/>
    <s v="Counselling"/>
    <s v="Emergency"/>
    <n v="11380.16"/>
    <s v="Insurance"/>
    <s v="Yes"/>
    <m/>
    <n v="7"/>
    <s v="Child"/>
    <s v="High"/>
    <s v="Short Days"/>
    <m/>
    <m/>
    <m/>
    <m/>
    <m/>
    <m/>
  </r>
  <r>
    <s v="VIS202081"/>
    <d v="2024-03-09T00:00:00"/>
    <s v="PAT5000"/>
    <s v="Vivaan Khan"/>
    <s v="Female"/>
    <n v="8"/>
    <s v="Jaipur"/>
    <s v="Rajasthan"/>
    <x v="2"/>
    <s v="Dr. Ramesh"/>
    <s v="J45"/>
    <s v="Medication"/>
    <s v="OPD"/>
    <n v="5451.93"/>
    <s v="Insurance"/>
    <s v="Yes"/>
    <m/>
    <m/>
    <s v="Child"/>
    <s v="Medium"/>
    <s v="Short Days"/>
    <m/>
    <m/>
    <m/>
    <m/>
    <m/>
    <m/>
  </r>
  <r>
    <s v="VIS201859"/>
    <d v="2024-10-14T00:00:00"/>
    <s v="PAT6564"/>
    <s v="Rahul Mishra"/>
    <s v="Male"/>
    <n v="19"/>
    <s v="Trichy"/>
    <s v="Tamil Nadu"/>
    <x v="7"/>
    <s v="Dr. Surya"/>
    <s v="J45"/>
    <s v="Surgery"/>
    <s v="OPD"/>
    <n v="1550.33"/>
    <s v="UPI"/>
    <s v="No"/>
    <m/>
    <n v="30"/>
    <s v="Adult"/>
    <s v="Low"/>
    <s v="Short Days"/>
    <m/>
    <m/>
    <m/>
    <m/>
    <m/>
    <m/>
  </r>
  <r>
    <s v="VIS200892"/>
    <d v="2024-06-29T00:00:00"/>
    <s v="PAT6888"/>
    <s v="Vivaan Singh"/>
    <s v="Female"/>
    <n v="39"/>
    <s v="Kolkata"/>
    <s v="West Bengal"/>
    <x v="9"/>
    <s v="Dr. Kusum"/>
    <s v="E11"/>
    <s v="Minor Procedure"/>
    <s v="OPD"/>
    <n v="8700.6200000000008"/>
    <s v="UPI"/>
    <s v="No"/>
    <m/>
    <n v="7"/>
    <s v="Adult"/>
    <s v="Medium"/>
    <s v="Short Days"/>
    <m/>
    <m/>
    <m/>
    <m/>
    <m/>
    <m/>
  </r>
  <r>
    <s v="VIS202019"/>
    <d v="2025-09-14T00:00:00"/>
    <s v="PAT5786"/>
    <s v="Anil Iyer"/>
    <s v="Female"/>
    <n v="65"/>
    <s v="Bengaluru"/>
    <s v="Karnataka"/>
    <x v="8"/>
    <s v="Dr. Kavitha"/>
    <s v="E11"/>
    <s v="Prescription Refill"/>
    <s v="OPD"/>
    <n v="5510.41"/>
    <s v="Debit Card"/>
    <s v="No"/>
    <m/>
    <n v="14"/>
    <s v="Senior"/>
    <s v="Medium"/>
    <s v="Short Days"/>
    <m/>
    <m/>
    <m/>
    <m/>
    <m/>
    <m/>
  </r>
  <r>
    <s v="VIS201207"/>
    <d v="2025-01-15T00:00:00"/>
    <s v="PAT5775"/>
    <s v="Aarav Gupta"/>
    <s v="Male"/>
    <n v="20"/>
    <s v="Coimbatore"/>
    <s v="Tamil Nadu"/>
    <x v="8"/>
    <s v="Dr. Kavitha"/>
    <s v="J00"/>
    <s v="Prescription Refill"/>
    <s v="OPD"/>
    <n v="7049.32"/>
    <s v="UPI"/>
    <s v="No"/>
    <m/>
    <m/>
    <s v="Adult"/>
    <s v="Medium"/>
    <s v="Short Days"/>
    <m/>
    <m/>
    <m/>
    <m/>
    <m/>
    <m/>
  </r>
  <r>
    <s v="VIS202327"/>
    <d v="2025-01-24T00:00:00"/>
    <s v="PAT5777"/>
    <s v="Priya Khan"/>
    <s v="Female"/>
    <n v="37"/>
    <s v="Noida"/>
    <s v="Uttar Pradesh"/>
    <x v="3"/>
    <s v="Dr. Pallavi"/>
    <s v="I10"/>
    <s v="Counselling"/>
    <s v="OPD"/>
    <n v="3434.47"/>
    <s v="Net Banking"/>
    <s v="No"/>
    <m/>
    <n v="7"/>
    <s v="Adult"/>
    <s v="Low"/>
    <s v="Short Days"/>
    <m/>
    <m/>
    <m/>
    <m/>
    <m/>
    <m/>
  </r>
  <r>
    <s v="VIS200749"/>
    <d v="2024-05-11T00:00:00"/>
    <s v="PAT6573"/>
    <s v="Shruti Iyer"/>
    <s v="Male"/>
    <n v="49"/>
    <s v="Mumbai"/>
    <s v="Maharashtra"/>
    <x v="0"/>
    <s v="Dr. Nikhil"/>
    <s v="K21"/>
    <s v="Minor Surgery"/>
    <s v="OPD"/>
    <n v="6181.66"/>
    <s v="Insurance"/>
    <s v="Yes"/>
    <m/>
    <n v="30"/>
    <s v="Middle-Aged"/>
    <s v="Medium"/>
    <s v="Short Days"/>
    <m/>
    <m/>
    <m/>
    <m/>
    <m/>
    <m/>
  </r>
  <r>
    <s v="VIS200946"/>
    <d v="2024-11-05T00:00:00"/>
    <s v="PAT6259"/>
    <s v="Kavya Mishra"/>
    <s v="Male"/>
    <n v="40"/>
    <s v="Trichy"/>
    <s v="Tamil Nadu"/>
    <x v="0"/>
    <s v="Dr. Shailesh"/>
    <s v="E11"/>
    <s v="Surgery"/>
    <s v="IPD"/>
    <n v="5563.2"/>
    <s v="Net Banking"/>
    <s v="No"/>
    <n v="7"/>
    <n v="90"/>
    <s v="Adult"/>
    <s v="Medium"/>
    <s v="Long Days"/>
    <m/>
    <m/>
    <m/>
    <m/>
    <m/>
    <m/>
  </r>
  <r>
    <s v="VIS200572"/>
    <d v="2025-07-17T00:00:00"/>
    <s v="PAT6723"/>
    <s v="Ishaan Mishra"/>
    <s v="Female"/>
    <n v="44"/>
    <s v="Hyderabad"/>
    <s v="Telangana"/>
    <x v="6"/>
    <s v="Dr. Priya"/>
    <s v="H10"/>
    <s v="Physiotherapy"/>
    <s v="OPD"/>
    <n v="3616.45"/>
    <s v="Insurance"/>
    <s v="Yes"/>
    <m/>
    <n v="7"/>
    <s v="Middle-Aged"/>
    <s v="Low"/>
    <s v="Short Days"/>
    <m/>
    <m/>
    <m/>
    <m/>
    <m/>
    <m/>
  </r>
  <r>
    <s v="VIS201715"/>
    <d v="2024-11-24T00:00:00"/>
    <s v="PAT5563"/>
    <s v="Siddharth Jose"/>
    <s v="Female"/>
    <n v="28"/>
    <s v="Bengaluru"/>
    <s v="Karnataka"/>
    <x v="7"/>
    <s v="Dr. Leela"/>
    <s v="E11"/>
    <s v="Observation"/>
    <s v="OPD"/>
    <n v="17974.16"/>
    <s v="Debit Card"/>
    <s v="No"/>
    <m/>
    <n v="30"/>
    <s v="Adult"/>
    <s v="High"/>
    <s v="Short Days"/>
    <m/>
    <m/>
    <m/>
    <m/>
    <m/>
    <m/>
  </r>
  <r>
    <s v="VIS201993"/>
    <d v="2024-08-03T00:00:00"/>
    <s v="PAT6092"/>
    <s v="Aditya Sharma"/>
    <s v="Female"/>
    <n v="20"/>
    <s v="Coimbatore"/>
    <s v="Tamil Nadu"/>
    <x v="2"/>
    <s v="Dr. Ramesh"/>
    <s v="M54"/>
    <s v="Prescription Refill"/>
    <s v="OPD"/>
    <n v="487.69"/>
    <s v="Cash"/>
    <s v="No"/>
    <m/>
    <m/>
    <s v="Adult"/>
    <s v="Low"/>
    <s v="Short Days"/>
    <m/>
    <m/>
    <m/>
    <m/>
    <m/>
    <m/>
  </r>
  <r>
    <s v="VIS200313"/>
    <d v="2024-08-28T00:00:00"/>
    <s v="PAT5733"/>
    <s v="Vivaan Bose"/>
    <s v="Female"/>
    <n v="46"/>
    <s v="Delhi"/>
    <s v="Delhi"/>
    <x v="1"/>
    <s v="Dr. Anu"/>
    <s v="I10"/>
    <s v="Counselling"/>
    <s v="OPD"/>
    <n v="2466"/>
    <s v="UPI"/>
    <s v="No"/>
    <m/>
    <n v="14"/>
    <s v="Middle-Aged"/>
    <s v="Low"/>
    <s v="Short Days"/>
    <m/>
    <m/>
    <m/>
    <m/>
    <m/>
    <m/>
  </r>
  <r>
    <s v="VIS200564"/>
    <d v="2024-12-29T00:00:00"/>
    <s v="PAT5478"/>
    <s v="Rahul Das"/>
    <s v="Male"/>
    <n v="52"/>
    <s v="Lucknow"/>
    <s v="Uttar Pradesh"/>
    <x v="2"/>
    <s v="Dr. Ramesh"/>
    <s v="H10"/>
    <s v="Surgery"/>
    <s v="OPD"/>
    <n v="13768.38"/>
    <s v="UPI"/>
    <s v="No"/>
    <m/>
    <n v="14"/>
    <s v="Middle-Aged"/>
    <s v="High"/>
    <s v="Short Days"/>
    <m/>
    <m/>
    <m/>
    <m/>
    <m/>
    <m/>
  </r>
  <r>
    <s v="VIS202267"/>
    <d v="2024-08-04T00:00:00"/>
    <s v="PAT6392"/>
    <s v="Rohan Kumar"/>
    <s v="Female"/>
    <n v="17"/>
    <s v="Hyderabad"/>
    <s v="Telangana"/>
    <x v="5"/>
    <s v="Dr. Karthik"/>
    <s v="J45"/>
    <s v="Prescription Refill"/>
    <s v="OPD"/>
    <n v="308.13"/>
    <s v="Insurance"/>
    <s v="Yes"/>
    <m/>
    <n v="7"/>
    <s v="Child"/>
    <s v="Low"/>
    <s v="Short Days"/>
    <m/>
    <m/>
    <m/>
    <m/>
    <m/>
    <m/>
  </r>
  <r>
    <s v="VIS201176"/>
    <d v="2025-10-28T00:00:00"/>
    <s v="PAT5210"/>
    <s v="Rohan Iyer"/>
    <s v="Male"/>
    <n v="25"/>
    <s v="Hyderabad"/>
    <s v="Telangana"/>
    <x v="4"/>
    <s v="Dr. Bhavana"/>
    <s v="I10"/>
    <s v="Surgery"/>
    <s v="OPD"/>
    <n v="671.2"/>
    <s v="Insurance"/>
    <s v="Yes"/>
    <m/>
    <n v="14"/>
    <s v="Adult"/>
    <s v="Low"/>
    <s v="Short Days"/>
    <m/>
    <m/>
    <m/>
    <m/>
    <m/>
    <m/>
  </r>
  <r>
    <s v="VIS201527"/>
    <d v="2024-07-12T00:00:00"/>
    <s v="PAT6038"/>
    <s v="Rohan Patel"/>
    <s v="Male"/>
    <n v="57"/>
    <s v="Coimbatore"/>
    <s v="Tamil Nadu"/>
    <x v="7"/>
    <s v="Dr. Surya"/>
    <s v="L40"/>
    <s v="Medication"/>
    <s v="OPD"/>
    <n v="231.56"/>
    <s v="UPI"/>
    <s v="No"/>
    <m/>
    <n v="90"/>
    <s v="Middle-Aged"/>
    <s v="Low"/>
    <s v="Short Days"/>
    <m/>
    <m/>
    <m/>
    <m/>
    <m/>
    <m/>
  </r>
  <r>
    <s v="VIS202514"/>
    <d v="2025-10-30T00:00:00"/>
    <s v="PAT5021"/>
    <s v="Priya Patel"/>
    <s v="Male"/>
    <n v="31"/>
    <s v="Lucknow"/>
    <s v="Uttar Pradesh"/>
    <x v="0"/>
    <s v="Dr. Shailesh"/>
    <s v="K21"/>
    <s v="Surgery"/>
    <s v="OPD"/>
    <n v="5965"/>
    <s v="Insurance"/>
    <s v="Yes"/>
    <m/>
    <n v="7"/>
    <s v="Adult"/>
    <s v="Medium"/>
    <s v="Short Days"/>
    <m/>
    <m/>
    <m/>
    <m/>
    <m/>
    <m/>
  </r>
  <r>
    <s v="VIS200489"/>
    <d v="2025-01-29T00:00:00"/>
    <s v="PAT5895"/>
    <s v="Shruti Patel"/>
    <s v="Female"/>
    <n v="8"/>
    <s v="Hyderabad"/>
    <s v="Telangana"/>
    <x v="3"/>
    <s v="Dr. Pallavi"/>
    <s v="I10"/>
    <s v="Prescription Refill"/>
    <s v="Teleconsultation"/>
    <n v="5827.06"/>
    <s v="UPI"/>
    <s v="No"/>
    <m/>
    <n v="14"/>
    <s v="Child"/>
    <s v="Medium"/>
    <s v="Short Days"/>
    <m/>
    <m/>
    <m/>
    <m/>
    <m/>
    <m/>
  </r>
  <r>
    <s v="VIS200972"/>
    <d v="2024-07-25T00:00:00"/>
    <s v="PAT5731"/>
    <s v="Sangeetha Nair"/>
    <s v="Female"/>
    <n v="52"/>
    <s v="Noida"/>
    <s v="Uttar Pradesh"/>
    <x v="1"/>
    <s v="Dr. Anu"/>
    <s v="N39"/>
    <s v="Minor Procedure"/>
    <s v="Teleconsultation"/>
    <n v="6361.93"/>
    <s v="Cash"/>
    <s v="No"/>
    <m/>
    <n v="90"/>
    <s v="Middle-Aged"/>
    <s v="Medium"/>
    <s v="Short Days"/>
    <m/>
    <m/>
    <m/>
    <m/>
    <m/>
    <m/>
  </r>
  <r>
    <s v="VIS201224"/>
    <d v="2025-05-03T00:00:00"/>
    <s v="PAT5723"/>
    <s v="Neha Khan"/>
    <s v="Male"/>
    <n v="34"/>
    <s v="Bengaluru"/>
    <s v="Karnataka"/>
    <x v="2"/>
    <s v="Dr. Manoj"/>
    <s v="E11"/>
    <s v="Physiotherapy"/>
    <s v="OPD"/>
    <n v="9775.1299999999992"/>
    <s v="Debit Card"/>
    <s v="No"/>
    <m/>
    <n v="30"/>
    <s v="Adult"/>
    <s v="Medium"/>
    <s v="Short Days"/>
    <m/>
    <m/>
    <m/>
    <m/>
    <m/>
    <m/>
  </r>
  <r>
    <s v="VIS201162"/>
    <d v="2024-12-04T00:00:00"/>
    <s v="PAT5363"/>
    <s v="Vishal Nagar"/>
    <s v="Female"/>
    <n v="42"/>
    <s v="Bengaluru"/>
    <s v="Karnataka"/>
    <x v="0"/>
    <s v="Dr. Shailesh"/>
    <s v="H10"/>
    <s v="Prescription Refill"/>
    <s v="Emergency"/>
    <n v="5048.6400000000003"/>
    <s v="Debit Card"/>
    <s v="No"/>
    <m/>
    <n v="14"/>
    <s v="Middle-Aged"/>
    <s v="Medium"/>
    <s v="Short Days"/>
    <m/>
    <m/>
    <m/>
    <m/>
    <m/>
    <m/>
  </r>
  <r>
    <s v="VIS200268"/>
    <d v="2025-05-22T00:00:00"/>
    <s v="PAT5648"/>
    <s v="Arjun Kumar"/>
    <s v="Female"/>
    <n v="60"/>
    <s v="Lucknow"/>
    <s v="Uttar Pradesh"/>
    <x v="9"/>
    <s v="Dr. Arvind"/>
    <s v="L40"/>
    <s v="Prescription Refill"/>
    <s v="OPD"/>
    <n v="3281.57"/>
    <s v="UPI"/>
    <s v="No"/>
    <m/>
    <n v="7"/>
    <s v="Middle-Aged"/>
    <s v="Low"/>
    <s v="Short Days"/>
    <m/>
    <m/>
    <m/>
    <m/>
    <m/>
    <m/>
  </r>
  <r>
    <s v="VIS202419"/>
    <d v="2024-11-09T00:00:00"/>
    <s v="PAT5488"/>
    <s v="Priya Kumar"/>
    <s v="Female"/>
    <n v="55"/>
    <s v="Noida"/>
    <s v="Uttar Pradesh"/>
    <x v="4"/>
    <s v="Dr. Varun"/>
    <s v="F41"/>
    <s v="Medication"/>
    <s v="OPD"/>
    <n v="703.12"/>
    <s v="Credit Card"/>
    <s v="No"/>
    <m/>
    <n v="7"/>
    <s v="Middle-Aged"/>
    <s v="Low"/>
    <s v="Short Days"/>
    <m/>
    <m/>
    <m/>
    <m/>
    <m/>
    <m/>
  </r>
  <r>
    <s v="VIS200137"/>
    <d v="2024-03-11T00:00:00"/>
    <s v="PAT6291"/>
    <s v="Kavya Patel"/>
    <s v="Male"/>
    <n v="21"/>
    <s v="Bengaluru"/>
    <s v="Karnataka"/>
    <x v="8"/>
    <s v="Dr. Sneha"/>
    <s v="L40"/>
    <s v="Minor Procedure"/>
    <s v="OPD"/>
    <n v="1678.81"/>
    <s v="Debit Card"/>
    <s v="No"/>
    <m/>
    <n v="7"/>
    <s v="Adult"/>
    <s v="Low"/>
    <s v="Short Days"/>
    <m/>
    <m/>
    <m/>
    <m/>
    <m/>
    <m/>
  </r>
  <r>
    <s v="VIS202821"/>
    <d v="2024-06-06T00:00:00"/>
    <s v="PAT6900"/>
    <s v="Rahul Singh"/>
    <s v="Male"/>
    <n v="37"/>
    <s v="Bengaluru"/>
    <s v="Karnataka"/>
    <x v="6"/>
    <s v="Dr. Priya"/>
    <s v="J00"/>
    <s v="Counselling"/>
    <s v="OPD"/>
    <n v="321.58"/>
    <s v="Debit Card"/>
    <s v="No"/>
    <m/>
    <n v="30"/>
    <s v="Adult"/>
    <s v="Low"/>
    <s v="Short Days"/>
    <m/>
    <m/>
    <m/>
    <m/>
    <m/>
    <m/>
  </r>
  <r>
    <s v="VIS200820"/>
    <d v="2024-08-14T00:00:00"/>
    <s v="PAT6680"/>
    <s v="Siddharth Nagar"/>
    <s v="Female"/>
    <n v="28"/>
    <s v="Mumbai"/>
    <s v="Maharashtra"/>
    <x v="3"/>
    <s v="Dr. Anand"/>
    <s v="J00"/>
    <s v="Minor Procedure"/>
    <s v="OPD"/>
    <n v="1518.63"/>
    <s v="Cash"/>
    <s v="No"/>
    <m/>
    <m/>
    <s v="Adult"/>
    <s v="Low"/>
    <s v="Short Days"/>
    <m/>
    <m/>
    <m/>
    <m/>
    <m/>
    <m/>
  </r>
  <r>
    <s v="VIS200953"/>
    <d v="2025-08-28T00:00:00"/>
    <s v="PAT6856"/>
    <s v="Sangeetha Singh"/>
    <s v="Male"/>
    <n v="58"/>
    <s v="Jaipur"/>
    <s v="Rajasthan"/>
    <x v="1"/>
    <s v="Dr. Anu"/>
    <s v="M54"/>
    <s v="Counselling"/>
    <s v="OPD"/>
    <n v="364.67"/>
    <s v="Insurance"/>
    <s v="Yes"/>
    <m/>
    <n v="7"/>
    <s v="Middle-Aged"/>
    <s v="Low"/>
    <s v="Short Days"/>
    <m/>
    <m/>
    <m/>
    <m/>
    <m/>
    <m/>
  </r>
  <r>
    <s v="VIS201966"/>
    <d v="2025-02-02T00:00:00"/>
    <s v="PAT5618"/>
    <s v="Neha Singh"/>
    <s v="Male"/>
    <n v="50"/>
    <s v="Delhi"/>
    <s v="Tamil Nadu"/>
    <x v="0"/>
    <s v="Dr. Nikhil"/>
    <s v="Z111"/>
    <s v="Minor Surgery"/>
    <s v="OPD"/>
    <n v="1099.54"/>
    <s v="Credit Card"/>
    <s v="No"/>
    <m/>
    <n v="7"/>
    <s v="Middle-Aged"/>
    <s v="Low"/>
    <s v="Short Days"/>
    <m/>
    <m/>
    <m/>
    <m/>
    <m/>
    <m/>
  </r>
  <r>
    <s v="VIS201545"/>
    <d v="2025-03-12T00:00:00"/>
    <s v="PAT6124"/>
    <s v="Karthik Gupta"/>
    <s v="Female"/>
    <n v="46"/>
    <s v="Ahmedabad"/>
    <s v="Gujarat"/>
    <x v="2"/>
    <s v="Dr. Ramesh"/>
    <s v="J00"/>
    <s v="Medication"/>
    <s v="Teleconsultation"/>
    <n v="22961.93"/>
    <s v="Debit Card"/>
    <s v="No"/>
    <m/>
    <n v="14"/>
    <s v="Middle-Aged"/>
    <s v="High"/>
    <s v="Short Days"/>
    <m/>
    <m/>
    <m/>
    <m/>
    <m/>
    <m/>
  </r>
  <r>
    <s v="VIS201338"/>
    <d v="2024-03-22T00:00:00"/>
    <s v="PAT6734"/>
    <s v="Deepa Singh"/>
    <s v="Other"/>
    <n v="37"/>
    <s v="Pune"/>
    <s v="Maharashtra"/>
    <x v="6"/>
    <s v="Dr. Priya"/>
    <s v="J45"/>
    <s v="Minor Procedure"/>
    <s v="OPD"/>
    <n v="7684.11"/>
    <s v="Credit Card"/>
    <s v="No"/>
    <m/>
    <n v="14"/>
    <s v="Adult"/>
    <s v="Medium"/>
    <s v="Short Days"/>
    <m/>
    <m/>
    <m/>
    <m/>
    <m/>
    <m/>
  </r>
  <r>
    <s v="VIS200147"/>
    <d v="2025-04-03T00:00:00"/>
    <s v="PAT6897"/>
    <s v="Rohan Kumar"/>
    <s v="Male"/>
    <n v="46"/>
    <s v="Chennai"/>
    <s v="Tamil Nadu"/>
    <x v="6"/>
    <s v="Dr. Priya"/>
    <s v="N39"/>
    <s v="Minor Procedure"/>
    <s v="OPD"/>
    <n v="5879.76"/>
    <s v="Debit Card"/>
    <s v="No"/>
    <m/>
    <n v="90"/>
    <s v="Middle-Aged"/>
    <s v="Medium"/>
    <s v="Short Days"/>
    <m/>
    <m/>
    <m/>
    <m/>
    <m/>
    <m/>
  </r>
  <r>
    <s v="VIS200242"/>
    <d v="2025-01-25T00:00:00"/>
    <s v="PAT5564"/>
    <s v="Vishal Iyer"/>
    <s v="Female"/>
    <n v="9"/>
    <s v="Pune"/>
    <s v="Maharashtra"/>
    <x v="1"/>
    <s v="Dr. Anu"/>
    <s v="J45"/>
    <s v="Physiotherapy"/>
    <s v="Teleconsultation"/>
    <n v="7193.03"/>
    <s v="Insurance"/>
    <s v="Yes"/>
    <m/>
    <n v="7"/>
    <s v="Child"/>
    <s v="Medium"/>
    <s v="Short Days"/>
    <m/>
    <m/>
    <m/>
    <m/>
    <m/>
    <m/>
  </r>
  <r>
    <s v="VIS201655"/>
    <d v="2024-10-18T00:00:00"/>
    <s v="PAT6677"/>
    <s v="Shruti Mishra"/>
    <s v="Male"/>
    <n v="54"/>
    <s v="Coimbatore"/>
    <s v="Tamil Nadu"/>
    <x v="7"/>
    <s v="Dr. Surya"/>
    <s v="M54"/>
    <s v="Observation"/>
    <s v="OPD"/>
    <n v="3768.25"/>
    <s v="Cash"/>
    <s v="No"/>
    <m/>
    <n v="90"/>
    <s v="Middle-Aged"/>
    <s v="Low"/>
    <s v="Short Days"/>
    <m/>
    <m/>
    <m/>
    <m/>
    <m/>
    <m/>
  </r>
  <r>
    <s v="VIS200461"/>
    <d v="2025-07-04T00:00:00"/>
    <s v="PAT6576"/>
    <s v="Rahul Jose"/>
    <s v="Other"/>
    <n v="35"/>
    <s v="Madurai"/>
    <s v="Tamil Nadu"/>
    <x v="7"/>
    <s v="Dr. Leela"/>
    <s v="I10"/>
    <s v="Prescription Refill"/>
    <s v="Teleconsultation"/>
    <n v="11873.02"/>
    <s v="Debit Card"/>
    <s v="No"/>
    <m/>
    <m/>
    <s v="Adult"/>
    <s v="High"/>
    <s v="Short Days"/>
    <m/>
    <m/>
    <m/>
    <m/>
    <m/>
    <m/>
  </r>
  <r>
    <s v="VIS201262"/>
    <d v="2025-08-29T00:00:00"/>
    <s v="PAT5923"/>
    <s v="Anil Iyer"/>
    <s v="Male"/>
    <n v="47"/>
    <s v="Chennai"/>
    <s v="Tamil Nadu"/>
    <x v="5"/>
    <s v="Dr. Ravi"/>
    <s v="F41"/>
    <s v="Minor Procedure"/>
    <s v="OPD"/>
    <n v="8140.16"/>
    <s v="Debit Card"/>
    <s v="No"/>
    <m/>
    <n v="7"/>
    <s v="Middle-Aged"/>
    <s v="Medium"/>
    <s v="Short Days"/>
    <m/>
    <m/>
    <m/>
    <m/>
    <m/>
    <m/>
  </r>
  <r>
    <s v="VIS200324"/>
    <d v="2025-10-13T00:00:00"/>
    <s v="PAT5049"/>
    <s v="Ananya Nair"/>
    <s v="Female"/>
    <n v="63"/>
    <s v="Bengaluru"/>
    <s v="Karnataka"/>
    <x v="3"/>
    <s v="Dr. Anand"/>
    <s v="K21"/>
    <s v="Minor Procedure"/>
    <s v="IPD"/>
    <n v="6436.72"/>
    <s v="Cash"/>
    <s v="No"/>
    <n v="7"/>
    <n v="90"/>
    <s v="Senior"/>
    <s v="Medium"/>
    <s v="Long Days"/>
    <m/>
    <m/>
    <m/>
    <m/>
    <m/>
    <m/>
  </r>
  <r>
    <s v="VIS200772"/>
    <d v="2024-12-22T00:00:00"/>
    <s v="PAT6652"/>
    <s v="Aishwarya Nagar"/>
    <s v="Female"/>
    <n v="42"/>
    <s v="Bengaluru"/>
    <s v="Karnataka"/>
    <x v="1"/>
    <s v="Dr. Suri"/>
    <s v="J45"/>
    <s v="Observation"/>
    <s v="OPD"/>
    <n v="9173.02"/>
    <s v="Credit Card"/>
    <s v="No"/>
    <m/>
    <m/>
    <s v="Middle-Aged"/>
    <s v="Medium"/>
    <s v="Short Days"/>
    <m/>
    <m/>
    <m/>
    <m/>
    <m/>
    <m/>
  </r>
  <r>
    <s v="VIS202446"/>
    <d v="2025-10-19T00:00:00"/>
    <s v="PAT6792"/>
    <s v="Sangeetha Singh"/>
    <s v="Male"/>
    <n v="57"/>
    <s v="Ahmedabad"/>
    <s v="Gujarat"/>
    <x v="6"/>
    <s v="Dr. Priya"/>
    <s v="K21"/>
    <s v="Minor Surgery"/>
    <s v="OPD"/>
    <n v="6158.7"/>
    <s v="Insurance"/>
    <s v="Yes"/>
    <m/>
    <n v="30"/>
    <s v="Middle-Aged"/>
    <s v="Medium"/>
    <s v="Short Days"/>
    <m/>
    <m/>
    <m/>
    <m/>
    <m/>
    <m/>
  </r>
  <r>
    <s v="VIS202132"/>
    <d v="2025-03-02T00:00:00"/>
    <s v="PAT5353"/>
    <s v="Ishaan Singh"/>
    <s v="Male"/>
    <n v="37"/>
    <s v="Trichy"/>
    <s v="Tamil Nadu"/>
    <x v="2"/>
    <s v="Dr. Manoj"/>
    <s v="J45"/>
    <s v="Minor Procedure"/>
    <s v="OPD"/>
    <n v="493.61"/>
    <s v="Insurance"/>
    <s v="Yes"/>
    <m/>
    <n v="30"/>
    <s v="Adult"/>
    <s v="Low"/>
    <s v="Short Days"/>
    <m/>
    <m/>
    <m/>
    <m/>
    <m/>
    <m/>
  </r>
  <r>
    <s v="VIS202333"/>
    <d v="2025-05-28T00:00:00"/>
    <s v="PAT5990"/>
    <s v="Arjun Kumar"/>
    <s v="Female"/>
    <n v="26"/>
    <s v="Chennai"/>
    <s v="Tamil Nadu"/>
    <x v="7"/>
    <s v="Dr. Surya"/>
    <s v="J45"/>
    <s v="Prescription Refill"/>
    <s v="OPD"/>
    <n v="11880.99"/>
    <s v="UPI"/>
    <s v="No"/>
    <m/>
    <n v="30"/>
    <s v="Adult"/>
    <s v="High"/>
    <s v="Short Days"/>
    <m/>
    <m/>
    <m/>
    <m/>
    <m/>
    <m/>
  </r>
  <r>
    <s v="VIS202923"/>
    <d v="2024-02-23T00:00:00"/>
    <s v="PAT5353"/>
    <s v="Vishal Gupta"/>
    <s v="Female"/>
    <n v="0"/>
    <s v="Chennai"/>
    <s v="Tamil Nadu"/>
    <x v="7"/>
    <s v="Dr. Leela"/>
    <s v="J45"/>
    <s v="Prescription Refill"/>
    <s v="OPD"/>
    <n v="2320.46"/>
    <s v="Credit Card"/>
    <s v="No"/>
    <m/>
    <n v="30"/>
    <s v="Child"/>
    <s v="Low"/>
    <s v="Short Days"/>
    <m/>
    <m/>
    <m/>
    <m/>
    <m/>
    <m/>
  </r>
  <r>
    <s v="VIS200937"/>
    <d v="2025-10-22T00:00:00"/>
    <s v="PAT6936"/>
    <s v="Anil Patel"/>
    <s v="Male"/>
    <n v="43"/>
    <s v="Noida"/>
    <s v="Uttar Pradesh"/>
    <x v="4"/>
    <s v="Dr. Bhavana"/>
    <s v="E11"/>
    <s v="Surgery"/>
    <s v="Emergency"/>
    <n v="10573.27"/>
    <s v="Cash"/>
    <s v="No"/>
    <m/>
    <n v="30"/>
    <s v="Middle-Aged"/>
    <s v="High"/>
    <s v="Short Days"/>
    <m/>
    <m/>
    <m/>
    <m/>
    <m/>
    <m/>
  </r>
  <r>
    <s v="VIS200065"/>
    <d v="2025-01-11T00:00:00"/>
    <s v="PAT5715"/>
    <s v="Arjun Patel"/>
    <s v="Female"/>
    <n v="6"/>
    <s v="Bengaluru"/>
    <s v="Karnataka"/>
    <x v="5"/>
    <s v="Dr. Meena"/>
    <s v="N39"/>
    <s v="Observation"/>
    <s v="OPD"/>
    <n v="4219.43"/>
    <s v="Cash"/>
    <s v="No"/>
    <m/>
    <n v="30"/>
    <s v="Child"/>
    <s v="Low"/>
    <s v="Short Days"/>
    <m/>
    <m/>
    <m/>
    <m/>
    <m/>
    <m/>
  </r>
  <r>
    <s v="VIS200246"/>
    <d v="2025-04-27T00:00:00"/>
    <s v="PAT6854"/>
    <s v="Vishal Kumar"/>
    <s v="Female"/>
    <n v="20"/>
    <s v="Ahmedabad"/>
    <s v="Gujarat"/>
    <x v="7"/>
    <s v="Dr. Leela"/>
    <s v="J45"/>
    <s v="Medication"/>
    <s v="OPD"/>
    <n v="566.72"/>
    <s v="UPI"/>
    <s v="No"/>
    <m/>
    <n v="90"/>
    <s v="Adult"/>
    <s v="Low"/>
    <s v="Short Days"/>
    <m/>
    <m/>
    <m/>
    <m/>
    <m/>
    <m/>
  </r>
  <r>
    <s v="VIS201426"/>
    <d v="2024-10-30T00:00:00"/>
    <s v="PAT5278"/>
    <s v="Vivaan Patel"/>
    <s v="Male"/>
    <n v="46"/>
    <s v="Kolkata"/>
    <s v="West Bengal"/>
    <x v="8"/>
    <s v="Dr. Kavitha"/>
    <s v="F41"/>
    <s v="Surgery"/>
    <s v="OPD"/>
    <n v="6715.93"/>
    <s v="Insurance"/>
    <s v="Yes"/>
    <m/>
    <n v="14"/>
    <s v="Middle-Aged"/>
    <s v="Medium"/>
    <s v="Short Days"/>
    <m/>
    <m/>
    <m/>
    <m/>
    <m/>
    <m/>
  </r>
  <r>
    <s v="VIS200295"/>
    <d v="2024-07-18T00:00:00"/>
    <s v="PAT6360"/>
    <s v="Shruti Patel"/>
    <s v="Male"/>
    <n v="17"/>
    <s v="Noida"/>
    <s v="Uttar Pradesh"/>
    <x v="9"/>
    <s v="Dr. Kusum"/>
    <s v="E11"/>
    <s v="Physiotherapy"/>
    <s v="OPD"/>
    <n v="7070.08"/>
    <s v="Cash"/>
    <s v="No"/>
    <m/>
    <n v="7"/>
    <s v="Child"/>
    <s v="Medium"/>
    <s v="Short Days"/>
    <m/>
    <m/>
    <m/>
    <m/>
    <m/>
    <m/>
  </r>
  <r>
    <s v="VIS200854"/>
    <d v="2025-05-16T00:00:00"/>
    <s v="PAT5712"/>
    <s v="Arjun Patel"/>
    <s v="Male"/>
    <n v="19"/>
    <s v="Pune"/>
    <s v="Maharashtra"/>
    <x v="5"/>
    <s v="Dr. Ravi"/>
    <s v="N39"/>
    <s v="Physiotherapy"/>
    <s v="OPD"/>
    <n v="1600.76"/>
    <s v="Credit Card"/>
    <s v="No"/>
    <m/>
    <m/>
    <s v="Adult"/>
    <s v="Low"/>
    <s v="Short Days"/>
    <m/>
    <m/>
    <m/>
    <m/>
    <m/>
    <m/>
  </r>
  <r>
    <s v="VIS202928"/>
    <d v="2024-09-16T00:00:00"/>
    <s v="PAT5445"/>
    <s v="Ananya Bose"/>
    <s v="Male"/>
    <n v="59"/>
    <s v="Ahmedabad"/>
    <s v="Gujarat"/>
    <x v="4"/>
    <s v="Dr. Bhavana"/>
    <s v="N39"/>
    <s v="Medication"/>
    <s v="IPD"/>
    <n v="5159.57"/>
    <s v="Net Banking"/>
    <s v="No"/>
    <n v="6"/>
    <m/>
    <s v="Middle-Aged"/>
    <s v="Medium"/>
    <s v="Long Days"/>
    <m/>
    <m/>
    <m/>
    <m/>
    <m/>
    <m/>
  </r>
  <r>
    <s v="VIS200637"/>
    <d v="2024-08-04T00:00:00"/>
    <s v="PAT5065"/>
    <s v="Anil Singh"/>
    <s v="Female"/>
    <n v="19"/>
    <s v="Coimbatore"/>
    <s v="Tamil Nadu"/>
    <x v="1"/>
    <s v="Dr. Anu"/>
    <s v="H10"/>
    <s v="Prescription Refill"/>
    <s v="OPD"/>
    <n v="106.97"/>
    <s v="Insurance"/>
    <s v="Yes"/>
    <m/>
    <n v="90"/>
    <s v="Adult"/>
    <s v="Low"/>
    <s v="Short Days"/>
    <m/>
    <m/>
    <m/>
    <m/>
    <m/>
    <m/>
  </r>
  <r>
    <s v="VIS202718"/>
    <d v="2025-09-24T00:00:00"/>
    <s v="PAT5762"/>
    <s v="Aditya Iyer"/>
    <s v="Female"/>
    <n v="54"/>
    <s v="Kochi"/>
    <s v="Kerala"/>
    <x v="5"/>
    <s v="Dr. Ravi"/>
    <s v="L40"/>
    <s v="Minor Procedure"/>
    <s v="OPD"/>
    <n v="4897.6099999999997"/>
    <s v="Debit Card"/>
    <s v="No"/>
    <m/>
    <n v="14"/>
    <s v="Middle-Aged"/>
    <s v="Low"/>
    <s v="Short Days"/>
    <m/>
    <m/>
    <m/>
    <m/>
    <m/>
    <m/>
  </r>
  <r>
    <s v="VIS202845"/>
    <d v="2025-05-31T00:00:00"/>
    <s v="PAT6654"/>
    <s v="Ananya Nagar"/>
    <s v="Female"/>
    <n v="60"/>
    <s v="Pune"/>
    <s v="Maharashtra"/>
    <x v="5"/>
    <s v="Dr. Meena"/>
    <s v="K21"/>
    <s v="Minor Procedure"/>
    <s v="Teleconsultation"/>
    <n v="8085.57"/>
    <s v="Insurance"/>
    <s v="Yes"/>
    <m/>
    <n v="7"/>
    <s v="Middle-Aged"/>
    <s v="Medium"/>
    <s v="Short Days"/>
    <m/>
    <m/>
    <m/>
    <m/>
    <m/>
    <m/>
  </r>
  <r>
    <s v="VIS200277"/>
    <d v="2024-08-12T00:00:00"/>
    <s v="PAT6539"/>
    <s v="Priya Iyer"/>
    <s v="Male"/>
    <n v="35"/>
    <s v="Chennai"/>
    <s v="Tamil Nadu"/>
    <x v="2"/>
    <s v="Dr. Ramesh"/>
    <s v="I10"/>
    <s v="Surgery"/>
    <s v="OPD"/>
    <n v="188.61"/>
    <s v="Insurance"/>
    <s v="Yes"/>
    <m/>
    <m/>
    <s v="Adult"/>
    <s v="Low"/>
    <s v="Short Days"/>
    <m/>
    <m/>
    <m/>
    <m/>
    <m/>
    <m/>
  </r>
  <r>
    <s v="VIS201300"/>
    <d v="2025-07-25T00:00:00"/>
    <s v="PAT5283"/>
    <s v="Karthik Nagar"/>
    <s v="Other"/>
    <n v="30"/>
    <s v="Noida"/>
    <s v="Uttar Pradesh"/>
    <x v="6"/>
    <s v="Dr. Priya"/>
    <s v="J45"/>
    <s v="Observation"/>
    <s v="OPD"/>
    <n v="2677.09"/>
    <s v="UPI"/>
    <s v="No"/>
    <m/>
    <m/>
    <s v="Adult"/>
    <s v="Low"/>
    <s v="Short Days"/>
    <m/>
    <m/>
    <m/>
    <m/>
    <m/>
    <m/>
  </r>
  <r>
    <s v="VIS200757"/>
    <d v="2025-09-07T00:00:00"/>
    <s v="PAT6858"/>
    <s v="Rohan Iyer"/>
    <s v="Female"/>
    <n v="28"/>
    <s v="Noida"/>
    <s v="Uttar Pradesh"/>
    <x v="6"/>
    <s v="Dr. Lalitha"/>
    <s v="J00"/>
    <s v="Medication"/>
    <s v="OPD"/>
    <n v="7905.14"/>
    <s v="Net Banking"/>
    <s v="No"/>
    <m/>
    <n v="30"/>
    <s v="Adult"/>
    <s v="Medium"/>
    <s v="Short Days"/>
    <m/>
    <m/>
    <m/>
    <m/>
    <m/>
    <m/>
  </r>
  <r>
    <s v="VIS200965"/>
    <d v="2024-10-10T00:00:00"/>
    <s v="PAT5707"/>
    <s v="Aarav Khan"/>
    <s v="Male"/>
    <n v="57"/>
    <s v="Noida"/>
    <s v="Uttar Pradesh"/>
    <x v="8"/>
    <s v="Dr. Sneha"/>
    <s v="K21"/>
    <s v="Physiotherapy"/>
    <s v="Teleconsultation"/>
    <n v="15790.27"/>
    <s v="Debit Card"/>
    <s v="No"/>
    <m/>
    <n v="30"/>
    <s v="Middle-Aged"/>
    <s v="High"/>
    <s v="Short Days"/>
    <m/>
    <m/>
    <m/>
    <m/>
    <m/>
    <m/>
  </r>
  <r>
    <s v="VIS200477"/>
    <d v="2025-09-21T00:00:00"/>
    <s v="PAT6487"/>
    <s v="Shruti Mishra"/>
    <s v="Male"/>
    <n v="18"/>
    <s v="Noida"/>
    <s v="Uttar Pradesh"/>
    <x v="3"/>
    <s v="Dr. Pallavi"/>
    <s v="J00"/>
    <s v="Counselling"/>
    <s v="Teleconsultation"/>
    <n v="6362.65"/>
    <s v="Cash"/>
    <s v="No"/>
    <m/>
    <n v="7"/>
    <s v="Adult"/>
    <s v="Medium"/>
    <s v="Short Days"/>
    <m/>
    <m/>
    <m/>
    <m/>
    <m/>
    <m/>
  </r>
  <r>
    <s v="VIS200126"/>
    <d v="2024-07-10T00:00:00"/>
    <s v="PAT6197"/>
    <s v="Ishaan Kumar"/>
    <s v="Male"/>
    <n v="30"/>
    <s v="Delhi"/>
    <s v="Delhi"/>
    <x v="8"/>
    <s v="Dr. Sneha"/>
    <s v="J00"/>
    <s v="Observation"/>
    <s v="IPD"/>
    <n v="7150.58"/>
    <s v="Insurance"/>
    <s v="Yes"/>
    <n v="8"/>
    <n v="90"/>
    <s v="Adult"/>
    <s v="Medium"/>
    <s v="Long Days"/>
    <m/>
    <m/>
    <m/>
    <m/>
    <m/>
    <m/>
  </r>
  <r>
    <s v="VIS202417"/>
    <d v="2025-01-26T00:00:00"/>
    <s v="PAT5258"/>
    <s v="Vivaan Singh"/>
    <s v="Female"/>
    <n v="22"/>
    <s v="Ahmedabad"/>
    <s v="Gujarat"/>
    <x v="0"/>
    <s v="Dr. Nikhil"/>
    <s v="N39"/>
    <s v="Counselling"/>
    <s v="Teleconsultation"/>
    <n v="7015.72"/>
    <s v="Credit Card"/>
    <s v="No"/>
    <m/>
    <m/>
    <s v="Adult"/>
    <s v="Medium"/>
    <s v="Short Days"/>
    <m/>
    <m/>
    <m/>
    <m/>
    <m/>
    <m/>
  </r>
  <r>
    <s v="VIS200459"/>
    <d v="2024-03-02T00:00:00"/>
    <s v="PAT5604"/>
    <s v="Rahul Reddy"/>
    <s v="Male"/>
    <n v="0"/>
    <s v="Coimbatore"/>
    <s v="Tamil Nadu"/>
    <x v="3"/>
    <s v="Dr. Pallavi"/>
    <s v="K21"/>
    <s v="Minor Procedure"/>
    <s v="Teleconsultation"/>
    <n v="12479.6"/>
    <s v="Cash"/>
    <s v="No"/>
    <m/>
    <n v="14"/>
    <s v="Child"/>
    <s v="High"/>
    <s v="Short Days"/>
    <m/>
    <m/>
    <m/>
    <m/>
    <m/>
    <m/>
  </r>
  <r>
    <s v="VIS202443"/>
    <d v="2024-09-22T00:00:00"/>
    <s v="PAT6982"/>
    <s v="Shruti Reddy"/>
    <s v="Female"/>
    <n v="55"/>
    <s v="Coimbatore"/>
    <s v="Tamil Nadu"/>
    <x v="0"/>
    <s v="Dr. Shailesh"/>
    <s v="K21"/>
    <s v="Physiotherapy"/>
    <s v="Teleconsultation"/>
    <n v="14002.13"/>
    <s v="Insurance"/>
    <s v="Yes"/>
    <m/>
    <n v="14"/>
    <s v="Middle-Aged"/>
    <s v="High"/>
    <s v="Short Days"/>
    <m/>
    <m/>
    <m/>
    <m/>
    <m/>
    <m/>
  </r>
  <r>
    <s v="VIS200798"/>
    <d v="2024-11-22T00:00:00"/>
    <s v="PAT5440"/>
    <s v="Neha Nagar"/>
    <s v="Female"/>
    <n v="47"/>
    <s v="Madurai"/>
    <s v="Tamil Nadu"/>
    <x v="6"/>
    <s v="Dr. Lalitha"/>
    <s v="K21"/>
    <s v="Prescription Refill"/>
    <s v="OPD"/>
    <n v="5210.8100000000004"/>
    <s v="UPI"/>
    <s v="No"/>
    <m/>
    <m/>
    <s v="Middle-Aged"/>
    <s v="Medium"/>
    <s v="Short Days"/>
    <m/>
    <m/>
    <m/>
    <m/>
    <m/>
    <m/>
  </r>
  <r>
    <s v="VIS201658"/>
    <d v="2024-04-23T00:00:00"/>
    <s v="PAT5998"/>
    <s v="Neha Nagar"/>
    <s v="Male"/>
    <n v="11"/>
    <s v="Hyderabad"/>
    <s v="Telangana"/>
    <x v="4"/>
    <s v="Dr. Varun"/>
    <s v="I10"/>
    <s v="Observation"/>
    <s v="Teleconsultation"/>
    <n v="9130.34"/>
    <s v="UPI"/>
    <s v="No"/>
    <m/>
    <n v="90"/>
    <s v="Child"/>
    <s v="Medium"/>
    <s v="Short Days"/>
    <m/>
    <m/>
    <m/>
    <m/>
    <m/>
    <m/>
  </r>
  <r>
    <s v="VIS200304"/>
    <d v="2024-09-19T00:00:00"/>
    <s v="PAT5813"/>
    <s v="Karthik Nair"/>
    <s v="Female"/>
    <n v="35"/>
    <s v="Pune"/>
    <s v="Maharashtra"/>
    <x v="5"/>
    <s v="Dr. Ravi"/>
    <s v="H10"/>
    <s v="Observation"/>
    <s v="Teleconsultation"/>
    <n v="7722.97"/>
    <s v="Debit Card"/>
    <s v="No"/>
    <m/>
    <m/>
    <s v="Adult"/>
    <s v="Medium"/>
    <s v="Short Days"/>
    <m/>
    <m/>
    <m/>
    <m/>
    <m/>
    <m/>
  </r>
  <r>
    <s v="VIS202651"/>
    <d v="2025-10-13T00:00:00"/>
    <s v="PAT6325"/>
    <s v="Karthik Nagar"/>
    <s v="Female"/>
    <n v="12"/>
    <s v="Coimbatore"/>
    <s v="Tamil Nadu"/>
    <x v="9"/>
    <s v="Dr. Arvind"/>
    <s v="M54"/>
    <s v="Minor Procedure"/>
    <s v="OPD"/>
    <n v="1505.23"/>
    <s v="Insurance"/>
    <s v="Yes"/>
    <m/>
    <n v="30"/>
    <s v="Child"/>
    <s v="Low"/>
    <s v="Short Days"/>
    <m/>
    <m/>
    <m/>
    <m/>
    <m/>
    <m/>
  </r>
  <r>
    <s v="VIS200224"/>
    <d v="2024-07-07T00:00:00"/>
    <s v="PAT6379"/>
    <s v="Neha Iyer"/>
    <s v="Female"/>
    <n v="66"/>
    <s v="Kolkata"/>
    <s v="West Bengal"/>
    <x v="5"/>
    <s v="Dr. Ravi"/>
    <s v="L40"/>
    <s v="Physiotherapy"/>
    <s v="OPD"/>
    <n v="1441.71"/>
    <s v="Cash"/>
    <s v="No"/>
    <m/>
    <m/>
    <s v="Senior"/>
    <s v="Low"/>
    <s v="Short Days"/>
    <m/>
    <m/>
    <m/>
    <m/>
    <m/>
    <m/>
  </r>
  <r>
    <s v="VIS201783"/>
    <d v="2024-12-01T00:00:00"/>
    <s v="PAT6881"/>
    <s v="Ishaan Reddy"/>
    <s v="Female"/>
    <n v="43"/>
    <s v="Madurai"/>
    <s v="Tamil Nadu"/>
    <x v="9"/>
    <s v="Dr. Kusum"/>
    <s v="E11"/>
    <s v="Medication"/>
    <s v="OPD"/>
    <n v="1601.78"/>
    <s v="Credit Card"/>
    <s v="No"/>
    <m/>
    <n v="90"/>
    <s v="Middle-Aged"/>
    <s v="Low"/>
    <s v="Short Days"/>
    <m/>
    <m/>
    <m/>
    <m/>
    <m/>
    <m/>
  </r>
  <r>
    <s v="VIS202538"/>
    <d v="2024-04-15T00:00:00"/>
    <s v="PAT5596"/>
    <s v="Ananya Gupta"/>
    <s v="Male"/>
    <n v="36"/>
    <s v="Ahmedabad"/>
    <s v="Gujarat"/>
    <x v="1"/>
    <s v="Dr. Suri"/>
    <s v="F41"/>
    <s v="Minor Procedure"/>
    <s v="OPD"/>
    <n v="10412.26"/>
    <s v="Credit Card"/>
    <s v="No"/>
    <m/>
    <m/>
    <s v="Adult"/>
    <s v="High"/>
    <s v="Short Days"/>
    <m/>
    <m/>
    <m/>
    <m/>
    <m/>
    <m/>
  </r>
  <r>
    <s v="VIS200582"/>
    <d v="2025-08-11T00:00:00"/>
    <s v="PAT5732"/>
    <s v="Neha Jose"/>
    <s v="Female"/>
    <n v="21"/>
    <s v="Jaipur"/>
    <s v="Rajasthan"/>
    <x v="0"/>
    <s v="Dr. Nikhil"/>
    <s v="N39"/>
    <s v="Minor Surgery"/>
    <s v="OPD"/>
    <n v="4299.53"/>
    <s v="Cash"/>
    <s v="No"/>
    <m/>
    <n v="7"/>
    <s v="Adult"/>
    <s v="Low"/>
    <s v="Short Days"/>
    <m/>
    <m/>
    <m/>
    <m/>
    <m/>
    <m/>
  </r>
  <r>
    <s v="VIS202001"/>
    <d v="2025-01-10T00:00:00"/>
    <s v="PAT6143"/>
    <s v="Priya Reddy"/>
    <s v="Female"/>
    <n v="45"/>
    <s v="Mumbai"/>
    <s v="Maharashtra"/>
    <x v="1"/>
    <s v="Dr. Anu"/>
    <s v="J00"/>
    <s v="Surgery"/>
    <s v="OPD"/>
    <n v="1567.18"/>
    <s v="UPI"/>
    <s v="No"/>
    <m/>
    <n v="30"/>
    <s v="Middle-Aged"/>
    <s v="Low"/>
    <s v="Short Days"/>
    <m/>
    <m/>
    <m/>
    <m/>
    <m/>
    <m/>
  </r>
  <r>
    <s v="VIS202265"/>
    <d v="2025-07-01T00:00:00"/>
    <s v="PAT5688"/>
    <s v="Rahul Gupta"/>
    <s v="Male"/>
    <n v="43"/>
    <s v="Hyderabad"/>
    <s v="Telangana"/>
    <x v="4"/>
    <s v="Dr. Varun"/>
    <s v="M54"/>
    <s v="Physiotherapy"/>
    <s v="OPD"/>
    <n v="22682.25"/>
    <s v="UPI"/>
    <s v="No"/>
    <m/>
    <n v="7"/>
    <s v="Middle-Aged"/>
    <s v="High"/>
    <s v="Short Days"/>
    <m/>
    <m/>
    <m/>
    <m/>
    <m/>
    <m/>
  </r>
  <r>
    <s v="VIS201857"/>
    <d v="2024-01-19T00:00:00"/>
    <s v="PAT6163"/>
    <s v="Deepa Sharma"/>
    <s v="Male"/>
    <n v="48"/>
    <s v="Kolkata"/>
    <s v="West Bengal"/>
    <x v="6"/>
    <s v="Dr. Lalitha"/>
    <s v="J45"/>
    <s v="Medication"/>
    <s v="OPD"/>
    <n v="1584.6"/>
    <s v="Credit Card"/>
    <s v="No"/>
    <m/>
    <n v="7"/>
    <s v="Middle-Aged"/>
    <s v="Low"/>
    <s v="Short Days"/>
    <m/>
    <m/>
    <m/>
    <m/>
    <m/>
    <m/>
  </r>
  <r>
    <s v="VIS200441"/>
    <d v="2025-07-26T00:00:00"/>
    <s v="PAT6525"/>
    <s v="Vishal Iyer"/>
    <s v="Female"/>
    <n v="61"/>
    <s v="Lucknow"/>
    <s v="Uttar Pradesh"/>
    <x v="2"/>
    <s v="Dr. Ramesh"/>
    <s v="H10"/>
    <s v="Minor Procedure"/>
    <s v="IPD"/>
    <n v="6918.52"/>
    <s v="Debit Card"/>
    <s v="No"/>
    <n v="3"/>
    <n v="30"/>
    <s v="Senior"/>
    <s v="Medium"/>
    <s v="Short Days"/>
    <m/>
    <m/>
    <m/>
    <m/>
    <m/>
    <m/>
  </r>
  <r>
    <s v="VIS202903"/>
    <d v="2024-11-06T00:00:00"/>
    <s v="PAT6200"/>
    <s v="Manisha Gupta"/>
    <s v="Female"/>
    <n v="45"/>
    <s v="Pune"/>
    <s v="Maharashtra"/>
    <x v="2"/>
    <s v="Dr. Manoj"/>
    <s v="J00"/>
    <s v="Physiotherapy"/>
    <s v="OPD"/>
    <n v="3591.52"/>
    <s v="Debit Card"/>
    <s v="No"/>
    <m/>
    <n v="90"/>
    <s v="Middle-Aged"/>
    <s v="Low"/>
    <s v="Short Days"/>
    <m/>
    <m/>
    <m/>
    <m/>
    <m/>
    <m/>
  </r>
  <r>
    <s v="VIS200281"/>
    <d v="2024-02-06T00:00:00"/>
    <s v="PAT5374"/>
    <s v="Vishal Gupta"/>
    <s v="Male"/>
    <n v="57"/>
    <s v="Noida"/>
    <s v="Uttar Pradesh"/>
    <x v="1"/>
    <s v="Dr. Suri"/>
    <s v="K21"/>
    <s v="Minor Procedure"/>
    <s v="OPD"/>
    <n v="17815.45"/>
    <s v="Debit Card"/>
    <s v="No"/>
    <m/>
    <n v="14"/>
    <s v="Middle-Aged"/>
    <s v="High"/>
    <s v="Short Days"/>
    <m/>
    <m/>
    <m/>
    <m/>
    <m/>
    <m/>
  </r>
  <r>
    <s v="VIS200265"/>
    <d v="2024-10-10T00:00:00"/>
    <s v="PAT6353"/>
    <s v="Aishwarya Iyer"/>
    <s v="Male"/>
    <n v="61"/>
    <s v="Madurai"/>
    <s v="Tamil Nadu"/>
    <x v="8"/>
    <s v="Dr. Sneha"/>
    <s v="J45"/>
    <s v="Observation"/>
    <s v="Teleconsultation"/>
    <n v="7903.22"/>
    <s v="Insurance"/>
    <s v="Yes"/>
    <m/>
    <m/>
    <s v="Senior"/>
    <s v="Medium"/>
    <s v="Short Days"/>
    <m/>
    <m/>
    <m/>
    <m/>
    <m/>
    <m/>
  </r>
  <r>
    <s v="VIS201473"/>
    <d v="2025-02-09T00:00:00"/>
    <s v="PAT6881"/>
    <s v="Vishal Jose"/>
    <s v="Female"/>
    <n v="48"/>
    <s v="Noida"/>
    <s v="Uttar Pradesh"/>
    <x v="1"/>
    <s v="Dr. Suri"/>
    <s v="I10"/>
    <s v="Minor Surgery"/>
    <s v="OPD"/>
    <n v="2235.9699999999998"/>
    <s v="Insurance"/>
    <s v="Yes"/>
    <m/>
    <n v="7"/>
    <s v="Middle-Aged"/>
    <s v="Low"/>
    <s v="Short Days"/>
    <m/>
    <m/>
    <m/>
    <m/>
    <m/>
    <m/>
  </r>
  <r>
    <s v="VIS202539"/>
    <d v="2025-03-30T00:00:00"/>
    <s v="PAT6918"/>
    <s v="Siddharth Kumar"/>
    <s v="Female"/>
    <n v="45"/>
    <s v="Chennai"/>
    <s v="Tamil Nadu"/>
    <x v="4"/>
    <s v="Dr. Varun"/>
    <s v="J45"/>
    <s v="Minor Procedure"/>
    <s v="IPD"/>
    <n v="5740.66"/>
    <s v="Net Banking"/>
    <s v="No"/>
    <n v="7"/>
    <m/>
    <s v="Middle-Aged"/>
    <s v="Medium"/>
    <s v="Long Days"/>
    <m/>
    <m/>
    <m/>
    <m/>
    <m/>
    <m/>
  </r>
  <r>
    <s v="VIS202551"/>
    <d v="2024-11-05T00:00:00"/>
    <s v="PAT6132"/>
    <s v="Ananya Khan"/>
    <s v="Female"/>
    <n v="40"/>
    <s v="Kolkata"/>
    <s v="West Bengal"/>
    <x v="5"/>
    <s v="Dr. Karthik"/>
    <s v="E11"/>
    <s v="Prescription Refill"/>
    <s v="OPD"/>
    <n v="2989.11"/>
    <s v="Insurance"/>
    <s v="Yes"/>
    <m/>
    <n v="14"/>
    <s v="Adult"/>
    <s v="Low"/>
    <s v="Short Days"/>
    <m/>
    <m/>
    <m/>
    <m/>
    <m/>
    <m/>
  </r>
  <r>
    <s v="VIS202519"/>
    <d v="2024-09-21T00:00:00"/>
    <s v="PAT5653"/>
    <s v="Ishaan Mishra"/>
    <s v="Male"/>
    <n v="66"/>
    <s v="Madurai"/>
    <s v="Tamil Nadu"/>
    <x v="9"/>
    <s v="Dr. Kusum"/>
    <s v="E11"/>
    <s v="Counselling"/>
    <s v="Teleconsultation"/>
    <n v="11650.26"/>
    <s v="Debit Card"/>
    <s v="No"/>
    <m/>
    <m/>
    <s v="Senior"/>
    <s v="High"/>
    <s v="Short Days"/>
    <m/>
    <m/>
    <m/>
    <m/>
    <m/>
    <m/>
  </r>
  <r>
    <s v="VIS202175"/>
    <d v="2024-06-08T00:00:00"/>
    <s v="PAT6247"/>
    <s v="Aditya Reddy"/>
    <s v="Female"/>
    <n v="68"/>
    <s v="Madurai"/>
    <s v="Tamil Nadu"/>
    <x v="3"/>
    <s v="Dr. Pallavi"/>
    <s v="H10"/>
    <s v="Minor Procedure"/>
    <s v="Teleconsultation"/>
    <n v="5195.01"/>
    <s v="Debit Card"/>
    <s v="No"/>
    <m/>
    <n v="90"/>
    <s v="Senior"/>
    <s v="Medium"/>
    <s v="Short Days"/>
    <m/>
    <m/>
    <m/>
    <m/>
    <m/>
    <m/>
  </r>
  <r>
    <s v="VIS201080"/>
    <d v="2025-06-02T00:00:00"/>
    <s v="PAT6963"/>
    <s v="Siddharth Gupta"/>
    <s v="Female"/>
    <n v="26"/>
    <s v="Coimbatore"/>
    <s v="Tamil Nadu"/>
    <x v="4"/>
    <s v="Dr. Varun"/>
    <s v="E11"/>
    <s v="Observation"/>
    <s v="OPD"/>
    <n v="1022.59"/>
    <s v="UPI"/>
    <s v="No"/>
    <m/>
    <n v="7"/>
    <s v="Adult"/>
    <s v="Low"/>
    <s v="Short Days"/>
    <m/>
    <m/>
    <m/>
    <m/>
    <m/>
    <m/>
  </r>
  <r>
    <s v="VIS200352"/>
    <d v="2024-05-21T00:00:00"/>
    <s v="PAT6928"/>
    <s v="Shruti Khan"/>
    <s v="Female"/>
    <n v="59"/>
    <s v="Hyderabad"/>
    <s v="Telangana"/>
    <x v="5"/>
    <s v="Dr. Karthik"/>
    <s v="J00"/>
    <s v="Physiotherapy"/>
    <s v="Teleconsultation"/>
    <n v="10927.16"/>
    <s v="UPI"/>
    <s v="No"/>
    <m/>
    <n v="30"/>
    <s v="Middle-Aged"/>
    <s v="High"/>
    <s v="Short Days"/>
    <m/>
    <m/>
    <m/>
    <m/>
    <m/>
    <m/>
  </r>
  <r>
    <s v="VIS201995"/>
    <d v="2024-12-28T00:00:00"/>
    <s v="PAT6998"/>
    <s v="Deepa Iyer"/>
    <s v="Male"/>
    <n v="52"/>
    <s v="Jaipur"/>
    <s v="Rajasthan"/>
    <x v="3"/>
    <s v="Dr. Anand"/>
    <s v="I10"/>
    <s v="Observation"/>
    <s v="OPD"/>
    <n v="1528.11"/>
    <s v="Cash"/>
    <s v="No"/>
    <m/>
    <n v="30"/>
    <s v="Middle-Aged"/>
    <s v="Low"/>
    <s v="Short Days"/>
    <m/>
    <m/>
    <m/>
    <m/>
    <m/>
    <m/>
  </r>
  <r>
    <s v="VIS200158"/>
    <d v="2024-04-05T00:00:00"/>
    <s v="PAT6355"/>
    <s v="Shruti Bose"/>
    <s v="Male"/>
    <n v="56"/>
    <s v="Pune"/>
    <s v="Maharashtra"/>
    <x v="9"/>
    <s v="Dr. Kusum"/>
    <s v="F41"/>
    <s v="Medication"/>
    <s v="OPD"/>
    <n v="3610.65"/>
    <s v="Cash"/>
    <s v="No"/>
    <m/>
    <m/>
    <s v="Middle-Aged"/>
    <s v="Low"/>
    <s v="Short Days"/>
    <m/>
    <m/>
    <m/>
    <m/>
    <m/>
    <m/>
  </r>
  <r>
    <s v="VIS202880"/>
    <d v="2024-03-28T00:00:00"/>
    <s v="PAT6784"/>
    <s v="Sangeetha Patel"/>
    <s v="Male"/>
    <n v="27"/>
    <s v="Kolkata"/>
    <s v="West Bengal"/>
    <x v="7"/>
    <s v="Dr. Surya"/>
    <s v="J00"/>
    <s v="Physiotherapy"/>
    <s v="OPD"/>
    <n v="205.09"/>
    <s v="Insurance"/>
    <s v="Yes"/>
    <m/>
    <n v="90"/>
    <s v="Adult"/>
    <s v="Low"/>
    <s v="Short Days"/>
    <m/>
    <m/>
    <m/>
    <m/>
    <m/>
    <m/>
  </r>
  <r>
    <s v="VIS200024"/>
    <d v="2024-03-05T00:00:00"/>
    <s v="PAT6785"/>
    <s v="Sangeetha Nair"/>
    <s v="Male"/>
    <n v="71"/>
    <s v="Pune"/>
    <s v="Maharashtra"/>
    <x v="9"/>
    <s v="Dr. Kusum"/>
    <s v="J00"/>
    <s v="Medication"/>
    <s v="OPD"/>
    <n v="10465.51"/>
    <s v="Cash"/>
    <s v="No"/>
    <m/>
    <n v="7"/>
    <s v="Senior"/>
    <s v="High"/>
    <s v="Short Days"/>
    <m/>
    <m/>
    <m/>
    <m/>
    <m/>
    <m/>
  </r>
  <r>
    <s v="VIS202126"/>
    <d v="2025-03-27T00:00:00"/>
    <s v="PAT6481"/>
    <s v="Arjun Patel"/>
    <s v="Male"/>
    <n v="46"/>
    <s v="Pune"/>
    <s v="Maharashtra"/>
    <x v="8"/>
    <s v="Dr. Kavitha"/>
    <s v="E11"/>
    <s v="Physiotherapy"/>
    <s v="OPD"/>
    <n v="1265.74"/>
    <s v="Cash"/>
    <s v="No"/>
    <m/>
    <n v="90"/>
    <s v="Middle-Aged"/>
    <s v="Low"/>
    <s v="Short Days"/>
    <m/>
    <m/>
    <m/>
    <m/>
    <m/>
    <m/>
  </r>
  <r>
    <s v="VIS201017"/>
    <d v="2025-07-14T00:00:00"/>
    <s v="PAT6284"/>
    <s v="Kavya Singh"/>
    <s v="Male"/>
    <n v="45"/>
    <s v="Chennai"/>
    <s v="Tamil Nadu"/>
    <x v="1"/>
    <s v="Dr. Anu"/>
    <s v="K21"/>
    <s v="Minor Surgery"/>
    <s v="OPD"/>
    <n v="84.4"/>
    <s v="UPI"/>
    <s v="No"/>
    <m/>
    <n v="7"/>
    <s v="Middle-Aged"/>
    <s v="Low"/>
    <s v="Short Days"/>
    <m/>
    <m/>
    <m/>
    <m/>
    <m/>
    <m/>
  </r>
  <r>
    <s v="VIS202638"/>
    <d v="2025-01-26T00:00:00"/>
    <s v="PAT6548"/>
    <s v="Aishwarya Kumar"/>
    <s v="Male"/>
    <n v="54"/>
    <s v="Coimbatore"/>
    <s v="Tamil Nadu"/>
    <x v="7"/>
    <s v="Dr. Surya"/>
    <s v="F41"/>
    <s v="Counselling"/>
    <s v="IPD"/>
    <n v="17484.78"/>
    <s v="UPI"/>
    <s v="No"/>
    <n v="9"/>
    <m/>
    <s v="Middle-Aged"/>
    <s v="High"/>
    <s v="Long Days"/>
    <m/>
    <m/>
    <m/>
    <m/>
    <m/>
    <m/>
  </r>
  <r>
    <s v="VIS201401"/>
    <d v="2024-01-19T00:00:00"/>
    <s v="PAT5293"/>
    <s v="Vishal Das"/>
    <s v="Female"/>
    <n v="45"/>
    <s v="Pune"/>
    <s v="Maharashtra"/>
    <x v="9"/>
    <s v="Dr. Arvind"/>
    <s v="M54"/>
    <s v="Counselling"/>
    <s v="OPD"/>
    <n v="6315.82"/>
    <s v="Cash"/>
    <s v="No"/>
    <m/>
    <n v="30"/>
    <s v="Middle-Aged"/>
    <s v="Medium"/>
    <s v="Short Days"/>
    <m/>
    <m/>
    <m/>
    <m/>
    <m/>
    <m/>
  </r>
  <r>
    <s v="VIS201052"/>
    <d v="2024-12-21T00:00:00"/>
    <s v="PAT6264"/>
    <s v="Priya Gupta"/>
    <s v="Female"/>
    <n v="42"/>
    <s v="Noida"/>
    <s v="Uttar Pradesh"/>
    <x v="5"/>
    <s v="Dr. Meena"/>
    <s v="E11"/>
    <s v="Prescription Refill"/>
    <s v="OPD"/>
    <n v="3284.54"/>
    <s v="Debit Card"/>
    <s v="No"/>
    <m/>
    <n v="90"/>
    <s v="Middle-Aged"/>
    <s v="Low"/>
    <s v="Short Days"/>
    <m/>
    <m/>
    <m/>
    <m/>
    <m/>
    <m/>
  </r>
  <r>
    <s v="VIS200724"/>
    <d v="2025-02-22T00:00:00"/>
    <s v="PAT5478"/>
    <s v="Deepa Nair"/>
    <s v="Female"/>
    <n v="49"/>
    <s v="Pune"/>
    <s v="Maharashtra"/>
    <x v="1"/>
    <s v="Dr. Suri"/>
    <s v="M54"/>
    <s v="Minor Procedure"/>
    <s v="OPD"/>
    <n v="1422.86"/>
    <s v="Cash"/>
    <s v="No"/>
    <m/>
    <n v="30"/>
    <s v="Middle-Aged"/>
    <s v="Low"/>
    <s v="Short Days"/>
    <m/>
    <m/>
    <m/>
    <m/>
    <m/>
    <m/>
  </r>
  <r>
    <s v="VIS200860"/>
    <d v="2025-03-16T00:00:00"/>
    <s v="PAT6212"/>
    <s v="Arjun Nair"/>
    <s v="Female"/>
    <n v="22"/>
    <s v="Kolkata"/>
    <s v="West Bengal"/>
    <x v="8"/>
    <s v="Dr. Kavitha"/>
    <s v="E11"/>
    <s v="Medication"/>
    <s v="Emergency"/>
    <n v="7069.3"/>
    <s v="Debit Card"/>
    <s v="No"/>
    <m/>
    <n v="14"/>
    <s v="Adult"/>
    <s v="Medium"/>
    <s v="Short Days"/>
    <m/>
    <m/>
    <m/>
    <m/>
    <m/>
    <m/>
  </r>
  <r>
    <s v="VIS201827"/>
    <d v="2025-10-31T00:00:00"/>
    <s v="PAT5271"/>
    <s v="Rahul Reddy"/>
    <s v="Female"/>
    <n v="49"/>
    <s v="Mumbai"/>
    <s v="Maharashtra"/>
    <x v="7"/>
    <s v="Dr. Surya"/>
    <s v="M54"/>
    <s v="Minor Procedure"/>
    <s v="OPD"/>
    <n v="1152.99"/>
    <s v="Credit Card"/>
    <s v="No"/>
    <m/>
    <n v="14"/>
    <s v="Middle-Aged"/>
    <s v="Low"/>
    <s v="Short Days"/>
    <m/>
    <m/>
    <m/>
    <m/>
    <m/>
    <m/>
  </r>
  <r>
    <s v="VIS202642"/>
    <d v="2024-04-28T00:00:00"/>
    <s v="PAT5241"/>
    <s v="Vivaan Jose"/>
    <s v="Male"/>
    <n v="37"/>
    <s v="Delhi"/>
    <s v="Delhi"/>
    <x v="0"/>
    <s v="Dr. Nikhil"/>
    <s v="K21"/>
    <s v="Observation"/>
    <s v="Emergency"/>
    <n v="5503.87"/>
    <s v="Debit Card"/>
    <s v="No"/>
    <m/>
    <m/>
    <s v="Adult"/>
    <s v="Medium"/>
    <s v="Short Days"/>
    <m/>
    <m/>
    <m/>
    <m/>
    <m/>
    <m/>
  </r>
  <r>
    <s v="VIS202769"/>
    <d v="2025-01-28T00:00:00"/>
    <s v="PAT6326"/>
    <s v="Neha Khan"/>
    <s v="Female"/>
    <n v="62"/>
    <s v="Coimbatore"/>
    <s v="Tamil Nadu"/>
    <x v="1"/>
    <s v="Dr. Anu"/>
    <s v="M54"/>
    <s v="Counselling"/>
    <s v="OPD"/>
    <n v="3205.74"/>
    <s v="Insurance"/>
    <s v="Yes"/>
    <m/>
    <m/>
    <s v="Senior"/>
    <s v="Low"/>
    <s v="Short Days"/>
    <m/>
    <m/>
    <m/>
    <m/>
    <m/>
    <m/>
  </r>
  <r>
    <s v="VIS200677"/>
    <d v="2024-03-25T00:00:00"/>
    <s v="PAT5929"/>
    <s v="Anil Bose"/>
    <s v="Male"/>
    <n v="23"/>
    <s v="Ahmedabad"/>
    <s v="Gujarat"/>
    <x v="5"/>
    <s v="Dr. Ravi"/>
    <s v="K21"/>
    <s v="Prescription Refill"/>
    <s v="Teleconsultation"/>
    <n v="5124.08"/>
    <s v="Net Banking"/>
    <s v="No"/>
    <m/>
    <m/>
    <s v="Adult"/>
    <s v="Medium"/>
    <s v="Short Days"/>
    <m/>
    <m/>
    <m/>
    <m/>
    <m/>
    <m/>
  </r>
  <r>
    <s v="VIS200297"/>
    <d v="2025-10-16T00:00:00"/>
    <s v="PAT6625"/>
    <s v="Aditya Singh"/>
    <s v="Female"/>
    <n v="33"/>
    <s v="Bengaluru"/>
    <s v="Karnataka"/>
    <x v="5"/>
    <s v="Dr. Karthik"/>
    <s v="I10"/>
    <s v="Medication"/>
    <s v="OPD"/>
    <n v="9070.84"/>
    <s v="Insurance"/>
    <s v="Yes"/>
    <m/>
    <n v="30"/>
    <s v="Adult"/>
    <s v="Medium"/>
    <s v="Short Days"/>
    <m/>
    <m/>
    <m/>
    <m/>
    <m/>
    <m/>
  </r>
  <r>
    <s v="VIS201897"/>
    <d v="2025-07-24T00:00:00"/>
    <s v="PAT5509"/>
    <s v="Anil Sharma"/>
    <s v="Female"/>
    <n v="41"/>
    <s v="Delhi"/>
    <s v="Tamil Nadu"/>
    <x v="6"/>
    <s v="Dr. Lalitha"/>
    <s v="Z111"/>
    <s v="Counselling"/>
    <s v="OPD"/>
    <n v="16330.08"/>
    <s v="UPI"/>
    <s v="No"/>
    <m/>
    <n v="7"/>
    <s v="Middle-Aged"/>
    <s v="High"/>
    <s v="Short Days"/>
    <m/>
    <m/>
    <m/>
    <m/>
    <m/>
    <m/>
  </r>
  <r>
    <s v="VIS202703"/>
    <d v="2024-07-24T00:00:00"/>
    <s v="PAT6336"/>
    <s v="Siddharth Reddy"/>
    <s v="Female"/>
    <n v="53"/>
    <s v="Kochi"/>
    <s v="Kerala"/>
    <x v="6"/>
    <s v="Dr. Priya"/>
    <s v="E11"/>
    <s v="Medication"/>
    <s v="Teleconsultation"/>
    <n v="6636.33"/>
    <s v="UPI"/>
    <s v="No"/>
    <m/>
    <n v="30"/>
    <s v="Middle-Aged"/>
    <s v="Medium"/>
    <s v="Short Days"/>
    <m/>
    <m/>
    <m/>
    <m/>
    <m/>
    <m/>
  </r>
  <r>
    <s v="VIS201990"/>
    <d v="2024-02-25T00:00:00"/>
    <s v="PAT5222"/>
    <s v="Deepa Mishra"/>
    <s v="Male"/>
    <n v="29"/>
    <s v="Coimbatore"/>
    <s v="Tamil Nadu"/>
    <x v="3"/>
    <s v="Dr. Anand"/>
    <s v="K21"/>
    <s v="Physiotherapy"/>
    <s v="IPD"/>
    <n v="10459.86"/>
    <s v="UPI"/>
    <s v="No"/>
    <n v="12"/>
    <n v="90"/>
    <s v="Adult"/>
    <s v="High"/>
    <s v="Long Days"/>
    <m/>
    <m/>
    <m/>
    <m/>
    <m/>
    <m/>
  </r>
  <r>
    <s v="VIS201261"/>
    <d v="2024-02-23T00:00:00"/>
    <s v="PAT6560"/>
    <s v="Shruti Sharma"/>
    <s v="Female"/>
    <n v="38"/>
    <s v="Ahmedabad"/>
    <s v="Gujarat"/>
    <x v="1"/>
    <s v="Dr. Anu"/>
    <s v="L40"/>
    <s v="Observation"/>
    <s v="OPD"/>
    <n v="1762.31"/>
    <s v="Cash"/>
    <s v="No"/>
    <m/>
    <n v="90"/>
    <s v="Adult"/>
    <s v="Low"/>
    <s v="Short Days"/>
    <m/>
    <m/>
    <m/>
    <m/>
    <m/>
    <m/>
  </r>
  <r>
    <s v="VIS202454"/>
    <d v="2024-02-05T00:00:00"/>
    <s v="PAT6785"/>
    <s v="Neha Patel"/>
    <s v="Male"/>
    <n v="20"/>
    <s v="Coimbatore"/>
    <s v="Tamil Nadu"/>
    <x v="6"/>
    <s v="Dr. Lalitha"/>
    <s v="H10"/>
    <s v="Physiotherapy"/>
    <s v="Emergency"/>
    <n v="17539.95"/>
    <s v="Net Banking"/>
    <s v="No"/>
    <m/>
    <n v="7"/>
    <s v="Adult"/>
    <s v="High"/>
    <s v="Short Days"/>
    <m/>
    <m/>
    <m/>
    <m/>
    <m/>
    <m/>
  </r>
  <r>
    <s v="VIS201667"/>
    <d v="2025-04-21T00:00:00"/>
    <s v="PAT5262"/>
    <s v="Kavya Kumar"/>
    <s v="Male"/>
    <n v="65"/>
    <s v="Kolkata"/>
    <s v="West Bengal"/>
    <x v="7"/>
    <s v="Dr. Leela"/>
    <s v="J00"/>
    <s v="Surgery"/>
    <s v="Teleconsultation"/>
    <n v="10627.13"/>
    <s v="Debit Card"/>
    <s v="No"/>
    <m/>
    <n v="90"/>
    <s v="Senior"/>
    <s v="High"/>
    <s v="Short Days"/>
    <m/>
    <m/>
    <m/>
    <m/>
    <m/>
    <m/>
  </r>
  <r>
    <s v="VIS200118"/>
    <d v="2025-03-09T00:00:00"/>
    <s v="PAT6829"/>
    <s v="Shruti Sharma"/>
    <s v="Male"/>
    <n v="50"/>
    <s v="Jaipur"/>
    <s v="Rajasthan"/>
    <x v="2"/>
    <s v="Dr. Manoj"/>
    <s v="H10"/>
    <s v="Minor Procedure"/>
    <s v="OPD"/>
    <n v="4110.04"/>
    <s v="Cash"/>
    <s v="No"/>
    <m/>
    <m/>
    <s v="Middle-Aged"/>
    <s v="Low"/>
    <s v="Short Days"/>
    <m/>
    <m/>
    <m/>
    <m/>
    <m/>
    <m/>
  </r>
  <r>
    <s v="VIS202259"/>
    <d v="2024-10-09T00:00:00"/>
    <s v="PAT6854"/>
    <s v="Rohan Singh"/>
    <s v="Female"/>
    <n v="50"/>
    <s v="Hyderabad"/>
    <s v="Telangana"/>
    <x v="1"/>
    <s v="Dr. Suri"/>
    <s v="J00"/>
    <s v="Observation"/>
    <s v="OPD"/>
    <n v="357"/>
    <s v="UPI"/>
    <s v="No"/>
    <m/>
    <n v="90"/>
    <s v="Middle-Aged"/>
    <s v="Low"/>
    <s v="Short Days"/>
    <m/>
    <m/>
    <m/>
    <m/>
    <m/>
    <m/>
  </r>
  <r>
    <s v="VIS201585"/>
    <d v="2025-07-13T00:00:00"/>
    <s v="PAT5607"/>
    <s v="Aarav Singh"/>
    <s v="Female"/>
    <n v="52"/>
    <s v="Mumbai"/>
    <s v="Maharashtra"/>
    <x v="2"/>
    <s v="Dr. Manoj"/>
    <s v="E11"/>
    <s v="Surgery"/>
    <s v="OPD"/>
    <n v="21189.57"/>
    <s v="UPI"/>
    <s v="No"/>
    <m/>
    <n v="90"/>
    <s v="Middle-Aged"/>
    <s v="High"/>
    <s v="Short Days"/>
    <m/>
    <m/>
    <m/>
    <m/>
    <m/>
    <m/>
  </r>
  <r>
    <s v="VIS202711"/>
    <d v="2025-09-27T00:00:00"/>
    <s v="PAT6635"/>
    <s v="Manisha Singh"/>
    <s v="Male"/>
    <n v="43"/>
    <s v="Mumbai"/>
    <s v="Maharashtra"/>
    <x v="3"/>
    <s v="Dr. Anand"/>
    <s v="K21"/>
    <s v="Prescription Refill"/>
    <s v="Teleconsultation"/>
    <n v="6884.75"/>
    <s v="Cash"/>
    <s v="No"/>
    <m/>
    <n v="30"/>
    <s v="Middle-Aged"/>
    <s v="Medium"/>
    <s v="Short Days"/>
    <m/>
    <m/>
    <m/>
    <m/>
    <m/>
    <m/>
  </r>
  <r>
    <s v="VIS200252"/>
    <d v="2025-06-21T00:00:00"/>
    <s v="PAT5367"/>
    <s v="Deepa Kumar"/>
    <s v="Female"/>
    <n v="29"/>
    <s v="Kochi"/>
    <s v="Kerala"/>
    <x v="3"/>
    <s v="Dr. Pallavi"/>
    <s v="L40"/>
    <s v="Medication"/>
    <s v="Emergency"/>
    <n v="5615.05"/>
    <s v="Credit Card"/>
    <s v="No"/>
    <m/>
    <m/>
    <s v="Adult"/>
    <s v="Medium"/>
    <s v="Short Days"/>
    <m/>
    <m/>
    <m/>
    <m/>
    <m/>
    <m/>
  </r>
  <r>
    <s v="VIS201384"/>
    <d v="2024-01-19T00:00:00"/>
    <s v="PAT5591"/>
    <s v="Shruti Patel"/>
    <s v="Male"/>
    <n v="41"/>
    <s v="Kolkata"/>
    <s v="West Bengal"/>
    <x v="7"/>
    <s v="Dr. Leela"/>
    <s v="H10"/>
    <s v="Counselling"/>
    <s v="OPD"/>
    <n v="599.23"/>
    <s v="Cash"/>
    <s v="No"/>
    <m/>
    <m/>
    <s v="Middle-Aged"/>
    <s v="Low"/>
    <s v="Short Days"/>
    <m/>
    <m/>
    <m/>
    <m/>
    <m/>
    <m/>
  </r>
  <r>
    <s v="VIS202911"/>
    <d v="2025-09-05T00:00:00"/>
    <s v="PAT5180"/>
    <s v="Aishwarya Reddy"/>
    <s v="Male"/>
    <n v="42"/>
    <s v="Pune"/>
    <s v="Maharashtra"/>
    <x v="4"/>
    <s v="Dr. Bhavana"/>
    <s v="K21"/>
    <s v="Physiotherapy"/>
    <s v="Teleconsultation"/>
    <n v="7930.58"/>
    <s v="Cash"/>
    <s v="No"/>
    <m/>
    <n v="90"/>
    <s v="Middle-Aged"/>
    <s v="Medium"/>
    <s v="Short Days"/>
    <m/>
    <m/>
    <m/>
    <m/>
    <m/>
    <m/>
  </r>
  <r>
    <s v="VIS200541"/>
    <d v="2024-09-06T00:00:00"/>
    <s v="PAT6163"/>
    <s v="Ananya Jose"/>
    <s v="Female"/>
    <n v="45"/>
    <s v="Hyderabad"/>
    <s v="Telangana"/>
    <x v="6"/>
    <s v="Dr. Lalitha"/>
    <s v="F41"/>
    <s v="Prescription Refill"/>
    <s v="OPD"/>
    <n v="2428.85"/>
    <s v="Debit Card"/>
    <s v="No"/>
    <m/>
    <m/>
    <s v="Middle-Aged"/>
    <s v="Low"/>
    <s v="Short Days"/>
    <m/>
    <m/>
    <m/>
    <m/>
    <m/>
    <m/>
  </r>
  <r>
    <s v="VIS200797"/>
    <d v="2024-01-19T00:00:00"/>
    <s v="PAT5433"/>
    <s v="Arjun Iyer"/>
    <s v="Female"/>
    <n v="41"/>
    <s v="Delhi"/>
    <s v="Delhi"/>
    <x v="3"/>
    <s v="Dr. Anand"/>
    <s v="I10"/>
    <s v="Minor Procedure"/>
    <s v="OPD"/>
    <n v="756.99"/>
    <s v="Insurance"/>
    <s v="Yes"/>
    <m/>
    <m/>
    <s v="Middle-Aged"/>
    <s v="Low"/>
    <s v="Short Days"/>
    <m/>
    <m/>
    <m/>
    <m/>
    <m/>
    <m/>
  </r>
  <r>
    <s v="VIS201147"/>
    <d v="2024-05-23T00:00:00"/>
    <s v="PAT6837"/>
    <s v="Aditya Jose"/>
    <s v="Male"/>
    <n v="57"/>
    <s v="Coimbatore"/>
    <s v="Tamil Nadu"/>
    <x v="0"/>
    <s v="Dr. Nikhil"/>
    <s v="L40"/>
    <s v="Prescription Refill"/>
    <s v="Teleconsultation"/>
    <n v="12736.74"/>
    <s v="Cash"/>
    <s v="No"/>
    <m/>
    <n v="7"/>
    <s v="Middle-Aged"/>
    <s v="High"/>
    <s v="Short Days"/>
    <m/>
    <m/>
    <m/>
    <m/>
    <m/>
    <m/>
  </r>
  <r>
    <s v="VIS202223"/>
    <d v="2024-05-27T00:00:00"/>
    <s v="PAT6553"/>
    <s v="Arjun Jose"/>
    <s v="Female"/>
    <n v="20"/>
    <s v="Jaipur"/>
    <s v="Rajasthan"/>
    <x v="1"/>
    <s v="Dr. Anu"/>
    <s v="H10"/>
    <s v="Physiotherapy"/>
    <s v="OPD"/>
    <n v="2440.17"/>
    <s v="Debit Card"/>
    <s v="No"/>
    <m/>
    <n v="14"/>
    <s v="Adult"/>
    <s v="Low"/>
    <s v="Short Days"/>
    <m/>
    <m/>
    <m/>
    <m/>
    <m/>
    <m/>
  </r>
  <r>
    <s v="VIS200259"/>
    <d v="2024-04-09T00:00:00"/>
    <s v="PAT5471"/>
    <s v="Rahul Nagar"/>
    <s v="Male"/>
    <n v="14"/>
    <s v="Jaipur"/>
    <s v="Rajasthan"/>
    <x v="8"/>
    <s v="Dr. Sneha"/>
    <s v="J00"/>
    <s v="Surgery"/>
    <s v="Emergency"/>
    <n v="22111.37"/>
    <s v="Cash"/>
    <s v="No"/>
    <m/>
    <m/>
    <s v="Child"/>
    <s v="High"/>
    <s v="Short Days"/>
    <m/>
    <m/>
    <m/>
    <m/>
    <m/>
    <m/>
  </r>
  <r>
    <s v="VIS202649"/>
    <d v="2025-06-09T00:00:00"/>
    <s v="PAT5937"/>
    <s v="Vishal Nair"/>
    <s v="Female"/>
    <n v="51"/>
    <s v="Kochi"/>
    <s v="Kerala"/>
    <x v="0"/>
    <s v="Dr. Nikhil"/>
    <s v="Z111"/>
    <s v="Minor Surgery"/>
    <s v="OPD"/>
    <n v="12980.22"/>
    <s v="Cash"/>
    <s v="No"/>
    <m/>
    <m/>
    <s v="Middle-Aged"/>
    <s v="High"/>
    <s v="Short Days"/>
    <m/>
    <m/>
    <m/>
    <m/>
    <m/>
    <m/>
  </r>
  <r>
    <s v="VIS200986"/>
    <d v="2024-05-03T00:00:00"/>
    <s v="PAT6919"/>
    <s v="Vishal Bose"/>
    <s v="Female"/>
    <n v="46"/>
    <s v="Ahmedabad"/>
    <s v="Gujarat"/>
    <x v="9"/>
    <s v="Dr. Kusum"/>
    <s v="M54"/>
    <s v="Minor Surgery"/>
    <s v="OPD"/>
    <n v="4005.92"/>
    <s v="Debit Card"/>
    <s v="No"/>
    <m/>
    <m/>
    <s v="Middle-Aged"/>
    <s v="Low"/>
    <s v="Short Days"/>
    <m/>
    <m/>
    <m/>
    <m/>
    <m/>
    <m/>
  </r>
  <r>
    <s v="VIS201105"/>
    <d v="2025-07-29T00:00:00"/>
    <s v="PAT6082"/>
    <s v="Rahul Iyer"/>
    <s v="Female"/>
    <n v="51"/>
    <s v="Coimbatore"/>
    <s v="Tamil Nadu"/>
    <x v="7"/>
    <s v="Dr. Surya"/>
    <s v="N39"/>
    <s v="Counselling"/>
    <s v="OPD"/>
    <n v="4244.6000000000004"/>
    <s v="Cash"/>
    <s v="No"/>
    <m/>
    <n v="30"/>
    <s v="Middle-Aged"/>
    <s v="Low"/>
    <s v="Short Days"/>
    <m/>
    <m/>
    <m/>
    <m/>
    <m/>
    <m/>
  </r>
  <r>
    <s v="VIS202748"/>
    <d v="2024-04-22T00:00:00"/>
    <s v="PAT5659"/>
    <s v="Aarav Bose"/>
    <s v="Female"/>
    <n v="29"/>
    <s v="Kochi"/>
    <s v="Kerala"/>
    <x v="9"/>
    <s v="Dr. Arvind"/>
    <s v="Z111"/>
    <s v="Surgery"/>
    <s v="OPD"/>
    <n v="21776"/>
    <s v="UPI"/>
    <s v="No"/>
    <m/>
    <n v="30"/>
    <s v="Adult"/>
    <s v="High"/>
    <s v="Short Days"/>
    <m/>
    <m/>
    <m/>
    <m/>
    <m/>
    <m/>
  </r>
  <r>
    <s v="VIS201352"/>
    <d v="2025-03-10T00:00:00"/>
    <s v="PAT5298"/>
    <s v="Manisha Khan"/>
    <s v="Other"/>
    <n v="38"/>
    <s v="Kochi"/>
    <s v="Kerala"/>
    <x v="3"/>
    <s v="Dr. Pallavi"/>
    <s v="L40"/>
    <s v="Physiotherapy"/>
    <s v="Emergency"/>
    <n v="5754.39"/>
    <s v="UPI"/>
    <s v="No"/>
    <m/>
    <m/>
    <s v="Adult"/>
    <s v="Medium"/>
    <s v="Short Days"/>
    <m/>
    <m/>
    <m/>
    <m/>
    <m/>
    <m/>
  </r>
  <r>
    <s v="VIS200951"/>
    <d v="2024-12-31T00:00:00"/>
    <s v="PAT6441"/>
    <s v="Aditya Reddy"/>
    <s v="Female"/>
    <n v="34"/>
    <s v="Madurai"/>
    <s v="Tamil Nadu"/>
    <x v="9"/>
    <s v="Dr. Arvind"/>
    <s v="H10"/>
    <s v="Observation"/>
    <s v="OPD"/>
    <n v="1247.5999999999999"/>
    <s v="Credit Card"/>
    <s v="No"/>
    <m/>
    <n v="90"/>
    <s v="Adult"/>
    <s v="Low"/>
    <s v="Short Days"/>
    <m/>
    <m/>
    <m/>
    <m/>
    <m/>
    <m/>
  </r>
  <r>
    <s v="VIS200924"/>
    <d v="2025-03-09T00:00:00"/>
    <s v="PAT5808"/>
    <s v="Neha Mishra"/>
    <s v="Female"/>
    <n v="37"/>
    <s v="Kochi"/>
    <s v="Kerala"/>
    <x v="1"/>
    <s v="Dr. Suri"/>
    <s v="L40"/>
    <s v="Medication"/>
    <s v="OPD"/>
    <n v="213.46"/>
    <s v="Insurance"/>
    <s v="Yes"/>
    <m/>
    <m/>
    <s v="Adult"/>
    <s v="Low"/>
    <s v="Short Days"/>
    <m/>
    <m/>
    <m/>
    <m/>
    <m/>
    <m/>
  </r>
  <r>
    <s v="VIS200954"/>
    <d v="2025-09-06T00:00:00"/>
    <s v="PAT6073"/>
    <s v="Vishal Bose"/>
    <s v="Female"/>
    <n v="77"/>
    <s v="Bengaluru"/>
    <s v="Karnataka"/>
    <x v="5"/>
    <s v="Dr. Ravi"/>
    <s v="N39"/>
    <s v="Surgery"/>
    <s v="Teleconsultation"/>
    <n v="8320.64"/>
    <s v="Cash"/>
    <s v="No"/>
    <m/>
    <n v="30"/>
    <s v="Senior"/>
    <s v="Medium"/>
    <s v="Short Days"/>
    <m/>
    <m/>
    <m/>
    <m/>
    <m/>
    <m/>
  </r>
  <r>
    <s v="VIS200990"/>
    <d v="2025-03-26T00:00:00"/>
    <s v="PAT6600"/>
    <s v="Kavya Reddy"/>
    <s v="Female"/>
    <n v="31"/>
    <s v="Ahmedabad"/>
    <s v="Gujarat"/>
    <x v="4"/>
    <s v="Dr. Bhavana"/>
    <s v="H10"/>
    <s v="Prescription Refill"/>
    <s v="Teleconsultation"/>
    <n v="9044.48"/>
    <s v="Debit Card"/>
    <s v="No"/>
    <m/>
    <n v="90"/>
    <s v="Adult"/>
    <s v="Medium"/>
    <s v="Short Days"/>
    <m/>
    <m/>
    <m/>
    <m/>
    <m/>
    <m/>
  </r>
  <r>
    <s v="VIS202528"/>
    <d v="2024-10-26T00:00:00"/>
    <s v="PAT5969"/>
    <s v="Rahul Iyer"/>
    <s v="Female"/>
    <n v="67"/>
    <s v="Pune"/>
    <s v="Maharashtra"/>
    <x v="2"/>
    <s v="Dr. Manoj"/>
    <s v="L40"/>
    <s v="Medication"/>
    <s v="Emergency"/>
    <n v="12068.89"/>
    <s v="Cash"/>
    <s v="No"/>
    <m/>
    <n v="7"/>
    <s v="Senior"/>
    <s v="High"/>
    <s v="Short Days"/>
    <m/>
    <m/>
    <m/>
    <m/>
    <m/>
    <m/>
  </r>
  <r>
    <s v="VIS202166"/>
    <d v="2025-03-06T00:00:00"/>
    <s v="PAT5513"/>
    <s v="Karthik Jose"/>
    <s v="Other"/>
    <n v="54"/>
    <s v="Coimbatore"/>
    <s v="Tamil Nadu"/>
    <x v="4"/>
    <s v="Dr. Bhavana"/>
    <s v="J45"/>
    <s v="Minor Surgery"/>
    <s v="OPD"/>
    <n v="4764.3"/>
    <s v="Insurance"/>
    <s v="Yes"/>
    <m/>
    <n v="14"/>
    <s v="Middle-Aged"/>
    <s v="Low"/>
    <s v="Short Days"/>
    <m/>
    <m/>
    <m/>
    <m/>
    <m/>
    <m/>
  </r>
  <r>
    <s v="VIS202440"/>
    <d v="2024-11-19T00:00:00"/>
    <s v="PAT5841"/>
    <s v="Neha Nagar"/>
    <s v="Male"/>
    <n v="37"/>
    <s v="Ahmedabad"/>
    <s v="Gujarat"/>
    <x v="2"/>
    <s v="Dr. Manoj"/>
    <s v="J00"/>
    <s v="Minor Surgery"/>
    <s v="Teleconsultation"/>
    <n v="7879.37"/>
    <s v="Credit Card"/>
    <s v="No"/>
    <m/>
    <n v="14"/>
    <s v="Adult"/>
    <s v="Medium"/>
    <s v="Short Days"/>
    <m/>
    <m/>
    <m/>
    <m/>
    <m/>
    <m/>
  </r>
  <r>
    <s v="VIS201333"/>
    <d v="2025-10-04T00:00:00"/>
    <s v="PAT5393"/>
    <s v="Kavya Nagar"/>
    <s v="Male"/>
    <n v="47"/>
    <s v="Bengaluru"/>
    <s v="Karnataka"/>
    <x v="7"/>
    <s v="Dr. Leela"/>
    <s v="J00"/>
    <s v="Medication"/>
    <s v="OPD"/>
    <n v="3138.52"/>
    <s v="Credit Card"/>
    <s v="No"/>
    <m/>
    <n v="7"/>
    <s v="Middle-Aged"/>
    <s v="Low"/>
    <s v="Short Days"/>
    <m/>
    <m/>
    <m/>
    <m/>
    <m/>
    <m/>
  </r>
  <r>
    <s v="VIS201104"/>
    <d v="2024-01-10T00:00:00"/>
    <s v="PAT6122"/>
    <s v="Shruti Mishra"/>
    <s v="Male"/>
    <n v="44"/>
    <s v="Trichy"/>
    <s v="Tamil Nadu"/>
    <x v="9"/>
    <s v="Dr. Kusum"/>
    <s v="K21"/>
    <s v="Minor Procedure"/>
    <s v="Teleconsultation"/>
    <n v="11980.38"/>
    <s v="Debit Card"/>
    <s v="No"/>
    <m/>
    <n v="14"/>
    <s v="Middle-Aged"/>
    <s v="High"/>
    <s v="Short Days"/>
    <m/>
    <m/>
    <m/>
    <m/>
    <m/>
    <m/>
  </r>
  <r>
    <s v="VIS201691"/>
    <d v="2024-10-01T00:00:00"/>
    <s v="PAT6003"/>
    <s v="Ishaan Reddy"/>
    <s v="Male"/>
    <n v="39"/>
    <s v="Kochi"/>
    <s v="Kerala"/>
    <x v="0"/>
    <s v="Dr. Nikhil"/>
    <s v="M54"/>
    <s v="Minor Procedure"/>
    <s v="OPD"/>
    <n v="17372.150000000001"/>
    <s v="Insurance"/>
    <s v="Yes"/>
    <m/>
    <m/>
    <s v="Adult"/>
    <s v="High"/>
    <s v="Short Days"/>
    <m/>
    <m/>
    <m/>
    <m/>
    <m/>
    <m/>
  </r>
  <r>
    <s v="VIS200228"/>
    <d v="2025-07-01T00:00:00"/>
    <s v="PAT6812"/>
    <s v="Neha Kumar"/>
    <s v="Male"/>
    <n v="59"/>
    <s v="Madurai"/>
    <s v="Tamil Nadu"/>
    <x v="0"/>
    <s v="Dr. Shailesh"/>
    <s v="I10"/>
    <s v="Minor Surgery"/>
    <s v="OPD"/>
    <n v="16136.78"/>
    <s v="Cash"/>
    <s v="No"/>
    <m/>
    <m/>
    <s v="Middle-Aged"/>
    <s v="High"/>
    <s v="Short Days"/>
    <m/>
    <m/>
    <m/>
    <m/>
    <m/>
    <m/>
  </r>
  <r>
    <s v="VIS200380"/>
    <d v="2024-07-21T00:00:00"/>
    <s v="PAT6366"/>
    <s v="Siddharth Iyer"/>
    <s v="Male"/>
    <n v="86"/>
    <s v="Coimbatore"/>
    <s v="Tamil Nadu"/>
    <x v="1"/>
    <s v="Dr. Anu"/>
    <s v="E11"/>
    <s v="Prescription Refill"/>
    <s v="IPD"/>
    <n v="5085.47"/>
    <s v="Cash"/>
    <s v="No"/>
    <n v="6"/>
    <n v="90"/>
    <s v="Senior"/>
    <s v="Medium"/>
    <s v="Long Days"/>
    <m/>
    <m/>
    <m/>
    <m/>
    <m/>
    <m/>
  </r>
  <r>
    <s v="VIS202214"/>
    <d v="2024-09-25T00:00:00"/>
    <s v="PAT6053"/>
    <s v="Rahul Iyer"/>
    <s v="Female"/>
    <n v="70"/>
    <s v="Delhi"/>
    <s v="Delhi"/>
    <x v="7"/>
    <s v="Dr. Surya"/>
    <s v="Z111"/>
    <s v="Physiotherapy"/>
    <s v="Teleconsultation"/>
    <n v="17970.86"/>
    <s v="Net Banking"/>
    <s v="No"/>
    <m/>
    <m/>
    <s v="Senior"/>
    <s v="High"/>
    <s v="Short Days"/>
    <m/>
    <m/>
    <m/>
    <m/>
    <m/>
    <m/>
  </r>
  <r>
    <s v="VIS201918"/>
    <d v="2024-01-23T00:00:00"/>
    <s v="PAT5060"/>
    <s v="Manisha Iyer"/>
    <s v="Male"/>
    <n v="44"/>
    <s v="Chennai"/>
    <s v="Tamil Nadu"/>
    <x v="0"/>
    <s v="Dr. Nikhil"/>
    <s v="M54"/>
    <s v="Medication"/>
    <s v="OPD"/>
    <n v="2963.87"/>
    <s v="Insurance"/>
    <s v="Yes"/>
    <m/>
    <n v="90"/>
    <s v="Middle-Aged"/>
    <s v="Low"/>
    <s v="Short Days"/>
    <m/>
    <m/>
    <m/>
    <m/>
    <m/>
    <m/>
  </r>
  <r>
    <s v="VIS202445"/>
    <d v="2024-02-10T00:00:00"/>
    <s v="PAT6958"/>
    <s v="Sangeetha Reddy"/>
    <s v="Male"/>
    <n v="12"/>
    <s v="Bengaluru"/>
    <s v="Karnataka"/>
    <x v="2"/>
    <s v="Dr. Manoj"/>
    <s v="M54"/>
    <s v="Observation"/>
    <s v="OPD"/>
    <n v="6022.57"/>
    <s v="UPI"/>
    <s v="No"/>
    <m/>
    <m/>
    <s v="Child"/>
    <s v="Medium"/>
    <s v="Short Days"/>
    <m/>
    <m/>
    <m/>
    <m/>
    <m/>
    <m/>
  </r>
  <r>
    <s v="VIS201876"/>
    <d v="2025-08-23T00:00:00"/>
    <s v="PAT6988"/>
    <s v="Manisha Reddy"/>
    <s v="Male"/>
    <n v="33"/>
    <s v="Mumbai"/>
    <s v="Maharashtra"/>
    <x v="4"/>
    <s v="Dr. Varun"/>
    <s v="F41"/>
    <s v="Surgery"/>
    <s v="OPD"/>
    <n v="889.33"/>
    <s v="Credit Card"/>
    <s v="No"/>
    <m/>
    <n v="90"/>
    <s v="Adult"/>
    <s v="Low"/>
    <s v="Short Days"/>
    <m/>
    <m/>
    <m/>
    <m/>
    <m/>
    <m/>
  </r>
  <r>
    <s v="VIS201209"/>
    <d v="2025-01-25T00:00:00"/>
    <s v="PAT6526"/>
    <s v="Neha Bose"/>
    <s v="Male"/>
    <n v="39"/>
    <s v="Hyderabad"/>
    <s v="Telangana"/>
    <x v="0"/>
    <s v="Dr. Shailesh"/>
    <s v="L40"/>
    <s v="Prescription Refill"/>
    <s v="Emergency"/>
    <n v="10845.21"/>
    <s v="Credit Card"/>
    <s v="No"/>
    <m/>
    <n v="90"/>
    <s v="Adult"/>
    <s v="High"/>
    <s v="Short Days"/>
    <m/>
    <m/>
    <m/>
    <m/>
    <m/>
    <m/>
  </r>
  <r>
    <s v="VIS200093"/>
    <d v="2025-10-25T00:00:00"/>
    <s v="PAT6276"/>
    <s v="Neha Jose"/>
    <s v="Female"/>
    <n v="50"/>
    <s v="Kochi"/>
    <s v="Kerala"/>
    <x v="1"/>
    <s v="Dr. Suri"/>
    <s v="M54"/>
    <s v="Counselling"/>
    <s v="OPD"/>
    <n v="2979.25"/>
    <s v="Cash"/>
    <s v="No"/>
    <m/>
    <m/>
    <s v="Middle-Aged"/>
    <s v="Low"/>
    <s v="Short Days"/>
    <m/>
    <m/>
    <m/>
    <m/>
    <m/>
    <m/>
  </r>
  <r>
    <s v="VIS200701"/>
    <d v="2025-09-23T00:00:00"/>
    <s v="PAT6269"/>
    <s v="Rohan Khan"/>
    <s v="Male"/>
    <n v="46"/>
    <s v="Ahmedabad"/>
    <s v="Gujarat"/>
    <x v="3"/>
    <s v="Dr. Anand"/>
    <s v="H10"/>
    <s v="Medication"/>
    <s v="IPD"/>
    <n v="6987.8"/>
    <s v="UPI"/>
    <s v="No"/>
    <n v="9"/>
    <n v="7"/>
    <s v="Middle-Aged"/>
    <s v="Medium"/>
    <s v="Long Days"/>
    <m/>
    <m/>
    <m/>
    <m/>
    <m/>
    <m/>
  </r>
  <r>
    <s v="VIS201914"/>
    <d v="2025-10-04T00:00:00"/>
    <s v="PAT5956"/>
    <s v="Deepa Gupta"/>
    <s v="Male"/>
    <n v="66"/>
    <s v="Ahmedabad"/>
    <s v="Gujarat"/>
    <x v="8"/>
    <s v="Dr. Sneha"/>
    <s v="N39"/>
    <s v="Medication"/>
    <s v="OPD"/>
    <n v="861.33"/>
    <s v="Cash"/>
    <s v="No"/>
    <m/>
    <m/>
    <s v="Senior"/>
    <s v="Low"/>
    <s v="Short Days"/>
    <m/>
    <m/>
    <m/>
    <m/>
    <m/>
    <m/>
  </r>
  <r>
    <s v="VIS201423"/>
    <d v="2024-07-01T00:00:00"/>
    <s v="PAT6971"/>
    <s v="Sangeetha Jose"/>
    <s v="Male"/>
    <n v="36"/>
    <s v="Mumbai"/>
    <s v="Maharashtra"/>
    <x v="3"/>
    <s v="Dr. Anand"/>
    <s v="K21"/>
    <s v="Prescription Refill"/>
    <s v="OPD"/>
    <n v="4926.2700000000004"/>
    <s v="Cash"/>
    <s v="No"/>
    <m/>
    <n v="90"/>
    <s v="Adult"/>
    <s v="Low"/>
    <s v="Short Days"/>
    <m/>
    <m/>
    <m/>
    <m/>
    <m/>
    <m/>
  </r>
  <r>
    <s v="VIS200071"/>
    <d v="2024-06-21T00:00:00"/>
    <s v="PAT5705"/>
    <s v="Shruti Iyer"/>
    <s v="Male"/>
    <n v="6"/>
    <s v="Noida"/>
    <s v="Uttar Pradesh"/>
    <x v="6"/>
    <s v="Dr. Lalitha"/>
    <s v="E11"/>
    <s v="Minor Procedure"/>
    <s v="OPD"/>
    <n v="701.93"/>
    <s v="UPI"/>
    <s v="No"/>
    <m/>
    <m/>
    <s v="Child"/>
    <s v="Low"/>
    <s v="Short Days"/>
    <m/>
    <m/>
    <m/>
    <m/>
    <m/>
    <m/>
  </r>
  <r>
    <s v="VIS200607"/>
    <d v="2024-01-15T00:00:00"/>
    <s v="PAT5236"/>
    <s v="Rohan Nagar"/>
    <s v="Male"/>
    <n v="76"/>
    <s v="Lucknow"/>
    <s v="Uttar Pradesh"/>
    <x v="7"/>
    <s v="Dr. Surya"/>
    <s v="J45"/>
    <s v="Prescription Refill"/>
    <s v="Teleconsultation"/>
    <n v="8894.2800000000007"/>
    <s v="Debit Card"/>
    <s v="No"/>
    <m/>
    <m/>
    <s v="Senior"/>
    <s v="Medium"/>
    <s v="Short Days"/>
    <m/>
    <m/>
    <m/>
    <m/>
    <m/>
    <m/>
  </r>
  <r>
    <s v="VIS200753"/>
    <d v="2024-07-16T00:00:00"/>
    <s v="PAT6121"/>
    <s v="Arjun Jose"/>
    <s v="Female"/>
    <n v="29"/>
    <s v="Madurai"/>
    <s v="Tamil Nadu"/>
    <x v="7"/>
    <s v="Dr. Surya"/>
    <s v="K21"/>
    <s v="Prescription Refill"/>
    <s v="Teleconsultation"/>
    <n v="5185.72"/>
    <s v="Cash"/>
    <s v="No"/>
    <m/>
    <n v="14"/>
    <s v="Adult"/>
    <s v="Medium"/>
    <s v="Short Days"/>
    <m/>
    <m/>
    <m/>
    <m/>
    <m/>
    <m/>
  </r>
  <r>
    <s v="VIS202980"/>
    <d v="2025-09-15T00:00:00"/>
    <s v="PAT5339"/>
    <s v="Rohan Reddy"/>
    <s v="Female"/>
    <n v="37"/>
    <s v="Mumbai"/>
    <s v="Maharashtra"/>
    <x v="7"/>
    <s v="Dr. Leela"/>
    <s v="H10"/>
    <s v="Observation"/>
    <s v="Emergency"/>
    <n v="6135.85"/>
    <s v="Debit Card"/>
    <s v="No"/>
    <m/>
    <m/>
    <s v="Adult"/>
    <s v="Medium"/>
    <s v="Short Days"/>
    <m/>
    <m/>
    <m/>
    <m/>
    <m/>
    <m/>
  </r>
  <r>
    <s v="VIS200322"/>
    <d v="2025-02-07T00:00:00"/>
    <s v="PAT6570"/>
    <s v="Karthik Jose"/>
    <s v="Male"/>
    <n v="35"/>
    <s v="Trichy"/>
    <s v="Tamil Nadu"/>
    <x v="3"/>
    <s v="Dr. Pallavi"/>
    <s v="K21"/>
    <s v="Observation"/>
    <s v="OPD"/>
    <n v="14240.82"/>
    <s v="Debit Card"/>
    <s v="No"/>
    <m/>
    <n v="90"/>
    <s v="Adult"/>
    <s v="High"/>
    <s v="Short Days"/>
    <m/>
    <m/>
    <m/>
    <m/>
    <m/>
    <m/>
  </r>
  <r>
    <s v="VIS201621"/>
    <d v="2024-07-05T00:00:00"/>
    <s v="PAT6171"/>
    <s v="Manisha Patel"/>
    <s v="Male"/>
    <n v="57"/>
    <s v="Ahmedabad"/>
    <s v="Gujarat"/>
    <x v="5"/>
    <s v="Dr. Meena"/>
    <s v="J00"/>
    <s v="Observation"/>
    <s v="OPD"/>
    <n v="4721.9399999999996"/>
    <s v="Cash"/>
    <s v="No"/>
    <m/>
    <n v="90"/>
    <s v="Middle-Aged"/>
    <s v="Low"/>
    <s v="Short Days"/>
    <m/>
    <m/>
    <m/>
    <m/>
    <m/>
    <m/>
  </r>
  <r>
    <s v="VIS201669"/>
    <d v="2024-05-08T00:00:00"/>
    <s v="PAT6312"/>
    <s v="Ishaan Nair"/>
    <s v="Male"/>
    <n v="62"/>
    <s v="Kolkata"/>
    <s v="West Bengal"/>
    <x v="4"/>
    <s v="Dr. Varun"/>
    <s v="J00"/>
    <s v="Physiotherapy"/>
    <s v="OPD"/>
    <n v="4401.3"/>
    <s v="Debit Card"/>
    <s v="No"/>
    <m/>
    <n v="7"/>
    <s v="Senior"/>
    <s v="Low"/>
    <s v="Short Days"/>
    <m/>
    <m/>
    <m/>
    <m/>
    <m/>
    <m/>
  </r>
  <r>
    <s v="VIS201141"/>
    <d v="2025-03-15T00:00:00"/>
    <s v="PAT5392"/>
    <s v="Karthik Kumar"/>
    <s v="Male"/>
    <n v="54"/>
    <s v="Bengaluru"/>
    <s v="Karnataka"/>
    <x v="6"/>
    <s v="Dr. Priya"/>
    <s v="H10"/>
    <s v="Surgery"/>
    <s v="Teleconsultation"/>
    <n v="25495.29"/>
    <s v="Net Banking"/>
    <s v="No"/>
    <m/>
    <n v="7"/>
    <s v="Middle-Aged"/>
    <s v="High"/>
    <s v="Short Days"/>
    <m/>
    <m/>
    <m/>
    <m/>
    <m/>
    <m/>
  </r>
  <r>
    <s v="VIS200895"/>
    <d v="2025-02-24T00:00:00"/>
    <s v="PAT6809"/>
    <s v="Anil Gupta"/>
    <s v="Female"/>
    <n v="32"/>
    <s v="Ahmedabad"/>
    <s v="Gujarat"/>
    <x v="8"/>
    <s v="Dr. Kavitha"/>
    <s v="N39"/>
    <s v="Surgery"/>
    <s v="OPD"/>
    <n v="579.02"/>
    <s v="Cash"/>
    <s v="No"/>
    <m/>
    <n v="30"/>
    <s v="Adult"/>
    <s v="Low"/>
    <s v="Short Days"/>
    <m/>
    <m/>
    <m/>
    <m/>
    <m/>
    <m/>
  </r>
  <r>
    <s v="VIS200900"/>
    <d v="2025-09-30T00:00:00"/>
    <s v="PAT6080"/>
    <s v="Anil Patel"/>
    <s v="Male"/>
    <n v="57"/>
    <s v="Delhi"/>
    <s v="Delhi"/>
    <x v="5"/>
    <s v="Dr. Meena"/>
    <s v="M54"/>
    <s v="Observation"/>
    <s v="OPD"/>
    <n v="750.34"/>
    <s v="Cash"/>
    <s v="No"/>
    <m/>
    <n v="14"/>
    <s v="Middle-Aged"/>
    <s v="Low"/>
    <s v="Short Days"/>
    <m/>
    <m/>
    <m/>
    <m/>
    <m/>
    <m/>
  </r>
  <r>
    <s v="VIS202030"/>
    <d v="2024-04-21T00:00:00"/>
    <s v="PAT5277"/>
    <s v="Karthik Patel"/>
    <s v="Male"/>
    <n v="51"/>
    <s v="Madurai"/>
    <s v="Tamil Nadu"/>
    <x v="6"/>
    <s v="Dr. Priya"/>
    <s v="L40"/>
    <s v="Counselling"/>
    <s v="Teleconsultation"/>
    <n v="9917.65"/>
    <s v="Cash"/>
    <s v="No"/>
    <m/>
    <n v="7"/>
    <s v="Middle-Aged"/>
    <s v="Medium"/>
    <s v="Short Days"/>
    <m/>
    <m/>
    <m/>
    <m/>
    <m/>
    <m/>
  </r>
  <r>
    <s v="VIS202034"/>
    <d v="2024-11-23T00:00:00"/>
    <s v="PAT5166"/>
    <s v="Aishwarya Das"/>
    <s v="Female"/>
    <n v="65"/>
    <s v="Chennai"/>
    <s v="Tamil Nadu"/>
    <x v="4"/>
    <s v="Dr. Varun"/>
    <s v="H10"/>
    <s v="Counselling"/>
    <s v="OPD"/>
    <n v="2356.15"/>
    <s v="Debit Card"/>
    <s v="No"/>
    <m/>
    <n v="30"/>
    <s v="Senior"/>
    <s v="Low"/>
    <s v="Short Days"/>
    <m/>
    <m/>
    <m/>
    <m/>
    <m/>
    <m/>
  </r>
  <r>
    <s v="VIS201074"/>
    <d v="2025-05-05T00:00:00"/>
    <s v="PAT5935"/>
    <s v="Karthik Singh"/>
    <s v="Male"/>
    <n v="34"/>
    <s v="Lucknow"/>
    <s v="Uttar Pradesh"/>
    <x v="7"/>
    <s v="Dr. Surya"/>
    <s v="J45"/>
    <s v="Counselling"/>
    <s v="Emergency"/>
    <n v="5869.36"/>
    <s v="UPI"/>
    <s v="No"/>
    <m/>
    <n v="14"/>
    <s v="Adult"/>
    <s v="Medium"/>
    <s v="Short Days"/>
    <m/>
    <m/>
    <m/>
    <m/>
    <m/>
    <m/>
  </r>
  <r>
    <s v="VIS202441"/>
    <d v="2025-02-15T00:00:00"/>
    <s v="PAT6685"/>
    <s v="Priya Khan"/>
    <s v="Male"/>
    <n v="56"/>
    <s v="Madurai"/>
    <s v="Tamil Nadu"/>
    <x v="9"/>
    <s v="Dr. Kusum"/>
    <s v="I10"/>
    <s v="Physiotherapy"/>
    <s v="OPD"/>
    <n v="5508.68"/>
    <s v="Cash"/>
    <s v="No"/>
    <m/>
    <n v="14"/>
    <s v="Middle-Aged"/>
    <s v="Medium"/>
    <s v="Short Days"/>
    <m/>
    <m/>
    <m/>
    <m/>
    <m/>
    <m/>
  </r>
  <r>
    <s v="VIS200981"/>
    <d v="2024-03-09T00:00:00"/>
    <s v="PAT6907"/>
    <s v="Kavya Sharma"/>
    <s v="Female"/>
    <n v="59"/>
    <s v="Jaipur"/>
    <s v="Rajasthan"/>
    <x v="0"/>
    <s v="Dr. Nikhil"/>
    <s v="N39"/>
    <s v="Minor Procedure"/>
    <s v="Emergency"/>
    <n v="9371.01"/>
    <s v="Debit Card"/>
    <s v="No"/>
    <m/>
    <n v="7"/>
    <s v="Middle-Aged"/>
    <s v="Medium"/>
    <s v="Short Days"/>
    <m/>
    <m/>
    <m/>
    <m/>
    <m/>
    <m/>
  </r>
  <r>
    <s v="VIS202088"/>
    <d v="2025-07-14T00:00:00"/>
    <s v="PAT5314"/>
    <s v="Priya Kumar"/>
    <s v="Male"/>
    <n v="63"/>
    <s v="Kochi"/>
    <s v="Kerala"/>
    <x v="0"/>
    <s v="Dr. Nikhil"/>
    <s v="J00"/>
    <s v="Counselling"/>
    <s v="IPD"/>
    <n v="17116.560000000001"/>
    <s v="Insurance"/>
    <s v="Yes"/>
    <n v="6"/>
    <n v="30"/>
    <s v="Senior"/>
    <s v="High"/>
    <s v="Long Days"/>
    <m/>
    <m/>
    <m/>
    <m/>
    <m/>
    <m/>
  </r>
  <r>
    <s v="VIS201057"/>
    <d v="2024-01-08T00:00:00"/>
    <s v="PAT6829"/>
    <s v="Aishwarya Singh"/>
    <s v="Female"/>
    <n v="23"/>
    <s v="Pune"/>
    <s v="Maharashtra"/>
    <x v="9"/>
    <s v="Dr. Kusum"/>
    <s v="K21"/>
    <s v="Prescription Refill"/>
    <s v="OPD"/>
    <n v="3549.44"/>
    <s v="Credit Card"/>
    <s v="No"/>
    <m/>
    <n v="7"/>
    <s v="Adult"/>
    <s v="Low"/>
    <s v="Short Days"/>
    <m/>
    <m/>
    <m/>
    <m/>
    <m/>
    <m/>
  </r>
  <r>
    <s v="VIS202235"/>
    <d v="2024-03-08T00:00:00"/>
    <s v="PAT5498"/>
    <s v="Deepa Mishra"/>
    <s v="Male"/>
    <n v="56"/>
    <s v="Bengaluru"/>
    <s v="Karnataka"/>
    <x v="3"/>
    <s v="Dr. Anand"/>
    <s v="J00"/>
    <s v="Medication"/>
    <s v="OPD"/>
    <n v="4409.53"/>
    <s v="Credit Card"/>
    <s v="No"/>
    <m/>
    <n v="7"/>
    <s v="Middle-Aged"/>
    <s v="Low"/>
    <s v="Short Days"/>
    <m/>
    <m/>
    <m/>
    <m/>
    <m/>
    <m/>
  </r>
  <r>
    <s v="VIS202842"/>
    <d v="2024-10-08T00:00:00"/>
    <s v="PAT6080"/>
    <s v="Rahul Khan"/>
    <s v="Male"/>
    <n v="17"/>
    <s v="Bengaluru"/>
    <s v="Karnataka"/>
    <x v="9"/>
    <s v="Dr. Kusum"/>
    <s v="L40"/>
    <s v="Medication"/>
    <s v="IPD"/>
    <n v="7986.47"/>
    <s v="Cash"/>
    <s v="No"/>
    <n v="5"/>
    <n v="7"/>
    <s v="Child"/>
    <s v="Medium"/>
    <s v="Short Days"/>
    <m/>
    <m/>
    <m/>
    <m/>
    <m/>
    <m/>
  </r>
  <r>
    <s v="VIS200421"/>
    <d v="2024-12-11T00:00:00"/>
    <s v="PAT6503"/>
    <s v="Ishaan Khan"/>
    <s v="Male"/>
    <n v="16"/>
    <s v="Bengaluru"/>
    <s v="Karnataka"/>
    <x v="9"/>
    <s v="Dr. Arvind"/>
    <s v="F41"/>
    <s v="Observation"/>
    <s v="OPD"/>
    <n v="3097.55"/>
    <s v="Cash"/>
    <s v="No"/>
    <m/>
    <n v="7"/>
    <s v="Child"/>
    <s v="Low"/>
    <s v="Short Days"/>
    <m/>
    <m/>
    <m/>
    <m/>
    <m/>
    <m/>
  </r>
  <r>
    <s v="VIS200536"/>
    <d v="2025-10-30T00:00:00"/>
    <s v="PAT5015"/>
    <s v="Karthik Singh"/>
    <s v="Male"/>
    <n v="39"/>
    <s v="Chennai"/>
    <s v="Tamil Nadu"/>
    <x v="6"/>
    <s v="Dr. Lalitha"/>
    <s v="J45"/>
    <s v="Observation"/>
    <s v="OPD"/>
    <n v="7685.17"/>
    <s v="Cash"/>
    <s v="No"/>
    <m/>
    <n v="90"/>
    <s v="Adult"/>
    <s v="Medium"/>
    <s v="Short Days"/>
    <m/>
    <m/>
    <m/>
    <m/>
    <m/>
    <m/>
  </r>
  <r>
    <s v="VIS201735"/>
    <d v="2025-09-19T00:00:00"/>
    <s v="PAT6699"/>
    <s v="Anil Reddy"/>
    <s v="Male"/>
    <n v="32"/>
    <s v="Lucknow"/>
    <s v="Uttar Pradesh"/>
    <x v="7"/>
    <s v="Dr. Leela"/>
    <s v="E11"/>
    <s v="Counselling"/>
    <s v="Teleconsultation"/>
    <n v="18034.259999999998"/>
    <s v="Cash"/>
    <s v="No"/>
    <m/>
    <n v="30"/>
    <s v="Adult"/>
    <s v="High"/>
    <s v="Short Days"/>
    <m/>
    <m/>
    <m/>
    <m/>
    <m/>
    <m/>
  </r>
  <r>
    <s v="VIS201729"/>
    <d v="2025-04-19T00:00:00"/>
    <s v="PAT6282"/>
    <s v="Kavya Das"/>
    <s v="Female"/>
    <n v="72"/>
    <s v="Noida"/>
    <s v="Uttar Pradesh"/>
    <x v="7"/>
    <s v="Dr. Leela"/>
    <s v="F41"/>
    <s v="Minor Procedure"/>
    <s v="Teleconsultation"/>
    <n v="13105.54"/>
    <s v="UPI"/>
    <s v="No"/>
    <m/>
    <m/>
    <s v="Senior"/>
    <s v="High"/>
    <s v="Short Days"/>
    <m/>
    <m/>
    <m/>
    <m/>
    <m/>
    <m/>
  </r>
  <r>
    <s v="VIS201218"/>
    <d v="2024-02-22T00:00:00"/>
    <s v="PAT6387"/>
    <s v="Manisha Patel"/>
    <s v="Male"/>
    <n v="95"/>
    <s v="Pune"/>
    <s v="Maharashtra"/>
    <x v="8"/>
    <s v="Dr. Sneha"/>
    <s v="M54"/>
    <s v="Counselling"/>
    <s v="OPD"/>
    <n v="211.83"/>
    <s v="Insurance"/>
    <s v="Yes"/>
    <m/>
    <m/>
    <s v="Senior"/>
    <s v="Low"/>
    <s v="Short Days"/>
    <m/>
    <m/>
    <m/>
    <m/>
    <m/>
    <m/>
  </r>
  <r>
    <s v="VIS202615"/>
    <d v="2025-07-09T00:00:00"/>
    <s v="PAT5115"/>
    <s v="Siddharth Singh"/>
    <s v="Other"/>
    <n v="75"/>
    <s v="Mumbai"/>
    <s v="Maharashtra"/>
    <x v="6"/>
    <s v="Dr. Lalitha"/>
    <s v="K21"/>
    <s v="Physiotherapy"/>
    <s v="OPD"/>
    <n v="9722.1"/>
    <s v="UPI"/>
    <s v="No"/>
    <m/>
    <n v="14"/>
    <s v="Senior"/>
    <s v="Medium"/>
    <s v="Short Days"/>
    <m/>
    <m/>
    <m/>
    <m/>
    <m/>
    <m/>
  </r>
  <r>
    <s v="VIS201738"/>
    <d v="2025-01-13T00:00:00"/>
    <s v="PAT5880"/>
    <s v="Neha Das"/>
    <s v="Male"/>
    <n v="23"/>
    <s v="Kochi"/>
    <s v="Kerala"/>
    <x v="4"/>
    <s v="Dr. Bhavana"/>
    <s v="F41"/>
    <s v="Prescription Refill"/>
    <s v="OPD"/>
    <n v="1094.46"/>
    <s v="Cash"/>
    <s v="No"/>
    <m/>
    <m/>
    <s v="Adult"/>
    <s v="Low"/>
    <s v="Short Days"/>
    <m/>
    <m/>
    <m/>
    <m/>
    <m/>
    <m/>
  </r>
  <r>
    <s v="VIS201671"/>
    <d v="2024-08-24T00:00:00"/>
    <s v="PAT5487"/>
    <s v="Rahul Jose"/>
    <s v="Female"/>
    <n v="37"/>
    <s v="Lucknow"/>
    <s v="Uttar Pradesh"/>
    <x v="8"/>
    <s v="Dr. Sneha"/>
    <s v="N39"/>
    <s v="Counselling"/>
    <s v="OPD"/>
    <n v="3664.09"/>
    <s v="Debit Card"/>
    <s v="No"/>
    <m/>
    <n v="7"/>
    <s v="Adult"/>
    <s v="Low"/>
    <s v="Short Days"/>
    <m/>
    <m/>
    <m/>
    <m/>
    <m/>
    <m/>
  </r>
  <r>
    <s v="VIS200142"/>
    <d v="2025-04-24T00:00:00"/>
    <s v="PAT6596"/>
    <s v="Rahul Das"/>
    <s v="Male"/>
    <n v="54"/>
    <s v="Bengaluru"/>
    <s v="Karnataka"/>
    <x v="2"/>
    <s v="Dr. Ramesh"/>
    <s v="L40"/>
    <s v="Surgery"/>
    <s v="OPD"/>
    <n v="1168.23"/>
    <s v="Debit Card"/>
    <s v="No"/>
    <m/>
    <n v="30"/>
    <s v="Middle-Aged"/>
    <s v="Low"/>
    <s v="Short Days"/>
    <m/>
    <m/>
    <m/>
    <m/>
    <m/>
    <m/>
  </r>
  <r>
    <s v="VIS202032"/>
    <d v="2025-07-23T00:00:00"/>
    <s v="PAT5908"/>
    <s v="Aishwarya Gupta"/>
    <s v="Female"/>
    <n v="24"/>
    <s v="Noida"/>
    <s v="Uttar Pradesh"/>
    <x v="8"/>
    <s v="Dr. Sneha"/>
    <s v="H10"/>
    <s v="Medication"/>
    <s v="OPD"/>
    <n v="4272.62"/>
    <s v="UPI"/>
    <s v="No"/>
    <m/>
    <n v="14"/>
    <s v="Adult"/>
    <s v="Low"/>
    <s v="Short Days"/>
    <m/>
    <m/>
    <m/>
    <m/>
    <m/>
    <m/>
  </r>
  <r>
    <s v="VIS201536"/>
    <d v="2024-10-25T00:00:00"/>
    <s v="PAT6449"/>
    <s v="Deepa Patel"/>
    <s v="Female"/>
    <n v="31"/>
    <s v="Delhi"/>
    <s v="Delhi"/>
    <x v="7"/>
    <s v="Dr. Surya"/>
    <s v="J45"/>
    <s v="Physiotherapy"/>
    <s v="OPD"/>
    <n v="1030.75"/>
    <s v="UPI"/>
    <s v="No"/>
    <m/>
    <m/>
    <s v="Adult"/>
    <s v="Low"/>
    <s v="Short Days"/>
    <m/>
    <m/>
    <m/>
    <m/>
    <m/>
    <m/>
  </r>
  <r>
    <s v="VIS200689"/>
    <d v="2025-01-08T00:00:00"/>
    <s v="PAT5014"/>
    <s v="Aditya Nair"/>
    <s v="Female"/>
    <n v="35"/>
    <s v="Hyderabad"/>
    <s v="Telangana"/>
    <x v="8"/>
    <s v="Dr. Sneha"/>
    <s v="K21"/>
    <s v="Counselling"/>
    <s v="Emergency"/>
    <n v="12736.15"/>
    <s v="Credit Card"/>
    <s v="No"/>
    <m/>
    <n v="7"/>
    <s v="Adult"/>
    <s v="High"/>
    <s v="Short Days"/>
    <m/>
    <m/>
    <m/>
    <m/>
    <m/>
    <m/>
  </r>
  <r>
    <s v="VIS201038"/>
    <d v="2024-08-10T00:00:00"/>
    <s v="PAT5481"/>
    <s v="Ishaan Jose"/>
    <s v="Male"/>
    <n v="54"/>
    <s v="Bengaluru"/>
    <s v="Karnataka"/>
    <x v="5"/>
    <s v="Dr. Ravi"/>
    <s v="E11"/>
    <s v="Medication"/>
    <s v="OPD"/>
    <n v="10937.49"/>
    <s v="Debit Card"/>
    <s v="No"/>
    <m/>
    <n v="7"/>
    <s v="Middle-Aged"/>
    <s v="High"/>
    <s v="Short Days"/>
    <m/>
    <m/>
    <m/>
    <m/>
    <m/>
    <m/>
  </r>
  <r>
    <s v="VIS200363"/>
    <d v="2024-04-27T00:00:00"/>
    <s v="PAT5356"/>
    <s v="Kavya Nagar"/>
    <s v="Female"/>
    <n v="30"/>
    <s v="Jaipur"/>
    <s v="Rajasthan"/>
    <x v="3"/>
    <s v="Dr. Pallavi"/>
    <s v="N39"/>
    <s v="Physiotherapy"/>
    <s v="Teleconsultation"/>
    <n v="5074.76"/>
    <s v="Cash"/>
    <s v="No"/>
    <m/>
    <n v="7"/>
    <s v="Adult"/>
    <s v="Medium"/>
    <s v="Short Days"/>
    <m/>
    <m/>
    <m/>
    <m/>
    <m/>
    <m/>
  </r>
  <r>
    <s v="VIS200469"/>
    <d v="2024-10-17T00:00:00"/>
    <s v="PAT6475"/>
    <s v="Rohan Patel"/>
    <s v="Female"/>
    <n v="32"/>
    <s v="Ahmedabad"/>
    <s v="Gujarat"/>
    <x v="1"/>
    <s v="Dr. Anu"/>
    <s v="H10"/>
    <s v="Surgery"/>
    <s v="OPD"/>
    <n v="1465.53"/>
    <s v="Insurance"/>
    <s v="Yes"/>
    <m/>
    <n v="14"/>
    <s v="Adult"/>
    <s v="Low"/>
    <s v="Short Days"/>
    <m/>
    <m/>
    <m/>
    <m/>
    <m/>
    <m/>
  </r>
  <r>
    <s v="VIS202558"/>
    <d v="2025-03-24T00:00:00"/>
    <s v="PAT5813"/>
    <s v="Shruti Jose"/>
    <s v="Female"/>
    <n v="32"/>
    <s v="Kolkata"/>
    <s v="West Bengal"/>
    <x v="5"/>
    <s v="Dr. Karthik"/>
    <s v="F41"/>
    <s v="Physiotherapy"/>
    <s v="OPD"/>
    <n v="2260.44"/>
    <s v="Cash"/>
    <s v="No"/>
    <m/>
    <n v="14"/>
    <s v="Adult"/>
    <s v="Low"/>
    <s v="Short Days"/>
    <m/>
    <m/>
    <m/>
    <m/>
    <m/>
    <m/>
  </r>
  <r>
    <s v="VIS202148"/>
    <d v="2024-12-07T00:00:00"/>
    <s v="PAT5195"/>
    <s v="Ananya Nair"/>
    <s v="Male"/>
    <n v="48"/>
    <s v="Delhi"/>
    <s v="Delhi"/>
    <x v="8"/>
    <s v="Dr. Sneha"/>
    <s v="N39"/>
    <s v="Prescription Refill"/>
    <s v="Teleconsultation"/>
    <n v="10402.26"/>
    <s v="Insurance"/>
    <s v="Yes"/>
    <m/>
    <n v="30"/>
    <s v="Middle-Aged"/>
    <s v="High"/>
    <s v="Short Days"/>
    <m/>
    <m/>
    <m/>
    <m/>
    <m/>
    <m/>
  </r>
  <r>
    <s v="VIS202655"/>
    <d v="2025-02-03T00:00:00"/>
    <s v="PAT6141"/>
    <s v="Karthik Reddy"/>
    <s v="Male"/>
    <n v="56"/>
    <s v="Madurai"/>
    <s v="Tamil Nadu"/>
    <x v="6"/>
    <s v="Dr. Lalitha"/>
    <s v="N39"/>
    <s v="Physiotherapy"/>
    <s v="OPD"/>
    <n v="15911.26"/>
    <s v="UPI"/>
    <s v="No"/>
    <m/>
    <n v="30"/>
    <s v="Middle-Aged"/>
    <s v="High"/>
    <s v="Short Days"/>
    <m/>
    <m/>
    <m/>
    <m/>
    <m/>
    <m/>
  </r>
  <r>
    <s v="VIS202708"/>
    <d v="2024-07-15T00:00:00"/>
    <s v="PAT6391"/>
    <s v="Shruti Gupta"/>
    <s v="Male"/>
    <n v="28"/>
    <s v="Hyderabad"/>
    <s v="Telangana"/>
    <x v="6"/>
    <s v="Dr. Priya"/>
    <s v="H10"/>
    <s v="Minor Surgery"/>
    <s v="Teleconsultation"/>
    <n v="8188.74"/>
    <s v="UPI"/>
    <s v="No"/>
    <m/>
    <n v="14"/>
    <s v="Adult"/>
    <s v="Medium"/>
    <s v="Short Days"/>
    <m/>
    <m/>
    <m/>
    <m/>
    <m/>
    <m/>
  </r>
  <r>
    <s v="VIS200672"/>
    <d v="2025-04-10T00:00:00"/>
    <s v="PAT6260"/>
    <s v="Rohan Singh"/>
    <s v="Female"/>
    <n v="2"/>
    <s v="Delhi"/>
    <s v="Delhi"/>
    <x v="1"/>
    <s v="Dr. Anu"/>
    <s v="K21"/>
    <s v="Observation"/>
    <s v="OPD"/>
    <n v="1285.46"/>
    <s v="Insurance"/>
    <s v="Yes"/>
    <m/>
    <n v="14"/>
    <s v="Child"/>
    <s v="Low"/>
    <s v="Short Days"/>
    <m/>
    <m/>
    <m/>
    <m/>
    <m/>
    <m/>
  </r>
  <r>
    <s v="VIS202791"/>
    <d v="2025-06-30T00:00:00"/>
    <s v="PAT5253"/>
    <s v="Karthik Bose"/>
    <s v="Male"/>
    <n v="18"/>
    <s v="Hyderabad"/>
    <s v="Telangana"/>
    <x v="9"/>
    <s v="Dr. Arvind"/>
    <s v="F41"/>
    <s v="Medication"/>
    <s v="Teleconsultation"/>
    <n v="5900.52"/>
    <s v="Debit Card"/>
    <s v="No"/>
    <m/>
    <n v="14"/>
    <s v="Adult"/>
    <s v="Medium"/>
    <s v="Short Days"/>
    <m/>
    <m/>
    <m/>
    <m/>
    <m/>
    <m/>
  </r>
  <r>
    <s v="VIS202398"/>
    <d v="2024-04-28T00:00:00"/>
    <s v="PAT5190"/>
    <s v="Priya Singh"/>
    <s v="Female"/>
    <n v="45"/>
    <s v="Madurai"/>
    <s v="Tamil Nadu"/>
    <x v="5"/>
    <s v="Dr. Karthik"/>
    <s v="N39"/>
    <s v="Counselling"/>
    <s v="OPD"/>
    <n v="5712.13"/>
    <s v="Cash"/>
    <s v="No"/>
    <m/>
    <n v="30"/>
    <s v="Middle-Aged"/>
    <s v="Medium"/>
    <s v="Short Days"/>
    <m/>
    <m/>
    <m/>
    <m/>
    <m/>
    <m/>
  </r>
  <r>
    <s v="VIS202437"/>
    <d v="2024-02-23T00:00:00"/>
    <s v="PAT6436"/>
    <s v="Priya Singh"/>
    <s v="Female"/>
    <n v="52"/>
    <s v="Trichy"/>
    <s v="Tamil Nadu"/>
    <x v="9"/>
    <s v="Dr. Kusum"/>
    <s v="E11"/>
    <s v="Prescription Refill"/>
    <s v="OPD"/>
    <n v="4136.08"/>
    <s v="UPI"/>
    <s v="No"/>
    <m/>
    <m/>
    <s v="Middle-Aged"/>
    <s v="Low"/>
    <s v="Short Days"/>
    <m/>
    <m/>
    <m/>
    <m/>
    <m/>
    <m/>
  </r>
  <r>
    <s v="VIS202879"/>
    <d v="2024-04-01T00:00:00"/>
    <s v="PAT5894"/>
    <s v="Ananya Iyer"/>
    <s v="Female"/>
    <n v="41"/>
    <s v="Madurai"/>
    <s v="Tamil Nadu"/>
    <x v="1"/>
    <s v="Dr. Suri"/>
    <s v="H10"/>
    <s v="Observation"/>
    <s v="OPD"/>
    <n v="13371.52"/>
    <s v="Cash"/>
    <s v="No"/>
    <m/>
    <n v="30"/>
    <s v="Middle-Aged"/>
    <s v="High"/>
    <s v="Short Days"/>
    <m/>
    <m/>
    <m/>
    <m/>
    <m/>
    <m/>
  </r>
  <r>
    <s v="VIS201643"/>
    <d v="2025-03-10T00:00:00"/>
    <s v="PAT6546"/>
    <s v="Karthik Nagar"/>
    <s v="Female"/>
    <n v="46"/>
    <s v="Trichy"/>
    <s v="Tamil Nadu"/>
    <x v="9"/>
    <s v="Dr. Arvind"/>
    <s v="I10"/>
    <s v="Surgery"/>
    <s v="OPD"/>
    <n v="791.61"/>
    <s v="Cash"/>
    <s v="No"/>
    <m/>
    <m/>
    <s v="Middle-Aged"/>
    <s v="Low"/>
    <s v="Short Days"/>
    <m/>
    <m/>
    <m/>
    <m/>
    <m/>
    <m/>
  </r>
  <r>
    <s v="VIS201461"/>
    <d v="2024-07-15T00:00:00"/>
    <s v="PAT5350"/>
    <s v="Arjun Iyer"/>
    <s v="Male"/>
    <n v="46"/>
    <s v="Pune"/>
    <s v="Maharashtra"/>
    <x v="0"/>
    <s v="Dr. Shailesh"/>
    <s v="J45"/>
    <s v="Physiotherapy"/>
    <s v="Teleconsultation"/>
    <n v="5950.1"/>
    <s v="Cash"/>
    <s v="No"/>
    <m/>
    <m/>
    <s v="Middle-Aged"/>
    <s v="Medium"/>
    <s v="Short Days"/>
    <m/>
    <m/>
    <m/>
    <m/>
    <m/>
    <m/>
  </r>
  <r>
    <s v="VIS201884"/>
    <d v="2025-06-15T00:00:00"/>
    <s v="PAT6828"/>
    <s v="Aditya Reddy"/>
    <s v="Male"/>
    <n v="37"/>
    <s v="Jaipur"/>
    <s v="Rajasthan"/>
    <x v="7"/>
    <s v="Dr. Surya"/>
    <s v="J45"/>
    <s v="Minor Surgery"/>
    <s v="OPD"/>
    <n v="2758.99"/>
    <s v="UPI"/>
    <s v="No"/>
    <m/>
    <n v="7"/>
    <s v="Adult"/>
    <s v="Low"/>
    <s v="Short Days"/>
    <m/>
    <m/>
    <m/>
    <m/>
    <m/>
    <m/>
  </r>
  <r>
    <s v="VIS200190"/>
    <d v="2024-08-12T00:00:00"/>
    <s v="PAT6766"/>
    <s v="Priya Iyer"/>
    <s v="Male"/>
    <n v="36"/>
    <s v="Pune"/>
    <s v="Maharashtra"/>
    <x v="9"/>
    <s v="Dr. Arvind"/>
    <s v="F41"/>
    <s v="Minor Procedure"/>
    <s v="Teleconsultation"/>
    <n v="5000.41"/>
    <s v="Net Banking"/>
    <s v="No"/>
    <m/>
    <m/>
    <s v="Adult"/>
    <s v="Medium"/>
    <s v="Short Days"/>
    <m/>
    <m/>
    <m/>
    <m/>
    <m/>
    <m/>
  </r>
  <r>
    <s v="VIS200159"/>
    <d v="2024-10-11T00:00:00"/>
    <s v="PAT6152"/>
    <s v="Rahul Nagar"/>
    <s v="Male"/>
    <n v="33"/>
    <s v="Chennai"/>
    <s v="Tamil Nadu"/>
    <x v="4"/>
    <s v="Dr. Bhavana"/>
    <s v="N39"/>
    <s v="Medication"/>
    <s v="OPD"/>
    <n v="1811.29"/>
    <s v="Cash"/>
    <s v="No"/>
    <m/>
    <n v="30"/>
    <s v="Adult"/>
    <s v="Low"/>
    <s v="Short Days"/>
    <m/>
    <m/>
    <m/>
    <m/>
    <m/>
    <m/>
  </r>
  <r>
    <s v="VIS202816"/>
    <d v="2024-01-31T00:00:00"/>
    <s v="PAT5485"/>
    <s v="Vivaan Gupta"/>
    <s v="Female"/>
    <n v="17"/>
    <s v="Delhi"/>
    <s v="Delhi"/>
    <x v="2"/>
    <s v="Dr. Manoj"/>
    <s v="E11"/>
    <s v="Counselling"/>
    <s v="OPD"/>
    <n v="2049.08"/>
    <s v="Net Banking"/>
    <s v="No"/>
    <m/>
    <m/>
    <s v="Child"/>
    <s v="Low"/>
    <s v="Short Days"/>
    <m/>
    <m/>
    <m/>
    <m/>
    <m/>
    <m/>
  </r>
  <r>
    <s v="VIS202164"/>
    <d v="2025-06-30T00:00:00"/>
    <s v="PAT5502"/>
    <s v="Kavya Khan"/>
    <s v="Female"/>
    <n v="0"/>
    <s v="Bengaluru"/>
    <s v="Karnataka"/>
    <x v="6"/>
    <s v="Dr. Priya"/>
    <s v="E11"/>
    <s v="Prescription Refill"/>
    <s v="Teleconsultation"/>
    <n v="14176.08"/>
    <s v="Insurance"/>
    <s v="Yes"/>
    <m/>
    <n v="7"/>
    <s v="Child"/>
    <s v="High"/>
    <s v="Short Days"/>
    <m/>
    <m/>
    <m/>
    <m/>
    <m/>
    <m/>
  </r>
  <r>
    <s v="VIS200758"/>
    <d v="2025-09-06T00:00:00"/>
    <s v="PAT5316"/>
    <s v="Kavya Das"/>
    <s v="Female"/>
    <n v="49"/>
    <s v="Pune"/>
    <s v="Maharashtra"/>
    <x v="3"/>
    <s v="Dr. Pallavi"/>
    <s v="M54"/>
    <s v="Prescription Refill"/>
    <s v="OPD"/>
    <n v="5912.82"/>
    <s v="Cash"/>
    <s v="No"/>
    <m/>
    <n v="14"/>
    <s v="Middle-Aged"/>
    <s v="Medium"/>
    <s v="Short Days"/>
    <m/>
    <m/>
    <m/>
    <m/>
    <m/>
    <m/>
  </r>
  <r>
    <s v="VIS201142"/>
    <d v="2024-10-09T00:00:00"/>
    <s v="PAT6129"/>
    <s v="Anil Reddy"/>
    <s v="Female"/>
    <n v="63"/>
    <s v="Ahmedabad"/>
    <s v="Gujarat"/>
    <x v="9"/>
    <s v="Dr. Kusum"/>
    <s v="M54"/>
    <s v="Physiotherapy"/>
    <s v="OPD"/>
    <n v="5331.19"/>
    <s v="Insurance"/>
    <s v="Yes"/>
    <m/>
    <n v="14"/>
    <s v="Senior"/>
    <s v="Medium"/>
    <s v="Short Days"/>
    <m/>
    <m/>
    <m/>
    <m/>
    <m/>
    <m/>
  </r>
  <r>
    <s v="VIS200957"/>
    <d v="2024-02-21T00:00:00"/>
    <s v="PAT5401"/>
    <s v="Rahul Das"/>
    <s v="Female"/>
    <n v="33"/>
    <s v="Kochi"/>
    <s v="Kerala"/>
    <x v="8"/>
    <s v="Dr. Sneha"/>
    <s v="M54"/>
    <s v="Medication"/>
    <s v="OPD"/>
    <n v="8124.67"/>
    <s v="Credit Card"/>
    <s v="No"/>
    <m/>
    <m/>
    <s v="Adult"/>
    <s v="Medium"/>
    <s v="Short Days"/>
    <m/>
    <m/>
    <m/>
    <m/>
    <m/>
    <m/>
  </r>
  <r>
    <s v="VIS201081"/>
    <d v="2025-07-20T00:00:00"/>
    <s v="PAT5639"/>
    <s v="Deepa Das"/>
    <s v="Male"/>
    <n v="38"/>
    <s v="Mumbai"/>
    <s v="Maharashtra"/>
    <x v="8"/>
    <s v="Dr. Kavitha"/>
    <s v="E11"/>
    <s v="Medication"/>
    <s v="OPD"/>
    <n v="8486.75"/>
    <s v="Cash"/>
    <s v="No"/>
    <m/>
    <m/>
    <s v="Adult"/>
    <s v="Medium"/>
    <s v="Short Days"/>
    <m/>
    <m/>
    <m/>
    <m/>
    <m/>
    <m/>
  </r>
  <r>
    <s v="VIS200984"/>
    <d v="2025-08-05T00:00:00"/>
    <s v="PAT5901"/>
    <s v="Priya Gupta"/>
    <s v="Female"/>
    <n v="48"/>
    <s v="Coimbatore"/>
    <s v="Tamil Nadu"/>
    <x v="8"/>
    <s v="Dr. Kavitha"/>
    <s v="E11"/>
    <s v="Minor Procedure"/>
    <s v="IPD"/>
    <n v="9595.9699999999993"/>
    <s v="Insurance"/>
    <s v="Yes"/>
    <n v="4"/>
    <n v="30"/>
    <s v="Middle-Aged"/>
    <s v="Medium"/>
    <s v="Short Days"/>
    <m/>
    <m/>
    <m/>
    <m/>
    <m/>
    <m/>
  </r>
  <r>
    <s v="VIS202899"/>
    <d v="2025-07-03T00:00:00"/>
    <s v="PAT6233"/>
    <s v="Aishwarya Mishra"/>
    <s v="Male"/>
    <n v="83"/>
    <s v="Chennai"/>
    <s v="Tamil Nadu"/>
    <x v="9"/>
    <s v="Dr. Arvind"/>
    <s v="H10"/>
    <s v="Medication"/>
    <s v="OPD"/>
    <n v="493.21"/>
    <s v="Cash"/>
    <s v="No"/>
    <m/>
    <n v="90"/>
    <s v="Senior"/>
    <s v="Low"/>
    <s v="Short Days"/>
    <m/>
    <m/>
    <m/>
    <m/>
    <m/>
    <m/>
  </r>
  <r>
    <s v="VIS202167"/>
    <d v="2025-01-15T00:00:00"/>
    <s v="PAT6741"/>
    <s v="Rohan Nair"/>
    <s v="Male"/>
    <n v="50"/>
    <s v="Lucknow"/>
    <s v="Uttar Pradesh"/>
    <x v="3"/>
    <s v="Dr. Anand"/>
    <s v="E11"/>
    <s v="Surgery"/>
    <s v="OPD"/>
    <n v="4549.6499999999996"/>
    <s v="Debit Card"/>
    <s v="No"/>
    <m/>
    <n v="30"/>
    <s v="Middle-Aged"/>
    <s v="Low"/>
    <s v="Short Days"/>
    <m/>
    <m/>
    <m/>
    <m/>
    <m/>
    <m/>
  </r>
  <r>
    <s v="VIS200049"/>
    <d v="2025-01-28T00:00:00"/>
    <s v="PAT5683"/>
    <s v="Siddharth Nagar"/>
    <s v="Female"/>
    <n v="86"/>
    <s v="Pune"/>
    <s v="Maharashtra"/>
    <x v="1"/>
    <s v="Dr. Suri"/>
    <s v="J00"/>
    <s v="Surgery"/>
    <s v="OPD"/>
    <n v="22310.28"/>
    <s v="Debit Card"/>
    <s v="No"/>
    <m/>
    <n v="14"/>
    <s v="Senior"/>
    <s v="High"/>
    <s v="Short Days"/>
    <m/>
    <m/>
    <m/>
    <m/>
    <m/>
    <m/>
  </r>
  <r>
    <s v="VIS200813"/>
    <d v="2024-09-26T00:00:00"/>
    <s v="PAT5627"/>
    <s v="Vishal Khan"/>
    <s v="Female"/>
    <n v="41"/>
    <s v="Delhi"/>
    <s v="Delhi"/>
    <x v="1"/>
    <s v="Dr. Anu"/>
    <s v="K21"/>
    <s v="Minor Procedure"/>
    <s v="Teleconsultation"/>
    <n v="8372.4699999999993"/>
    <s v="Credit Card"/>
    <s v="No"/>
    <m/>
    <m/>
    <s v="Middle-Aged"/>
    <s v="Medium"/>
    <s v="Short Days"/>
    <m/>
    <m/>
    <m/>
    <m/>
    <m/>
    <m/>
  </r>
  <r>
    <s v="VIS201284"/>
    <d v="2025-06-27T00:00:00"/>
    <s v="PAT6009"/>
    <s v="Aishwarya Iyer"/>
    <s v="Male"/>
    <n v="45"/>
    <s v="Kochi"/>
    <s v="Kerala"/>
    <x v="4"/>
    <s v="Dr. Bhavana"/>
    <s v="L40"/>
    <s v="Physiotherapy"/>
    <s v="OPD"/>
    <n v="7777.23"/>
    <s v="Insurance"/>
    <s v="Yes"/>
    <m/>
    <n v="90"/>
    <s v="Middle-Aged"/>
    <s v="Medium"/>
    <s v="Short Days"/>
    <m/>
    <m/>
    <m/>
    <m/>
    <m/>
    <m/>
  </r>
  <r>
    <s v="VIS201922"/>
    <d v="2025-02-25T00:00:00"/>
    <s v="PAT5243"/>
    <s v="Neha Nagar"/>
    <s v="Female"/>
    <n v="47"/>
    <s v="Jaipur"/>
    <s v="Rajasthan"/>
    <x v="5"/>
    <s v="Dr. Ravi"/>
    <s v="F41"/>
    <s v="Minor Surgery"/>
    <s v="IPD"/>
    <n v="16216.85"/>
    <s v="Debit Card"/>
    <s v="No"/>
    <n v="7"/>
    <n v="90"/>
    <s v="Middle-Aged"/>
    <s v="High"/>
    <s v="Long Days"/>
    <m/>
    <m/>
    <m/>
    <m/>
    <m/>
    <m/>
  </r>
  <r>
    <s v="VIS201657"/>
    <d v="2025-05-15T00:00:00"/>
    <s v="PAT6491"/>
    <s v="Aditya Singh"/>
    <s v="Male"/>
    <n v="0"/>
    <s v="Lucknow"/>
    <s v="Uttar Pradesh"/>
    <x v="7"/>
    <s v="Dr. Leela"/>
    <s v="H10"/>
    <s v="Counselling"/>
    <s v="Teleconsultation"/>
    <n v="8634.2000000000007"/>
    <s v="Cash"/>
    <s v="No"/>
    <m/>
    <n v="7"/>
    <s v="Child"/>
    <s v="Medium"/>
    <s v="Short Days"/>
    <m/>
    <m/>
    <m/>
    <m/>
    <m/>
    <m/>
  </r>
  <r>
    <s v="VIS201519"/>
    <d v="2025-02-16T00:00:00"/>
    <s v="PAT5995"/>
    <s v="Karthik Gupta"/>
    <s v="Male"/>
    <n v="28"/>
    <s v="Trichy"/>
    <s v="Tamil Nadu"/>
    <x v="5"/>
    <s v="Dr. Karthik"/>
    <s v="K21"/>
    <s v="Prescription Refill"/>
    <s v="OPD"/>
    <n v="4719.55"/>
    <s v="Net Banking"/>
    <s v="No"/>
    <m/>
    <n v="7"/>
    <s v="Adult"/>
    <s v="Low"/>
    <s v="Short Days"/>
    <m/>
    <m/>
    <m/>
    <m/>
    <m/>
    <m/>
  </r>
  <r>
    <s v="VIS202887"/>
    <d v="2024-11-13T00:00:00"/>
    <s v="PAT6798"/>
    <s v="Manisha Patel"/>
    <s v="Female"/>
    <n v="46"/>
    <s v="Pune"/>
    <s v="Maharashtra"/>
    <x v="1"/>
    <s v="Dr. Suri"/>
    <s v="I10"/>
    <s v="Surgery"/>
    <s v="IPD"/>
    <n v="6221.13"/>
    <s v="Insurance"/>
    <s v="Yes"/>
    <n v="4"/>
    <m/>
    <s v="Middle-Aged"/>
    <s v="Medium"/>
    <s v="Short Days"/>
    <m/>
    <m/>
    <m/>
    <m/>
    <m/>
    <m/>
  </r>
  <r>
    <s v="VIS202799"/>
    <d v="2024-12-19T00:00:00"/>
    <s v="PAT5012"/>
    <s v="Rohan Sharma"/>
    <s v="Female"/>
    <n v="43"/>
    <s v="Ahmedabad"/>
    <s v="Gujarat"/>
    <x v="6"/>
    <s v="Dr. Priya"/>
    <s v="H10"/>
    <s v="Minor Procedure"/>
    <s v="Emergency"/>
    <n v="5464.01"/>
    <s v="Insurance"/>
    <s v="Yes"/>
    <m/>
    <m/>
    <s v="Middle-Aged"/>
    <s v="Medium"/>
    <s v="Short Days"/>
    <m/>
    <m/>
    <m/>
    <m/>
    <m/>
    <m/>
  </r>
  <r>
    <s v="VIS200877"/>
    <d v="2025-03-28T00:00:00"/>
    <s v="PAT5029"/>
    <s v="Karthik Bose"/>
    <s v="Female"/>
    <n v="54"/>
    <s v="Kolkata"/>
    <s v="West Bengal"/>
    <x v="8"/>
    <s v="Dr. Kavitha"/>
    <s v="E11"/>
    <s v="Minor Surgery"/>
    <s v="Emergency"/>
    <n v="8122.9"/>
    <s v="Debit Card"/>
    <s v="No"/>
    <m/>
    <n v="90"/>
    <s v="Middle-Aged"/>
    <s v="Medium"/>
    <s v="Short Days"/>
    <m/>
    <m/>
    <m/>
    <m/>
    <m/>
    <m/>
  </r>
  <r>
    <s v="VIS200457"/>
    <d v="2024-01-03T00:00:00"/>
    <s v="PAT6512"/>
    <s v="Karthik Reddy"/>
    <s v="Male"/>
    <n v="48"/>
    <s v="Kolkata"/>
    <s v="West Bengal"/>
    <x v="3"/>
    <s v="Dr. Anand"/>
    <s v="H10"/>
    <s v="Minor Procedure"/>
    <s v="Teleconsultation"/>
    <n v="6699.8"/>
    <s v="Cash"/>
    <s v="No"/>
    <m/>
    <n v="14"/>
    <s v="Middle-Aged"/>
    <s v="Medium"/>
    <s v="Short Days"/>
    <m/>
    <m/>
    <m/>
    <m/>
    <m/>
    <m/>
  </r>
  <r>
    <s v="VIS202239"/>
    <d v="2025-05-31T00:00:00"/>
    <s v="PAT5424"/>
    <s v="Karthik Nair"/>
    <s v="Female"/>
    <n v="20"/>
    <s v="Coimbatore"/>
    <s v="Tamil Nadu"/>
    <x v="8"/>
    <s v="Dr. Sneha"/>
    <s v="J45"/>
    <s v="Minor Surgery"/>
    <s v="Emergency"/>
    <n v="5051.79"/>
    <s v="UPI"/>
    <s v="No"/>
    <m/>
    <n v="90"/>
    <s v="Adult"/>
    <s v="Medium"/>
    <s v="Short Days"/>
    <m/>
    <m/>
    <m/>
    <m/>
    <m/>
    <m/>
  </r>
  <r>
    <s v="VIS200585"/>
    <d v="2025-02-23T00:00:00"/>
    <s v="PAT6734"/>
    <s v="Arjun Singh"/>
    <s v="Male"/>
    <n v="50"/>
    <s v="Pune"/>
    <s v="Maharashtra"/>
    <x v="2"/>
    <s v="Dr. Manoj"/>
    <s v="N39"/>
    <s v="Minor Surgery"/>
    <s v="OPD"/>
    <n v="369"/>
    <s v="Insurance"/>
    <s v="Yes"/>
    <m/>
    <n v="14"/>
    <s v="Middle-Aged"/>
    <s v="Low"/>
    <s v="Short Days"/>
    <m/>
    <m/>
    <m/>
    <m/>
    <m/>
    <m/>
  </r>
  <r>
    <s v="VIS202585"/>
    <d v="2024-01-26T00:00:00"/>
    <s v="PAT5916"/>
    <s v="Aditya Reddy"/>
    <s v="Female"/>
    <n v="48"/>
    <s v="Madurai"/>
    <s v="Tamil Nadu"/>
    <x v="8"/>
    <s v="Dr. Kavitha"/>
    <s v="M54"/>
    <s v="Physiotherapy"/>
    <s v="Teleconsultation"/>
    <n v="6365.66"/>
    <s v="Insurance"/>
    <s v="Yes"/>
    <m/>
    <m/>
    <s v="Middle-Aged"/>
    <s v="Medium"/>
    <s v="Short Days"/>
    <m/>
    <m/>
    <m/>
    <m/>
    <m/>
    <m/>
  </r>
  <r>
    <s v="VIS202373"/>
    <d v="2025-10-20T00:00:00"/>
    <s v="PAT5888"/>
    <s v="Aditya Das"/>
    <s v="Male"/>
    <n v="21"/>
    <s v="Coimbatore"/>
    <s v="Tamil Nadu"/>
    <x v="8"/>
    <s v="Dr. Kavitha"/>
    <s v="H10"/>
    <s v="Prescription Refill"/>
    <s v="OPD"/>
    <n v="6406.51"/>
    <s v="Debit Card"/>
    <s v="No"/>
    <m/>
    <n v="30"/>
    <s v="Adult"/>
    <s v="Medium"/>
    <s v="Short Days"/>
    <m/>
    <m/>
    <m/>
    <m/>
    <m/>
    <m/>
  </r>
  <r>
    <s v="VIS202530"/>
    <d v="2024-05-16T00:00:00"/>
    <s v="PAT5596"/>
    <s v="Ishaan Sharma"/>
    <s v="Female"/>
    <n v="30"/>
    <s v="Jaipur"/>
    <s v="Rajasthan"/>
    <x v="6"/>
    <s v="Dr. Priya"/>
    <s v="H10"/>
    <s v="Observation"/>
    <s v="Teleconsultation"/>
    <n v="12621.5"/>
    <s v="Debit Card"/>
    <s v="No"/>
    <m/>
    <n v="14"/>
    <s v="Adult"/>
    <s v="High"/>
    <s v="Short Days"/>
    <m/>
    <m/>
    <m/>
    <m/>
    <m/>
    <m/>
  </r>
  <r>
    <s v="VIS202069"/>
    <d v="2024-09-15T00:00:00"/>
    <s v="PAT5817"/>
    <s v="Aishwarya Jose"/>
    <s v="Female"/>
    <n v="65"/>
    <s v="Mumbai"/>
    <s v="Maharashtra"/>
    <x v="5"/>
    <s v="Dr. Karthik"/>
    <s v="I10"/>
    <s v="Counselling"/>
    <s v="OPD"/>
    <n v="4156.05"/>
    <s v="Cash"/>
    <s v="No"/>
    <m/>
    <m/>
    <s v="Senior"/>
    <s v="Low"/>
    <s v="Short Days"/>
    <m/>
    <m/>
    <m/>
    <m/>
    <m/>
    <m/>
  </r>
  <r>
    <s v="VIS201408"/>
    <d v="2025-07-22T00:00:00"/>
    <s v="PAT6514"/>
    <s v="Ishaan Mishra"/>
    <s v="Female"/>
    <n v="10"/>
    <s v="Coimbatore"/>
    <s v="Tamil Nadu"/>
    <x v="5"/>
    <s v="Dr. Ravi"/>
    <s v="H10"/>
    <s v="Minor Procedure"/>
    <s v="Teleconsultation"/>
    <n v="8969.58"/>
    <s v="Insurance"/>
    <s v="Yes"/>
    <m/>
    <n v="90"/>
    <s v="Child"/>
    <s v="Medium"/>
    <s v="Short Days"/>
    <m/>
    <m/>
    <m/>
    <m/>
    <m/>
    <m/>
  </r>
  <r>
    <s v="VIS200614"/>
    <d v="2024-10-15T00:00:00"/>
    <s v="PAT5606"/>
    <s v="Aishwarya Sharma"/>
    <s v="Female"/>
    <n v="55"/>
    <s v="Delhi"/>
    <s v="Delhi"/>
    <x v="0"/>
    <s v="Dr. Shailesh"/>
    <s v="I10"/>
    <s v="Counselling"/>
    <s v="OPD"/>
    <n v="906.14"/>
    <s v="Insurance"/>
    <s v="Yes"/>
    <m/>
    <n v="14"/>
    <s v="Middle-Aged"/>
    <s v="Low"/>
    <s v="Short Days"/>
    <m/>
    <m/>
    <m/>
    <m/>
    <m/>
    <m/>
  </r>
  <r>
    <s v="VIS202801"/>
    <d v="2024-02-16T00:00:00"/>
    <s v="PAT5210"/>
    <s v="Siddharth Reddy"/>
    <s v="Female"/>
    <n v="36"/>
    <s v="Kochi"/>
    <s v="Kerala"/>
    <x v="0"/>
    <s v="Dr. Shailesh"/>
    <s v="E11"/>
    <s v="Minor Procedure"/>
    <s v="Emergency"/>
    <n v="6761.83"/>
    <s v="Net Banking"/>
    <s v="No"/>
    <m/>
    <m/>
    <s v="Adult"/>
    <s v="Medium"/>
    <s v="Short Days"/>
    <m/>
    <m/>
    <m/>
    <m/>
    <m/>
    <m/>
  </r>
  <r>
    <s v="VIS200223"/>
    <d v="2025-07-24T00:00:00"/>
    <s v="PAT5134"/>
    <s v="Aarav Mishra"/>
    <s v="Male"/>
    <n v="48"/>
    <s v="Kolkata"/>
    <s v="West Bengal"/>
    <x v="8"/>
    <s v="Dr. Sneha"/>
    <s v="I10"/>
    <s v="Physiotherapy"/>
    <s v="IPD"/>
    <n v="10222.94"/>
    <s v="Insurance"/>
    <s v="Yes"/>
    <n v="10"/>
    <n v="7"/>
    <s v="Middle-Aged"/>
    <s v="High"/>
    <s v="Long Days"/>
    <m/>
    <m/>
    <m/>
    <m/>
    <m/>
    <m/>
  </r>
  <r>
    <s v="VIS201309"/>
    <d v="2025-01-01T00:00:00"/>
    <s v="PAT5526"/>
    <s v="Rohan Nagar"/>
    <s v="Male"/>
    <n v="36"/>
    <s v="Lucknow"/>
    <s v="Uttar Pradesh"/>
    <x v="5"/>
    <s v="Dr. Meena"/>
    <s v="E11"/>
    <s v="Minor Procedure"/>
    <s v="OPD"/>
    <n v="1168.42"/>
    <s v="Insurance"/>
    <s v="Yes"/>
    <m/>
    <n v="14"/>
    <s v="Adult"/>
    <s v="Low"/>
    <s v="Short Days"/>
    <m/>
    <m/>
    <m/>
    <m/>
    <m/>
    <m/>
  </r>
  <r>
    <s v="VIS200476"/>
    <d v="2024-11-18T00:00:00"/>
    <s v="PAT5009"/>
    <s v="Aarav Jose"/>
    <s v="Female"/>
    <n v="46"/>
    <s v="Trichy"/>
    <s v="Tamil Nadu"/>
    <x v="7"/>
    <s v="Dr. Leela"/>
    <s v="J00"/>
    <s v="Surgery"/>
    <s v="OPD"/>
    <n v="715.97"/>
    <s v="Insurance"/>
    <s v="Yes"/>
    <m/>
    <n v="90"/>
    <s v="Middle-Aged"/>
    <s v="Low"/>
    <s v="Short Days"/>
    <m/>
    <m/>
    <m/>
    <m/>
    <m/>
    <m/>
  </r>
  <r>
    <s v="VIS200374"/>
    <d v="2024-07-10T00:00:00"/>
    <s v="PAT6954"/>
    <s v="Rahul Reddy"/>
    <s v="Male"/>
    <n v="31"/>
    <s v="Pune"/>
    <s v="Maharashtra"/>
    <x v="3"/>
    <s v="Dr. Anand"/>
    <s v="M54"/>
    <s v="Physiotherapy"/>
    <s v="OPD"/>
    <n v="2880.28"/>
    <s v="Cash"/>
    <s v="No"/>
    <m/>
    <n v="7"/>
    <s v="Adult"/>
    <s v="Low"/>
    <s v="Short Days"/>
    <m/>
    <m/>
    <m/>
    <m/>
    <m/>
    <m/>
  </r>
  <r>
    <s v="VIS201888"/>
    <d v="2024-01-09T00:00:00"/>
    <s v="PAT6377"/>
    <s v="Karthik Gupta"/>
    <s v="Male"/>
    <n v="69"/>
    <s v="Kochi"/>
    <s v="Kerala"/>
    <x v="6"/>
    <s v="Dr. Priya"/>
    <s v="I10"/>
    <s v="Medication"/>
    <s v="OPD"/>
    <n v="1827.39"/>
    <s v="UPI"/>
    <s v="No"/>
    <m/>
    <n v="14"/>
    <s v="Senior"/>
    <s v="Low"/>
    <s v="Short Days"/>
    <m/>
    <m/>
    <m/>
    <m/>
    <m/>
    <m/>
  </r>
  <r>
    <s v="VIS202176"/>
    <d v="2024-02-20T00:00:00"/>
    <s v="PAT5132"/>
    <s v="Sangeetha Jose"/>
    <s v="Male"/>
    <n v="29"/>
    <s v="Ahmedabad"/>
    <s v="Gujarat"/>
    <x v="8"/>
    <s v="Dr. Kavitha"/>
    <s v="K21"/>
    <s v="Physiotherapy"/>
    <s v="OPD"/>
    <n v="1275.77"/>
    <s v="Credit Card"/>
    <s v="No"/>
    <m/>
    <n v="7"/>
    <s v="Adult"/>
    <s v="Low"/>
    <s v="Short Days"/>
    <m/>
    <m/>
    <m/>
    <m/>
    <m/>
    <m/>
  </r>
  <r>
    <s v="VIS201345"/>
    <d v="2025-05-23T00:00:00"/>
    <s v="PAT5002"/>
    <s v="Aditya Mishra"/>
    <s v="Female"/>
    <n v="55"/>
    <s v="Bengaluru"/>
    <s v="Karnataka"/>
    <x v="2"/>
    <s v="Dr. Manoj"/>
    <s v="H10"/>
    <s v="Medication"/>
    <s v="OPD"/>
    <n v="1890.68"/>
    <s v="Insurance"/>
    <s v="Yes"/>
    <m/>
    <n v="30"/>
    <s v="Middle-Aged"/>
    <s v="Low"/>
    <s v="Short Days"/>
    <m/>
    <m/>
    <m/>
    <m/>
    <m/>
    <m/>
  </r>
  <r>
    <s v="VIS200929"/>
    <d v="2024-03-22T00:00:00"/>
    <s v="PAT5184"/>
    <s v="Aditya Kumar"/>
    <s v="Male"/>
    <n v="14"/>
    <s v="Kolkata"/>
    <s v="West Bengal"/>
    <x v="2"/>
    <s v="Dr. Ramesh"/>
    <s v="M54"/>
    <s v="Minor Procedure"/>
    <s v="OPD"/>
    <n v="9468.16"/>
    <s v="Insurance"/>
    <s v="Yes"/>
    <m/>
    <m/>
    <s v="Child"/>
    <s v="Medium"/>
    <s v="Short Days"/>
    <m/>
    <m/>
    <m/>
    <m/>
    <m/>
    <m/>
  </r>
  <r>
    <s v="VIS201407"/>
    <d v="2024-02-22T00:00:00"/>
    <s v="PAT5089"/>
    <s v="Karthik Bose"/>
    <s v="Female"/>
    <n v="53"/>
    <s v="Madurai"/>
    <s v="Tamil Nadu"/>
    <x v="0"/>
    <s v="Dr. Shailesh"/>
    <s v="N39"/>
    <s v="Surgery"/>
    <s v="OPD"/>
    <n v="2392.7199999999998"/>
    <s v="Insurance"/>
    <s v="Yes"/>
    <m/>
    <n v="30"/>
    <s v="Middle-Aged"/>
    <s v="Low"/>
    <s v="Short Days"/>
    <m/>
    <m/>
    <m/>
    <m/>
    <m/>
    <m/>
  </r>
  <r>
    <s v="VIS200997"/>
    <d v="2024-06-09T00:00:00"/>
    <s v="PAT5958"/>
    <s v="Aarav Bose"/>
    <s v="Female"/>
    <n v="33"/>
    <s v="Bengaluru"/>
    <s v="Karnataka"/>
    <x v="4"/>
    <s v="Dr. Varun"/>
    <s v="K21"/>
    <s v="Minor Procedure"/>
    <s v="OPD"/>
    <n v="1411.79"/>
    <s v="Insurance"/>
    <s v="Yes"/>
    <m/>
    <n v="30"/>
    <s v="Adult"/>
    <s v="Low"/>
    <s v="Short Days"/>
    <m/>
    <m/>
    <m/>
    <m/>
    <m/>
    <m/>
  </r>
  <r>
    <s v="VIS202128"/>
    <d v="2024-05-09T00:00:00"/>
    <s v="PAT6686"/>
    <s v="Ananya Patel"/>
    <s v="Female"/>
    <n v="23"/>
    <s v="Madurai"/>
    <s v="Tamil Nadu"/>
    <x v="3"/>
    <s v="Dr. Anand"/>
    <s v="I10"/>
    <s v="Minor Surgery"/>
    <s v="OPD"/>
    <n v="1884.24"/>
    <s v="Insurance"/>
    <s v="Yes"/>
    <m/>
    <n v="7"/>
    <s v="Adult"/>
    <s v="Low"/>
    <s v="Short Days"/>
    <m/>
    <m/>
    <m/>
    <m/>
    <m/>
    <m/>
  </r>
  <r>
    <s v="VIS202934"/>
    <d v="2025-07-24T00:00:00"/>
    <s v="PAT6508"/>
    <s v="Arjun Nair"/>
    <s v="Male"/>
    <n v="67"/>
    <s v="Delhi"/>
    <s v="Delhi"/>
    <x v="8"/>
    <s v="Dr. Kavitha"/>
    <s v="H10"/>
    <s v="Minor Surgery"/>
    <s v="OPD"/>
    <n v="593.55999999999995"/>
    <s v="Cash"/>
    <s v="No"/>
    <m/>
    <m/>
    <s v="Senior"/>
    <s v="Low"/>
    <s v="Short Days"/>
    <m/>
    <m/>
    <m/>
    <m/>
    <m/>
    <m/>
  </r>
  <r>
    <s v="VIS202906"/>
    <d v="2025-09-27T00:00:00"/>
    <s v="PAT5422"/>
    <s v="Aarav Patel"/>
    <s v="Male"/>
    <n v="55"/>
    <s v="Chennai"/>
    <s v="Tamil Nadu"/>
    <x v="0"/>
    <s v="Dr. Shailesh"/>
    <s v="F41"/>
    <s v="Physiotherapy"/>
    <s v="OPD"/>
    <n v="676.7"/>
    <s v="Net Banking"/>
    <s v="No"/>
    <m/>
    <n v="90"/>
    <s v="Middle-Aged"/>
    <s v="Low"/>
    <s v="Short Days"/>
    <m/>
    <m/>
    <m/>
    <m/>
    <m/>
    <m/>
  </r>
  <r>
    <s v="VIS202568"/>
    <d v="2025-06-30T00:00:00"/>
    <s v="PAT6151"/>
    <s v="Ishaan Patel"/>
    <s v="Female"/>
    <n v="0"/>
    <s v="Pune"/>
    <s v="Maharashtra"/>
    <x v="6"/>
    <s v="Dr. Priya"/>
    <s v="E11"/>
    <s v="Observation"/>
    <s v="OPD"/>
    <n v="2295.77"/>
    <s v="Insurance"/>
    <s v="Yes"/>
    <m/>
    <m/>
    <s v="Child"/>
    <s v="Low"/>
    <s v="Short Days"/>
    <m/>
    <m/>
    <m/>
    <m/>
    <m/>
    <m/>
  </r>
  <r>
    <s v="VIS202811"/>
    <d v="2025-10-20T00:00:00"/>
    <s v="PAT6133"/>
    <s v="Vivaan Nagar"/>
    <s v="Female"/>
    <n v="56"/>
    <s v="Trichy"/>
    <s v="Tamil Nadu"/>
    <x v="8"/>
    <s v="Dr. Sneha"/>
    <s v="N39"/>
    <s v="Medication"/>
    <s v="OPD"/>
    <n v="16058.89"/>
    <s v="Debit Card"/>
    <s v="No"/>
    <m/>
    <n v="7"/>
    <s v="Middle-Aged"/>
    <s v="High"/>
    <s v="Short Days"/>
    <m/>
    <m/>
    <m/>
    <m/>
    <m/>
    <m/>
  </r>
  <r>
    <s v="VIS202269"/>
    <d v="2025-10-21T00:00:00"/>
    <s v="PAT5588"/>
    <s v="Shruti Sharma"/>
    <s v="Female"/>
    <n v="46"/>
    <s v="Hyderabad"/>
    <s v="Telangana"/>
    <x v="0"/>
    <s v="Dr. Shailesh"/>
    <s v="L40"/>
    <s v="Minor Procedure"/>
    <s v="OPD"/>
    <n v="3957.91"/>
    <s v="Credit Card"/>
    <s v="No"/>
    <m/>
    <n v="30"/>
    <s v="Middle-Aged"/>
    <s v="Low"/>
    <s v="Short Days"/>
    <m/>
    <m/>
    <m/>
    <m/>
    <m/>
    <m/>
  </r>
  <r>
    <s v="VIS202449"/>
    <d v="2025-07-07T00:00:00"/>
    <s v="PAT6784"/>
    <s v="Shruti Bose"/>
    <s v="Female"/>
    <n v="54"/>
    <s v="Kochi"/>
    <s v="Kerala"/>
    <x v="5"/>
    <s v="Dr. Ravi"/>
    <s v="L40"/>
    <s v="Counselling"/>
    <s v="Emergency"/>
    <n v="6860.9"/>
    <s v="Cash"/>
    <s v="No"/>
    <m/>
    <n v="30"/>
    <s v="Middle-Aged"/>
    <s v="Medium"/>
    <s v="Short Days"/>
    <m/>
    <m/>
    <m/>
    <m/>
    <m/>
    <m/>
  </r>
  <r>
    <s v="VIS202513"/>
    <d v="2024-06-13T00:00:00"/>
    <s v="PAT5318"/>
    <s v="Aditya Jose"/>
    <s v="Male"/>
    <n v="28"/>
    <s v="Jaipur"/>
    <s v="Rajasthan"/>
    <x v="0"/>
    <s v="Dr. Nikhil"/>
    <s v="H10"/>
    <s v="Surgery"/>
    <s v="OPD"/>
    <n v="273.35000000000002"/>
    <s v="UPI"/>
    <s v="No"/>
    <m/>
    <m/>
    <s v="Adult"/>
    <s v="Low"/>
    <s v="Short Days"/>
    <m/>
    <m/>
    <m/>
    <m/>
    <m/>
    <m/>
  </r>
  <r>
    <s v="VIS200027"/>
    <d v="2025-08-06T00:00:00"/>
    <s v="PAT5886"/>
    <s v="Aishwarya Khan"/>
    <s v="Male"/>
    <n v="71"/>
    <s v="Jaipur"/>
    <s v="Rajasthan"/>
    <x v="2"/>
    <s v="Dr. Manoj"/>
    <s v="M54"/>
    <s v="Surgery"/>
    <s v="Emergency"/>
    <n v="10614.87"/>
    <s v="Cash"/>
    <s v="No"/>
    <m/>
    <n v="14"/>
    <s v="Senior"/>
    <s v="High"/>
    <s v="Short Days"/>
    <m/>
    <m/>
    <m/>
    <m/>
    <m/>
    <m/>
  </r>
  <r>
    <s v="VIS201644"/>
    <d v="2025-03-07T00:00:00"/>
    <s v="PAT5644"/>
    <s v="Manisha Sharma"/>
    <s v="Female"/>
    <n v="49"/>
    <s v="Hyderabad"/>
    <s v="Telangana"/>
    <x v="3"/>
    <s v="Dr. Pallavi"/>
    <s v="F41"/>
    <s v="Surgery"/>
    <s v="Teleconsultation"/>
    <n v="14210.73"/>
    <s v="Insurance"/>
    <s v="Yes"/>
    <m/>
    <m/>
    <s v="Middle-Aged"/>
    <s v="High"/>
    <s v="Short Days"/>
    <m/>
    <m/>
    <m/>
    <m/>
    <m/>
    <m/>
  </r>
  <r>
    <s v="VIS201092"/>
    <d v="2024-10-06T00:00:00"/>
    <s v="PAT5621"/>
    <s v="Arjun Kumar"/>
    <s v="Male"/>
    <n v="46"/>
    <s v="Jaipur"/>
    <s v="Rajasthan"/>
    <x v="2"/>
    <s v="Dr. Manoj"/>
    <s v="J00"/>
    <s v="Prescription Refill"/>
    <s v="OPD"/>
    <n v="4436.63"/>
    <s v="Cash"/>
    <s v="No"/>
    <m/>
    <m/>
    <s v="Middle-Aged"/>
    <s v="Low"/>
    <s v="Short Days"/>
    <m/>
    <m/>
    <m/>
    <m/>
    <m/>
    <m/>
  </r>
  <r>
    <s v="VIS200233"/>
    <d v="2025-10-28T00:00:00"/>
    <s v="PAT5388"/>
    <s v="Aishwarya Mishra"/>
    <s v="Female"/>
    <n v="35"/>
    <s v="Coimbatore"/>
    <s v="Tamil Nadu"/>
    <x v="3"/>
    <s v="Dr. Pallavi"/>
    <s v="I10"/>
    <s v="Surgery"/>
    <s v="OPD"/>
    <n v="1116.1500000000001"/>
    <s v="Insurance"/>
    <s v="Yes"/>
    <m/>
    <n v="30"/>
    <s v="Adult"/>
    <s v="Low"/>
    <s v="Short Days"/>
    <m/>
    <m/>
    <m/>
    <m/>
    <m/>
    <m/>
  </r>
  <r>
    <s v="VIS201807"/>
    <d v="2024-04-26T00:00:00"/>
    <s v="PAT5837"/>
    <s v="Karthik Khan"/>
    <s v="Female"/>
    <n v="30"/>
    <s v="Kochi"/>
    <s v="Kerala"/>
    <x v="7"/>
    <s v="Dr. Leela"/>
    <s v="K21"/>
    <s v="Minor Procedure"/>
    <s v="OPD"/>
    <n v="12063.45"/>
    <s v="Cash"/>
    <s v="No"/>
    <m/>
    <m/>
    <s v="Adult"/>
    <s v="High"/>
    <s v="Short Days"/>
    <m/>
    <m/>
    <m/>
    <m/>
    <m/>
    <m/>
  </r>
  <r>
    <s v="VIS201541"/>
    <d v="2024-08-10T00:00:00"/>
    <s v="PAT5369"/>
    <s v="Aditya Sharma"/>
    <s v="Male"/>
    <n v="72"/>
    <s v="Pune"/>
    <s v="Maharashtra"/>
    <x v="8"/>
    <s v="Dr. Kavitha"/>
    <s v="F41"/>
    <s v="Minor Procedure"/>
    <s v="OPD"/>
    <n v="1973.33"/>
    <s v="Credit Card"/>
    <s v="No"/>
    <m/>
    <m/>
    <s v="Senior"/>
    <s v="Low"/>
    <s v="Short Days"/>
    <m/>
    <m/>
    <m/>
    <m/>
    <m/>
    <m/>
  </r>
  <r>
    <s v="VIS202073"/>
    <d v="2025-07-02T00:00:00"/>
    <s v="PAT5633"/>
    <s v="Anil Nagar"/>
    <s v="Female"/>
    <n v="37"/>
    <s v="Lucknow"/>
    <s v="Uttar Pradesh"/>
    <x v="9"/>
    <s v="Dr. Kusum"/>
    <s v="H10"/>
    <s v="Minor Procedure"/>
    <s v="OPD"/>
    <n v="5672.66"/>
    <s v="Net Banking"/>
    <s v="No"/>
    <m/>
    <m/>
    <s v="Adult"/>
    <s v="Medium"/>
    <s v="Short Days"/>
    <m/>
    <m/>
    <m/>
    <m/>
    <m/>
    <m/>
  </r>
  <r>
    <s v="VIS202391"/>
    <d v="2024-05-10T00:00:00"/>
    <s v="PAT6113"/>
    <s v="Manisha Singh"/>
    <s v="Male"/>
    <n v="55"/>
    <s v="Ahmedabad"/>
    <s v="Gujarat"/>
    <x v="0"/>
    <s v="Dr. Nikhil"/>
    <s v="E11"/>
    <s v="Observation"/>
    <s v="IPD"/>
    <n v="11577.41"/>
    <s v="Debit Card"/>
    <s v="No"/>
    <n v="9"/>
    <m/>
    <s v="Middle-Aged"/>
    <s v="High"/>
    <s v="Long Days"/>
    <m/>
    <m/>
    <m/>
    <m/>
    <m/>
    <m/>
  </r>
  <r>
    <s v="VIS202875"/>
    <d v="2024-03-01T00:00:00"/>
    <s v="PAT6873"/>
    <s v="Manisha Das"/>
    <s v="Male"/>
    <n v="67"/>
    <s v="Chennai"/>
    <s v="Tamil Nadu"/>
    <x v="5"/>
    <s v="Dr. Meena"/>
    <s v="I10"/>
    <s v="Surgery"/>
    <s v="OPD"/>
    <n v="6545.75"/>
    <s v="Insurance"/>
    <s v="Yes"/>
    <m/>
    <n v="14"/>
    <s v="Senior"/>
    <s v="Medium"/>
    <s v="Short Days"/>
    <m/>
    <m/>
    <m/>
    <m/>
    <m/>
    <m/>
  </r>
  <r>
    <s v="VIS200774"/>
    <d v="2024-06-01T00:00:00"/>
    <s v="PAT5255"/>
    <s v="Vishal Bose"/>
    <s v="Female"/>
    <n v="36"/>
    <s v="Pune"/>
    <s v="Maharashtra"/>
    <x v="3"/>
    <s v="Dr. Pallavi"/>
    <s v="N39"/>
    <s v="Minor Surgery"/>
    <s v="IPD"/>
    <n v="6341.75"/>
    <s v="Insurance"/>
    <s v="Yes"/>
    <n v="5"/>
    <m/>
    <s v="Adult"/>
    <s v="Medium"/>
    <s v="Short Days"/>
    <m/>
    <m/>
    <m/>
    <m/>
    <m/>
    <m/>
  </r>
  <r>
    <s v="VIS201582"/>
    <d v="2024-04-20T00:00:00"/>
    <s v="PAT5889"/>
    <s v="Ananya Singh"/>
    <s v="Male"/>
    <n v="75"/>
    <s v="Bengaluru"/>
    <s v="Karnataka"/>
    <x v="2"/>
    <s v="Dr. Manoj"/>
    <s v="J45"/>
    <s v="Surgery"/>
    <s v="Teleconsultation"/>
    <n v="6188.14"/>
    <s v="Cash"/>
    <s v="No"/>
    <m/>
    <n v="30"/>
    <s v="Senior"/>
    <s v="Medium"/>
    <s v="Short Days"/>
    <m/>
    <m/>
    <m/>
    <m/>
    <m/>
    <m/>
  </r>
  <r>
    <s v="VIS200464"/>
    <d v="2024-03-19T00:00:00"/>
    <s v="PAT5656"/>
    <s v="Sangeetha Reddy"/>
    <s v="Male"/>
    <n v="19"/>
    <s v="Bengaluru"/>
    <s v="Karnataka"/>
    <x v="4"/>
    <s v="Dr. Varun"/>
    <s v="F41"/>
    <s v="Minor Procedure"/>
    <s v="OPD"/>
    <n v="6390.77"/>
    <s v="UPI"/>
    <s v="No"/>
    <m/>
    <m/>
    <s v="Adult"/>
    <s v="Medium"/>
    <s v="Short Days"/>
    <m/>
    <m/>
    <m/>
    <m/>
    <m/>
    <m/>
  </r>
  <r>
    <s v="VIS202335"/>
    <d v="2025-10-27T00:00:00"/>
    <s v="PAT6405"/>
    <s v="Vivaan Singh"/>
    <s v="Male"/>
    <n v="41"/>
    <s v="Kochi"/>
    <s v="Kerala"/>
    <x v="1"/>
    <s v="Dr. Anu"/>
    <s v="F41"/>
    <s v="Prescription Refill"/>
    <s v="Teleconsultation"/>
    <n v="5422.39"/>
    <s v="Cash"/>
    <s v="No"/>
    <m/>
    <n v="30"/>
    <s v="Middle-Aged"/>
    <s v="Medium"/>
    <s v="Short Days"/>
    <m/>
    <m/>
    <m/>
    <m/>
    <m/>
    <m/>
  </r>
  <r>
    <s v="VIS200079"/>
    <d v="2024-04-02T00:00:00"/>
    <s v="PAT5839"/>
    <s v="Manisha Nair"/>
    <s v="Female"/>
    <n v="66"/>
    <s v="Bengaluru"/>
    <s v="Karnataka"/>
    <x v="2"/>
    <s v="Dr. Ramesh"/>
    <s v="K21"/>
    <s v="Physiotherapy"/>
    <s v="OPD"/>
    <n v="6067.1"/>
    <s v="Insurance"/>
    <s v="Yes"/>
    <m/>
    <m/>
    <s v="Senior"/>
    <s v="Medium"/>
    <s v="Short Days"/>
    <m/>
    <m/>
    <m/>
    <m/>
    <m/>
    <m/>
  </r>
  <r>
    <s v="VIS201642"/>
    <d v="2025-01-20T00:00:00"/>
    <s v="PAT6606"/>
    <s v="Vivaan Patel"/>
    <s v="Other"/>
    <n v="41"/>
    <s v="Kochi"/>
    <s v="Kerala"/>
    <x v="9"/>
    <s v="Dr. Kusum"/>
    <s v="M54"/>
    <s v="Physiotherapy"/>
    <s v="OPD"/>
    <n v="1904.64"/>
    <s v="Debit Card"/>
    <s v="No"/>
    <m/>
    <m/>
    <s v="Middle-Aged"/>
    <s v="Low"/>
    <s v="Short Days"/>
    <m/>
    <m/>
    <m/>
    <m/>
    <m/>
    <m/>
  </r>
  <r>
    <s v="VIS201111"/>
    <d v="2025-10-19T00:00:00"/>
    <s v="PAT6067"/>
    <s v="Rohan Sharma"/>
    <s v="Female"/>
    <n v="54"/>
    <s v="Delhi"/>
    <s v="Tamil Nadu"/>
    <x v="9"/>
    <s v="Dr. Arvind"/>
    <s v="Z111"/>
    <s v="Medication"/>
    <s v="IPD"/>
    <n v="10198.14"/>
    <s v="Credit Card"/>
    <s v="No"/>
    <n v="5"/>
    <n v="90"/>
    <s v="Middle-Aged"/>
    <s v="High"/>
    <s v="Short Days"/>
    <m/>
    <m/>
    <m/>
    <m/>
    <m/>
    <m/>
  </r>
  <r>
    <s v="VIS201853"/>
    <d v="2024-05-26T00:00:00"/>
    <s v="PAT6626"/>
    <s v="Kavya Nagar"/>
    <s v="Female"/>
    <n v="45"/>
    <s v="Delhi"/>
    <s v="Tamil Nadu"/>
    <x v="2"/>
    <s v="Dr. Ramesh"/>
    <s v="Z111"/>
    <s v="Minor Surgery"/>
    <s v="OPD"/>
    <n v="15177.72"/>
    <s v="Insurance"/>
    <s v="Yes"/>
    <m/>
    <n v="14"/>
    <s v="Middle-Aged"/>
    <s v="High"/>
    <s v="Short Days"/>
    <m/>
    <m/>
    <m/>
    <m/>
    <m/>
    <m/>
  </r>
  <r>
    <s v="VIS200415"/>
    <d v="2024-05-24T00:00:00"/>
    <s v="PAT5046"/>
    <s v="Anil Bose"/>
    <s v="Male"/>
    <n v="42"/>
    <s v="Kolkata"/>
    <s v="West Bengal"/>
    <x v="4"/>
    <s v="Dr. Bhavana"/>
    <s v="J00"/>
    <s v="Physiotherapy"/>
    <s v="Teleconsultation"/>
    <n v="19825.04"/>
    <s v="Net Banking"/>
    <s v="No"/>
    <m/>
    <n v="90"/>
    <s v="Middle-Aged"/>
    <s v="High"/>
    <s v="Short Days"/>
    <m/>
    <m/>
    <m/>
    <m/>
    <m/>
    <m/>
  </r>
  <r>
    <s v="VIS202493"/>
    <d v="2024-11-15T00:00:00"/>
    <s v="PAT6077"/>
    <s v="Aishwarya Jose"/>
    <s v="Female"/>
    <n v="48"/>
    <s v="Noida"/>
    <s v="Uttar Pradesh"/>
    <x v="2"/>
    <s v="Dr. Ramesh"/>
    <s v="M54"/>
    <s v="Minor Procedure"/>
    <s v="OPD"/>
    <n v="2614.73"/>
    <s v="Cash"/>
    <s v="No"/>
    <m/>
    <n v="7"/>
    <s v="Middle-Aged"/>
    <s v="Low"/>
    <s v="Short Days"/>
    <m/>
    <m/>
    <m/>
    <m/>
    <m/>
    <m/>
  </r>
  <r>
    <s v="VIS200606"/>
    <d v="2024-02-15T00:00:00"/>
    <s v="PAT5050"/>
    <s v="Kavya Kumar"/>
    <s v="Female"/>
    <n v="33"/>
    <s v="Bengaluru"/>
    <s v="Karnataka"/>
    <x v="8"/>
    <s v="Dr. Sneha"/>
    <s v="E11"/>
    <s v="Prescription Refill"/>
    <s v="OPD"/>
    <n v="711.66"/>
    <s v="Cash"/>
    <s v="No"/>
    <m/>
    <n v="7"/>
    <s v="Adult"/>
    <s v="Low"/>
    <s v="Short Days"/>
    <m/>
    <m/>
    <m/>
    <m/>
    <m/>
    <m/>
  </r>
  <r>
    <s v="VIS202501"/>
    <d v="2024-10-31T00:00:00"/>
    <s v="PAT5133"/>
    <s v="Manisha Nair"/>
    <s v="Male"/>
    <n v="71"/>
    <s v="Delhi"/>
    <s v="Delhi"/>
    <x v="0"/>
    <s v="Dr. Nikhil"/>
    <s v="K21"/>
    <s v="Minor Procedure"/>
    <s v="OPD"/>
    <n v="9208.61"/>
    <s v="Cash"/>
    <s v="No"/>
    <m/>
    <n v="7"/>
    <s v="Senior"/>
    <s v="Medium"/>
    <s v="Short Days"/>
    <m/>
    <m/>
    <m/>
    <m/>
    <m/>
    <m/>
  </r>
  <r>
    <s v="VIS201607"/>
    <d v="2025-06-27T00:00:00"/>
    <s v="PAT5450"/>
    <s v="Aarav Singh"/>
    <s v="Female"/>
    <n v="0"/>
    <s v="Kochi"/>
    <s v="Kerala"/>
    <x v="6"/>
    <s v="Dr. Lalitha"/>
    <s v="J00"/>
    <s v="Physiotherapy"/>
    <s v="Teleconsultation"/>
    <n v="12252.79"/>
    <s v="Insurance"/>
    <s v="Yes"/>
    <m/>
    <m/>
    <s v="Child"/>
    <s v="High"/>
    <s v="Short Days"/>
    <m/>
    <m/>
    <m/>
    <m/>
    <m/>
    <m/>
  </r>
  <r>
    <s v="VIS200723"/>
    <d v="2024-03-27T00:00:00"/>
    <s v="PAT5950"/>
    <s v="Shruti Mishra"/>
    <s v="Female"/>
    <n v="33"/>
    <s v="Trichy"/>
    <s v="Tamil Nadu"/>
    <x v="1"/>
    <s v="Dr. Anu"/>
    <s v="E11"/>
    <s v="Counselling"/>
    <s v="OPD"/>
    <n v="6633.01"/>
    <s v="Cash"/>
    <s v="No"/>
    <m/>
    <m/>
    <s v="Adult"/>
    <s v="Medium"/>
    <s v="Short Days"/>
    <m/>
    <m/>
    <m/>
    <m/>
    <m/>
    <m/>
  </r>
  <r>
    <s v="VIS202698"/>
    <d v="2025-04-09T00:00:00"/>
    <s v="PAT6039"/>
    <s v="Neha Nair"/>
    <s v="Female"/>
    <n v="48"/>
    <s v="Ahmedabad"/>
    <s v="Gujarat"/>
    <x v="4"/>
    <s v="Dr. Varun"/>
    <s v="N39"/>
    <s v="Surgery"/>
    <s v="Emergency"/>
    <n v="17689.52"/>
    <s v="UPI"/>
    <s v="No"/>
    <m/>
    <n v="14"/>
    <s v="Middle-Aged"/>
    <s v="High"/>
    <s v="Short Days"/>
    <m/>
    <m/>
    <m/>
    <m/>
    <m/>
    <m/>
  </r>
  <r>
    <s v="VIS200100"/>
    <d v="2024-04-22T00:00:00"/>
    <s v="PAT5037"/>
    <s v="Deepa Kumar"/>
    <s v="Female"/>
    <n v="57"/>
    <s v="Madurai"/>
    <s v="Tamil Nadu"/>
    <x v="5"/>
    <s v="Dr. Meena"/>
    <s v="I10"/>
    <s v="Minor Procedure"/>
    <s v="Teleconsultation"/>
    <n v="6651.1"/>
    <s v="Cash"/>
    <s v="No"/>
    <m/>
    <n v="30"/>
    <s v="Middle-Aged"/>
    <s v="Medium"/>
    <s v="Short Days"/>
    <m/>
    <m/>
    <m/>
    <m/>
    <m/>
    <m/>
  </r>
  <r>
    <s v="VIS202232"/>
    <d v="2024-07-16T00:00:00"/>
    <s v="PAT5771"/>
    <s v="Aarav Patel"/>
    <s v="Male"/>
    <n v="32"/>
    <s v="Hyderabad"/>
    <s v="Telangana"/>
    <x v="1"/>
    <s v="Dr. Anu"/>
    <s v="H10"/>
    <s v="Counselling"/>
    <s v="Teleconsultation"/>
    <n v="6243.94"/>
    <s v="UPI"/>
    <s v="No"/>
    <m/>
    <n v="14"/>
    <s v="Adult"/>
    <s v="Medium"/>
    <s v="Short Days"/>
    <m/>
    <m/>
    <m/>
    <m/>
    <m/>
    <m/>
  </r>
  <r>
    <s v="VIS202565"/>
    <d v="2024-10-05T00:00:00"/>
    <s v="PAT5844"/>
    <s v="Manisha Kumar"/>
    <s v="Male"/>
    <n v="37"/>
    <s v="Kolkata"/>
    <s v="West Bengal"/>
    <x v="0"/>
    <s v="Dr. Shailesh"/>
    <s v="I10"/>
    <s v="Counselling"/>
    <s v="IPD"/>
    <n v="5686.08"/>
    <s v="Insurance"/>
    <s v="Yes"/>
    <n v="6"/>
    <n v="90"/>
    <s v="Adult"/>
    <s v="Medium"/>
    <s v="Long Days"/>
    <m/>
    <m/>
    <m/>
    <m/>
    <m/>
    <m/>
  </r>
  <r>
    <s v="VIS201902"/>
    <d v="2025-09-14T00:00:00"/>
    <s v="PAT6268"/>
    <s v="Manisha Iyer"/>
    <s v="Female"/>
    <n v="54"/>
    <s v="Hyderabad"/>
    <s v="Telangana"/>
    <x v="4"/>
    <s v="Dr. Bhavana"/>
    <s v="J45"/>
    <s v="Prescription Refill"/>
    <s v="Teleconsultation"/>
    <n v="5731.98"/>
    <s v="Credit Card"/>
    <s v="No"/>
    <m/>
    <m/>
    <s v="Middle-Aged"/>
    <s v="Medium"/>
    <s v="Short Days"/>
    <m/>
    <m/>
    <m/>
    <m/>
    <m/>
    <m/>
  </r>
  <r>
    <s v="VIS201802"/>
    <d v="2024-07-26T00:00:00"/>
    <s v="PAT6046"/>
    <s v="Neha Gupta"/>
    <s v="Male"/>
    <n v="41"/>
    <s v="Trichy"/>
    <s v="Tamil Nadu"/>
    <x v="9"/>
    <s v="Dr. Kusum"/>
    <s v="M54"/>
    <s v="Physiotherapy"/>
    <s v="OPD"/>
    <n v="958.3"/>
    <s v="Cash"/>
    <s v="No"/>
    <m/>
    <n v="7"/>
    <s v="Middle-Aged"/>
    <s v="Low"/>
    <s v="Short Days"/>
    <m/>
    <m/>
    <m/>
    <m/>
    <m/>
    <m/>
  </r>
  <r>
    <s v="VIS201764"/>
    <d v="2025-07-15T00:00:00"/>
    <s v="PAT5214"/>
    <s v="Karthik Kumar"/>
    <s v="Female"/>
    <n v="23"/>
    <s v="Noida"/>
    <s v="Uttar Pradesh"/>
    <x v="2"/>
    <s v="Dr. Manoj"/>
    <s v="M54"/>
    <s v="Minor Surgery"/>
    <s v="OPD"/>
    <n v="7462.2"/>
    <s v="Insurance"/>
    <s v="Yes"/>
    <m/>
    <n v="30"/>
    <s v="Adult"/>
    <s v="Medium"/>
    <s v="Short Days"/>
    <m/>
    <m/>
    <m/>
    <m/>
    <m/>
    <m/>
  </r>
  <r>
    <s v="VIS201263"/>
    <d v="2025-06-21T00:00:00"/>
    <s v="PAT5086"/>
    <s v="Arjun Singh"/>
    <s v="Female"/>
    <n v="39"/>
    <s v="Kolkata"/>
    <s v="West Bengal"/>
    <x v="2"/>
    <s v="Dr. Manoj"/>
    <s v="H10"/>
    <s v="Observation"/>
    <s v="OPD"/>
    <n v="961.17"/>
    <s v="Debit Card"/>
    <s v="No"/>
    <m/>
    <m/>
    <s v="Adult"/>
    <s v="Low"/>
    <s v="Short Days"/>
    <m/>
    <m/>
    <m/>
    <m/>
    <m/>
    <m/>
  </r>
  <r>
    <s v="VIS201161"/>
    <d v="2024-10-24T00:00:00"/>
    <s v="PAT6713"/>
    <s v="Rohan Gupta"/>
    <s v="Male"/>
    <n v="49"/>
    <s v="Chennai"/>
    <s v="Tamil Nadu"/>
    <x v="3"/>
    <s v="Dr. Anand"/>
    <s v="H10"/>
    <s v="Physiotherapy"/>
    <s v="Teleconsultation"/>
    <n v="7004.69"/>
    <s v="Credit Card"/>
    <s v="No"/>
    <m/>
    <n v="30"/>
    <s v="Middle-Aged"/>
    <s v="Medium"/>
    <s v="Short Days"/>
    <m/>
    <m/>
    <m/>
    <m/>
    <m/>
    <m/>
  </r>
  <r>
    <s v="VIS200492"/>
    <d v="2025-07-30T00:00:00"/>
    <s v="PAT6179"/>
    <s v="Arjun Iyer"/>
    <s v="Female"/>
    <n v="16"/>
    <s v="Noida"/>
    <s v="Uttar Pradesh"/>
    <x v="8"/>
    <s v="Dr. Kavitha"/>
    <s v="J00"/>
    <s v="Surgery"/>
    <s v="OPD"/>
    <n v="9912.23"/>
    <s v="UPI"/>
    <s v="No"/>
    <m/>
    <n v="30"/>
    <s v="Child"/>
    <s v="Medium"/>
    <s v="Short Days"/>
    <m/>
    <m/>
    <m/>
    <m/>
    <m/>
    <m/>
  </r>
  <r>
    <s v="VIS200744"/>
    <d v="2024-03-13T00:00:00"/>
    <s v="PAT6018"/>
    <s v="Rohan Sharma"/>
    <s v="Female"/>
    <n v="27"/>
    <s v="Mumbai"/>
    <s v="Maharashtra"/>
    <x v="0"/>
    <s v="Dr. Shailesh"/>
    <s v="J45"/>
    <s v="Surgery"/>
    <s v="Teleconsultation"/>
    <n v="5951.72"/>
    <s v="Insurance"/>
    <s v="Yes"/>
    <m/>
    <n v="90"/>
    <s v="Adult"/>
    <s v="Medium"/>
    <s v="Short Days"/>
    <m/>
    <m/>
    <m/>
    <m/>
    <m/>
    <m/>
  </r>
  <r>
    <s v="VIS200636"/>
    <d v="2024-05-14T00:00:00"/>
    <s v="PAT6922"/>
    <s v="Sangeetha Sharma"/>
    <s v="Male"/>
    <n v="0"/>
    <s v="Trichy"/>
    <s v="Tamil Nadu"/>
    <x v="4"/>
    <s v="Dr. Varun"/>
    <s v="J45"/>
    <s v="Surgery"/>
    <s v="OPD"/>
    <n v="587.41999999999996"/>
    <s v="Cash"/>
    <s v="No"/>
    <m/>
    <m/>
    <s v="Child"/>
    <s v="Low"/>
    <s v="Short Days"/>
    <m/>
    <m/>
    <m/>
    <m/>
    <m/>
    <m/>
  </r>
  <r>
    <s v="VIS201477"/>
    <d v="2024-11-06T00:00:00"/>
    <s v="PAT6885"/>
    <s v="Vivaan Nagar"/>
    <s v="Female"/>
    <n v="44"/>
    <s v="Lucknow"/>
    <s v="Uttar Pradesh"/>
    <x v="3"/>
    <s v="Dr. Anand"/>
    <s v="H10"/>
    <s v="Medication"/>
    <s v="Teleconsultation"/>
    <n v="21924.58"/>
    <s v="UPI"/>
    <s v="No"/>
    <m/>
    <n v="30"/>
    <s v="Middle-Aged"/>
    <s v="High"/>
    <s v="Short Days"/>
    <m/>
    <m/>
    <m/>
    <m/>
    <m/>
    <m/>
  </r>
  <r>
    <s v="VIS200785"/>
    <d v="2024-09-16T00:00:00"/>
    <s v="PAT5638"/>
    <s v="Kavya Patel"/>
    <s v="Female"/>
    <n v="42"/>
    <s v="Noida"/>
    <s v="Uttar Pradesh"/>
    <x v="8"/>
    <s v="Dr. Kavitha"/>
    <s v="N39"/>
    <s v="Medication"/>
    <s v="OPD"/>
    <n v="899.3"/>
    <s v="Credit Card"/>
    <s v="No"/>
    <m/>
    <n v="30"/>
    <s v="Middle-Aged"/>
    <s v="Low"/>
    <s v="Short Days"/>
    <m/>
    <m/>
    <m/>
    <m/>
    <m/>
    <m/>
  </r>
  <r>
    <s v="VIS202955"/>
    <d v="2025-06-19T00:00:00"/>
    <s v="PAT5168"/>
    <s v="Arjun Iyer"/>
    <s v="Female"/>
    <n v="31"/>
    <s v="Hyderabad"/>
    <s v="Telangana"/>
    <x v="0"/>
    <s v="Dr. Shailesh"/>
    <s v="L40"/>
    <s v="Minor Surgery"/>
    <s v="Teleconsultation"/>
    <n v="14067.96"/>
    <s v="Debit Card"/>
    <s v="No"/>
    <m/>
    <m/>
    <s v="Adult"/>
    <s v="High"/>
    <s v="Short Days"/>
    <m/>
    <m/>
    <m/>
    <m/>
    <m/>
    <m/>
  </r>
  <r>
    <s v="VIS200460"/>
    <d v="2024-09-23T00:00:00"/>
    <s v="PAT6666"/>
    <s v="Sangeetha Singh"/>
    <s v="Male"/>
    <n v="33"/>
    <s v="Ahmedabad"/>
    <s v="Gujarat"/>
    <x v="4"/>
    <s v="Dr. Bhavana"/>
    <s v="I10"/>
    <s v="Physiotherapy"/>
    <s v="OPD"/>
    <n v="9251.3700000000008"/>
    <s v="UPI"/>
    <s v="No"/>
    <m/>
    <m/>
    <s v="Adult"/>
    <s v="Medium"/>
    <s v="Short Days"/>
    <m/>
    <m/>
    <m/>
    <m/>
    <m/>
    <m/>
  </r>
  <r>
    <s v="VIS202593"/>
    <d v="2024-01-02T00:00:00"/>
    <s v="PAT5193"/>
    <s v="Aishwarya Singh"/>
    <s v="Female"/>
    <n v="46"/>
    <s v="Coimbatore"/>
    <s v="Tamil Nadu"/>
    <x v="0"/>
    <s v="Dr. Nikhil"/>
    <s v="I10"/>
    <s v="Medication"/>
    <s v="Teleconsultation"/>
    <n v="23236.5"/>
    <s v="Credit Card"/>
    <s v="No"/>
    <m/>
    <m/>
    <s v="Middle-Aged"/>
    <s v="High"/>
    <s v="Short Days"/>
    <m/>
    <m/>
    <m/>
    <m/>
    <m/>
    <m/>
  </r>
  <r>
    <s v="VIS202598"/>
    <d v="2024-02-16T00:00:00"/>
    <s v="PAT5364"/>
    <s v="Aishwarya Nair"/>
    <s v="Male"/>
    <n v="40"/>
    <s v="Madurai"/>
    <s v="Tamil Nadu"/>
    <x v="7"/>
    <s v="Dr. Leela"/>
    <s v="L40"/>
    <s v="Prescription Refill"/>
    <s v="OPD"/>
    <n v="9300.07"/>
    <s v="Insurance"/>
    <s v="Yes"/>
    <m/>
    <n v="30"/>
    <s v="Adult"/>
    <s v="Medium"/>
    <s v="Short Days"/>
    <m/>
    <m/>
    <m/>
    <m/>
    <m/>
    <m/>
  </r>
  <r>
    <s v="VIS200542"/>
    <d v="2024-07-26T00:00:00"/>
    <s v="PAT5588"/>
    <s v="Vishal Gupta"/>
    <s v="Male"/>
    <n v="51"/>
    <s v="Coimbatore"/>
    <s v="Tamil Nadu"/>
    <x v="5"/>
    <s v="Dr. Meena"/>
    <s v="I10"/>
    <s v="Minor Procedure"/>
    <s v="Teleconsultation"/>
    <n v="7982.74"/>
    <s v="Debit Card"/>
    <s v="No"/>
    <m/>
    <n v="14"/>
    <s v="Middle-Aged"/>
    <s v="Medium"/>
    <s v="Short Days"/>
    <m/>
    <m/>
    <m/>
    <m/>
    <m/>
    <m/>
  </r>
  <r>
    <s v="VIS200812"/>
    <d v="2024-03-08T00:00:00"/>
    <s v="PAT5427"/>
    <s v="Deepa Bose"/>
    <s v="Female"/>
    <n v="42"/>
    <s v="Noida"/>
    <s v="Uttar Pradesh"/>
    <x v="1"/>
    <s v="Dr. Suri"/>
    <s v="I10"/>
    <s v="Medication"/>
    <s v="OPD"/>
    <n v="3487.9"/>
    <s v="Net Banking"/>
    <s v="No"/>
    <m/>
    <n v="30"/>
    <s v="Middle-Aged"/>
    <s v="Low"/>
    <s v="Short Days"/>
    <m/>
    <m/>
    <m/>
    <m/>
    <m/>
    <m/>
  </r>
  <r>
    <s v="VIS200506"/>
    <d v="2025-02-02T00:00:00"/>
    <s v="PAT6497"/>
    <s v="Shruti Bose"/>
    <s v="Male"/>
    <n v="56"/>
    <s v="Chennai"/>
    <s v="Tamil Nadu"/>
    <x v="2"/>
    <s v="Dr. Manoj"/>
    <s v="F41"/>
    <s v="Minor Surgery"/>
    <s v="Emergency"/>
    <n v="9662.1200000000008"/>
    <s v="Insurance"/>
    <s v="Yes"/>
    <m/>
    <m/>
    <s v="Middle-Aged"/>
    <s v="Medium"/>
    <s v="Short Days"/>
    <m/>
    <m/>
    <m/>
    <m/>
    <m/>
    <m/>
  </r>
  <r>
    <s v="VIS200898"/>
    <d v="2025-01-13T00:00:00"/>
    <s v="PAT6167"/>
    <s v="Ananya Kumar"/>
    <s v="Male"/>
    <n v="16"/>
    <s v="Mumbai"/>
    <s v="Maharashtra"/>
    <x v="4"/>
    <s v="Dr. Varun"/>
    <s v="N39"/>
    <s v="Physiotherapy"/>
    <s v="OPD"/>
    <n v="6080.78"/>
    <s v="Insurance"/>
    <s v="Yes"/>
    <m/>
    <m/>
    <s v="Child"/>
    <s v="Medium"/>
    <s v="Short Days"/>
    <m/>
    <m/>
    <m/>
    <m/>
    <m/>
    <m/>
  </r>
  <r>
    <s v="VIS200332"/>
    <d v="2024-06-23T00:00:00"/>
    <s v="PAT5064"/>
    <s v="Arjun Jose"/>
    <s v="Male"/>
    <n v="56"/>
    <s v="Kolkata"/>
    <s v="West Bengal"/>
    <x v="6"/>
    <s v="Dr. Priya"/>
    <s v="H10"/>
    <s v="Counselling"/>
    <s v="OPD"/>
    <n v="280.43"/>
    <s v="UPI"/>
    <s v="No"/>
    <m/>
    <m/>
    <s v="Middle-Aged"/>
    <s v="Low"/>
    <s v="Short Days"/>
    <m/>
    <m/>
    <m/>
    <m/>
    <m/>
    <m/>
  </r>
  <r>
    <s v="VIS200283"/>
    <d v="2024-05-27T00:00:00"/>
    <s v="PAT5866"/>
    <s v="Vishal Mishra"/>
    <s v="Male"/>
    <n v="36"/>
    <s v="Jaipur"/>
    <s v="Rajasthan"/>
    <x v="1"/>
    <s v="Dr. Suri"/>
    <s v="M54"/>
    <s v="Minor Procedure"/>
    <s v="OPD"/>
    <n v="5976"/>
    <s v="Debit Card"/>
    <s v="No"/>
    <m/>
    <n v="90"/>
    <s v="Adult"/>
    <s v="Medium"/>
    <s v="Short Days"/>
    <m/>
    <m/>
    <m/>
    <m/>
    <m/>
    <m/>
  </r>
  <r>
    <s v="VIS201596"/>
    <d v="2024-12-31T00:00:00"/>
    <s v="PAT5471"/>
    <s v="Kavya Kumar"/>
    <s v="Female"/>
    <n v="34"/>
    <s v="Kolkata"/>
    <s v="West Bengal"/>
    <x v="9"/>
    <s v="Dr. Arvind"/>
    <s v="L40"/>
    <s v="Prescription Refill"/>
    <s v="OPD"/>
    <n v="9365.8799999999992"/>
    <s v="Cash"/>
    <s v="No"/>
    <m/>
    <m/>
    <s v="Adult"/>
    <s v="Medium"/>
    <s v="Short Days"/>
    <m/>
    <m/>
    <m/>
    <m/>
    <m/>
    <m/>
  </r>
  <r>
    <s v="VIS202304"/>
    <d v="2024-12-27T00:00:00"/>
    <s v="PAT5303"/>
    <s v="Aarav Patel"/>
    <s v="Female"/>
    <n v="47"/>
    <s v="Mumbai"/>
    <s v="Maharashtra"/>
    <x v="7"/>
    <s v="Dr. Surya"/>
    <s v="J00"/>
    <s v="Physiotherapy"/>
    <s v="OPD"/>
    <n v="2113.73"/>
    <s v="Debit Card"/>
    <s v="No"/>
    <m/>
    <n v="14"/>
    <s v="Middle-Aged"/>
    <s v="Low"/>
    <s v="Short Days"/>
    <m/>
    <m/>
    <m/>
    <m/>
    <m/>
    <m/>
  </r>
  <r>
    <s v="VIS202410"/>
    <d v="2024-09-30T00:00:00"/>
    <s v="PAT6992"/>
    <s v="Neha Nagar"/>
    <s v="Female"/>
    <n v="49"/>
    <s v="Chennai"/>
    <s v="Tamil Nadu"/>
    <x v="9"/>
    <s v="Dr. Arvind"/>
    <s v="I10"/>
    <s v="Medication"/>
    <s v="Teleconsultation"/>
    <n v="5656.1"/>
    <s v="UPI"/>
    <s v="No"/>
    <m/>
    <n v="7"/>
    <s v="Middle-Aged"/>
    <s v="Medium"/>
    <s v="Short Days"/>
    <m/>
    <m/>
    <m/>
    <m/>
    <m/>
    <m/>
  </r>
  <r>
    <s v="VIS202141"/>
    <d v="2025-02-24T00:00:00"/>
    <s v="PAT5133"/>
    <s v="Karthik Iyer"/>
    <s v="Female"/>
    <n v="31"/>
    <s v="Chennai"/>
    <s v="Tamil Nadu"/>
    <x v="5"/>
    <s v="Dr. Meena"/>
    <s v="H10"/>
    <s v="Observation"/>
    <s v="OPD"/>
    <n v="3677.81"/>
    <s v="UPI"/>
    <s v="No"/>
    <m/>
    <n v="14"/>
    <s v="Adult"/>
    <s v="Low"/>
    <s v="Short Days"/>
    <m/>
    <m/>
    <m/>
    <m/>
    <m/>
    <m/>
  </r>
  <r>
    <s v="VIS200186"/>
    <d v="2025-10-10T00:00:00"/>
    <s v="PAT5445"/>
    <s v="Shruti Singh"/>
    <s v="Male"/>
    <n v="38"/>
    <s v="Chennai"/>
    <s v="Tamil Nadu"/>
    <x v="2"/>
    <s v="Dr. Ramesh"/>
    <s v="I10"/>
    <s v="Counselling"/>
    <s v="OPD"/>
    <n v="3049.09"/>
    <s v="Credit Card"/>
    <s v="No"/>
    <m/>
    <m/>
    <s v="Adult"/>
    <s v="Low"/>
    <s v="Short Days"/>
    <m/>
    <m/>
    <m/>
    <m/>
    <m/>
    <m/>
  </r>
  <r>
    <s v="VIS200453"/>
    <d v="2024-12-16T00:00:00"/>
    <s v="PAT5600"/>
    <s v="Ananya Nagar"/>
    <s v="Female"/>
    <n v="27"/>
    <s v="Noida"/>
    <s v="Uttar Pradesh"/>
    <x v="8"/>
    <s v="Dr. Sneha"/>
    <s v="J45"/>
    <s v="Minor Procedure"/>
    <s v="OPD"/>
    <n v="10183.200000000001"/>
    <s v="Insurance"/>
    <s v="Yes"/>
    <m/>
    <n v="14"/>
    <s v="Adult"/>
    <s v="High"/>
    <s v="Short Days"/>
    <m/>
    <m/>
    <m/>
    <m/>
    <m/>
    <m/>
  </r>
  <r>
    <s v="VIS202755"/>
    <d v="2025-05-29T00:00:00"/>
    <s v="PAT6101"/>
    <s v="Deepa Das"/>
    <s v="Female"/>
    <n v="18"/>
    <s v="Jaipur"/>
    <s v="Rajasthan"/>
    <x v="2"/>
    <s v="Dr. Ramesh"/>
    <s v="H10"/>
    <s v="Counselling"/>
    <s v="Emergency"/>
    <n v="8192.65"/>
    <s v="UPI"/>
    <s v="No"/>
    <m/>
    <m/>
    <s v="Adult"/>
    <s v="Medium"/>
    <s v="Short Days"/>
    <m/>
    <m/>
    <m/>
    <m/>
    <m/>
    <m/>
  </r>
  <r>
    <s v="VIS200945"/>
    <d v="2024-04-04T00:00:00"/>
    <s v="PAT6143"/>
    <s v="Anil Nagar"/>
    <s v="Male"/>
    <n v="70"/>
    <s v="Mumbai"/>
    <s v="Maharashtra"/>
    <x v="8"/>
    <s v="Dr. Kavitha"/>
    <s v="J00"/>
    <s v="Surgery"/>
    <s v="OPD"/>
    <n v="5060.47"/>
    <s v="Debit Card"/>
    <s v="No"/>
    <m/>
    <m/>
    <s v="Senior"/>
    <s v="Medium"/>
    <s v="Short Days"/>
    <m/>
    <m/>
    <m/>
    <m/>
    <m/>
    <m/>
  </r>
  <r>
    <s v="VIS200498"/>
    <d v="2024-05-27T00:00:00"/>
    <s v="PAT5638"/>
    <s v="Ishaan Mishra"/>
    <s v="Female"/>
    <n v="44"/>
    <s v="Madurai"/>
    <s v="Tamil Nadu"/>
    <x v="3"/>
    <s v="Dr. Anand"/>
    <s v="J45"/>
    <s v="Counselling"/>
    <s v="OPD"/>
    <n v="3062.2"/>
    <s v="Cash"/>
    <s v="No"/>
    <m/>
    <n v="30"/>
    <s v="Middle-Aged"/>
    <s v="Low"/>
    <s v="Short Days"/>
    <m/>
    <m/>
    <m/>
    <m/>
    <m/>
    <m/>
  </r>
  <r>
    <s v="VIS201832"/>
    <d v="2025-09-03T00:00:00"/>
    <s v="PAT5831"/>
    <s v="Aarav Sharma"/>
    <s v="Male"/>
    <n v="21"/>
    <s v="Chennai"/>
    <s v="Tamil Nadu"/>
    <x v="9"/>
    <s v="Dr. Arvind"/>
    <s v="F41"/>
    <s v="Counselling"/>
    <s v="OPD"/>
    <n v="6582.14"/>
    <s v="UPI"/>
    <s v="No"/>
    <m/>
    <n v="7"/>
    <s v="Adult"/>
    <s v="Medium"/>
    <s v="Short Days"/>
    <m/>
    <m/>
    <m/>
    <m/>
    <m/>
    <m/>
  </r>
  <r>
    <s v="VIS201548"/>
    <d v="2024-10-08T00:00:00"/>
    <s v="PAT6154"/>
    <s v="Ananya Patel"/>
    <s v="Female"/>
    <n v="12"/>
    <s v="Mumbai"/>
    <s v="Maharashtra"/>
    <x v="0"/>
    <s v="Dr. Shailesh"/>
    <s v="E11"/>
    <s v="Surgery"/>
    <s v="OPD"/>
    <n v="7270.31"/>
    <s v="UPI"/>
    <s v="No"/>
    <m/>
    <n v="7"/>
    <s v="Child"/>
    <s v="Medium"/>
    <s v="Short Days"/>
    <m/>
    <m/>
    <m/>
    <m/>
    <m/>
    <m/>
  </r>
  <r>
    <s v="VIS201413"/>
    <d v="2024-10-15T00:00:00"/>
    <s v="PAT6348"/>
    <s v="Aditya Nair"/>
    <s v="Male"/>
    <n v="5"/>
    <s v="Lucknow"/>
    <s v="Uttar Pradesh"/>
    <x v="0"/>
    <s v="Dr. Nikhil"/>
    <s v="M54"/>
    <s v="Surgery"/>
    <s v="Teleconsultation"/>
    <n v="10373.1"/>
    <s v="UPI"/>
    <s v="No"/>
    <m/>
    <n v="30"/>
    <s v="Child"/>
    <s v="High"/>
    <s v="Short Days"/>
    <m/>
    <m/>
    <m/>
    <m/>
    <m/>
    <m/>
  </r>
  <r>
    <s v="VIS201594"/>
    <d v="2025-08-02T00:00:00"/>
    <s v="PAT6467"/>
    <s v="Aishwarya Gupta"/>
    <s v="Female"/>
    <n v="52"/>
    <s v="Ahmedabad"/>
    <s v="Gujarat"/>
    <x v="5"/>
    <s v="Dr. Meena"/>
    <s v="E11"/>
    <s v="Surgery"/>
    <s v="Teleconsultation"/>
    <n v="6535.17"/>
    <s v="Cash"/>
    <s v="No"/>
    <m/>
    <m/>
    <s v="Middle-Aged"/>
    <s v="Medium"/>
    <s v="Short Days"/>
    <m/>
    <m/>
    <m/>
    <m/>
    <m/>
    <m/>
  </r>
  <r>
    <s v="VIS201347"/>
    <d v="2024-05-23T00:00:00"/>
    <s v="PAT6415"/>
    <s v="Karthik Mishra"/>
    <s v="Male"/>
    <n v="24"/>
    <s v="Pune"/>
    <s v="Maharashtra"/>
    <x v="1"/>
    <s v="Dr. Suri"/>
    <s v="H10"/>
    <s v="Counselling"/>
    <s v="OPD"/>
    <n v="8732.66"/>
    <s v="Cash"/>
    <s v="No"/>
    <m/>
    <n v="30"/>
    <s v="Adult"/>
    <s v="Medium"/>
    <s v="Short Days"/>
    <m/>
    <m/>
    <m/>
    <m/>
    <m/>
    <m/>
  </r>
  <r>
    <s v="VIS201181"/>
    <d v="2025-03-23T00:00:00"/>
    <s v="PAT5180"/>
    <s v="Manisha Nagar"/>
    <s v="Male"/>
    <n v="54"/>
    <s v="Bengaluru"/>
    <s v="Karnataka"/>
    <x v="7"/>
    <s v="Dr. Surya"/>
    <s v="J45"/>
    <s v="Medication"/>
    <s v="OPD"/>
    <n v="6950.27"/>
    <s v="Cash"/>
    <s v="No"/>
    <m/>
    <n v="7"/>
    <s v="Middle-Aged"/>
    <s v="Medium"/>
    <s v="Short Days"/>
    <m/>
    <m/>
    <m/>
    <m/>
    <m/>
    <m/>
  </r>
  <r>
    <s v="VIS201661"/>
    <d v="2025-03-31T00:00:00"/>
    <s v="PAT5592"/>
    <s v="Deepa Singh"/>
    <s v="Male"/>
    <n v="24"/>
    <s v="Kolkata"/>
    <s v="West Bengal"/>
    <x v="7"/>
    <s v="Dr. Surya"/>
    <s v="F41"/>
    <s v="Physiotherapy"/>
    <s v="Teleconsultation"/>
    <n v="6934.04"/>
    <s v="Net Banking"/>
    <s v="No"/>
    <m/>
    <m/>
    <s v="Adult"/>
    <s v="Medium"/>
    <s v="Short Days"/>
    <m/>
    <m/>
    <m/>
    <m/>
    <m/>
    <m/>
  </r>
  <r>
    <s v="VIS202883"/>
    <d v="2024-06-25T00:00:00"/>
    <s v="PAT5262"/>
    <s v="Arjun Kumar"/>
    <s v="Male"/>
    <n v="38"/>
    <s v="Chennai"/>
    <s v="Tamil Nadu"/>
    <x v="7"/>
    <s v="Dr. Leela"/>
    <s v="N39"/>
    <s v="Minor Surgery"/>
    <s v="Emergency"/>
    <n v="6833.36"/>
    <s v="Debit Card"/>
    <s v="No"/>
    <m/>
    <n v="14"/>
    <s v="Adult"/>
    <s v="Medium"/>
    <s v="Short Days"/>
    <m/>
    <m/>
    <m/>
    <m/>
    <m/>
    <m/>
  </r>
  <r>
    <s v="VIS202770"/>
    <d v="2025-08-05T00:00:00"/>
    <s v="PAT6447"/>
    <s v="Karthik Jose"/>
    <s v="Male"/>
    <n v="59"/>
    <s v="Chennai"/>
    <s v="Tamil Nadu"/>
    <x v="3"/>
    <s v="Dr. Pallavi"/>
    <s v="H10"/>
    <s v="Counselling"/>
    <s v="Teleconsultation"/>
    <n v="14321.52"/>
    <s v="Insurance"/>
    <s v="Yes"/>
    <m/>
    <n v="7"/>
    <s v="Middle-Aged"/>
    <s v="High"/>
    <s v="Short Days"/>
    <m/>
    <m/>
    <m/>
    <m/>
    <m/>
    <m/>
  </r>
  <r>
    <s v="VIS202062"/>
    <d v="2024-08-18T00:00:00"/>
    <s v="PAT6146"/>
    <s v="Aishwarya Gupta"/>
    <s v="Female"/>
    <n v="30"/>
    <s v="Coimbatore"/>
    <s v="Tamil Nadu"/>
    <x v="0"/>
    <s v="Dr. Shailesh"/>
    <s v="E11"/>
    <s v="Surgery"/>
    <s v="OPD"/>
    <n v="602.57000000000005"/>
    <s v="Cash"/>
    <s v="No"/>
    <m/>
    <n v="14"/>
    <s v="Adult"/>
    <s v="Low"/>
    <s v="Short Days"/>
    <m/>
    <m/>
    <m/>
    <m/>
    <m/>
    <m/>
  </r>
  <r>
    <s v="VIS202236"/>
    <d v="2025-03-22T00:00:00"/>
    <s v="PAT5942"/>
    <s v="Karthik Khan"/>
    <s v="Male"/>
    <n v="16"/>
    <s v="Lucknow"/>
    <s v="Uttar Pradesh"/>
    <x v="1"/>
    <s v="Dr. Suri"/>
    <s v="L40"/>
    <s v="Prescription Refill"/>
    <s v="Teleconsultation"/>
    <n v="5452.49"/>
    <s v="Insurance"/>
    <s v="Yes"/>
    <m/>
    <n v="30"/>
    <s v="Child"/>
    <s v="Medium"/>
    <s v="Short Days"/>
    <m/>
    <m/>
    <m/>
    <m/>
    <m/>
    <m/>
  </r>
  <r>
    <s v="VIS200063"/>
    <d v="2024-04-14T00:00:00"/>
    <s v="PAT5401"/>
    <s v="Sangeetha Sharma"/>
    <s v="Female"/>
    <n v="26"/>
    <s v="Kochi"/>
    <s v="Kerala"/>
    <x v="2"/>
    <s v="Dr. Manoj"/>
    <s v="I10"/>
    <s v="Physiotherapy"/>
    <s v="OPD"/>
    <n v="6008.76"/>
    <s v="UPI"/>
    <s v="No"/>
    <m/>
    <m/>
    <s v="Adult"/>
    <s v="Medium"/>
    <s v="Short Days"/>
    <m/>
    <m/>
    <m/>
    <m/>
    <m/>
    <m/>
  </r>
  <r>
    <s v="VIS202311"/>
    <d v="2024-08-07T00:00:00"/>
    <s v="PAT5917"/>
    <s v="Karthik Bose"/>
    <s v="Male"/>
    <n v="42"/>
    <s v="Trichy"/>
    <s v="Tamil Nadu"/>
    <x v="3"/>
    <s v="Dr. Anand"/>
    <s v="L40"/>
    <s v="Surgery"/>
    <s v="OPD"/>
    <n v="8857.5"/>
    <s v="UPI"/>
    <s v="No"/>
    <m/>
    <n v="14"/>
    <s v="Middle-Aged"/>
    <s v="Medium"/>
    <s v="Short Days"/>
    <m/>
    <m/>
    <m/>
    <m/>
    <m/>
    <m/>
  </r>
  <r>
    <s v="VIS202099"/>
    <d v="2024-12-13T00:00:00"/>
    <s v="PAT5726"/>
    <s v="Manisha Singh"/>
    <s v="Male"/>
    <n v="34"/>
    <s v="Trichy"/>
    <s v="Tamil Nadu"/>
    <x v="4"/>
    <s v="Dr. Bhavana"/>
    <s v="L40"/>
    <s v="Surgery"/>
    <s v="Emergency"/>
    <n v="13160.13"/>
    <s v="UPI"/>
    <s v="No"/>
    <m/>
    <m/>
    <s v="Adult"/>
    <s v="High"/>
    <s v="Short Days"/>
    <m/>
    <m/>
    <m/>
    <m/>
    <m/>
    <m/>
  </r>
  <r>
    <s v="VIS200552"/>
    <d v="2025-05-14T00:00:00"/>
    <s v="PAT6659"/>
    <s v="Arjun Sharma"/>
    <s v="Female"/>
    <n v="43"/>
    <s v="Kochi"/>
    <s v="Kerala"/>
    <x v="0"/>
    <s v="Dr. Nikhil"/>
    <s v="I10"/>
    <s v="Surgery"/>
    <s v="OPD"/>
    <n v="874.03"/>
    <s v="Insurance"/>
    <s v="Yes"/>
    <m/>
    <n v="30"/>
    <s v="Middle-Aged"/>
    <s v="Low"/>
    <s v="Short Days"/>
    <m/>
    <m/>
    <m/>
    <m/>
    <m/>
    <m/>
  </r>
  <r>
    <s v="VIS201615"/>
    <d v="2025-04-08T00:00:00"/>
    <s v="PAT6418"/>
    <s v="Aarav Gupta"/>
    <s v="Female"/>
    <n v="33"/>
    <s v="Kolkata"/>
    <s v="West Bengal"/>
    <x v="4"/>
    <s v="Dr. Varun"/>
    <s v="J45"/>
    <s v="Medication"/>
    <s v="Teleconsultation"/>
    <n v="11531.6"/>
    <s v="Cash"/>
    <s v="No"/>
    <m/>
    <n v="7"/>
    <s v="Adult"/>
    <s v="High"/>
    <s v="Short Days"/>
    <m/>
    <m/>
    <m/>
    <m/>
    <m/>
    <m/>
  </r>
  <r>
    <s v="VIS201108"/>
    <d v="2025-09-24T00:00:00"/>
    <s v="PAT6201"/>
    <s v="Anil Patel"/>
    <s v="Female"/>
    <n v="41"/>
    <s v="Lucknow"/>
    <s v="Uttar Pradesh"/>
    <x v="7"/>
    <s v="Dr. Leela"/>
    <s v="J45"/>
    <s v="Counselling"/>
    <s v="OPD"/>
    <n v="668.3"/>
    <s v="Cash"/>
    <s v="No"/>
    <m/>
    <m/>
    <s v="Middle-Aged"/>
    <s v="Low"/>
    <s v="Short Days"/>
    <m/>
    <m/>
    <m/>
    <m/>
    <m/>
    <m/>
  </r>
  <r>
    <s v="VIS201528"/>
    <d v="2025-03-02T00:00:00"/>
    <s v="PAT6890"/>
    <s v="Deepa Patel"/>
    <s v="Male"/>
    <n v="55"/>
    <s v="Mumbai"/>
    <s v="Maharashtra"/>
    <x v="7"/>
    <s v="Dr. Surya"/>
    <s v="L40"/>
    <s v="Minor Procedure"/>
    <s v="OPD"/>
    <n v="3002.92"/>
    <s v="UPI"/>
    <s v="No"/>
    <m/>
    <n v="14"/>
    <s v="Middle-Aged"/>
    <s v="Low"/>
    <s v="Short Days"/>
    <m/>
    <m/>
    <m/>
    <m/>
    <m/>
    <m/>
  </r>
  <r>
    <s v="VIS200669"/>
    <d v="2025-06-05T00:00:00"/>
    <s v="PAT5233"/>
    <s v="Aditya Gupta"/>
    <s v="Other"/>
    <n v="21"/>
    <s v="Trichy"/>
    <s v="Tamil Nadu"/>
    <x v="1"/>
    <s v="Dr. Anu"/>
    <s v="H10"/>
    <s v="Physiotherapy"/>
    <s v="OPD"/>
    <n v="713.48"/>
    <s v="UPI"/>
    <s v="No"/>
    <m/>
    <n v="90"/>
    <s v="Adult"/>
    <s v="Low"/>
    <s v="Short Days"/>
    <m/>
    <m/>
    <m/>
    <m/>
    <m/>
    <m/>
  </r>
  <r>
    <s v="VIS201377"/>
    <d v="2024-09-06T00:00:00"/>
    <s v="PAT5491"/>
    <s v="Manisha Gupta"/>
    <s v="Male"/>
    <n v="19"/>
    <s v="Hyderabad"/>
    <s v="Telangana"/>
    <x v="9"/>
    <s v="Dr. Arvind"/>
    <s v="E11"/>
    <s v="Physiotherapy"/>
    <s v="OPD"/>
    <n v="21249.07"/>
    <s v="UPI"/>
    <s v="No"/>
    <m/>
    <n v="30"/>
    <s v="Adult"/>
    <s v="High"/>
    <s v="Short Days"/>
    <m/>
    <m/>
    <m/>
    <m/>
    <m/>
    <m/>
  </r>
  <r>
    <s v="VIS202506"/>
    <d v="2025-06-11T00:00:00"/>
    <s v="PAT5245"/>
    <s v="Anil Patel"/>
    <s v="Male"/>
    <n v="49"/>
    <s v="Noida"/>
    <s v="Uttar Pradesh"/>
    <x v="7"/>
    <s v="Dr. Leela"/>
    <s v="I10"/>
    <s v="Prescription Refill"/>
    <s v="OPD"/>
    <n v="2934.04"/>
    <s v="Net Banking"/>
    <s v="No"/>
    <m/>
    <n v="30"/>
    <s v="Middle-Aged"/>
    <s v="Low"/>
    <s v="Short Days"/>
    <m/>
    <m/>
    <m/>
    <m/>
    <m/>
    <m/>
  </r>
  <r>
    <s v="VIS200311"/>
    <d v="2024-07-15T00:00:00"/>
    <s v="PAT5797"/>
    <s v="Sangeetha Gupta"/>
    <s v="Male"/>
    <n v="12"/>
    <s v="Hyderabad"/>
    <s v="Telangana"/>
    <x v="9"/>
    <s v="Dr. Arvind"/>
    <s v="F41"/>
    <s v="Counselling"/>
    <s v="OPD"/>
    <n v="121.22"/>
    <s v="Net Banking"/>
    <s v="No"/>
    <m/>
    <m/>
    <s v="Child"/>
    <s v="Low"/>
    <s v="Short Days"/>
    <m/>
    <m/>
    <m/>
    <m/>
    <m/>
    <m/>
  </r>
  <r>
    <s v="VIS201948"/>
    <d v="2025-01-16T00:00:00"/>
    <s v="PAT5487"/>
    <s v="Aishwarya Nagar"/>
    <s v="Male"/>
    <n v="36"/>
    <s v="Mumbai"/>
    <s v="Maharashtra"/>
    <x v="5"/>
    <s v="Dr. Ravi"/>
    <s v="N39"/>
    <s v="Minor Procedure"/>
    <s v="IPD"/>
    <n v="5573.57"/>
    <s v="UPI"/>
    <s v="No"/>
    <n v="2"/>
    <m/>
    <s v="Adult"/>
    <s v="Medium"/>
    <s v="Short Days"/>
    <m/>
    <m/>
    <m/>
    <m/>
    <m/>
    <m/>
  </r>
  <r>
    <s v="VIS201177"/>
    <d v="2024-02-20T00:00:00"/>
    <s v="PAT5416"/>
    <s v="Siddharth Khan"/>
    <s v="Female"/>
    <n v="62"/>
    <s v="Bengaluru"/>
    <s v="Karnataka"/>
    <x v="4"/>
    <s v="Dr. Bhavana"/>
    <s v="K21"/>
    <s v="Minor Surgery"/>
    <s v="OPD"/>
    <n v="155.72999999999999"/>
    <s v="UPI"/>
    <s v="No"/>
    <m/>
    <m/>
    <s v="Senior"/>
    <s v="Low"/>
    <s v="Short Days"/>
    <m/>
    <m/>
    <m/>
    <m/>
    <m/>
    <m/>
  </r>
  <r>
    <s v="VIS200784"/>
    <d v="2024-04-29T00:00:00"/>
    <s v="PAT5430"/>
    <s v="Neha Singh"/>
    <s v="Male"/>
    <n v="45"/>
    <s v="Kochi"/>
    <s v="Kerala"/>
    <x v="1"/>
    <s v="Dr. Suri"/>
    <s v="L40"/>
    <s v="Minor Surgery"/>
    <s v="Teleconsultation"/>
    <n v="6266.6"/>
    <s v="Credit Card"/>
    <s v="No"/>
    <m/>
    <m/>
    <s v="Middle-Aged"/>
    <s v="Medium"/>
    <s v="Short Days"/>
    <m/>
    <m/>
    <m/>
    <m/>
    <m/>
    <m/>
  </r>
  <r>
    <s v="VIS202960"/>
    <d v="2024-05-12T00:00:00"/>
    <s v="PAT5622"/>
    <s v="Manisha Singh"/>
    <s v="Male"/>
    <n v="34"/>
    <s v="Chennai"/>
    <s v="Tamil Nadu"/>
    <x v="9"/>
    <s v="Dr. Arvind"/>
    <s v="L40"/>
    <s v="Counselling"/>
    <s v="Teleconsultation"/>
    <n v="5837.3"/>
    <s v="Debit Card"/>
    <s v="No"/>
    <m/>
    <n v="30"/>
    <s v="Adult"/>
    <s v="Medium"/>
    <s v="Short Days"/>
    <m/>
    <m/>
    <m/>
    <m/>
    <m/>
    <m/>
  </r>
  <r>
    <s v="VIS201206"/>
    <d v="2025-06-05T00:00:00"/>
    <s v="PAT5168"/>
    <s v="Arjun Kumar"/>
    <s v="Male"/>
    <n v="28"/>
    <s v="Trichy"/>
    <s v="Tamil Nadu"/>
    <x v="5"/>
    <s v="Dr. Meena"/>
    <s v="K21"/>
    <s v="Surgery"/>
    <s v="OPD"/>
    <n v="13714.8"/>
    <s v="Cash"/>
    <s v="No"/>
    <m/>
    <m/>
    <s v="Adult"/>
    <s v="High"/>
    <s v="Short Days"/>
    <m/>
    <m/>
    <m/>
    <m/>
    <m/>
    <m/>
  </r>
  <r>
    <s v="VIS202983"/>
    <d v="2025-04-03T00:00:00"/>
    <s v="PAT6108"/>
    <s v="Deepa Gupta"/>
    <s v="Male"/>
    <n v="70"/>
    <s v="Delhi"/>
    <s v="Delhi"/>
    <x v="2"/>
    <s v="Dr. Manoj"/>
    <s v="E11"/>
    <s v="Observation"/>
    <s v="OPD"/>
    <n v="614.79999999999995"/>
    <s v="Insurance"/>
    <s v="Yes"/>
    <m/>
    <n v="30"/>
    <s v="Senior"/>
    <s v="Low"/>
    <s v="Short Days"/>
    <m/>
    <m/>
    <m/>
    <m/>
    <m/>
    <m/>
  </r>
  <r>
    <s v="VIS202723"/>
    <d v="2024-02-18T00:00:00"/>
    <s v="PAT5557"/>
    <s v="Manisha Khan"/>
    <s v="Female"/>
    <n v="36"/>
    <s v="Lucknow"/>
    <s v="Uttar Pradesh"/>
    <x v="9"/>
    <s v="Dr. Kusum"/>
    <s v="J00"/>
    <s v="Surgery"/>
    <s v="OPD"/>
    <n v="2102.9699999999998"/>
    <s v="UPI"/>
    <s v="No"/>
    <m/>
    <n v="90"/>
    <s v="Adult"/>
    <s v="Low"/>
    <s v="Short Days"/>
    <m/>
    <m/>
    <m/>
    <m/>
    <m/>
    <m/>
  </r>
  <r>
    <s v="VIS200119"/>
    <d v="2025-07-15T00:00:00"/>
    <s v="PAT6878"/>
    <s v="Rahul Gupta"/>
    <s v="Female"/>
    <n v="42"/>
    <s v="Chennai"/>
    <s v="Tamil Nadu"/>
    <x v="1"/>
    <s v="Dr. Suri"/>
    <s v="L40"/>
    <s v="Prescription Refill"/>
    <s v="IPD"/>
    <n v="8471.35"/>
    <s v="Debit Card"/>
    <s v="No"/>
    <n v="1"/>
    <m/>
    <s v="Middle-Aged"/>
    <s v="Medium"/>
    <s v="Short Days"/>
    <m/>
    <m/>
    <m/>
    <m/>
    <m/>
    <m/>
  </r>
  <r>
    <s v="VIS202578"/>
    <d v="2024-03-25T00:00:00"/>
    <s v="PAT5150"/>
    <s v="Deepa Gupta"/>
    <s v="Female"/>
    <n v="49"/>
    <s v="Delhi"/>
    <s v="Delhi"/>
    <x v="3"/>
    <s v="Dr. Anand"/>
    <s v="J45"/>
    <s v="Prescription Refill"/>
    <s v="Teleconsultation"/>
    <n v="31390.01"/>
    <s v="UPI"/>
    <s v="No"/>
    <m/>
    <m/>
    <s v="Middle-Aged"/>
    <s v="High"/>
    <s v="Short Days"/>
    <m/>
    <m/>
    <m/>
    <m/>
    <m/>
    <m/>
  </r>
  <r>
    <s v="VIS200351"/>
    <d v="2024-12-25T00:00:00"/>
    <s v="PAT5196"/>
    <s v="Anil Bose"/>
    <s v="Female"/>
    <n v="50"/>
    <s v="Mumbai"/>
    <s v="Maharashtra"/>
    <x v="3"/>
    <s v="Dr. Pallavi"/>
    <s v="J00"/>
    <s v="Medication"/>
    <s v="Teleconsultation"/>
    <n v="11034.41"/>
    <s v="Insurance"/>
    <s v="Yes"/>
    <m/>
    <m/>
    <s v="Middle-Aged"/>
    <s v="High"/>
    <s v="Short Days"/>
    <m/>
    <m/>
    <m/>
    <m/>
    <m/>
    <m/>
  </r>
  <r>
    <s v="VIS202090"/>
    <d v="2024-07-19T00:00:00"/>
    <s v="PAT6215"/>
    <s v="Vishal Patel"/>
    <s v="Female"/>
    <n v="42"/>
    <s v="Delhi"/>
    <s v="Rajasthan"/>
    <x v="1"/>
    <s v="Dr. Suri"/>
    <s v="Z111"/>
    <s v="Surgery"/>
    <s v="OPD"/>
    <n v="1358.4"/>
    <s v="UPI"/>
    <s v="No"/>
    <m/>
    <n v="14"/>
    <s v="Middle-Aged"/>
    <s v="Low"/>
    <s v="Short Days"/>
    <m/>
    <m/>
    <m/>
    <m/>
    <m/>
    <m/>
  </r>
  <r>
    <s v="VIS200405"/>
    <d v="2024-06-09T00:00:00"/>
    <s v="PAT6113"/>
    <s v="Rohan Bose"/>
    <s v="Female"/>
    <n v="19"/>
    <s v="Jaipur"/>
    <s v="Rajasthan"/>
    <x v="3"/>
    <s v="Dr. Anand"/>
    <s v="M54"/>
    <s v="Counselling"/>
    <s v="OPD"/>
    <n v="12440.13"/>
    <s v="Cash"/>
    <s v="No"/>
    <m/>
    <n v="7"/>
    <s v="Adult"/>
    <s v="High"/>
    <s v="Short Days"/>
    <m/>
    <m/>
    <m/>
    <m/>
    <m/>
    <m/>
  </r>
  <r>
    <s v="VIS202137"/>
    <d v="2024-09-01T00:00:00"/>
    <s v="PAT6869"/>
    <s v="Arjun Singh"/>
    <s v="Female"/>
    <n v="42"/>
    <s v="Kochi"/>
    <s v="Kerala"/>
    <x v="4"/>
    <s v="Dr. Varun"/>
    <s v="J45"/>
    <s v="Observation"/>
    <s v="OPD"/>
    <n v="1933.11"/>
    <s v="Cash"/>
    <s v="No"/>
    <m/>
    <n v="7"/>
    <s v="Middle-Aged"/>
    <s v="Low"/>
    <s v="Short Days"/>
    <m/>
    <m/>
    <m/>
    <m/>
    <m/>
    <m/>
  </r>
  <r>
    <s v="VIS200052"/>
    <d v="2024-01-31T00:00:00"/>
    <s v="PAT5761"/>
    <s v="Priya Bose"/>
    <s v="Female"/>
    <n v="47"/>
    <s v="Kochi"/>
    <s v="Kerala"/>
    <x v="6"/>
    <s v="Dr. Lalitha"/>
    <s v="M54"/>
    <s v="Minor Procedure"/>
    <s v="OPD"/>
    <n v="8274.51"/>
    <s v="Cash"/>
    <s v="No"/>
    <m/>
    <n v="7"/>
    <s v="Middle-Aged"/>
    <s v="Medium"/>
    <s v="Short Days"/>
    <m/>
    <m/>
    <m/>
    <m/>
    <m/>
    <m/>
  </r>
  <r>
    <s v="VIS200381"/>
    <d v="2024-04-25T00:00:00"/>
    <s v="PAT5731"/>
    <s v="Ananya Khan"/>
    <s v="Male"/>
    <n v="44"/>
    <s v="Trichy"/>
    <s v="Tamil Nadu"/>
    <x v="9"/>
    <s v="Dr. Arvind"/>
    <s v="F41"/>
    <s v="Minor Surgery"/>
    <s v="OPD"/>
    <n v="175.26"/>
    <s v="Credit Card"/>
    <s v="No"/>
    <m/>
    <m/>
    <s v="Middle-Aged"/>
    <s v="Low"/>
    <s v="Short Days"/>
    <m/>
    <m/>
    <m/>
    <m/>
    <m/>
    <m/>
  </r>
  <r>
    <s v="VIS202252"/>
    <d v="2025-04-18T00:00:00"/>
    <s v="PAT5834"/>
    <s v="Siddharth Jose"/>
    <s v="Male"/>
    <n v="50"/>
    <s v="Trichy"/>
    <s v="Tamil Nadu"/>
    <x v="8"/>
    <s v="Dr. Kavitha"/>
    <s v="I10"/>
    <s v="Minor Procedure"/>
    <s v="OPD"/>
    <n v="3075.72"/>
    <s v="Credit Card"/>
    <s v="No"/>
    <m/>
    <m/>
    <s v="Middle-Aged"/>
    <s v="Low"/>
    <s v="Short Days"/>
    <m/>
    <m/>
    <m/>
    <m/>
    <m/>
    <m/>
  </r>
  <r>
    <s v="VIS201717"/>
    <d v="2024-05-11T00:00:00"/>
    <s v="PAT5470"/>
    <s v="Ishaan Nagar"/>
    <s v="Male"/>
    <n v="66"/>
    <s v="Chennai"/>
    <s v="Tamil Nadu"/>
    <x v="6"/>
    <s v="Dr. Lalitha"/>
    <s v="N39"/>
    <s v="Counselling"/>
    <s v="OPD"/>
    <n v="3790.59"/>
    <s v="Cash"/>
    <s v="No"/>
    <m/>
    <n v="90"/>
    <s v="Senior"/>
    <s v="Low"/>
    <s v="Short Days"/>
    <m/>
    <m/>
    <m/>
    <m/>
    <m/>
    <m/>
  </r>
  <r>
    <s v="VIS201025"/>
    <d v="2024-07-26T00:00:00"/>
    <s v="PAT5760"/>
    <s v="Deepa Sharma"/>
    <s v="Female"/>
    <n v="35"/>
    <s v="Bengaluru"/>
    <s v="Karnataka"/>
    <x v="2"/>
    <s v="Dr. Ramesh"/>
    <s v="M54"/>
    <s v="Prescription Refill"/>
    <s v="OPD"/>
    <n v="1441.69"/>
    <s v="Debit Card"/>
    <s v="No"/>
    <m/>
    <n v="7"/>
    <s v="Adult"/>
    <s v="Low"/>
    <s v="Short Days"/>
    <m/>
    <m/>
    <m/>
    <m/>
    <m/>
    <m/>
  </r>
  <r>
    <s v="VIS200538"/>
    <d v="2024-08-01T00:00:00"/>
    <s v="PAT6892"/>
    <s v="Aarav Sharma"/>
    <s v="Male"/>
    <n v="42"/>
    <s v="Trichy"/>
    <s v="Tamil Nadu"/>
    <x v="7"/>
    <s v="Dr. Surya"/>
    <s v="J00"/>
    <s v="Minor Procedure"/>
    <s v="Emergency"/>
    <n v="11696.8"/>
    <s v="UPI"/>
    <s v="No"/>
    <m/>
    <n v="14"/>
    <s v="Middle-Aged"/>
    <s v="High"/>
    <s v="Short Days"/>
    <m/>
    <m/>
    <m/>
    <m/>
    <m/>
    <m/>
  </r>
  <r>
    <s v="VIS202364"/>
    <d v="2025-07-14T00:00:00"/>
    <s v="PAT5884"/>
    <s v="Deepa Sharma"/>
    <s v="Female"/>
    <n v="42"/>
    <s v="Chennai"/>
    <s v="Tamil Nadu"/>
    <x v="0"/>
    <s v="Dr. Shailesh"/>
    <s v="E11"/>
    <s v="Prescription Refill"/>
    <s v="OPD"/>
    <n v="2707.85"/>
    <s v="Credit Card"/>
    <s v="No"/>
    <m/>
    <n v="14"/>
    <s v="Middle-Aged"/>
    <s v="Low"/>
    <s v="Short Days"/>
    <m/>
    <m/>
    <m/>
    <m/>
    <m/>
    <m/>
  </r>
  <r>
    <s v="VIS200663"/>
    <d v="2025-08-14T00:00:00"/>
    <s v="PAT6019"/>
    <s v="Sangeetha Reddy"/>
    <s v="Male"/>
    <n v="49"/>
    <s v="Ahmedabad"/>
    <s v="Gujarat"/>
    <x v="5"/>
    <s v="Dr. Karthik"/>
    <s v="H10"/>
    <s v="Minor Surgery"/>
    <s v="OPD"/>
    <n v="5182.8999999999996"/>
    <s v="Debit Card"/>
    <s v="No"/>
    <m/>
    <n v="7"/>
    <s v="Middle-Aged"/>
    <s v="Medium"/>
    <s v="Short Days"/>
    <m/>
    <m/>
    <m/>
    <m/>
    <m/>
    <m/>
  </r>
  <r>
    <s v="VIS200512"/>
    <d v="2024-11-24T00:00:00"/>
    <s v="PAT6690"/>
    <s v="Ananya Kumar"/>
    <s v="Male"/>
    <n v="51"/>
    <s v="Madurai"/>
    <s v="Tamil Nadu"/>
    <x v="9"/>
    <s v="Dr. Kusum"/>
    <s v="L40"/>
    <s v="Physiotherapy"/>
    <s v="OPD"/>
    <n v="15782.07"/>
    <s v="Credit Card"/>
    <s v="No"/>
    <m/>
    <n v="7"/>
    <s v="Middle-Aged"/>
    <s v="High"/>
    <s v="Short Days"/>
    <m/>
    <m/>
    <m/>
    <m/>
    <m/>
    <m/>
  </r>
  <r>
    <s v="VIS201549"/>
    <d v="2024-10-07T00:00:00"/>
    <s v="PAT5086"/>
    <s v="Aarav Mishra"/>
    <s v="Male"/>
    <n v="66"/>
    <s v="Madurai"/>
    <s v="Tamil Nadu"/>
    <x v="2"/>
    <s v="Dr. Ramesh"/>
    <s v="J00"/>
    <s v="Medication"/>
    <s v="OPD"/>
    <n v="4290.93"/>
    <s v="Cash"/>
    <s v="No"/>
    <m/>
    <n v="14"/>
    <s v="Senior"/>
    <s v="Low"/>
    <s v="Short Days"/>
    <m/>
    <m/>
    <m/>
    <m/>
    <m/>
    <m/>
  </r>
  <r>
    <s v="VIS202385"/>
    <d v="2024-07-03T00:00:00"/>
    <s v="PAT6753"/>
    <s v="Priya Nair"/>
    <s v="Female"/>
    <n v="43"/>
    <s v="Madurai"/>
    <s v="Tamil Nadu"/>
    <x v="5"/>
    <s v="Dr. Karthik"/>
    <s v="F41"/>
    <s v="Medication"/>
    <s v="OPD"/>
    <n v="2048.66"/>
    <s v="UPI"/>
    <s v="No"/>
    <m/>
    <n v="7"/>
    <s v="Middle-Aged"/>
    <s v="Low"/>
    <s v="Short Days"/>
    <m/>
    <m/>
    <m/>
    <m/>
    <m/>
    <m/>
  </r>
  <r>
    <s v="VIS201215"/>
    <d v="2024-01-03T00:00:00"/>
    <s v="PAT5217"/>
    <s v="Vivaan Patel"/>
    <s v="Female"/>
    <n v="69"/>
    <s v="Chennai"/>
    <s v="Tamil Nadu"/>
    <x v="9"/>
    <s v="Dr. Kusum"/>
    <s v="H10"/>
    <s v="Observation"/>
    <s v="OPD"/>
    <n v="5079.51"/>
    <s v="Credit Card"/>
    <s v="No"/>
    <m/>
    <m/>
    <s v="Senior"/>
    <s v="Medium"/>
    <s v="Short Days"/>
    <m/>
    <m/>
    <m/>
    <m/>
    <m/>
    <m/>
  </r>
  <r>
    <s v="VIS202068"/>
    <d v="2024-09-10T00:00:00"/>
    <s v="PAT6139"/>
    <s v="Aishwarya Bose"/>
    <s v="Female"/>
    <n v="18"/>
    <s v="Coimbatore"/>
    <s v="Tamil Nadu"/>
    <x v="4"/>
    <s v="Dr. Bhavana"/>
    <s v="J00"/>
    <s v="Counselling"/>
    <s v="OPD"/>
    <n v="14634.3"/>
    <s v="Cash"/>
    <s v="No"/>
    <m/>
    <n v="7"/>
    <s v="Adult"/>
    <s v="High"/>
    <s v="Short Days"/>
    <m/>
    <m/>
    <m/>
    <m/>
    <m/>
    <m/>
  </r>
  <r>
    <s v="VIS201581"/>
    <d v="2024-11-02T00:00:00"/>
    <s v="PAT5775"/>
    <s v="Vivaan Kumar"/>
    <s v="Male"/>
    <n v="31"/>
    <s v="Mumbai"/>
    <s v="Maharashtra"/>
    <x v="9"/>
    <s v="Dr. Arvind"/>
    <s v="J00"/>
    <s v="Observation"/>
    <s v="OPD"/>
    <n v="599.25"/>
    <s v="UPI"/>
    <s v="No"/>
    <m/>
    <m/>
    <s v="Adult"/>
    <s v="Low"/>
    <s v="Short Days"/>
    <m/>
    <m/>
    <m/>
    <m/>
    <m/>
    <m/>
  </r>
  <r>
    <s v="VIS200796"/>
    <d v="2025-06-06T00:00:00"/>
    <s v="PAT6657"/>
    <s v="Rohan Mishra"/>
    <s v="Female"/>
    <n v="45"/>
    <s v="Pune"/>
    <s v="Maharashtra"/>
    <x v="5"/>
    <s v="Dr. Karthik"/>
    <s v="L40"/>
    <s v="Counselling"/>
    <s v="Teleconsultation"/>
    <n v="5149.83"/>
    <s v="Insurance"/>
    <s v="Yes"/>
    <m/>
    <n v="14"/>
    <s v="Middle-Aged"/>
    <s v="Medium"/>
    <s v="Short Days"/>
    <m/>
    <m/>
    <m/>
    <m/>
    <m/>
    <m/>
  </r>
  <r>
    <s v="VIS201622"/>
    <d v="2025-08-13T00:00:00"/>
    <s v="PAT5515"/>
    <s v="Anil Khan"/>
    <s v="Male"/>
    <n v="44"/>
    <s v="Coimbatore"/>
    <s v="Tamil Nadu"/>
    <x v="3"/>
    <s v="Dr. Pallavi"/>
    <s v="I10"/>
    <s v="Medication"/>
    <s v="OPD"/>
    <n v="1485.49"/>
    <s v="Debit Card"/>
    <s v="No"/>
    <m/>
    <n v="14"/>
    <s v="Middle-Aged"/>
    <s v="Low"/>
    <s v="Short Days"/>
    <m/>
    <m/>
    <m/>
    <m/>
    <m/>
    <m/>
  </r>
  <r>
    <s v="VIS202151"/>
    <d v="2024-08-27T00:00:00"/>
    <s v="PAT6759"/>
    <s v="Aishwarya Singh"/>
    <s v="Female"/>
    <n v="60"/>
    <s v="Bengaluru"/>
    <s v="Karnataka"/>
    <x v="4"/>
    <s v="Dr. Varun"/>
    <s v="K21"/>
    <s v="Prescription Refill"/>
    <s v="OPD"/>
    <n v="1846.11"/>
    <s v="Credit Card"/>
    <s v="No"/>
    <m/>
    <n v="90"/>
    <s v="Middle-Aged"/>
    <s v="Low"/>
    <s v="Short Days"/>
    <m/>
    <m/>
    <m/>
    <m/>
    <m/>
    <m/>
  </r>
  <r>
    <s v="VIS202048"/>
    <d v="2024-04-15T00:00:00"/>
    <s v="PAT6379"/>
    <s v="Rahul Nagar"/>
    <s v="Female"/>
    <n v="45"/>
    <s v="Ahmedabad"/>
    <s v="Gujarat"/>
    <x v="2"/>
    <s v="Dr. Manoj"/>
    <s v="I10"/>
    <s v="Physiotherapy"/>
    <s v="OPD"/>
    <n v="6961.19"/>
    <s v="Insurance"/>
    <s v="Yes"/>
    <m/>
    <m/>
    <s v="Middle-Aged"/>
    <s v="Medium"/>
    <s v="Short Days"/>
    <m/>
    <m/>
    <m/>
    <m/>
    <m/>
    <m/>
  </r>
  <r>
    <s v="VIS202182"/>
    <d v="2024-01-13T00:00:00"/>
    <s v="PAT6842"/>
    <s v="Arjun Singh"/>
    <s v="Male"/>
    <n v="27"/>
    <s v="Kolkata"/>
    <s v="West Bengal"/>
    <x v="5"/>
    <s v="Dr. Karthik"/>
    <s v="K21"/>
    <s v="Medication"/>
    <s v="OPD"/>
    <n v="6263.44"/>
    <s v="Cash"/>
    <s v="No"/>
    <m/>
    <n v="7"/>
    <s v="Adult"/>
    <s v="Medium"/>
    <s v="Short Days"/>
    <m/>
    <m/>
    <m/>
    <m/>
    <m/>
    <m/>
  </r>
  <r>
    <s v="VIS201418"/>
    <d v="2024-02-16T00:00:00"/>
    <s v="PAT5341"/>
    <s v="Ananya Mishra"/>
    <s v="Male"/>
    <n v="15"/>
    <s v="Coimbatore"/>
    <s v="Tamil Nadu"/>
    <x v="2"/>
    <s v="Dr. Ramesh"/>
    <s v="E11"/>
    <s v="Medication"/>
    <s v="OPD"/>
    <n v="2278.12"/>
    <s v="Debit Card"/>
    <s v="No"/>
    <m/>
    <m/>
    <s v="Child"/>
    <s v="Low"/>
    <s v="Short Days"/>
    <m/>
    <m/>
    <m/>
    <m/>
    <m/>
    <m/>
  </r>
  <r>
    <s v="VIS201466"/>
    <d v="2024-09-09T00:00:00"/>
    <s v="PAT6672"/>
    <s v="Aarav Kumar"/>
    <s v="Female"/>
    <n v="47"/>
    <s v="Chennai"/>
    <s v="Tamil Nadu"/>
    <x v="6"/>
    <s v="Dr. Priya"/>
    <s v="E11"/>
    <s v="Minor Surgery"/>
    <s v="Emergency"/>
    <n v="6557.92"/>
    <s v="Insurance"/>
    <s v="Yes"/>
    <m/>
    <n v="90"/>
    <s v="Middle-Aged"/>
    <s v="Medium"/>
    <s v="Short Days"/>
    <m/>
    <m/>
    <m/>
    <m/>
    <m/>
    <m/>
  </r>
  <r>
    <s v="VIS202018"/>
    <d v="2024-12-27T00:00:00"/>
    <s v="PAT5946"/>
    <s v="Priya Mishra"/>
    <s v="Female"/>
    <n v="56"/>
    <s v="Ahmedabad"/>
    <s v="Gujarat"/>
    <x v="3"/>
    <s v="Dr. Anand"/>
    <s v="J45"/>
    <s v="Physiotherapy"/>
    <s v="OPD"/>
    <n v="440.73"/>
    <s v="Debit Card"/>
    <s v="No"/>
    <m/>
    <n v="7"/>
    <s v="Middle-Aged"/>
    <s v="Low"/>
    <s v="Short Days"/>
    <m/>
    <m/>
    <m/>
    <m/>
    <m/>
    <m/>
  </r>
  <r>
    <s v="VIS202357"/>
    <d v="2024-12-25T00:00:00"/>
    <s v="PAT5069"/>
    <s v="Ananya Kumar"/>
    <s v="Female"/>
    <n v="71"/>
    <s v="Trichy"/>
    <s v="Tamil Nadu"/>
    <x v="0"/>
    <s v="Dr. Shailesh"/>
    <s v="L40"/>
    <s v="Observation"/>
    <s v="Emergency"/>
    <n v="17052.09"/>
    <s v="UPI"/>
    <s v="No"/>
    <m/>
    <n v="30"/>
    <s v="Senior"/>
    <s v="High"/>
    <s v="Short Days"/>
    <m/>
    <m/>
    <m/>
    <m/>
    <m/>
    <m/>
  </r>
  <r>
    <s v="VIS202529"/>
    <d v="2025-09-04T00:00:00"/>
    <s v="PAT5265"/>
    <s v="Anil Jose"/>
    <s v="Male"/>
    <n v="31"/>
    <s v="Chennai"/>
    <s v="Tamil Nadu"/>
    <x v="8"/>
    <s v="Dr. Kavitha"/>
    <s v="J00"/>
    <s v="Surgery"/>
    <s v="OPD"/>
    <n v="119.4"/>
    <s v="Insurance"/>
    <s v="Yes"/>
    <m/>
    <m/>
    <s v="Adult"/>
    <s v="Low"/>
    <s v="Short Days"/>
    <m/>
    <m/>
    <m/>
    <m/>
    <m/>
    <m/>
  </r>
  <r>
    <s v="VIS200369"/>
    <d v="2024-08-24T00:00:00"/>
    <s v="PAT6713"/>
    <s v="Ananya Singh"/>
    <s v="Female"/>
    <n v="68"/>
    <s v="Bengaluru"/>
    <s v="Karnataka"/>
    <x v="3"/>
    <s v="Dr. Pallavi"/>
    <s v="J45"/>
    <s v="Prescription Refill"/>
    <s v="OPD"/>
    <n v="466.94"/>
    <s v="Credit Card"/>
    <s v="No"/>
    <m/>
    <n v="30"/>
    <s v="Senior"/>
    <s v="Low"/>
    <s v="Short Days"/>
    <m/>
    <m/>
    <m/>
    <m/>
    <m/>
    <m/>
  </r>
  <r>
    <s v="VIS202690"/>
    <d v="2024-05-30T00:00:00"/>
    <s v="PAT6975"/>
    <s v="Deepa Reddy"/>
    <s v="Female"/>
    <n v="51"/>
    <s v="Ahmedabad"/>
    <s v="Gujarat"/>
    <x v="9"/>
    <s v="Dr. Kusum"/>
    <s v="J45"/>
    <s v="Medication"/>
    <s v="Teleconsultation"/>
    <n v="7197.67"/>
    <s v="Cash"/>
    <s v="No"/>
    <m/>
    <n v="14"/>
    <s v="Middle-Aged"/>
    <s v="Medium"/>
    <s v="Short Days"/>
    <m/>
    <m/>
    <m/>
    <m/>
    <m/>
    <m/>
  </r>
  <r>
    <s v="VIS201896"/>
    <d v="2025-08-11T00:00:00"/>
    <s v="PAT6336"/>
    <s v="Vivaan Kumar"/>
    <s v="Female"/>
    <n v="34"/>
    <s v="Hyderabad"/>
    <s v="Telangana"/>
    <x v="9"/>
    <s v="Dr. Kusum"/>
    <s v="J45"/>
    <s v="Minor Procedure"/>
    <s v="Teleconsultation"/>
    <n v="5517.57"/>
    <s v="Cash"/>
    <s v="No"/>
    <m/>
    <m/>
    <s v="Adult"/>
    <s v="Medium"/>
    <s v="Short Days"/>
    <m/>
    <m/>
    <m/>
    <m/>
    <m/>
    <m/>
  </r>
  <r>
    <s v="VIS201112"/>
    <d v="2025-04-25T00:00:00"/>
    <s v="PAT6404"/>
    <s v="Siddharth Reddy"/>
    <s v="Male"/>
    <n v="70"/>
    <s v="Coimbatore"/>
    <s v="Tamil Nadu"/>
    <x v="5"/>
    <s v="Dr. Ravi"/>
    <s v="M54"/>
    <s v="Physiotherapy"/>
    <s v="OPD"/>
    <n v="2358.0100000000002"/>
    <s v="Cash"/>
    <s v="No"/>
    <m/>
    <n v="90"/>
    <s v="Senior"/>
    <s v="Low"/>
    <s v="Short Days"/>
    <m/>
    <m/>
    <m/>
    <m/>
    <m/>
    <m/>
  </r>
  <r>
    <s v="VIS202013"/>
    <d v="2024-01-18T00:00:00"/>
    <s v="PAT5952"/>
    <s v="Deepa Mishra"/>
    <s v="Male"/>
    <n v="55"/>
    <s v="Lucknow"/>
    <s v="Uttar Pradesh"/>
    <x v="1"/>
    <s v="Dr. Anu"/>
    <s v="H10"/>
    <s v="Minor Surgery"/>
    <s v="OPD"/>
    <n v="1116.71"/>
    <s v="Insurance"/>
    <s v="Yes"/>
    <m/>
    <n v="30"/>
    <s v="Middle-Aged"/>
    <s v="Low"/>
    <s v="Short Days"/>
    <m/>
    <m/>
    <m/>
    <m/>
    <m/>
    <m/>
  </r>
  <r>
    <s v="VIS201801"/>
    <d v="2024-08-29T00:00:00"/>
    <s v="PAT6396"/>
    <s v="Priya Nair"/>
    <s v="Female"/>
    <n v="77"/>
    <s v="Coimbatore"/>
    <s v="Tamil Nadu"/>
    <x v="3"/>
    <s v="Dr. Pallavi"/>
    <s v="J45"/>
    <s v="Surgery"/>
    <s v="Teleconsultation"/>
    <n v="10204.5"/>
    <s v="UPI"/>
    <s v="No"/>
    <m/>
    <m/>
    <s v="Senior"/>
    <s v="High"/>
    <s v="Short Days"/>
    <m/>
    <m/>
    <m/>
    <m/>
    <m/>
    <m/>
  </r>
  <r>
    <s v="VIS201616"/>
    <d v="2025-04-01T00:00:00"/>
    <s v="PAT6962"/>
    <s v="Sangeetha Das"/>
    <s v="Male"/>
    <n v="54"/>
    <s v="Ahmedabad"/>
    <s v="Gujarat"/>
    <x v="5"/>
    <s v="Dr. Karthik"/>
    <s v="I10"/>
    <s v="Minor Surgery"/>
    <s v="OPD"/>
    <n v="5531.02"/>
    <s v="Debit Card"/>
    <s v="No"/>
    <m/>
    <n v="30"/>
    <s v="Middle-Aged"/>
    <s v="Medium"/>
    <s v="Short Days"/>
    <m/>
    <m/>
    <m/>
    <m/>
    <m/>
    <m/>
  </r>
  <r>
    <s v="VIS201533"/>
    <d v="2025-04-12T00:00:00"/>
    <s v="PAT5540"/>
    <s v="Ishaan Das"/>
    <s v="Female"/>
    <n v="62"/>
    <s v="Kochi"/>
    <s v="Kerala"/>
    <x v="3"/>
    <s v="Dr. Anand"/>
    <s v="J00"/>
    <s v="Minor Procedure"/>
    <s v="Emergency"/>
    <n v="5620.96"/>
    <s v="Insurance"/>
    <s v="Yes"/>
    <m/>
    <m/>
    <s v="Senior"/>
    <s v="Medium"/>
    <s v="Short Days"/>
    <m/>
    <m/>
    <m/>
    <m/>
    <m/>
    <m/>
  </r>
  <r>
    <s v="VIS202549"/>
    <d v="2024-09-15T00:00:00"/>
    <s v="PAT5830"/>
    <s v="Rahul Singh"/>
    <s v="Other"/>
    <n v="42"/>
    <s v="Jaipur"/>
    <s v="Rajasthan"/>
    <x v="5"/>
    <s v="Dr. Karthik"/>
    <s v="N39"/>
    <s v="Physiotherapy"/>
    <s v="OPD"/>
    <n v="7622.98"/>
    <s v="Cash"/>
    <s v="No"/>
    <m/>
    <n v="90"/>
    <s v="Middle-Aged"/>
    <s v="Medium"/>
    <s v="Short Days"/>
    <m/>
    <m/>
    <m/>
    <m/>
    <m/>
    <m/>
  </r>
  <r>
    <s v="VIS201740"/>
    <d v="2024-05-04T00:00:00"/>
    <s v="PAT6042"/>
    <s v="Ishaan Das"/>
    <s v="Male"/>
    <n v="48"/>
    <s v="Kochi"/>
    <s v="Kerala"/>
    <x v="3"/>
    <s v="Dr. Anand"/>
    <s v="M54"/>
    <s v="Minor Procedure"/>
    <s v="OPD"/>
    <n v="338.54"/>
    <s v="Cash"/>
    <s v="No"/>
    <m/>
    <n v="7"/>
    <s v="Middle-Aged"/>
    <s v="Low"/>
    <s v="Short Days"/>
    <m/>
    <m/>
    <m/>
    <m/>
    <m/>
    <m/>
  </r>
  <r>
    <s v="VIS200717"/>
    <d v="2024-11-27T00:00:00"/>
    <s v="PAT5422"/>
    <s v="Neha Das"/>
    <s v="Male"/>
    <n v="34"/>
    <s v="Kolkata"/>
    <s v="West Bengal"/>
    <x v="4"/>
    <s v="Dr. Varun"/>
    <s v="I10"/>
    <s v="Prescription Refill"/>
    <s v="Teleconsultation"/>
    <n v="6525.26"/>
    <s v="Insurance"/>
    <s v="Yes"/>
    <m/>
    <n v="7"/>
    <s v="Adult"/>
    <s v="Medium"/>
    <s v="Short Days"/>
    <m/>
    <m/>
    <m/>
    <m/>
    <m/>
    <m/>
  </r>
  <r>
    <s v="VIS202479"/>
    <d v="2025-09-18T00:00:00"/>
    <s v="PAT5251"/>
    <s v="Karthik Nagar"/>
    <s v="Male"/>
    <n v="27"/>
    <s v="Hyderabad"/>
    <s v="Telangana"/>
    <x v="6"/>
    <s v="Dr. Priya"/>
    <s v="L40"/>
    <s v="Minor Surgery"/>
    <s v="OPD"/>
    <n v="25849.72"/>
    <s v="Cash"/>
    <s v="No"/>
    <m/>
    <m/>
    <s v="Adult"/>
    <s v="High"/>
    <s v="Short Days"/>
    <m/>
    <m/>
    <m/>
    <m/>
    <m/>
    <m/>
  </r>
  <r>
    <s v="VIS202120"/>
    <d v="2024-01-19T00:00:00"/>
    <s v="PAT6173"/>
    <s v="Karthik Bose"/>
    <s v="Male"/>
    <n v="17"/>
    <s v="Madurai"/>
    <s v="Tamil Nadu"/>
    <x v="9"/>
    <s v="Dr. Kusum"/>
    <s v="F41"/>
    <s v="Observation"/>
    <s v="OPD"/>
    <n v="17832.29"/>
    <s v="Net Banking"/>
    <s v="No"/>
    <m/>
    <m/>
    <s v="Child"/>
    <s v="High"/>
    <s v="Short Days"/>
    <m/>
    <m/>
    <m/>
    <m/>
    <m/>
    <m/>
  </r>
  <r>
    <s v="VIS202523"/>
    <d v="2025-01-16T00:00:00"/>
    <s v="PAT6525"/>
    <s v="Vishal Kumar"/>
    <s v="Male"/>
    <n v="54"/>
    <s v="Lucknow"/>
    <s v="Uttar Pradesh"/>
    <x v="4"/>
    <s v="Dr. Varun"/>
    <s v="F41"/>
    <s v="Minor Procedure"/>
    <s v="OPD"/>
    <n v="647.9"/>
    <s v="Insurance"/>
    <s v="Yes"/>
    <m/>
    <m/>
    <s v="Middle-Aged"/>
    <s v="Low"/>
    <s v="Short Days"/>
    <m/>
    <m/>
    <m/>
    <m/>
    <m/>
    <m/>
  </r>
  <r>
    <s v="VIS202361"/>
    <d v="2024-10-05T00:00:00"/>
    <s v="PAT6041"/>
    <s v="Arjun Patel"/>
    <s v="Female"/>
    <n v="59"/>
    <s v="Noida"/>
    <s v="Uttar Pradesh"/>
    <x v="3"/>
    <s v="Dr. Pallavi"/>
    <s v="E11"/>
    <s v="Minor Surgery"/>
    <s v="OPD"/>
    <n v="6984.87"/>
    <s v="Credit Card"/>
    <s v="No"/>
    <m/>
    <n v="30"/>
    <s v="Middle-Aged"/>
    <s v="Medium"/>
    <s v="Short Days"/>
    <m/>
    <m/>
    <m/>
    <m/>
    <m/>
    <m/>
  </r>
  <r>
    <s v="VIS200671"/>
    <d v="2025-01-05T00:00:00"/>
    <s v="PAT6796"/>
    <s v="Rahul Gupta"/>
    <s v="Female"/>
    <n v="32"/>
    <s v="Trichy"/>
    <s v="Tamil Nadu"/>
    <x v="0"/>
    <s v="Dr. Shailesh"/>
    <s v="L40"/>
    <s v="Minor Surgery"/>
    <s v="OPD"/>
    <n v="2653.66"/>
    <s v="Cash"/>
    <s v="No"/>
    <m/>
    <n v="90"/>
    <s v="Adult"/>
    <s v="Low"/>
    <s v="Short Days"/>
    <m/>
    <m/>
    <m/>
    <m/>
    <m/>
    <m/>
  </r>
  <r>
    <s v="VIS202342"/>
    <d v="2025-02-06T00:00:00"/>
    <s v="PAT5131"/>
    <s v="Rahul Nair"/>
    <s v="Female"/>
    <n v="57"/>
    <s v="Bengaluru"/>
    <s v="Karnataka"/>
    <x v="3"/>
    <s v="Dr. Anand"/>
    <s v="L40"/>
    <s v="Physiotherapy"/>
    <s v="Teleconsultation"/>
    <n v="13235.14"/>
    <s v="Debit Card"/>
    <s v="No"/>
    <m/>
    <n v="90"/>
    <s v="Middle-Aged"/>
    <s v="High"/>
    <s v="Short Days"/>
    <m/>
    <m/>
    <m/>
    <m/>
    <m/>
    <m/>
  </r>
  <r>
    <s v="VIS200641"/>
    <d v="2024-03-10T00:00:00"/>
    <s v="PAT5888"/>
    <s v="Arjun Mishra"/>
    <s v="Female"/>
    <n v="51"/>
    <s v="Jaipur"/>
    <s v="Rajasthan"/>
    <x v="4"/>
    <s v="Dr. Bhavana"/>
    <s v="I10"/>
    <s v="Minor Procedure"/>
    <s v="Teleconsultation"/>
    <n v="5329.09"/>
    <s v="Net Banking"/>
    <s v="No"/>
    <m/>
    <m/>
    <s v="Middle-Aged"/>
    <s v="Medium"/>
    <s v="Short Days"/>
    <m/>
    <m/>
    <m/>
    <m/>
    <m/>
    <m/>
  </r>
  <r>
    <s v="VIS200128"/>
    <d v="2024-03-30T00:00:00"/>
    <s v="PAT5743"/>
    <s v="Kavya Jose"/>
    <s v="Male"/>
    <n v="28"/>
    <s v="Lucknow"/>
    <s v="Uttar Pradesh"/>
    <x v="5"/>
    <s v="Dr. Meena"/>
    <s v="E11"/>
    <s v="Physiotherapy"/>
    <s v="OPD"/>
    <n v="2030.79"/>
    <s v="Credit Card"/>
    <s v="No"/>
    <m/>
    <m/>
    <s v="Adult"/>
    <s v="Low"/>
    <s v="Short Days"/>
    <m/>
    <m/>
    <m/>
    <m/>
    <m/>
    <m/>
  </r>
  <r>
    <s v="VIS200861"/>
    <d v="2025-01-29T00:00:00"/>
    <s v="PAT6000"/>
    <s v="Vishal Mishra"/>
    <s v="Male"/>
    <n v="41"/>
    <s v="Madurai"/>
    <s v="Tamil Nadu"/>
    <x v="1"/>
    <s v="Dr. Anu"/>
    <s v="J45"/>
    <s v="Counselling"/>
    <s v="OPD"/>
    <n v="706.88"/>
    <s v="Cash"/>
    <s v="No"/>
    <m/>
    <n v="14"/>
    <s v="Middle-Aged"/>
    <s v="Low"/>
    <s v="Short Days"/>
    <m/>
    <m/>
    <m/>
    <m/>
    <m/>
    <m/>
  </r>
  <r>
    <s v="VIS200046"/>
    <d v="2025-03-13T00:00:00"/>
    <s v="PAT5434"/>
    <s v="Deepa Kumar"/>
    <s v="Male"/>
    <n v="46"/>
    <s v="Lucknow"/>
    <s v="Uttar Pradesh"/>
    <x v="2"/>
    <s v="Dr. Manoj"/>
    <s v="J00"/>
    <s v="Surgery"/>
    <s v="Teleconsultation"/>
    <n v="7067.52"/>
    <s v="Cash"/>
    <s v="No"/>
    <m/>
    <m/>
    <s v="Middle-Aged"/>
    <s v="Medium"/>
    <s v="Short Days"/>
    <m/>
    <m/>
    <m/>
    <m/>
    <m/>
    <m/>
  </r>
  <r>
    <s v="VIS201790"/>
    <d v="2024-12-20T00:00:00"/>
    <s v="PAT5882"/>
    <s v="Vishal Jose"/>
    <s v="Female"/>
    <n v="25"/>
    <s v="Lucknow"/>
    <s v="Uttar Pradesh"/>
    <x v="6"/>
    <s v="Dr. Priya"/>
    <s v="I10"/>
    <s v="Observation"/>
    <s v="OPD"/>
    <n v="1866.05"/>
    <s v="Cash"/>
    <s v="No"/>
    <m/>
    <n v="14"/>
    <s v="Adult"/>
    <s v="Low"/>
    <s v="Short Days"/>
    <m/>
    <m/>
    <m/>
    <m/>
    <m/>
    <m/>
  </r>
  <r>
    <s v="VIS200531"/>
    <d v="2024-10-04T00:00:00"/>
    <s v="PAT6321"/>
    <s v="Manisha Iyer"/>
    <s v="Male"/>
    <n v="46"/>
    <s v="Jaipur"/>
    <s v="Rajasthan"/>
    <x v="3"/>
    <s v="Dr. Pallavi"/>
    <s v="M54"/>
    <s v="Prescription Refill"/>
    <s v="Teleconsultation"/>
    <n v="17696.88"/>
    <s v="Cash"/>
    <s v="No"/>
    <m/>
    <m/>
    <s v="Middle-Aged"/>
    <s v="High"/>
    <s v="Short Days"/>
    <m/>
    <m/>
    <m/>
    <m/>
    <m/>
    <m/>
  </r>
  <r>
    <s v="VIS201255"/>
    <d v="2025-07-06T00:00:00"/>
    <s v="PAT6351"/>
    <s v="Rahul Das"/>
    <s v="Female"/>
    <n v="41"/>
    <s v="Kochi"/>
    <s v="Kerala"/>
    <x v="5"/>
    <s v="Dr. Karthik"/>
    <s v="N39"/>
    <s v="Prescription Refill"/>
    <s v="Teleconsultation"/>
    <n v="5062.54"/>
    <s v="Cash"/>
    <s v="No"/>
    <m/>
    <n v="90"/>
    <s v="Middle-Aged"/>
    <s v="Medium"/>
    <s v="Short Days"/>
    <m/>
    <m/>
    <m/>
    <m/>
    <m/>
    <m/>
  </r>
  <r>
    <s v="VIS200533"/>
    <d v="2025-04-17T00:00:00"/>
    <s v="PAT6167"/>
    <s v="Vishal Sharma"/>
    <s v="Female"/>
    <n v="37"/>
    <s v="Hyderabad"/>
    <s v="Telangana"/>
    <x v="2"/>
    <s v="Dr. Manoj"/>
    <s v="F41"/>
    <s v="Physiotherapy"/>
    <s v="OPD"/>
    <n v="7079.69"/>
    <s v="Cash"/>
    <s v="No"/>
    <m/>
    <m/>
    <s v="Adult"/>
    <s v="Medium"/>
    <s v="Short Days"/>
    <m/>
    <m/>
    <m/>
    <m/>
    <m/>
    <m/>
  </r>
  <r>
    <s v="VIS201992"/>
    <d v="2025-03-25T00:00:00"/>
    <s v="PAT5595"/>
    <s v="Kavya Sharma"/>
    <s v="Female"/>
    <n v="51"/>
    <s v="Bengaluru"/>
    <s v="Karnataka"/>
    <x v="2"/>
    <s v="Dr. Ramesh"/>
    <s v="L40"/>
    <s v="Physiotherapy"/>
    <s v="OPD"/>
    <n v="10852.5"/>
    <s v="Insurance"/>
    <s v="Yes"/>
    <m/>
    <m/>
    <s v="Middle-Aged"/>
    <s v="High"/>
    <s v="Short Days"/>
    <m/>
    <m/>
    <m/>
    <m/>
    <m/>
    <m/>
  </r>
  <r>
    <s v="VIS201268"/>
    <d v="2025-06-22T00:00:00"/>
    <s v="PAT6677"/>
    <s v="Aarav Bose"/>
    <s v="Female"/>
    <n v="49"/>
    <s v="Coimbatore"/>
    <s v="Tamil Nadu"/>
    <x v="9"/>
    <s v="Dr. Kusum"/>
    <s v="H10"/>
    <s v="Counselling"/>
    <s v="OPD"/>
    <n v="2061.5500000000002"/>
    <s v="UPI"/>
    <s v="No"/>
    <m/>
    <n v="30"/>
    <s v="Middle-Aged"/>
    <s v="Low"/>
    <s v="Short Days"/>
    <m/>
    <m/>
    <m/>
    <m/>
    <m/>
    <m/>
  </r>
  <r>
    <s v="VIS202798"/>
    <d v="2025-04-16T00:00:00"/>
    <s v="PAT6313"/>
    <s v="Shruti Patel"/>
    <s v="Female"/>
    <n v="29"/>
    <s v="Delhi"/>
    <s v="Delhi"/>
    <x v="7"/>
    <s v="Dr. Surya"/>
    <s v="J45"/>
    <s v="Counselling"/>
    <s v="OPD"/>
    <n v="10681.58"/>
    <s v="Net Banking"/>
    <s v="No"/>
    <m/>
    <m/>
    <s v="Adult"/>
    <s v="High"/>
    <s v="Short Days"/>
    <m/>
    <m/>
    <m/>
    <m/>
    <m/>
    <m/>
  </r>
  <r>
    <s v="VIS201397"/>
    <d v="2024-03-16T00:00:00"/>
    <s v="PAT6798"/>
    <s v="Anil Kumar"/>
    <s v="Male"/>
    <n v="53"/>
    <s v="Kolkata"/>
    <s v="West Bengal"/>
    <x v="1"/>
    <s v="Dr. Suri"/>
    <s v="J00"/>
    <s v="Observation"/>
    <s v="OPD"/>
    <n v="2022.01"/>
    <s v="Debit Card"/>
    <s v="No"/>
    <m/>
    <n v="90"/>
    <s v="Middle-Aged"/>
    <s v="Low"/>
    <s v="Short Days"/>
    <m/>
    <m/>
    <m/>
    <m/>
    <m/>
    <m/>
  </r>
  <r>
    <s v="VIS202297"/>
    <d v="2024-04-22T00:00:00"/>
    <s v="PAT5872"/>
    <s v="Aishwarya Reddy"/>
    <s v="Male"/>
    <n v="20"/>
    <s v="Delhi"/>
    <s v="Delhi"/>
    <x v="0"/>
    <s v="Dr. Nikhil"/>
    <s v="L40"/>
    <s v="Minor Surgery"/>
    <s v="OPD"/>
    <n v="12097.01"/>
    <s v="Insurance"/>
    <s v="Yes"/>
    <m/>
    <n v="90"/>
    <s v="Adult"/>
    <s v="High"/>
    <s v="Short Days"/>
    <m/>
    <m/>
    <m/>
    <m/>
    <m/>
    <m/>
  </r>
  <r>
    <s v="VIS200449"/>
    <d v="2025-10-08T00:00:00"/>
    <s v="PAT5014"/>
    <s v="Neha Singh"/>
    <s v="Female"/>
    <n v="30"/>
    <s v="Lucknow"/>
    <s v="Uttar Pradesh"/>
    <x v="6"/>
    <s v="Dr. Priya"/>
    <s v="M54"/>
    <s v="Physiotherapy"/>
    <s v="OPD"/>
    <n v="2239.67"/>
    <s v="UPI"/>
    <s v="No"/>
    <m/>
    <n v="14"/>
    <s v="Adult"/>
    <s v="Low"/>
    <s v="Short Days"/>
    <m/>
    <m/>
    <m/>
    <m/>
    <m/>
    <m/>
  </r>
  <r>
    <s v="VIS200816"/>
    <d v="2024-12-05T00:00:00"/>
    <s v="PAT5001"/>
    <s v="Sangeetha Bose"/>
    <s v="Female"/>
    <n v="37"/>
    <s v="Jaipur"/>
    <s v="Rajasthan"/>
    <x v="1"/>
    <s v="Dr. Anu"/>
    <s v="K21"/>
    <s v="Physiotherapy"/>
    <s v="OPD"/>
    <n v="1653.17"/>
    <s v="Insurance"/>
    <s v="Yes"/>
    <m/>
    <n v="30"/>
    <s v="Adult"/>
    <s v="Low"/>
    <s v="Short Days"/>
    <m/>
    <m/>
    <m/>
    <m/>
    <m/>
    <m/>
  </r>
  <r>
    <s v="VIS202502"/>
    <d v="2024-05-10T00:00:00"/>
    <s v="PAT5728"/>
    <s v="Rahul Sharma"/>
    <s v="Female"/>
    <n v="39"/>
    <s v="Jaipur"/>
    <s v="Rajasthan"/>
    <x v="2"/>
    <s v="Dr. Ramesh"/>
    <s v="Z111"/>
    <s v="Minor Surgery"/>
    <s v="OPD"/>
    <n v="3706.69"/>
    <s v="Insurance"/>
    <s v="Yes"/>
    <m/>
    <m/>
    <s v="Adult"/>
    <s v="Low"/>
    <s v="Short Days"/>
    <m/>
    <m/>
    <m/>
    <m/>
    <m/>
    <m/>
  </r>
  <r>
    <s v="VIS200091"/>
    <d v="2025-06-13T00:00:00"/>
    <s v="PAT6805"/>
    <s v="Kavya Nagar"/>
    <s v="Female"/>
    <n v="23"/>
    <s v="Delhi"/>
    <s v="Delhi"/>
    <x v="4"/>
    <s v="Dr. Bhavana"/>
    <s v="E11"/>
    <s v="Minor Surgery"/>
    <s v="OPD"/>
    <n v="2141.46"/>
    <s v="Cash"/>
    <s v="No"/>
    <m/>
    <n v="7"/>
    <s v="Adult"/>
    <s v="Low"/>
    <s v="Short Days"/>
    <m/>
    <m/>
    <m/>
    <m/>
    <m/>
    <m/>
  </r>
  <r>
    <s v="VIS202183"/>
    <d v="2024-12-18T00:00:00"/>
    <s v="PAT6784"/>
    <s v="Priya Iyer"/>
    <s v="Female"/>
    <n v="48"/>
    <s v="Chennai"/>
    <s v="Tamil Nadu"/>
    <x v="8"/>
    <s v="Dr. Sneha"/>
    <s v="K21"/>
    <s v="Physiotherapy"/>
    <s v="Teleconsultation"/>
    <n v="6558.33"/>
    <s v="UPI"/>
    <s v="No"/>
    <m/>
    <m/>
    <s v="Middle-Aged"/>
    <s v="Medium"/>
    <s v="Short Days"/>
    <m/>
    <m/>
    <m/>
    <m/>
    <m/>
    <m/>
  </r>
  <r>
    <s v="VIS200657"/>
    <d v="2025-08-05T00:00:00"/>
    <s v="PAT6523"/>
    <s v="Sangeetha Sharma"/>
    <s v="Female"/>
    <n v="11"/>
    <s v="Delhi"/>
    <s v="Delhi"/>
    <x v="2"/>
    <s v="Dr. Manoj"/>
    <s v="E11"/>
    <s v="Physiotherapy"/>
    <s v="OPD"/>
    <n v="1343.6"/>
    <s v="Credit Card"/>
    <s v="No"/>
    <m/>
    <m/>
    <s v="Child"/>
    <s v="Low"/>
    <s v="Short Days"/>
    <m/>
    <m/>
    <m/>
    <m/>
    <m/>
    <m/>
  </r>
  <r>
    <s v="VIS202281"/>
    <d v="2024-09-28T00:00:00"/>
    <s v="PAT5236"/>
    <s v="Deepa Patel"/>
    <s v="Male"/>
    <n v="25"/>
    <s v="Bengaluru"/>
    <s v="Karnataka"/>
    <x v="0"/>
    <s v="Dr. Shailesh"/>
    <s v="M54"/>
    <s v="Minor Procedure"/>
    <s v="OPD"/>
    <n v="359.6"/>
    <s v="Debit Card"/>
    <s v="No"/>
    <m/>
    <n v="30"/>
    <s v="Adult"/>
    <s v="Low"/>
    <s v="Short Days"/>
    <m/>
    <m/>
    <m/>
    <m/>
    <m/>
    <m/>
  </r>
  <r>
    <s v="VIS202210"/>
    <d v="2025-04-20T00:00:00"/>
    <s v="PAT5344"/>
    <s v="Karthik Jose"/>
    <s v="Male"/>
    <n v="19"/>
    <s v="Ahmedabad"/>
    <s v="Gujarat"/>
    <x v="1"/>
    <s v="Dr. Suri"/>
    <s v="J00"/>
    <s v="Surgery"/>
    <s v="OPD"/>
    <n v="3119.29"/>
    <s v="Insurance"/>
    <s v="Yes"/>
    <m/>
    <n v="90"/>
    <s v="Adult"/>
    <s v="Low"/>
    <s v="Short Days"/>
    <m/>
    <m/>
    <m/>
    <m/>
    <m/>
    <m/>
  </r>
  <r>
    <s v="VIS200605"/>
    <d v="2025-10-03T00:00:00"/>
    <s v="PAT5090"/>
    <s v="Karthik Singh"/>
    <s v="Female"/>
    <n v="65"/>
    <s v="Trichy"/>
    <s v="Tamil Nadu"/>
    <x v="3"/>
    <s v="Dr. Pallavi"/>
    <s v="K21"/>
    <s v="Observation"/>
    <s v="OPD"/>
    <n v="2017.74"/>
    <s v="UPI"/>
    <s v="No"/>
    <m/>
    <n v="90"/>
    <s v="Senior"/>
    <s v="Low"/>
    <s v="Short Days"/>
    <m/>
    <m/>
    <m/>
    <m/>
    <m/>
    <m/>
  </r>
  <r>
    <s v="VIS201193"/>
    <d v="2025-08-28T00:00:00"/>
    <s v="PAT5991"/>
    <s v="Aishwarya Jose"/>
    <s v="Female"/>
    <n v="31"/>
    <s v="Delhi"/>
    <s v="Delhi"/>
    <x v="1"/>
    <s v="Dr. Anu"/>
    <s v="N39"/>
    <s v="Observation"/>
    <s v="OPD"/>
    <n v="2005.35"/>
    <s v="Credit Card"/>
    <s v="No"/>
    <m/>
    <m/>
    <s v="Adult"/>
    <s v="Low"/>
    <s v="Short Days"/>
    <m/>
    <m/>
    <m/>
    <m/>
    <m/>
    <m/>
  </r>
  <r>
    <s v="VIS202833"/>
    <d v="2024-09-27T00:00:00"/>
    <s v="PAT5248"/>
    <s v="Aditya Mishra"/>
    <s v="Female"/>
    <n v="40"/>
    <s v="Madurai"/>
    <s v="Tamil Nadu"/>
    <x v="1"/>
    <s v="Dr. Suri"/>
    <s v="N39"/>
    <s v="Prescription Refill"/>
    <s v="Emergency"/>
    <n v="11945.17"/>
    <s v="UPI"/>
    <s v="No"/>
    <m/>
    <n v="14"/>
    <s v="Adult"/>
    <s v="High"/>
    <s v="Short Days"/>
    <m/>
    <m/>
    <m/>
    <m/>
    <m/>
    <m/>
  </r>
  <r>
    <s v="VIS200370"/>
    <d v="2025-07-28T00:00:00"/>
    <s v="PAT6478"/>
    <s v="Karthik Mishra"/>
    <s v="Male"/>
    <n v="43"/>
    <s v="Trichy"/>
    <s v="Tamil Nadu"/>
    <x v="4"/>
    <s v="Dr. Varun"/>
    <s v="M54"/>
    <s v="Prescription Refill"/>
    <s v="Teleconsultation"/>
    <n v="7261.97"/>
    <s v="Insurance"/>
    <s v="Yes"/>
    <m/>
    <n v="7"/>
    <s v="Middle-Aged"/>
    <s v="Medium"/>
    <s v="Short Days"/>
    <m/>
    <m/>
    <m/>
    <m/>
    <m/>
    <m/>
  </r>
  <r>
    <s v="VIS202320"/>
    <d v="2025-03-25T00:00:00"/>
    <s v="PAT5280"/>
    <s v="Priya Bose"/>
    <s v="Female"/>
    <n v="42"/>
    <s v="Ahmedabad"/>
    <s v="Gujarat"/>
    <x v="0"/>
    <s v="Dr. Nikhil"/>
    <s v="M54"/>
    <s v="Counselling"/>
    <s v="OPD"/>
    <n v="3133.07"/>
    <s v="Insurance"/>
    <s v="Yes"/>
    <m/>
    <m/>
    <s v="Middle-Aged"/>
    <s v="Low"/>
    <s v="Short Days"/>
    <m/>
    <m/>
    <m/>
    <m/>
    <m/>
    <m/>
  </r>
  <r>
    <s v="VIS202233"/>
    <d v="2025-02-11T00:00:00"/>
    <s v="PAT5908"/>
    <s v="Aarav Nair"/>
    <s v="Female"/>
    <n v="33.5"/>
    <s v="Delhi"/>
    <s v="West Bengal"/>
    <x v="3"/>
    <s v="Dr. Anand"/>
    <s v="Z111"/>
    <s v="Counselling"/>
    <s v="OPD"/>
    <n v="2399.38"/>
    <s v="Cash"/>
    <s v="No"/>
    <m/>
    <n v="7"/>
    <s v="Adult"/>
    <s v="Low"/>
    <s v="Short Days"/>
    <m/>
    <m/>
    <m/>
    <m/>
    <m/>
    <m/>
  </r>
  <r>
    <s v="VIS200214"/>
    <d v="2025-06-20T00:00:00"/>
    <s v="PAT6090"/>
    <s v="Priya Kumar"/>
    <s v="Female"/>
    <n v="69"/>
    <s v="Kolkata"/>
    <s v="West Bengal"/>
    <x v="2"/>
    <s v="Dr. Manoj"/>
    <s v="E11"/>
    <s v="Prescription Refill"/>
    <s v="OPD"/>
    <n v="633.26"/>
    <s v="Debit Card"/>
    <s v="No"/>
    <m/>
    <n v="7"/>
    <s v="Senior"/>
    <s v="Low"/>
    <s v="Short Days"/>
    <m/>
    <m/>
    <m/>
    <m/>
    <m/>
    <m/>
  </r>
  <r>
    <s v="VIS201815"/>
    <d v="2024-03-12T00:00:00"/>
    <s v="PAT5265"/>
    <s v="Aishwarya Khan"/>
    <s v="Male"/>
    <n v="54"/>
    <s v="Hyderabad"/>
    <s v="Telangana"/>
    <x v="9"/>
    <s v="Dr. Kusum"/>
    <s v="E11"/>
    <s v="Physiotherapy"/>
    <s v="OPD"/>
    <n v="8894.02"/>
    <s v="Insurance"/>
    <s v="Yes"/>
    <m/>
    <n v="14"/>
    <s v="Middle-Aged"/>
    <s v="Medium"/>
    <s v="Short Days"/>
    <m/>
    <m/>
    <m/>
    <m/>
    <m/>
    <m/>
  </r>
  <r>
    <s v="VIS202110"/>
    <d v="2024-10-21T00:00:00"/>
    <s v="PAT6308"/>
    <s v="Aditya Mishra"/>
    <s v="Male"/>
    <n v="54"/>
    <s v="Lucknow"/>
    <s v="Uttar Pradesh"/>
    <x v="6"/>
    <s v="Dr. Lalitha"/>
    <s v="F41"/>
    <s v="Medication"/>
    <s v="OPD"/>
    <n v="10154.209999999999"/>
    <s v="Cash"/>
    <s v="No"/>
    <m/>
    <m/>
    <s v="Middle-Aged"/>
    <s v="High"/>
    <s v="Short Days"/>
    <m/>
    <m/>
    <m/>
    <m/>
    <m/>
    <m/>
  </r>
  <r>
    <s v="VIS200090"/>
    <d v="2025-10-03T00:00:00"/>
    <s v="PAT6016"/>
    <s v="Priya Nagar"/>
    <s v="Female"/>
    <n v="38"/>
    <s v="Kochi"/>
    <s v="Kerala"/>
    <x v="8"/>
    <s v="Dr. Sneha"/>
    <s v="H10"/>
    <s v="Surgery"/>
    <s v="Teleconsultation"/>
    <n v="21484.79"/>
    <s v="Cash"/>
    <s v="No"/>
    <m/>
    <n v="90"/>
    <s v="Adult"/>
    <s v="High"/>
    <s v="Short Days"/>
    <m/>
    <m/>
    <m/>
    <m/>
    <m/>
    <m/>
  </r>
  <r>
    <s v="VIS202500"/>
    <d v="2025-04-26T00:00:00"/>
    <s v="PAT6368"/>
    <s v="Vishal Nagar"/>
    <s v="Male"/>
    <n v="49"/>
    <s v="Trichy"/>
    <s v="Tamil Nadu"/>
    <x v="8"/>
    <s v="Dr. Sneha"/>
    <s v="J45"/>
    <s v="Medication"/>
    <s v="OPD"/>
    <n v="6423.83"/>
    <s v="Insurance"/>
    <s v="Yes"/>
    <m/>
    <n v="30"/>
    <s v="Middle-Aged"/>
    <s v="Medium"/>
    <s v="Short Days"/>
    <m/>
    <m/>
    <m/>
    <m/>
    <m/>
    <m/>
  </r>
  <r>
    <s v="VIS201674"/>
    <d v="2024-02-10T00:00:00"/>
    <s v="PAT6007"/>
    <s v="Aditya Nair"/>
    <s v="Male"/>
    <n v="37"/>
    <s v="Chennai"/>
    <s v="Tamil Nadu"/>
    <x v="9"/>
    <s v="Dr. Kusum"/>
    <s v="M54"/>
    <s v="Surgery"/>
    <s v="OPD"/>
    <n v="8508.61"/>
    <s v="Insurance"/>
    <s v="Yes"/>
    <m/>
    <m/>
    <s v="Adult"/>
    <s v="Medium"/>
    <s v="Short Days"/>
    <m/>
    <m/>
    <m/>
    <m/>
    <m/>
    <m/>
  </r>
  <r>
    <s v="VIS202353"/>
    <d v="2025-04-25T00:00:00"/>
    <s v="PAT6342"/>
    <s v="Anil Mishra"/>
    <s v="Female"/>
    <n v="66"/>
    <s v="Jaipur"/>
    <s v="Rajasthan"/>
    <x v="9"/>
    <s v="Dr. Kusum"/>
    <s v="F41"/>
    <s v="Minor Surgery"/>
    <s v="OPD"/>
    <n v="1677.96"/>
    <s v="Debit Card"/>
    <s v="No"/>
    <m/>
    <n v="90"/>
    <s v="Senior"/>
    <s v="Low"/>
    <s v="Short Days"/>
    <m/>
    <m/>
    <m/>
    <m/>
    <m/>
    <m/>
  </r>
  <r>
    <s v="VIS200852"/>
    <d v="2025-01-03T00:00:00"/>
    <s v="PAT6661"/>
    <s v="Anil Sharma"/>
    <s v="Male"/>
    <n v="67.5"/>
    <s v="Delhi"/>
    <s v="Tamil Nadu"/>
    <x v="5"/>
    <s v="Dr. Ravi"/>
    <s v="Z111"/>
    <s v="Medication"/>
    <s v="IPD"/>
    <n v="5365.2"/>
    <s v="Insurance"/>
    <s v="Yes"/>
    <n v="6"/>
    <n v="7"/>
    <s v="Senior"/>
    <s v="Medium"/>
    <s v="Long Days"/>
    <m/>
    <m/>
    <m/>
    <m/>
    <m/>
    <m/>
  </r>
  <r>
    <s v="VIS201274"/>
    <d v="2024-01-11T00:00:00"/>
    <s v="PAT6744"/>
    <s v="Priya Bose"/>
    <s v="Male"/>
    <n v="18"/>
    <s v="Kochi"/>
    <s v="Kerala"/>
    <x v="3"/>
    <s v="Dr. Pallavi"/>
    <s v="M54"/>
    <s v="Medication"/>
    <s v="OPD"/>
    <n v="420.94"/>
    <s v="Insurance"/>
    <s v="Yes"/>
    <m/>
    <n v="7"/>
    <s v="Adult"/>
    <s v="Low"/>
    <s v="Short Days"/>
    <m/>
    <m/>
    <m/>
    <m/>
    <m/>
    <m/>
  </r>
  <r>
    <s v="VIS202913"/>
    <d v="2024-11-18T00:00:00"/>
    <s v="PAT6494"/>
    <s v="Aditya Nagar"/>
    <s v="Female"/>
    <n v="38"/>
    <s v="Delhi"/>
    <s v="Delhi"/>
    <x v="8"/>
    <s v="Dr. Sneha"/>
    <s v="J00"/>
    <s v="Minor Surgery"/>
    <s v="OPD"/>
    <n v="4612.34"/>
    <s v="UPI"/>
    <s v="No"/>
    <m/>
    <n v="7"/>
    <s v="Adult"/>
    <s v="Low"/>
    <s v="Short Days"/>
    <m/>
    <m/>
    <m/>
    <m/>
    <m/>
    <m/>
  </r>
  <r>
    <s v="VIS202056"/>
    <d v="2024-09-19T00:00:00"/>
    <s v="PAT5689"/>
    <s v="Aarav Sharma"/>
    <s v="Female"/>
    <n v="10"/>
    <s v="Delhi"/>
    <s v="Delhi"/>
    <x v="2"/>
    <s v="Dr. Manoj"/>
    <s v="L40"/>
    <s v="Prescription Refill"/>
    <s v="OPD"/>
    <n v="8972.65"/>
    <s v="Cash"/>
    <s v="No"/>
    <m/>
    <m/>
    <s v="Child"/>
    <s v="Medium"/>
    <s v="Short Days"/>
    <m/>
    <m/>
    <m/>
    <m/>
    <m/>
    <m/>
  </r>
  <r>
    <s v="VIS200330"/>
    <d v="2025-11-02T00:00:00"/>
    <s v="PAT6383"/>
    <s v="Vishal Nagar"/>
    <s v="Female"/>
    <n v="55"/>
    <s v="Coimbatore"/>
    <s v="Tamil Nadu"/>
    <x v="9"/>
    <s v="Dr. Arvind"/>
    <s v="K21"/>
    <s v="Counselling"/>
    <s v="Emergency"/>
    <n v="10603.31"/>
    <s v="Credit Card"/>
    <s v="No"/>
    <m/>
    <n v="14"/>
    <s v="Middle-Aged"/>
    <s v="High"/>
    <s v="Short Days"/>
    <m/>
    <m/>
    <m/>
    <m/>
    <m/>
    <m/>
  </r>
  <r>
    <s v="VIS201844"/>
    <d v="2025-03-01T00:00:00"/>
    <s v="PAT5199"/>
    <s v="Deepa Bose"/>
    <s v="Male"/>
    <n v="16"/>
    <s v="Hyderabad"/>
    <s v="Telangana"/>
    <x v="8"/>
    <s v="Dr. Kavitha"/>
    <s v="H10"/>
    <s v="Minor Surgery"/>
    <s v="Teleconsultation"/>
    <n v="7282.54"/>
    <s v="Net Banking"/>
    <s v="No"/>
    <m/>
    <m/>
    <s v="Child"/>
    <s v="Medium"/>
    <s v="Short Days"/>
    <m/>
    <m/>
    <m/>
    <m/>
    <m/>
    <m/>
  </r>
  <r>
    <s v="VIS202226"/>
    <d v="2024-04-10T00:00:00"/>
    <s v="PAT5449"/>
    <s v="Shruti Bose"/>
    <s v="Female"/>
    <n v="48"/>
    <s v="Jaipur"/>
    <s v="Rajasthan"/>
    <x v="2"/>
    <s v="Dr. Manoj"/>
    <s v="L40"/>
    <s v="Prescription Refill"/>
    <s v="Emergency"/>
    <n v="11810.46"/>
    <s v="Insurance"/>
    <s v="Yes"/>
    <m/>
    <n v="90"/>
    <s v="Middle-Aged"/>
    <s v="High"/>
    <s v="Short Days"/>
    <m/>
    <m/>
    <m/>
    <m/>
    <m/>
    <m/>
  </r>
  <r>
    <s v="VIS201171"/>
    <d v="2024-10-05T00:00:00"/>
    <s v="PAT6832"/>
    <s v="Shruti Kumar"/>
    <s v="Female"/>
    <n v="51"/>
    <s v="Pune"/>
    <s v="Maharashtra"/>
    <x v="1"/>
    <s v="Dr. Anu"/>
    <s v="J45"/>
    <s v="Physiotherapy"/>
    <s v="Emergency"/>
    <n v="17632.05"/>
    <s v="Insurance"/>
    <s v="Yes"/>
    <m/>
    <n v="90"/>
    <s v="Middle-Aged"/>
    <s v="High"/>
    <s v="Short Days"/>
    <m/>
    <m/>
    <m/>
    <m/>
    <m/>
    <m/>
  </r>
  <r>
    <s v="VIS200309"/>
    <d v="2025-04-14T00:00:00"/>
    <s v="PAT5159"/>
    <s v="Aishwarya Nair"/>
    <s v="Male"/>
    <n v="23"/>
    <s v="Madurai"/>
    <s v="Tamil Nadu"/>
    <x v="2"/>
    <s v="Dr. Ramesh"/>
    <s v="E11"/>
    <s v="Medication"/>
    <s v="OPD"/>
    <n v="2530.4699999999998"/>
    <s v="Credit Card"/>
    <s v="No"/>
    <m/>
    <n v="7"/>
    <s v="Adult"/>
    <s v="Low"/>
    <s v="Short Days"/>
    <m/>
    <m/>
    <m/>
    <m/>
    <m/>
    <m/>
  </r>
  <r>
    <s v="VIS201068"/>
    <d v="2024-07-14T00:00:00"/>
    <s v="PAT6272"/>
    <s v="Sangeetha Patel"/>
    <s v="Male"/>
    <n v="59"/>
    <s v="Mumbai"/>
    <s v="Maharashtra"/>
    <x v="4"/>
    <s v="Dr. Bhavana"/>
    <s v="E11"/>
    <s v="Physiotherapy"/>
    <s v="OPD"/>
    <n v="962.57"/>
    <s v="Insurance"/>
    <s v="Yes"/>
    <m/>
    <m/>
    <s v="Middle-Aged"/>
    <s v="Low"/>
    <s v="Short Days"/>
    <m/>
    <m/>
    <m/>
    <m/>
    <m/>
    <m/>
  </r>
  <r>
    <s v="VIS200060"/>
    <d v="2025-10-31T00:00:00"/>
    <s v="PAT5919"/>
    <s v="Kavya Gupta"/>
    <s v="Female"/>
    <n v="27"/>
    <s v="Jaipur"/>
    <s v="Rajasthan"/>
    <x v="8"/>
    <s v="Dr. Sneha"/>
    <s v="K21"/>
    <s v="Minor Procedure"/>
    <s v="OPD"/>
    <n v="1879.8"/>
    <s v="Debit Card"/>
    <s v="No"/>
    <m/>
    <m/>
    <s v="Adult"/>
    <s v="Low"/>
    <s v="Short Days"/>
    <m/>
    <m/>
    <m/>
    <m/>
    <m/>
    <m/>
  </r>
  <r>
    <s v="VIS202376"/>
    <d v="2025-06-14T00:00:00"/>
    <s v="PAT6650"/>
    <s v="Deepa Das"/>
    <s v="Male"/>
    <n v="46"/>
    <s v="Noida"/>
    <s v="Uttar Pradesh"/>
    <x v="0"/>
    <s v="Dr. Shailesh"/>
    <s v="M54"/>
    <s v="Observation"/>
    <s v="OPD"/>
    <n v="4374.4399999999996"/>
    <s v="Credit Card"/>
    <s v="No"/>
    <m/>
    <m/>
    <s v="Middle-Aged"/>
    <s v="Low"/>
    <s v="Short Days"/>
    <m/>
    <m/>
    <m/>
    <m/>
    <m/>
    <m/>
  </r>
  <r>
    <s v="VIS201885"/>
    <d v="2025-03-20T00:00:00"/>
    <s v="PAT6463"/>
    <s v="Karthik Nagar"/>
    <s v="Female"/>
    <n v="74"/>
    <s v="Madurai"/>
    <s v="Tamil Nadu"/>
    <x v="6"/>
    <s v="Dr. Priya"/>
    <s v="L40"/>
    <s v="Surgery"/>
    <s v="OPD"/>
    <n v="5558.64"/>
    <s v="Cash"/>
    <s v="No"/>
    <m/>
    <n v="7"/>
    <s v="Senior"/>
    <s v="Medium"/>
    <s v="Short Days"/>
    <m/>
    <m/>
    <m/>
    <m/>
    <m/>
    <m/>
  </r>
  <r>
    <s v="VIS201968"/>
    <d v="2025-10-15T00:00:00"/>
    <s v="PAT6276"/>
    <s v="Manisha Nagar"/>
    <s v="Female"/>
    <n v="61"/>
    <s v="Delhi"/>
    <s v="Gujarat"/>
    <x v="5"/>
    <s v="Dr. Ravi"/>
    <s v="Z111"/>
    <s v="Prescription Refill"/>
    <s v="OPD"/>
    <n v="1107.2"/>
    <s v="Credit Card"/>
    <s v="No"/>
    <m/>
    <n v="7"/>
    <s v="Senior"/>
    <s v="Low"/>
    <s v="Short Days"/>
    <m/>
    <m/>
    <m/>
    <m/>
    <m/>
    <m/>
  </r>
  <r>
    <s v="VIS201259"/>
    <d v="2024-09-27T00:00:00"/>
    <s v="PAT6636"/>
    <s v="Ananya Patel"/>
    <s v="Male"/>
    <n v="54"/>
    <s v="Kochi"/>
    <s v="Kerala"/>
    <x v="2"/>
    <s v="Dr. Manoj"/>
    <s v="K21"/>
    <s v="Minor Surgery"/>
    <s v="OPD"/>
    <n v="5913.22"/>
    <s v="Debit Card"/>
    <s v="No"/>
    <m/>
    <n v="90"/>
    <s v="Middle-Aged"/>
    <s v="Medium"/>
    <s v="Short Days"/>
    <m/>
    <m/>
    <m/>
    <m/>
    <m/>
    <m/>
  </r>
  <r>
    <s v="VIS200188"/>
    <d v="2024-03-03T00:00:00"/>
    <s v="PAT6587"/>
    <s v="Deepa Gupta"/>
    <s v="Male"/>
    <n v="34"/>
    <s v="Chennai"/>
    <s v="Tamil Nadu"/>
    <x v="1"/>
    <s v="Dr. Suri"/>
    <s v="E11"/>
    <s v="Minor Surgery"/>
    <s v="Teleconsultation"/>
    <n v="9736.06"/>
    <s v="Debit Card"/>
    <s v="No"/>
    <m/>
    <m/>
    <s v="Adult"/>
    <s v="Medium"/>
    <s v="Short Days"/>
    <m/>
    <m/>
    <m/>
    <m/>
    <m/>
    <m/>
  </r>
  <r>
    <s v="VIS200347"/>
    <d v="2025-09-18T00:00:00"/>
    <s v="PAT5558"/>
    <s v="Karthik Das"/>
    <s v="Female"/>
    <n v="24"/>
    <s v="Hyderabad"/>
    <s v="Telangana"/>
    <x v="1"/>
    <s v="Dr. Anu"/>
    <s v="K21"/>
    <s v="Minor Surgery"/>
    <s v="Emergency"/>
    <n v="22132.74"/>
    <s v="Debit Card"/>
    <s v="No"/>
    <m/>
    <n v="14"/>
    <s v="Adult"/>
    <s v="High"/>
    <s v="Short Days"/>
    <m/>
    <m/>
    <m/>
    <m/>
    <m/>
    <m/>
  </r>
  <r>
    <s v="VIS200057"/>
    <d v="2024-01-06T00:00:00"/>
    <s v="PAT5963"/>
    <s v="Aditya Nair"/>
    <s v="Male"/>
    <n v="34"/>
    <s v="Trichy"/>
    <s v="Tamil Nadu"/>
    <x v="7"/>
    <s v="Dr. Surya"/>
    <s v="M54"/>
    <s v="Physiotherapy"/>
    <s v="OPD"/>
    <n v="4017.75"/>
    <s v="Debit Card"/>
    <s v="No"/>
    <m/>
    <m/>
    <s v="Adult"/>
    <s v="Low"/>
    <s v="Short Days"/>
    <m/>
    <m/>
    <m/>
    <m/>
    <m/>
    <m/>
  </r>
  <r>
    <s v="VIS202277"/>
    <d v="2025-03-13T00:00:00"/>
    <s v="PAT5583"/>
    <s v="Anil Khan"/>
    <s v="Male"/>
    <n v="21"/>
    <s v="Trichy"/>
    <s v="Tamil Nadu"/>
    <x v="5"/>
    <s v="Dr. Karthik"/>
    <s v="I10"/>
    <s v="Surgery"/>
    <s v="OPD"/>
    <n v="10416.65"/>
    <s v="Net Banking"/>
    <s v="No"/>
    <m/>
    <m/>
    <s v="Adult"/>
    <s v="High"/>
    <s v="Short Days"/>
    <m/>
    <m/>
    <m/>
    <m/>
    <m/>
    <m/>
  </r>
  <r>
    <s v="VIS201668"/>
    <d v="2024-03-25T00:00:00"/>
    <s v="PAT5859"/>
    <s v="Sangeetha Jose"/>
    <s v="Male"/>
    <n v="20"/>
    <s v="Kochi"/>
    <s v="Kerala"/>
    <x v="1"/>
    <s v="Dr. Anu"/>
    <s v="L40"/>
    <s v="Counselling"/>
    <s v="OPD"/>
    <n v="3282.05"/>
    <s v="Cash"/>
    <s v="No"/>
    <m/>
    <n v="7"/>
    <s v="Adult"/>
    <s v="Low"/>
    <s v="Short Days"/>
    <m/>
    <m/>
    <m/>
    <m/>
    <m/>
    <m/>
  </r>
  <r>
    <s v="VIS201525"/>
    <d v="2024-05-03T00:00:00"/>
    <s v="PAT6787"/>
    <s v="Aditya Iyer"/>
    <s v="Male"/>
    <n v="33"/>
    <s v="Mumbai"/>
    <s v="Maharashtra"/>
    <x v="4"/>
    <s v="Dr. Varun"/>
    <s v="J45"/>
    <s v="Surgery"/>
    <s v="OPD"/>
    <n v="1075.96"/>
    <s v="Cash"/>
    <s v="No"/>
    <m/>
    <n v="30"/>
    <s v="Adult"/>
    <s v="Low"/>
    <s v="Short Days"/>
    <m/>
    <m/>
    <m/>
    <m/>
    <m/>
    <m/>
  </r>
  <r>
    <s v="VIS201905"/>
    <d v="2024-08-11T00:00:00"/>
    <s v="PAT5012"/>
    <s v="Aishwarya Singh"/>
    <s v="Female"/>
    <n v="49"/>
    <s v="Lucknow"/>
    <s v="Uttar Pradesh"/>
    <x v="1"/>
    <s v="Dr. Suri"/>
    <s v="I10"/>
    <s v="Observation"/>
    <s v="OPD"/>
    <n v="7443.6"/>
    <s v="Cash"/>
    <s v="No"/>
    <m/>
    <n v="30"/>
    <s v="Middle-Aged"/>
    <s v="Medium"/>
    <s v="Short Days"/>
    <m/>
    <m/>
    <m/>
    <m/>
    <m/>
    <m/>
  </r>
  <r>
    <s v="VIS200615"/>
    <d v="2024-12-29T00:00:00"/>
    <s v="PAT6831"/>
    <s v="Sangeetha Iyer"/>
    <s v="Female"/>
    <n v="23"/>
    <s v="Delhi"/>
    <s v="Delhi"/>
    <x v="1"/>
    <s v="Dr. Anu"/>
    <s v="H10"/>
    <s v="Surgery"/>
    <s v="Teleconsultation"/>
    <n v="10895.13"/>
    <s v="Cash"/>
    <s v="No"/>
    <m/>
    <m/>
    <s v="Adult"/>
    <s v="High"/>
    <s v="Short Days"/>
    <m/>
    <m/>
    <m/>
    <m/>
    <m/>
    <m/>
  </r>
  <r>
    <s v="VIS202697"/>
    <d v="2024-12-23T00:00:00"/>
    <s v="PAT5543"/>
    <s v="Anil Iyer"/>
    <s v="Male"/>
    <n v="38"/>
    <s v="Bengaluru"/>
    <s v="Karnataka"/>
    <x v="5"/>
    <s v="Dr. Karthik"/>
    <s v="I10"/>
    <s v="Physiotherapy"/>
    <s v="OPD"/>
    <n v="3382.92"/>
    <s v="Debit Card"/>
    <s v="No"/>
    <m/>
    <n v="14"/>
    <s v="Adult"/>
    <s v="Low"/>
    <s v="Short Days"/>
    <m/>
    <m/>
    <m/>
    <m/>
    <m/>
    <m/>
  </r>
  <r>
    <s v="VIS200331"/>
    <d v="2025-07-24T00:00:00"/>
    <s v="PAT6276"/>
    <s v="Ananya Bose"/>
    <s v="Male"/>
    <n v="46"/>
    <s v="Trichy"/>
    <s v="Tamil Nadu"/>
    <x v="8"/>
    <s v="Dr. Kavitha"/>
    <s v="L40"/>
    <s v="Counselling"/>
    <s v="OPD"/>
    <n v="17599.240000000002"/>
    <s v="Insurance"/>
    <s v="Yes"/>
    <m/>
    <m/>
    <s v="Middle-Aged"/>
    <s v="High"/>
    <s v="Short Days"/>
    <m/>
    <m/>
    <m/>
    <m/>
    <m/>
    <m/>
  </r>
  <r>
    <s v="VIS200804"/>
    <d v="2024-02-24T00:00:00"/>
    <s v="PAT5291"/>
    <s v="Aditya Bose"/>
    <s v="Male"/>
    <n v="63"/>
    <s v="Chennai"/>
    <s v="Tamil Nadu"/>
    <x v="9"/>
    <s v="Dr. Kusum"/>
    <s v="K21"/>
    <s v="Physiotherapy"/>
    <s v="Teleconsultation"/>
    <n v="7095.2"/>
    <s v="Cash"/>
    <s v="No"/>
    <m/>
    <n v="30"/>
    <s v="Senior"/>
    <s v="Medium"/>
    <s v="Short Days"/>
    <m/>
    <m/>
    <m/>
    <m/>
    <m/>
    <m/>
  </r>
  <r>
    <s v="VIS200335"/>
    <d v="2024-12-07T00:00:00"/>
    <s v="PAT5591"/>
    <s v="Vishal Patel"/>
    <s v="Male"/>
    <n v="45"/>
    <s v="Lucknow"/>
    <s v="Uttar Pradesh"/>
    <x v="9"/>
    <s v="Dr. Kusum"/>
    <s v="E11"/>
    <s v="Minor Surgery"/>
    <s v="OPD"/>
    <n v="4811.82"/>
    <s v="Insurance"/>
    <s v="Yes"/>
    <m/>
    <n v="90"/>
    <s v="Middle-Aged"/>
    <s v="Low"/>
    <s v="Short Days"/>
    <m/>
    <m/>
    <m/>
    <m/>
    <m/>
    <m/>
  </r>
  <r>
    <s v="VIS200196"/>
    <d v="2024-03-18T00:00:00"/>
    <s v="PAT6799"/>
    <s v="Manisha Nagar"/>
    <s v="Male"/>
    <n v="40"/>
    <s v="Chennai"/>
    <s v="Tamil Nadu"/>
    <x v="0"/>
    <s v="Dr. Nikhil"/>
    <s v="I10"/>
    <s v="Counselling"/>
    <s v="Emergency"/>
    <n v="13148.88"/>
    <s v="Credit Card"/>
    <s v="No"/>
    <m/>
    <n v="30"/>
    <s v="Adult"/>
    <s v="High"/>
    <s v="Short Days"/>
    <m/>
    <m/>
    <m/>
    <m/>
    <m/>
    <m/>
  </r>
  <r>
    <s v="VIS202675"/>
    <d v="2025-04-26T00:00:00"/>
    <s v="PAT6555"/>
    <s v="Rohan Sharma"/>
    <s v="Female"/>
    <n v="41"/>
    <s v="Hyderabad"/>
    <s v="Telangana"/>
    <x v="4"/>
    <s v="Dr. Varun"/>
    <s v="M54"/>
    <s v="Prescription Refill"/>
    <s v="OPD"/>
    <n v="19469.439999999999"/>
    <s v="Credit Card"/>
    <s v="No"/>
    <m/>
    <n v="90"/>
    <s v="Middle-Aged"/>
    <s v="High"/>
    <s v="Short Days"/>
    <m/>
    <m/>
    <m/>
    <m/>
    <m/>
    <m/>
  </r>
  <r>
    <s v="VIS200123"/>
    <d v="2024-11-29T00:00:00"/>
    <s v="PAT6802"/>
    <s v="Arjun Reddy"/>
    <s v="Male"/>
    <n v="17"/>
    <s v="Madurai"/>
    <s v="Tamil Nadu"/>
    <x v="5"/>
    <s v="Dr. Ravi"/>
    <s v="J45"/>
    <s v="Prescription Refill"/>
    <s v="Emergency"/>
    <n v="5134.8599999999997"/>
    <s v="Credit Card"/>
    <s v="No"/>
    <m/>
    <n v="7"/>
    <s v="Child"/>
    <s v="Medium"/>
    <s v="Short Days"/>
    <m/>
    <m/>
    <m/>
    <m/>
    <m/>
    <m/>
  </r>
  <r>
    <s v="VIS202415"/>
    <d v="2025-08-24T00:00:00"/>
    <s v="PAT5985"/>
    <s v="Ananya Nagar"/>
    <s v="Male"/>
    <n v="39"/>
    <s v="Coimbatore"/>
    <s v="Tamil Nadu"/>
    <x v="0"/>
    <s v="Dr. Shailesh"/>
    <s v="L40"/>
    <s v="Counselling"/>
    <s v="Teleconsultation"/>
    <n v="10815.11"/>
    <s v="Net Banking"/>
    <s v="No"/>
    <m/>
    <n v="7"/>
    <s v="Adult"/>
    <s v="High"/>
    <s v="Short Days"/>
    <m/>
    <m/>
    <m/>
    <m/>
    <m/>
    <m/>
  </r>
  <r>
    <s v="VIS202162"/>
    <d v="2024-05-10T00:00:00"/>
    <s v="PAT6914"/>
    <s v="Neha Nair"/>
    <s v="Male"/>
    <n v="68"/>
    <s v="Ahmedabad"/>
    <s v="Gujarat"/>
    <x v="0"/>
    <s v="Dr. Nikhil"/>
    <s v="H10"/>
    <s v="Observation"/>
    <s v="IPD"/>
    <n v="7783.06"/>
    <s v="Credit Card"/>
    <s v="No"/>
    <n v="5"/>
    <n v="7"/>
    <s v="Senior"/>
    <s v="Medium"/>
    <s v="Short Days"/>
    <m/>
    <m/>
    <m/>
    <m/>
    <m/>
    <m/>
  </r>
  <r>
    <s v="VIS200743"/>
    <d v="2025-02-14T00:00:00"/>
    <s v="PAT5152"/>
    <s v="Aditya Singh"/>
    <s v="Female"/>
    <n v="27"/>
    <s v="Noida"/>
    <s v="Uttar Pradesh"/>
    <x v="3"/>
    <s v="Dr. Pallavi"/>
    <s v="H10"/>
    <s v="Physiotherapy"/>
    <s v="Emergency"/>
    <n v="6262.46"/>
    <s v="Insurance"/>
    <s v="Yes"/>
    <m/>
    <n v="90"/>
    <s v="Adult"/>
    <s v="Medium"/>
    <s v="Short Days"/>
    <m/>
    <m/>
    <m/>
    <m/>
    <m/>
    <m/>
  </r>
  <r>
    <s v="VIS202776"/>
    <d v="2025-07-21T00:00:00"/>
    <s v="PAT5407"/>
    <s v="Manisha Nagar"/>
    <s v="Female"/>
    <n v="83"/>
    <s v="Ahmedabad"/>
    <s v="Gujarat"/>
    <x v="4"/>
    <s v="Dr. Varun"/>
    <s v="N39"/>
    <s v="Minor Procedure"/>
    <s v="OPD"/>
    <n v="1174.58"/>
    <s v="Insurance"/>
    <s v="Yes"/>
    <m/>
    <n v="90"/>
    <s v="Senior"/>
    <s v="Low"/>
    <s v="Short Days"/>
    <m/>
    <m/>
    <m/>
    <m/>
    <m/>
    <m/>
  </r>
  <r>
    <s v="VIS200620"/>
    <d v="2024-08-03T00:00:00"/>
    <s v="PAT5477"/>
    <s v="Sangeetha Sharma"/>
    <s v="Female"/>
    <n v="57"/>
    <s v="Coimbatore"/>
    <s v="Tamil Nadu"/>
    <x v="4"/>
    <s v="Dr. Bhavana"/>
    <s v="J45"/>
    <s v="Surgery"/>
    <s v="OPD"/>
    <n v="12713.89"/>
    <s v="Cash"/>
    <s v="No"/>
    <m/>
    <m/>
    <s v="Middle-Aged"/>
    <s v="High"/>
    <s v="Short Days"/>
    <m/>
    <m/>
    <m/>
    <m/>
    <m/>
    <m/>
  </r>
  <r>
    <s v="VIS201265"/>
    <d v="2024-09-02T00:00:00"/>
    <s v="PAT5043"/>
    <s v="Rohan Bose"/>
    <s v="Male"/>
    <n v="41"/>
    <s v="Madurai"/>
    <s v="Tamil Nadu"/>
    <x v="0"/>
    <s v="Dr. Shailesh"/>
    <s v="E11"/>
    <s v="Physiotherapy"/>
    <s v="OPD"/>
    <n v="17277.740000000002"/>
    <s v="Credit Card"/>
    <s v="No"/>
    <m/>
    <n v="14"/>
    <s v="Middle-Aged"/>
    <s v="High"/>
    <s v="Short Days"/>
    <m/>
    <m/>
    <m/>
    <m/>
    <m/>
    <m/>
  </r>
  <r>
    <s v="VIS200751"/>
    <d v="2025-01-16T00:00:00"/>
    <s v="PAT5790"/>
    <s v="Siddharth Gupta"/>
    <s v="Male"/>
    <n v="36"/>
    <s v="Kolkata"/>
    <s v="West Bengal"/>
    <x v="7"/>
    <s v="Dr. Leela"/>
    <s v="K21"/>
    <s v="Observation"/>
    <s v="Teleconsultation"/>
    <n v="6041.12"/>
    <s v="Credit Card"/>
    <s v="No"/>
    <m/>
    <n v="14"/>
    <s v="Adult"/>
    <s v="Medium"/>
    <s v="Short Days"/>
    <m/>
    <m/>
    <m/>
    <m/>
    <m/>
    <m/>
  </r>
  <r>
    <s v="VIS202427"/>
    <d v="2025-05-10T00:00:00"/>
    <s v="PAT5827"/>
    <s v="Anil Nair"/>
    <s v="Male"/>
    <n v="56"/>
    <s v="Pune"/>
    <s v="Maharashtra"/>
    <x v="2"/>
    <s v="Dr. Ramesh"/>
    <s v="N39"/>
    <s v="Observation"/>
    <s v="OPD"/>
    <n v="59.73"/>
    <s v="UPI"/>
    <s v="No"/>
    <m/>
    <m/>
    <s v="Middle-Aged"/>
    <s v="Low"/>
    <s v="Short Days"/>
    <m/>
    <m/>
    <m/>
    <m/>
    <m/>
    <m/>
  </r>
  <r>
    <s v="VIS201916"/>
    <d v="2024-07-18T00:00:00"/>
    <s v="PAT6577"/>
    <s v="Kavya Patel"/>
    <s v="Female"/>
    <n v="23"/>
    <s v="Delhi"/>
    <s v="Delhi"/>
    <x v="0"/>
    <s v="Dr. Shailesh"/>
    <s v="L40"/>
    <s v="Surgery"/>
    <s v="OPD"/>
    <n v="5592.58"/>
    <s v="UPI"/>
    <s v="No"/>
    <m/>
    <m/>
    <s v="Adult"/>
    <s v="Medium"/>
    <s v="Short Days"/>
    <m/>
    <m/>
    <m/>
    <m/>
    <m/>
    <m/>
  </r>
  <r>
    <s v="VIS202825"/>
    <d v="2024-07-03T00:00:00"/>
    <s v="PAT6293"/>
    <s v="Rohan Das"/>
    <s v="Female"/>
    <n v="17"/>
    <s v="Hyderabad"/>
    <s v="Telangana"/>
    <x v="2"/>
    <s v="Dr. Ramesh"/>
    <s v="J45"/>
    <s v="Minor Surgery"/>
    <s v="OPD"/>
    <n v="1066.97"/>
    <s v="Cash"/>
    <s v="No"/>
    <m/>
    <n v="14"/>
    <s v="Child"/>
    <s v="Low"/>
    <s v="Short Days"/>
    <m/>
    <m/>
    <m/>
    <m/>
    <m/>
    <m/>
  </r>
  <r>
    <s v="VIS202685"/>
    <d v="2025-01-15T00:00:00"/>
    <s v="PAT6844"/>
    <s v="Rohan Patel"/>
    <s v="Male"/>
    <n v="32"/>
    <s v="Pune"/>
    <s v="Maharashtra"/>
    <x v="8"/>
    <s v="Dr. Sneha"/>
    <s v="M54"/>
    <s v="Minor Surgery"/>
    <s v="OPD"/>
    <n v="5774.45"/>
    <s v="Debit Card"/>
    <s v="No"/>
    <m/>
    <n v="7"/>
    <s v="Adult"/>
    <s v="Medium"/>
    <s v="Short Days"/>
    <m/>
    <m/>
    <m/>
    <m/>
    <m/>
    <m/>
  </r>
  <r>
    <s v="VIS201608"/>
    <d v="2024-01-15T00:00:00"/>
    <s v="PAT5760"/>
    <s v="Karthik Gupta"/>
    <s v="Female"/>
    <n v="45"/>
    <s v="Hyderabad"/>
    <s v="Telangana"/>
    <x v="6"/>
    <s v="Dr. Lalitha"/>
    <s v="H10"/>
    <s v="Prescription Refill"/>
    <s v="OPD"/>
    <n v="4470.17"/>
    <s v="UPI"/>
    <s v="No"/>
    <m/>
    <n v="7"/>
    <s v="Middle-Aged"/>
    <s v="Low"/>
    <s v="Short Days"/>
    <m/>
    <m/>
    <m/>
    <m/>
    <m/>
    <m/>
  </r>
  <r>
    <s v="VIS200447"/>
    <d v="2025-10-10T00:00:00"/>
    <s v="PAT6769"/>
    <s v="Kavya Sharma"/>
    <s v="Female"/>
    <n v="33"/>
    <s v="Coimbatore"/>
    <s v="Tamil Nadu"/>
    <x v="0"/>
    <s v="Dr. Shailesh"/>
    <s v="F41"/>
    <s v="Observation"/>
    <s v="Emergency"/>
    <n v="6162.88"/>
    <s v="Credit Card"/>
    <s v="No"/>
    <m/>
    <m/>
    <s v="Adult"/>
    <s v="Medium"/>
    <s v="Short Days"/>
    <m/>
    <m/>
    <m/>
    <m/>
    <m/>
    <m/>
  </r>
  <r>
    <s v="VIS202950"/>
    <d v="2025-01-27T00:00:00"/>
    <s v="PAT5209"/>
    <s v="Manisha Reddy"/>
    <s v="Male"/>
    <n v="41"/>
    <s v="Bengaluru"/>
    <s v="Karnataka"/>
    <x v="5"/>
    <s v="Dr. Meena"/>
    <s v="M54"/>
    <s v="Minor Procedure"/>
    <s v="OPD"/>
    <n v="14602.49"/>
    <s v="UPI"/>
    <s v="No"/>
    <m/>
    <m/>
    <s v="Middle-Aged"/>
    <s v="High"/>
    <s v="Short Days"/>
    <m/>
    <m/>
    <m/>
    <m/>
    <m/>
    <m/>
  </r>
  <r>
    <s v="VIS200010"/>
    <d v="2024-12-08T00:00:00"/>
    <s v="PAT5848"/>
    <s v="Vishal Kumar"/>
    <s v="Female"/>
    <n v="58"/>
    <s v="Hyderabad"/>
    <s v="Telangana"/>
    <x v="8"/>
    <s v="Dr. Sneha"/>
    <s v="E11"/>
    <s v="Observation"/>
    <s v="IPD"/>
    <n v="11445.03"/>
    <s v="Credit Card"/>
    <s v="No"/>
    <n v="6"/>
    <n v="90"/>
    <s v="Middle-Aged"/>
    <s v="High"/>
    <s v="Long Days"/>
    <m/>
    <m/>
    <m/>
    <m/>
    <m/>
    <m/>
  </r>
  <r>
    <s v="VIS200013"/>
    <d v="2025-04-06T00:00:00"/>
    <s v="PAT5622"/>
    <s v="Aishwarya Bose"/>
    <s v="Female"/>
    <n v="24"/>
    <s v="Hyderabad"/>
    <s v="Telangana"/>
    <x v="7"/>
    <s v="Dr. Surya"/>
    <s v="H10"/>
    <s v="Minor Procedure"/>
    <s v="OPD"/>
    <n v="3452.98"/>
    <s v="Cash"/>
    <s v="No"/>
    <m/>
    <n v="90"/>
    <s v="Adult"/>
    <s v="Low"/>
    <s v="Short Days"/>
    <m/>
    <m/>
    <m/>
    <m/>
    <m/>
    <m/>
  </r>
  <r>
    <s v="VIS202752"/>
    <d v="2024-02-10T00:00:00"/>
    <s v="PAT5888"/>
    <s v="Aishwarya Nair"/>
    <s v="Female"/>
    <n v="33"/>
    <s v="Trichy"/>
    <s v="Tamil Nadu"/>
    <x v="1"/>
    <s v="Dr. Anu"/>
    <s v="K21"/>
    <s v="Minor Procedure"/>
    <s v="OPD"/>
    <n v="1991.02"/>
    <s v="Debit Card"/>
    <s v="No"/>
    <m/>
    <n v="30"/>
    <s v="Adult"/>
    <s v="Low"/>
    <s v="Short Days"/>
    <m/>
    <m/>
    <m/>
    <m/>
    <m/>
    <m/>
  </r>
  <r>
    <s v="VIS201576"/>
    <d v="2024-11-21T00:00:00"/>
    <s v="PAT6539"/>
    <s v="Aditya Nagar"/>
    <s v="Male"/>
    <n v="30"/>
    <s v="Pune"/>
    <s v="Maharashtra"/>
    <x v="7"/>
    <s v="Dr. Surya"/>
    <s v="F41"/>
    <s v="Minor Procedure"/>
    <s v="OPD"/>
    <n v="9564.7999999999993"/>
    <s v="Debit Card"/>
    <s v="No"/>
    <m/>
    <m/>
    <s v="Adult"/>
    <s v="Medium"/>
    <s v="Short Days"/>
    <m/>
    <m/>
    <m/>
    <m/>
    <m/>
    <m/>
  </r>
  <r>
    <s v="VIS202727"/>
    <d v="2025-03-23T00:00:00"/>
    <s v="PAT5038"/>
    <s v="Priya Reddy"/>
    <s v="Female"/>
    <n v="5"/>
    <s v="Kolkata"/>
    <s v="West Bengal"/>
    <x v="6"/>
    <s v="Dr. Priya"/>
    <s v="K21"/>
    <s v="Prescription Refill"/>
    <s v="Teleconsultation"/>
    <n v="9941.1299999999992"/>
    <s v="Insurance"/>
    <s v="Yes"/>
    <m/>
    <n v="90"/>
    <s v="Child"/>
    <s v="Medium"/>
    <s v="Short Days"/>
    <m/>
    <m/>
    <m/>
    <m/>
    <m/>
    <m/>
  </r>
  <r>
    <s v="VIS200170"/>
    <d v="2024-10-26T00:00:00"/>
    <s v="PAT5711"/>
    <s v="Neha Sharma"/>
    <s v="Female"/>
    <n v="32"/>
    <s v="Pune"/>
    <s v="Maharashtra"/>
    <x v="4"/>
    <s v="Dr. Bhavana"/>
    <s v="F41"/>
    <s v="Prescription Refill"/>
    <s v="Emergency"/>
    <n v="8706.31"/>
    <s v="Insurance"/>
    <s v="Yes"/>
    <m/>
    <n v="90"/>
    <s v="Adult"/>
    <s v="Medium"/>
    <s v="Short Days"/>
    <m/>
    <m/>
    <m/>
    <m/>
    <m/>
    <m/>
  </r>
  <r>
    <s v="VIS200908"/>
    <d v="2025-05-20T00:00:00"/>
    <s v="PAT5647"/>
    <s v="Kavya Patel"/>
    <s v="Male"/>
    <n v="47"/>
    <s v="Lucknow"/>
    <s v="Uttar Pradesh"/>
    <x v="3"/>
    <s v="Dr. Anand"/>
    <s v="J45"/>
    <s v="Counselling"/>
    <s v="Teleconsultation"/>
    <n v="5156.66"/>
    <s v="Insurance"/>
    <s v="Yes"/>
    <m/>
    <m/>
    <s v="Middle-Aged"/>
    <s v="Medium"/>
    <s v="Short Days"/>
    <m/>
    <m/>
    <m/>
    <m/>
    <m/>
    <m/>
  </r>
  <r>
    <s v="VIS201800"/>
    <d v="2024-05-19T00:00:00"/>
    <s v="PAT6969"/>
    <s v="Rohan Kumar"/>
    <s v="Other"/>
    <n v="26"/>
    <s v="Bengaluru"/>
    <s v="Karnataka"/>
    <x v="0"/>
    <s v="Dr. Nikhil"/>
    <s v="I10"/>
    <s v="Surgery"/>
    <s v="OPD"/>
    <n v="5647.95"/>
    <s v="Insurance"/>
    <s v="Yes"/>
    <m/>
    <m/>
    <s v="Adult"/>
    <s v="Medium"/>
    <s v="Short Days"/>
    <m/>
    <m/>
    <m/>
    <m/>
    <m/>
    <m/>
  </r>
  <r>
    <s v="VIS200274"/>
    <d v="2025-02-21T00:00:00"/>
    <s v="PAT5961"/>
    <s v="Rahul Nagar"/>
    <s v="Male"/>
    <n v="22"/>
    <s v="Delhi"/>
    <s v="Delhi"/>
    <x v="7"/>
    <s v="Dr. Leela"/>
    <s v="M54"/>
    <s v="Surgery"/>
    <s v="OPD"/>
    <n v="11498.97"/>
    <s v="UPI"/>
    <s v="No"/>
    <m/>
    <n v="30"/>
    <s v="Adult"/>
    <s v="High"/>
    <s v="Short Days"/>
    <m/>
    <m/>
    <m/>
    <m/>
    <m/>
    <m/>
  </r>
  <r>
    <s v="VIS200948"/>
    <d v="2025-05-25T00:00:00"/>
    <s v="PAT5211"/>
    <s v="Neha Jose"/>
    <s v="Male"/>
    <n v="74"/>
    <s v="Bengaluru"/>
    <s v="Karnataka"/>
    <x v="0"/>
    <s v="Dr. Shailesh"/>
    <s v="J00"/>
    <s v="Minor Surgery"/>
    <s v="Teleconsultation"/>
    <n v="14386.71"/>
    <s v="Cash"/>
    <s v="No"/>
    <m/>
    <m/>
    <s v="Senior"/>
    <s v="High"/>
    <s v="Short Days"/>
    <m/>
    <m/>
    <m/>
    <m/>
    <m/>
    <m/>
  </r>
  <r>
    <s v="VIS201689"/>
    <d v="2025-05-24T00:00:00"/>
    <s v="PAT5584"/>
    <s v="Ishaan Das"/>
    <s v="Male"/>
    <n v="39"/>
    <s v="Mumbai"/>
    <s v="Maharashtra"/>
    <x v="2"/>
    <s v="Dr. Manoj"/>
    <s v="L40"/>
    <s v="Medication"/>
    <s v="OPD"/>
    <n v="4659.0600000000004"/>
    <s v="UPI"/>
    <s v="No"/>
    <m/>
    <n v="7"/>
    <s v="Adult"/>
    <s v="Low"/>
    <s v="Short Days"/>
    <m/>
    <m/>
    <m/>
    <m/>
    <m/>
    <m/>
  </r>
  <r>
    <s v="VIS200667"/>
    <d v="2024-02-11T00:00:00"/>
    <s v="PAT6925"/>
    <s v="Priya Kumar"/>
    <s v="Male"/>
    <n v="57"/>
    <s v="Madurai"/>
    <s v="Tamil Nadu"/>
    <x v="0"/>
    <s v="Dr. Shailesh"/>
    <s v="L40"/>
    <s v="Observation"/>
    <s v="OPD"/>
    <n v="136.26"/>
    <s v="Cash"/>
    <s v="No"/>
    <m/>
    <m/>
    <s v="Middle-Aged"/>
    <s v="Low"/>
    <s v="Short Days"/>
    <m/>
    <m/>
    <m/>
    <m/>
    <m/>
    <m/>
  </r>
  <r>
    <s v="VIS200766"/>
    <d v="2025-06-28T00:00:00"/>
    <s v="PAT6111"/>
    <s v="Manisha Patel"/>
    <s v="Female"/>
    <n v="20"/>
    <s v="Madurai"/>
    <s v="Tamil Nadu"/>
    <x v="1"/>
    <s v="Dr. Anu"/>
    <s v="J45"/>
    <s v="Prescription Refill"/>
    <s v="OPD"/>
    <n v="931.4"/>
    <s v="Cash"/>
    <s v="No"/>
    <m/>
    <n v="7"/>
    <s v="Adult"/>
    <s v="Low"/>
    <s v="Short Days"/>
    <m/>
    <m/>
    <m/>
    <m/>
    <m/>
    <m/>
  </r>
  <r>
    <s v="VIS201129"/>
    <d v="2025-01-21T00:00:00"/>
    <s v="PAT5047"/>
    <s v="Kavya Das"/>
    <s v="Female"/>
    <n v="26"/>
    <s v="Noida"/>
    <s v="Uttar Pradesh"/>
    <x v="8"/>
    <s v="Dr. Kavitha"/>
    <s v="J00"/>
    <s v="Observation"/>
    <s v="OPD"/>
    <n v="2403.17"/>
    <s v="Cash"/>
    <s v="No"/>
    <m/>
    <m/>
    <s v="Adult"/>
    <s v="Low"/>
    <s v="Short Days"/>
    <m/>
    <m/>
    <m/>
    <m/>
    <m/>
    <m/>
  </r>
  <r>
    <s v="VIS201903"/>
    <d v="2024-02-15T00:00:00"/>
    <s v="PAT5351"/>
    <s v="Ishaan Gupta"/>
    <s v="Female"/>
    <n v="28"/>
    <s v="Lucknow"/>
    <s v="Uttar Pradesh"/>
    <x v="5"/>
    <s v="Dr. Karthik"/>
    <s v="J00"/>
    <s v="Physiotherapy"/>
    <s v="Teleconsultation"/>
    <n v="12607.12"/>
    <s v="Net Banking"/>
    <s v="No"/>
    <m/>
    <n v="90"/>
    <s v="Adult"/>
    <s v="High"/>
    <s v="Short Days"/>
    <m/>
    <m/>
    <m/>
    <m/>
    <m/>
    <m/>
  </r>
  <r>
    <s v="VIS201514"/>
    <d v="2024-04-15T00:00:00"/>
    <s v="PAT5758"/>
    <s v="Priya Kumar"/>
    <s v="Female"/>
    <n v="51"/>
    <s v="Bengaluru"/>
    <s v="Karnataka"/>
    <x v="4"/>
    <s v="Dr. Bhavana"/>
    <s v="J00"/>
    <s v="Counselling"/>
    <s v="OPD"/>
    <n v="3874.82"/>
    <s v="UPI"/>
    <s v="No"/>
    <m/>
    <n v="30"/>
    <s v="Middle-Aged"/>
    <s v="Low"/>
    <s v="Short Days"/>
    <m/>
    <m/>
    <m/>
    <m/>
    <m/>
    <m/>
  </r>
  <r>
    <s v="VIS200279"/>
    <d v="2025-10-19T00:00:00"/>
    <s v="PAT6867"/>
    <s v="Arjun Jose"/>
    <s v="Male"/>
    <n v="43"/>
    <s v="Kolkata"/>
    <s v="West Bengal"/>
    <x v="8"/>
    <s v="Dr. Kavitha"/>
    <s v="N39"/>
    <s v="Physiotherapy"/>
    <s v="OPD"/>
    <n v="596.4"/>
    <s v="Debit Card"/>
    <s v="No"/>
    <m/>
    <n v="7"/>
    <s v="Middle-Aged"/>
    <s v="Low"/>
    <s v="Short Days"/>
    <m/>
    <m/>
    <m/>
    <m/>
    <m/>
    <m/>
  </r>
  <r>
    <s v="VIS201235"/>
    <d v="2024-01-25T00:00:00"/>
    <s v="PAT6981"/>
    <s v="Rohan Reddy"/>
    <s v="Female"/>
    <n v="41"/>
    <s v="Delhi"/>
    <s v="West Bengal"/>
    <x v="2"/>
    <s v="Dr. Ramesh"/>
    <s v="Z111"/>
    <s v="Minor Surgery"/>
    <s v="OPD"/>
    <n v="1948.76"/>
    <s v="UPI"/>
    <s v="No"/>
    <m/>
    <m/>
    <s v="Middle-Aged"/>
    <s v="Low"/>
    <s v="Short Days"/>
    <m/>
    <m/>
    <m/>
    <m/>
    <m/>
    <m/>
  </r>
  <r>
    <s v="VIS201497"/>
    <d v="2025-03-31T00:00:00"/>
    <s v="PAT5539"/>
    <s v="Vishal Bose"/>
    <s v="Female"/>
    <n v="84"/>
    <s v="Delhi"/>
    <s v="Delhi"/>
    <x v="6"/>
    <s v="Dr. Priya"/>
    <s v="E11"/>
    <s v="Surgery"/>
    <s v="OPD"/>
    <n v="545.14"/>
    <s v="Credit Card"/>
    <s v="No"/>
    <m/>
    <m/>
    <s v="Senior"/>
    <s v="Low"/>
    <s v="Short Days"/>
    <m/>
    <m/>
    <m/>
    <m/>
    <m/>
    <m/>
  </r>
  <r>
    <s v="VIS200597"/>
    <d v="2024-11-15T00:00:00"/>
    <s v="PAT5129"/>
    <s v="Kavya Bose"/>
    <s v="Male"/>
    <n v="49"/>
    <s v="Kolkata"/>
    <s v="West Bengal"/>
    <x v="4"/>
    <s v="Dr. Varun"/>
    <s v="F41"/>
    <s v="Counselling"/>
    <s v="OPD"/>
    <n v="1751.53"/>
    <s v="Cash"/>
    <s v="No"/>
    <m/>
    <n v="30"/>
    <s v="Middle-Aged"/>
    <s v="Low"/>
    <s v="Short Days"/>
    <m/>
    <m/>
    <m/>
    <m/>
    <m/>
    <m/>
  </r>
  <r>
    <s v="VIS200399"/>
    <d v="2025-03-31T00:00:00"/>
    <s v="PAT5241"/>
    <s v="Manisha Jose"/>
    <s v="Female"/>
    <n v="7"/>
    <s v="Noida"/>
    <s v="Uttar Pradesh"/>
    <x v="7"/>
    <s v="Dr. Leela"/>
    <s v="F41"/>
    <s v="Minor Surgery"/>
    <s v="Emergency"/>
    <n v="5218.8100000000004"/>
    <s v="UPI"/>
    <s v="No"/>
    <m/>
    <n v="90"/>
    <s v="Child"/>
    <s v="Medium"/>
    <s v="Short Days"/>
    <m/>
    <m/>
    <m/>
    <m/>
    <m/>
    <m/>
  </r>
  <r>
    <s v="VIS201753"/>
    <d v="2024-10-03T00:00:00"/>
    <s v="PAT5324"/>
    <s v="Rohan Jose"/>
    <s v="Female"/>
    <n v="42"/>
    <s v="Hyderabad"/>
    <s v="Telangana"/>
    <x v="6"/>
    <s v="Dr. Lalitha"/>
    <s v="J00"/>
    <s v="Prescription Refill"/>
    <s v="IPD"/>
    <n v="9864.1200000000008"/>
    <s v="Insurance"/>
    <s v="Yes"/>
    <n v="5"/>
    <n v="14"/>
    <s v="Middle-Aged"/>
    <s v="Medium"/>
    <s v="Short Days"/>
    <m/>
    <m/>
    <m/>
    <m/>
    <m/>
    <m/>
  </r>
  <r>
    <s v="VIS201034"/>
    <d v="2025-09-12T00:00:00"/>
    <s v="PAT6314"/>
    <s v="Vivaan Jose"/>
    <s v="Female"/>
    <n v="27"/>
    <s v="Noida"/>
    <s v="Uttar Pradesh"/>
    <x v="3"/>
    <s v="Dr. Anand"/>
    <s v="L40"/>
    <s v="Minor Surgery"/>
    <s v="OPD"/>
    <n v="4851.2"/>
    <s v="Debit Card"/>
    <s v="No"/>
    <m/>
    <n v="14"/>
    <s v="Adult"/>
    <s v="Low"/>
    <s v="Short Days"/>
    <m/>
    <m/>
    <m/>
    <m/>
    <m/>
    <m/>
  </r>
  <r>
    <s v="VIS201194"/>
    <d v="2024-12-19T00:00:00"/>
    <s v="PAT5053"/>
    <s v="Siddharth Mishra"/>
    <s v="Male"/>
    <n v="35"/>
    <s v="Coimbatore"/>
    <s v="Tamil Nadu"/>
    <x v="7"/>
    <s v="Dr. Leela"/>
    <s v="H10"/>
    <s v="Prescription Refill"/>
    <s v="OPD"/>
    <n v="1234.5"/>
    <s v="Debit Card"/>
    <s v="No"/>
    <m/>
    <m/>
    <s v="Adult"/>
    <s v="Low"/>
    <s v="Short Days"/>
    <m/>
    <m/>
    <m/>
    <m/>
    <m/>
    <m/>
  </r>
  <r>
    <s v="VIS201991"/>
    <d v="2025-04-28T00:00:00"/>
    <s v="PAT5444"/>
    <s v="Ananya Kumar"/>
    <s v="Male"/>
    <n v="32"/>
    <s v="Jaipur"/>
    <s v="Rajasthan"/>
    <x v="3"/>
    <s v="Dr. Pallavi"/>
    <s v="L40"/>
    <s v="Minor Surgery"/>
    <s v="OPD"/>
    <n v="2031.17"/>
    <s v="Insurance"/>
    <s v="Yes"/>
    <m/>
    <m/>
    <s v="Adult"/>
    <s v="Low"/>
    <s v="Short Days"/>
    <m/>
    <m/>
    <m/>
    <m/>
    <m/>
    <m/>
  </r>
  <r>
    <s v="VIS202788"/>
    <d v="2025-01-10T00:00:00"/>
    <s v="PAT5650"/>
    <s v="Sangeetha Nair"/>
    <s v="Male"/>
    <n v="57"/>
    <s v="Delhi"/>
    <s v="Delhi"/>
    <x v="5"/>
    <s v="Dr. Karthik"/>
    <s v="N39"/>
    <s v="Minor Surgery"/>
    <s v="Teleconsultation"/>
    <n v="5643.57"/>
    <s v="Debit Card"/>
    <s v="No"/>
    <m/>
    <n v="30"/>
    <s v="Middle-Aged"/>
    <s v="Medium"/>
    <s v="Short Days"/>
    <m/>
    <m/>
    <m/>
    <m/>
    <m/>
    <m/>
  </r>
  <r>
    <s v="VIS201767"/>
    <d v="2024-10-04T00:00:00"/>
    <s v="PAT6831"/>
    <s v="Ananya Reddy"/>
    <s v="Male"/>
    <n v="33"/>
    <s v="Pune"/>
    <s v="Maharashtra"/>
    <x v="0"/>
    <s v="Dr. Shailesh"/>
    <s v="J00"/>
    <s v="Minor Surgery"/>
    <s v="Teleconsultation"/>
    <n v="7666.06"/>
    <s v="Credit Card"/>
    <s v="No"/>
    <m/>
    <m/>
    <s v="Adult"/>
    <s v="Medium"/>
    <s v="Short Days"/>
    <m/>
    <m/>
    <m/>
    <m/>
    <m/>
    <m/>
  </r>
  <r>
    <s v="VIS200604"/>
    <d v="2025-07-20T00:00:00"/>
    <s v="PAT6979"/>
    <s v="Anil Singh"/>
    <s v="Male"/>
    <n v="54"/>
    <s v="Delhi"/>
    <s v="Delhi"/>
    <x v="4"/>
    <s v="Dr. Bhavana"/>
    <s v="F41"/>
    <s v="Minor Procedure"/>
    <s v="Teleconsultation"/>
    <n v="15321.7"/>
    <s v="UPI"/>
    <s v="No"/>
    <m/>
    <m/>
    <s v="Middle-Aged"/>
    <s v="High"/>
    <s v="Short Days"/>
    <m/>
    <m/>
    <m/>
    <m/>
    <m/>
    <m/>
  </r>
  <r>
    <s v="VIS200942"/>
    <d v="2024-03-09T00:00:00"/>
    <s v="PAT5435"/>
    <s v="Vishal Patel"/>
    <s v="Female"/>
    <n v="78"/>
    <s v="Coimbatore"/>
    <s v="Tamil Nadu"/>
    <x v="6"/>
    <s v="Dr. Priya"/>
    <s v="H10"/>
    <s v="Prescription Refill"/>
    <s v="Teleconsultation"/>
    <n v="15726.43"/>
    <s v="Debit Card"/>
    <s v="No"/>
    <m/>
    <m/>
    <s v="Senior"/>
    <s v="High"/>
    <s v="Short Days"/>
    <m/>
    <m/>
    <m/>
    <m/>
    <m/>
    <m/>
  </r>
  <r>
    <s v="VIS202116"/>
    <d v="2025-06-09T00:00:00"/>
    <s v="PAT6836"/>
    <s v="Vishal Iyer"/>
    <s v="Male"/>
    <n v="38"/>
    <s v="Trichy"/>
    <s v="Tamil Nadu"/>
    <x v="2"/>
    <s v="Dr. Manoj"/>
    <s v="H10"/>
    <s v="Counselling"/>
    <s v="IPD"/>
    <n v="8728.69"/>
    <s v="Insurance"/>
    <s v="Yes"/>
    <n v="4"/>
    <n v="14"/>
    <s v="Adult"/>
    <s v="Medium"/>
    <s v="Short Days"/>
    <m/>
    <m/>
    <m/>
    <m/>
    <m/>
    <m/>
  </r>
  <r>
    <s v="VIS200599"/>
    <d v="2025-10-09T00:00:00"/>
    <s v="PAT6194"/>
    <s v="Priya Reddy"/>
    <s v="Female"/>
    <n v="3"/>
    <s v="Kochi"/>
    <s v="Kerala"/>
    <x v="2"/>
    <s v="Dr. Manoj"/>
    <s v="J00"/>
    <s v="Minor Surgery"/>
    <s v="OPD"/>
    <n v="5294.12"/>
    <s v="UPI"/>
    <s v="No"/>
    <m/>
    <m/>
    <s v="Child"/>
    <s v="Medium"/>
    <s v="Short Days"/>
    <m/>
    <m/>
    <m/>
    <m/>
    <m/>
    <m/>
  </r>
  <r>
    <s v="VIS202222"/>
    <d v="2024-03-30T00:00:00"/>
    <s v="PAT6199"/>
    <s v="Ishaan Bose"/>
    <s v="Female"/>
    <n v="31"/>
    <s v="Trichy"/>
    <s v="Tamil Nadu"/>
    <x v="7"/>
    <s v="Dr. Surya"/>
    <s v="F41"/>
    <s v="Surgery"/>
    <s v="OPD"/>
    <n v="185.42"/>
    <s v="Cash"/>
    <s v="No"/>
    <m/>
    <n v="90"/>
    <s v="Adult"/>
    <s v="Low"/>
    <s v="Short Days"/>
    <m/>
    <m/>
    <m/>
    <m/>
    <m/>
    <m/>
  </r>
  <r>
    <s v="VIS201951"/>
    <d v="2024-02-02T00:00:00"/>
    <s v="PAT5694"/>
    <s v="Karthik Nagar"/>
    <s v="Female"/>
    <n v="0"/>
    <s v="Madurai"/>
    <s v="Tamil Nadu"/>
    <x v="3"/>
    <s v="Dr. Anand"/>
    <s v="K21"/>
    <s v="Counselling"/>
    <s v="OPD"/>
    <n v="256.94"/>
    <s v="Credit Card"/>
    <s v="No"/>
    <m/>
    <n v="14"/>
    <s v="Child"/>
    <s v="Low"/>
    <s v="Short Days"/>
    <m/>
    <m/>
    <m/>
    <m/>
    <m/>
    <m/>
  </r>
  <r>
    <s v="VIS202635"/>
    <d v="2024-05-11T00:00:00"/>
    <s v="PAT5238"/>
    <s v="Vishal Iyer"/>
    <s v="Female"/>
    <n v="11"/>
    <s v="Noida"/>
    <s v="Uttar Pradesh"/>
    <x v="9"/>
    <s v="Dr. Arvind"/>
    <s v="F41"/>
    <s v="Surgery"/>
    <s v="Teleconsultation"/>
    <n v="5918.62"/>
    <s v="Cash"/>
    <s v="No"/>
    <m/>
    <n v="90"/>
    <s v="Child"/>
    <s v="Medium"/>
    <s v="Short Days"/>
    <m/>
    <m/>
    <m/>
    <m/>
    <m/>
    <m/>
  </r>
  <r>
    <s v="VIS201795"/>
    <d v="2024-06-16T00:00:00"/>
    <s v="PAT6431"/>
    <s v="Ananya Khan"/>
    <s v="Male"/>
    <n v="38"/>
    <s v="Hyderabad"/>
    <s v="Telangana"/>
    <x v="2"/>
    <s v="Dr. Manoj"/>
    <s v="J00"/>
    <s v="Surgery"/>
    <s v="OPD"/>
    <n v="392.01"/>
    <s v="UPI"/>
    <s v="No"/>
    <m/>
    <n v="30"/>
    <s v="Adult"/>
    <s v="Low"/>
    <s v="Short Days"/>
    <m/>
    <m/>
    <m/>
    <m/>
    <m/>
    <m/>
  </r>
  <r>
    <s v="VIS200038"/>
    <d v="2024-12-24T00:00:00"/>
    <s v="PAT6037"/>
    <s v="Aarav Nagar"/>
    <s v="Male"/>
    <n v="62"/>
    <s v="Pune"/>
    <s v="Maharashtra"/>
    <x v="2"/>
    <s v="Dr. Ramesh"/>
    <s v="L40"/>
    <s v="Physiotherapy"/>
    <s v="Teleconsultation"/>
    <n v="9496.8799999999992"/>
    <s v="Net Banking"/>
    <s v="No"/>
    <m/>
    <m/>
    <s v="Senior"/>
    <s v="Medium"/>
    <s v="Short Days"/>
    <m/>
    <m/>
    <m/>
    <m/>
    <m/>
    <m/>
  </r>
  <r>
    <s v="VIS202696"/>
    <d v="2025-01-16T00:00:00"/>
    <s v="PAT5806"/>
    <s v="Manisha Nagar"/>
    <s v="Male"/>
    <n v="22"/>
    <s v="Lucknow"/>
    <s v="Uttar Pradesh"/>
    <x v="0"/>
    <s v="Dr. Shailesh"/>
    <s v="H10"/>
    <s v="Physiotherapy"/>
    <s v="OPD"/>
    <n v="8790.41"/>
    <s v="Net Banking"/>
    <s v="No"/>
    <m/>
    <n v="30"/>
    <s v="Adult"/>
    <s v="Medium"/>
    <s v="Short Days"/>
    <m/>
    <m/>
    <m/>
    <m/>
    <m/>
    <m/>
  </r>
  <r>
    <s v="VIS202033"/>
    <d v="2025-09-09T00:00:00"/>
    <s v="PAT6170"/>
    <s v="Aditya Singh"/>
    <s v="Female"/>
    <n v="45"/>
    <s v="Kolkata"/>
    <s v="West Bengal"/>
    <x v="0"/>
    <s v="Dr. Shailesh"/>
    <s v="I10"/>
    <s v="Medication"/>
    <s v="OPD"/>
    <n v="4397.09"/>
    <s v="Debit Card"/>
    <s v="No"/>
    <m/>
    <m/>
    <s v="Middle-Aged"/>
    <s v="Low"/>
    <s v="Short Days"/>
    <m/>
    <m/>
    <m/>
    <m/>
    <m/>
    <m/>
  </r>
  <r>
    <s v="VIS200198"/>
    <d v="2024-04-20T00:00:00"/>
    <s v="PAT6636"/>
    <s v="Vivaan Nair"/>
    <s v="Female"/>
    <n v="15"/>
    <s v="Ahmedabad"/>
    <s v="Gujarat"/>
    <x v="7"/>
    <s v="Dr. Leela"/>
    <s v="N39"/>
    <s v="Minor Procedure"/>
    <s v="Teleconsultation"/>
    <n v="29449.91"/>
    <s v="Cash"/>
    <s v="No"/>
    <m/>
    <n v="14"/>
    <s v="Child"/>
    <s v="High"/>
    <s v="Short Days"/>
    <m/>
    <m/>
    <m/>
    <m/>
    <m/>
    <m/>
  </r>
  <r>
    <s v="VIS202082"/>
    <d v="2025-09-06T00:00:00"/>
    <s v="PAT6243"/>
    <s v="Vishal Gupta"/>
    <s v="Male"/>
    <n v="50"/>
    <s v="Hyderabad"/>
    <s v="Telangana"/>
    <x v="0"/>
    <s v="Dr. Nikhil"/>
    <s v="J45"/>
    <s v="Counselling"/>
    <s v="Emergency"/>
    <n v="15295.35"/>
    <s v="Cash"/>
    <s v="No"/>
    <m/>
    <m/>
    <s v="Middle-Aged"/>
    <s v="High"/>
    <s v="Short Days"/>
    <m/>
    <m/>
    <m/>
    <m/>
    <m/>
    <m/>
  </r>
  <r>
    <s v="VIS202053"/>
    <d v="2024-10-26T00:00:00"/>
    <s v="PAT5756"/>
    <s v="Manisha Khan"/>
    <s v="Male"/>
    <n v="53"/>
    <s v="Kochi"/>
    <s v="Kerala"/>
    <x v="2"/>
    <s v="Dr. Manoj"/>
    <s v="I10"/>
    <s v="Counselling"/>
    <s v="OPD"/>
    <n v="195.56"/>
    <s v="Debit Card"/>
    <s v="No"/>
    <m/>
    <n v="30"/>
    <s v="Middle-Aged"/>
    <s v="Low"/>
    <s v="Short Days"/>
    <m/>
    <m/>
    <m/>
    <m/>
    <m/>
    <m/>
  </r>
  <r>
    <s v="VIS201744"/>
    <d v="2024-03-19T00:00:00"/>
    <s v="PAT6809"/>
    <s v="Shruti Sharma"/>
    <s v="Female"/>
    <n v="21"/>
    <s v="Kochi"/>
    <s v="Kerala"/>
    <x v="2"/>
    <s v="Dr. Manoj"/>
    <s v="K21"/>
    <s v="Surgery"/>
    <s v="Emergency"/>
    <n v="5933.06"/>
    <s v="Debit Card"/>
    <s v="No"/>
    <m/>
    <n v="7"/>
    <s v="Adult"/>
    <s v="Medium"/>
    <s v="Short Days"/>
    <m/>
    <m/>
    <m/>
    <m/>
    <m/>
    <m/>
  </r>
  <r>
    <s v="VIS202684"/>
    <d v="2025-07-22T00:00:00"/>
    <s v="PAT5309"/>
    <s v="Shruti Mishra"/>
    <s v="Male"/>
    <n v="41"/>
    <s v="Kochi"/>
    <s v="Kerala"/>
    <x v="0"/>
    <s v="Dr. Shailesh"/>
    <s v="K21"/>
    <s v="Counselling"/>
    <s v="OPD"/>
    <n v="8862.1299999999992"/>
    <s v="Debit Card"/>
    <s v="No"/>
    <m/>
    <n v="7"/>
    <s v="Middle-Aged"/>
    <s v="Medium"/>
    <s v="Short Days"/>
    <m/>
    <m/>
    <m/>
    <m/>
    <m/>
    <m/>
  </r>
  <r>
    <s v="VIS202319"/>
    <d v="2024-02-13T00:00:00"/>
    <s v="PAT6298"/>
    <s v="Vishal Singh"/>
    <s v="Female"/>
    <n v="15"/>
    <s v="Madurai"/>
    <s v="Tamil Nadu"/>
    <x v="3"/>
    <s v="Dr. Anand"/>
    <s v="N39"/>
    <s v="Physiotherapy"/>
    <s v="OPD"/>
    <n v="9961.7800000000007"/>
    <s v="Credit Card"/>
    <s v="No"/>
    <m/>
    <n v="7"/>
    <s v="Child"/>
    <s v="Medium"/>
    <s v="Short Days"/>
    <m/>
    <m/>
    <m/>
    <m/>
    <m/>
    <m/>
  </r>
  <r>
    <s v="VIS201340"/>
    <d v="2024-07-22T00:00:00"/>
    <s v="PAT5496"/>
    <s v="Neha Das"/>
    <s v="Male"/>
    <n v="37"/>
    <s v="Delhi"/>
    <s v="Delhi"/>
    <x v="2"/>
    <s v="Dr. Manoj"/>
    <s v="M54"/>
    <s v="Minor Surgery"/>
    <s v="OPD"/>
    <n v="11909.11"/>
    <s v="Credit Card"/>
    <s v="No"/>
    <m/>
    <n v="30"/>
    <s v="Adult"/>
    <s v="High"/>
    <s v="Short Days"/>
    <m/>
    <m/>
    <m/>
    <m/>
    <m/>
    <m/>
  </r>
  <r>
    <s v="VIS201144"/>
    <d v="2024-06-27T00:00:00"/>
    <s v="PAT6457"/>
    <s v="Anil Gupta"/>
    <s v="Male"/>
    <n v="54"/>
    <s v="Madurai"/>
    <s v="Tamil Nadu"/>
    <x v="0"/>
    <s v="Dr. Nikhil"/>
    <s v="J45"/>
    <s v="Minor Surgery"/>
    <s v="Emergency"/>
    <n v="19342.650000000001"/>
    <s v="UPI"/>
    <s v="No"/>
    <m/>
    <n v="14"/>
    <s v="Middle-Aged"/>
    <s v="High"/>
    <s v="Short Days"/>
    <m/>
    <m/>
    <m/>
    <m/>
    <m/>
    <m/>
  </r>
  <r>
    <s v="VIS200787"/>
    <d v="2024-05-08T00:00:00"/>
    <s v="PAT5968"/>
    <s v="Arjun Das"/>
    <s v="Male"/>
    <n v="19"/>
    <s v="Kochi"/>
    <s v="Kerala"/>
    <x v="4"/>
    <s v="Dr. Varun"/>
    <s v="E11"/>
    <s v="Counselling"/>
    <s v="OPD"/>
    <n v="5511.7"/>
    <s v="Cash"/>
    <s v="No"/>
    <m/>
    <n v="30"/>
    <s v="Adult"/>
    <s v="Medium"/>
    <s v="Short Days"/>
    <m/>
    <m/>
    <m/>
    <m/>
    <m/>
    <m/>
  </r>
  <r>
    <s v="VIS202794"/>
    <d v="2024-04-17T00:00:00"/>
    <s v="PAT6409"/>
    <s v="Siddharth Mishra"/>
    <s v="Female"/>
    <n v="48"/>
    <s v="Coimbatore"/>
    <s v="Tamil Nadu"/>
    <x v="1"/>
    <s v="Dr. Suri"/>
    <s v="F41"/>
    <s v="Minor Procedure"/>
    <s v="OPD"/>
    <n v="1352.89"/>
    <s v="Cash"/>
    <s v="No"/>
    <m/>
    <n v="90"/>
    <s v="Middle-Aged"/>
    <s v="Low"/>
    <s v="Short Days"/>
    <m/>
    <m/>
    <m/>
    <m/>
    <m/>
    <m/>
  </r>
  <r>
    <s v="VIS200432"/>
    <d v="2025-03-13T00:00:00"/>
    <s v="PAT6783"/>
    <s v="Ananya Gupta"/>
    <s v="Female"/>
    <n v="52"/>
    <s v="Chennai"/>
    <s v="Tamil Nadu"/>
    <x v="1"/>
    <s v="Dr. Anu"/>
    <s v="L40"/>
    <s v="Minor Procedure"/>
    <s v="OPD"/>
    <n v="23737.61"/>
    <s v="Debit Card"/>
    <s v="No"/>
    <m/>
    <n v="90"/>
    <s v="Middle-Aged"/>
    <s v="High"/>
    <s v="Short Days"/>
    <m/>
    <m/>
    <m/>
    <m/>
    <m/>
    <m/>
  </r>
  <r>
    <s v="VIS201223"/>
    <d v="2025-05-03T00:00:00"/>
    <s v="PAT6291"/>
    <s v="Ishaan Nagar"/>
    <s v="Female"/>
    <n v="44"/>
    <s v="Delhi"/>
    <s v="Delhi"/>
    <x v="8"/>
    <s v="Dr. Sneha"/>
    <s v="N39"/>
    <s v="Observation"/>
    <s v="Teleconsultation"/>
    <n v="5012.28"/>
    <s v="Cash"/>
    <s v="No"/>
    <m/>
    <n v="7"/>
    <s v="Middle-Aged"/>
    <s v="Medium"/>
    <s v="Short Days"/>
    <m/>
    <m/>
    <m/>
    <m/>
    <m/>
    <m/>
  </r>
  <r>
    <s v="VIS200902"/>
    <d v="2024-05-05T00:00:00"/>
    <s v="PAT6414"/>
    <s v="Ananya Gupta"/>
    <s v="Male"/>
    <n v="53"/>
    <s v="Trichy"/>
    <s v="Tamil Nadu"/>
    <x v="8"/>
    <s v="Dr. Kavitha"/>
    <s v="J00"/>
    <s v="Prescription Refill"/>
    <s v="Teleconsultation"/>
    <n v="5678.94"/>
    <s v="Insurance"/>
    <s v="Yes"/>
    <m/>
    <n v="30"/>
    <s v="Middle-Aged"/>
    <s v="Medium"/>
    <s v="Short Days"/>
    <m/>
    <m/>
    <m/>
    <m/>
    <m/>
    <m/>
  </r>
  <r>
    <s v="VIS201420"/>
    <d v="2024-12-09T00:00:00"/>
    <s v="PAT5156"/>
    <s v="Shruti Gupta"/>
    <s v="Male"/>
    <n v="48"/>
    <s v="Delhi"/>
    <s v="Delhi"/>
    <x v="7"/>
    <s v="Dr. Leela"/>
    <s v="H10"/>
    <s v="Observation"/>
    <s v="OPD"/>
    <n v="1849.85"/>
    <s v="Credit Card"/>
    <s v="No"/>
    <m/>
    <m/>
    <s v="Middle-Aged"/>
    <s v="Low"/>
    <s v="Short Days"/>
    <m/>
    <m/>
    <m/>
    <m/>
    <m/>
    <m/>
  </r>
  <r>
    <s v="VIS201624"/>
    <d v="2025-10-23T00:00:00"/>
    <s v="PAT6085"/>
    <s v="Ishaan Jose"/>
    <s v="Male"/>
    <n v="19"/>
    <s v="Mumbai"/>
    <s v="Maharashtra"/>
    <x v="7"/>
    <s v="Dr. Surya"/>
    <s v="L40"/>
    <s v="Minor Surgery"/>
    <s v="IPD"/>
    <n v="6358.29"/>
    <s v="Cash"/>
    <s v="No"/>
    <n v="9"/>
    <m/>
    <s v="Adult"/>
    <s v="Medium"/>
    <s v="Long Days"/>
    <m/>
    <m/>
    <m/>
    <m/>
    <m/>
    <m/>
  </r>
  <r>
    <s v="VIS201264"/>
    <d v="2024-07-14T00:00:00"/>
    <s v="PAT6511"/>
    <s v="Rohan Patel"/>
    <s v="Female"/>
    <n v="58"/>
    <s v="Coimbatore"/>
    <s v="Tamil Nadu"/>
    <x v="2"/>
    <s v="Dr. Ramesh"/>
    <s v="M54"/>
    <s v="Observation"/>
    <s v="OPD"/>
    <n v="8445.5300000000007"/>
    <s v="Net Banking"/>
    <s v="No"/>
    <m/>
    <m/>
    <s v="Middle-Aged"/>
    <s v="Medium"/>
    <s v="Short Days"/>
    <m/>
    <m/>
    <m/>
    <m/>
    <m/>
    <m/>
  </r>
  <r>
    <s v="VIS202953"/>
    <d v="2025-05-12T00:00:00"/>
    <s v="PAT5226"/>
    <s v="Vishal Das"/>
    <s v="Female"/>
    <n v="50"/>
    <s v="Bengaluru"/>
    <s v="Karnataka"/>
    <x v="2"/>
    <s v="Dr. Ramesh"/>
    <s v="H10"/>
    <s v="Physiotherapy"/>
    <s v="IPD"/>
    <n v="6983.44"/>
    <s v="UPI"/>
    <s v="No"/>
    <n v="7"/>
    <n v="30"/>
    <s v="Middle-Aged"/>
    <s v="Medium"/>
    <s v="Long Days"/>
    <m/>
    <m/>
    <m/>
    <m/>
    <m/>
    <m/>
  </r>
  <r>
    <s v="VIS201728"/>
    <d v="2024-06-25T00:00:00"/>
    <s v="PAT5180"/>
    <s v="Vishal Patel"/>
    <s v="Other"/>
    <n v="52"/>
    <s v="Chennai"/>
    <s v="Tamil Nadu"/>
    <x v="4"/>
    <s v="Dr. Bhavana"/>
    <s v="J45"/>
    <s v="Observation"/>
    <s v="Teleconsultation"/>
    <n v="5031.6499999999996"/>
    <s v="Cash"/>
    <s v="No"/>
    <m/>
    <n v="14"/>
    <s v="Middle-Aged"/>
    <s v="Medium"/>
    <s v="Short Days"/>
    <m/>
    <m/>
    <m/>
    <m/>
    <m/>
    <m/>
  </r>
  <r>
    <s v="VIS201323"/>
    <d v="2024-05-21T00:00:00"/>
    <s v="PAT5563"/>
    <s v="Aarav Nagar"/>
    <s v="Male"/>
    <n v="36"/>
    <s v="Pune"/>
    <s v="Maharashtra"/>
    <x v="3"/>
    <s v="Dr. Pallavi"/>
    <s v="I10"/>
    <s v="Minor Procedure"/>
    <s v="OPD"/>
    <n v="11192.47"/>
    <s v="Credit Card"/>
    <s v="No"/>
    <m/>
    <n v="90"/>
    <s v="Adult"/>
    <s v="High"/>
    <s v="Short Days"/>
    <m/>
    <m/>
    <m/>
    <m/>
    <m/>
    <m/>
  </r>
  <r>
    <s v="VIS202491"/>
    <d v="2024-01-25T00:00:00"/>
    <s v="PAT5060"/>
    <s v="Rahul Singh"/>
    <s v="Female"/>
    <n v="14"/>
    <s v="Noida"/>
    <s v="Uttar Pradesh"/>
    <x v="2"/>
    <s v="Dr. Manoj"/>
    <s v="H10"/>
    <s v="Minor Surgery"/>
    <s v="Emergency"/>
    <n v="11588.55"/>
    <s v="UPI"/>
    <s v="No"/>
    <m/>
    <m/>
    <s v="Child"/>
    <s v="High"/>
    <s v="Short Days"/>
    <m/>
    <m/>
    <m/>
    <m/>
    <m/>
    <m/>
  </r>
  <r>
    <s v="VIS201955"/>
    <d v="2024-07-12T00:00:00"/>
    <s v="PAT5864"/>
    <s v="Arjun Nagar"/>
    <s v="Male"/>
    <n v="66"/>
    <s v="Madurai"/>
    <s v="Tamil Nadu"/>
    <x v="7"/>
    <s v="Dr. Leela"/>
    <s v="J00"/>
    <s v="Surgery"/>
    <s v="OPD"/>
    <n v="1138.3599999999999"/>
    <s v="Insurance"/>
    <s v="Yes"/>
    <m/>
    <m/>
    <s v="Senior"/>
    <s v="Low"/>
    <s v="Short Days"/>
    <m/>
    <m/>
    <m/>
    <m/>
    <m/>
    <m/>
  </r>
  <r>
    <s v="VIS200836"/>
    <d v="2025-06-08T00:00:00"/>
    <s v="PAT6121"/>
    <s v="Vishal Jose"/>
    <s v="Male"/>
    <n v="28"/>
    <s v="Kochi"/>
    <s v="Kerala"/>
    <x v="1"/>
    <s v="Dr. Suri"/>
    <s v="I10"/>
    <s v="Surgery"/>
    <s v="OPD"/>
    <n v="10368.530000000001"/>
    <s v="Insurance"/>
    <s v="Yes"/>
    <m/>
    <m/>
    <s v="Adult"/>
    <s v="High"/>
    <s v="Short Days"/>
    <m/>
    <m/>
    <m/>
    <m/>
    <m/>
    <m/>
  </r>
  <r>
    <s v="VIS201891"/>
    <d v="2024-11-03T00:00:00"/>
    <s v="PAT5257"/>
    <s v="Kavya Kumar"/>
    <s v="Male"/>
    <n v="27"/>
    <s v="Coimbatore"/>
    <s v="Tamil Nadu"/>
    <x v="3"/>
    <s v="Dr. Pallavi"/>
    <s v="M54"/>
    <s v="Minor Procedure"/>
    <s v="OPD"/>
    <n v="9096.02"/>
    <s v="Credit Card"/>
    <s v="No"/>
    <m/>
    <n v="30"/>
    <s v="Adult"/>
    <s v="Medium"/>
    <s v="Short Days"/>
    <m/>
    <m/>
    <m/>
    <m/>
    <m/>
    <m/>
  </r>
  <r>
    <s v="VIS201078"/>
    <d v="2024-04-19T00:00:00"/>
    <s v="PAT6707"/>
    <s v="Anil Bose"/>
    <s v="Female"/>
    <n v="55"/>
    <s v="Madurai"/>
    <s v="Tamil Nadu"/>
    <x v="5"/>
    <s v="Dr. Meena"/>
    <s v="E11"/>
    <s v="Surgery"/>
    <s v="Teleconsultation"/>
    <n v="5149.8500000000004"/>
    <s v="Insurance"/>
    <s v="Yes"/>
    <m/>
    <m/>
    <s v="Middle-Aged"/>
    <s v="Medium"/>
    <s v="Short Days"/>
    <m/>
    <m/>
    <m/>
    <m/>
    <m/>
    <m/>
  </r>
  <r>
    <s v="VIS201458"/>
    <d v="2024-10-13T00:00:00"/>
    <s v="PAT5294"/>
    <s v="Manisha Mishra"/>
    <s v="Female"/>
    <n v="29"/>
    <s v="Delhi"/>
    <s v="Delhi"/>
    <x v="8"/>
    <s v="Dr. Sneha"/>
    <s v="J45"/>
    <s v="Medication"/>
    <s v="IPD"/>
    <n v="10832.93"/>
    <s v="Cash"/>
    <s v="No"/>
    <n v="3"/>
    <n v="30"/>
    <s v="Adult"/>
    <s v="High"/>
    <s v="Short Days"/>
    <m/>
    <m/>
    <m/>
    <m/>
    <m/>
    <m/>
  </r>
  <r>
    <s v="VIS201062"/>
    <d v="2025-08-18T00:00:00"/>
    <s v="PAT5874"/>
    <s v="Anil Mishra"/>
    <s v="Male"/>
    <n v="26"/>
    <s v="Madurai"/>
    <s v="Tamil Nadu"/>
    <x v="0"/>
    <s v="Dr. Shailesh"/>
    <s v="E11"/>
    <s v="Minor Surgery"/>
    <s v="Emergency"/>
    <n v="5922.11"/>
    <s v="Debit Card"/>
    <s v="No"/>
    <m/>
    <n v="30"/>
    <s v="Adult"/>
    <s v="Medium"/>
    <s v="Short Days"/>
    <m/>
    <m/>
    <m/>
    <m/>
    <m/>
    <m/>
  </r>
  <r>
    <s v="VIS200475"/>
    <d v="2024-10-19T00:00:00"/>
    <s v="PAT5108"/>
    <s v="Arjun Nair"/>
    <s v="Female"/>
    <n v="17"/>
    <s v="Lucknow"/>
    <s v="Uttar Pradesh"/>
    <x v="9"/>
    <s v="Dr. Arvind"/>
    <s v="J00"/>
    <s v="Observation"/>
    <s v="OPD"/>
    <n v="899.13"/>
    <s v="Credit Card"/>
    <s v="No"/>
    <m/>
    <n v="14"/>
    <s v="Child"/>
    <s v="Low"/>
    <s v="Short Days"/>
    <m/>
    <m/>
    <m/>
    <m/>
    <m/>
    <m/>
  </r>
  <r>
    <s v="VIS201292"/>
    <d v="2025-05-07T00:00:00"/>
    <s v="PAT6015"/>
    <s v="Rohan Khan"/>
    <s v="Male"/>
    <n v="72"/>
    <s v="Kochi"/>
    <s v="Kerala"/>
    <x v="3"/>
    <s v="Dr. Pallavi"/>
    <s v="L40"/>
    <s v="Prescription Refill"/>
    <s v="OPD"/>
    <n v="8098.66"/>
    <s v="Insurance"/>
    <s v="Yes"/>
    <m/>
    <m/>
    <s v="Senior"/>
    <s v="Medium"/>
    <s v="Short Days"/>
    <m/>
    <m/>
    <m/>
    <m/>
    <m/>
    <m/>
  </r>
  <r>
    <s v="VIS200662"/>
    <d v="2024-09-04T00:00:00"/>
    <s v="PAT6830"/>
    <s v="Vishal Jose"/>
    <s v="Male"/>
    <n v="50"/>
    <s v="Delhi"/>
    <s v="Delhi"/>
    <x v="5"/>
    <s v="Dr. Meena"/>
    <s v="I10"/>
    <s v="Surgery"/>
    <s v="OPD"/>
    <n v="11202.98"/>
    <s v="Debit Card"/>
    <s v="No"/>
    <m/>
    <m/>
    <s v="Middle-Aged"/>
    <s v="High"/>
    <s v="Short Days"/>
    <m/>
    <m/>
    <m/>
    <m/>
    <m/>
    <m/>
  </r>
  <r>
    <s v="VIS200219"/>
    <d v="2025-01-06T00:00:00"/>
    <s v="PAT5176"/>
    <s v="Priya Singh"/>
    <s v="Male"/>
    <n v="41"/>
    <s v="Pune"/>
    <s v="Maharashtra"/>
    <x v="1"/>
    <s v="Dr. Suri"/>
    <s v="L40"/>
    <s v="Observation"/>
    <s v="OPD"/>
    <n v="7988.49"/>
    <s v="Debit Card"/>
    <s v="No"/>
    <m/>
    <m/>
    <s v="Middle-Aged"/>
    <s v="Medium"/>
    <s v="Short Days"/>
    <m/>
    <m/>
    <m/>
    <m/>
    <m/>
    <m/>
  </r>
  <r>
    <s v="VIS200191"/>
    <d v="2025-06-13T00:00:00"/>
    <s v="PAT6259"/>
    <s v="Neha Jose"/>
    <s v="Female"/>
    <n v="44"/>
    <s v="Lucknow"/>
    <s v="Uttar Pradesh"/>
    <x v="5"/>
    <s v="Dr. Karthik"/>
    <s v="F41"/>
    <s v="Observation"/>
    <s v="Emergency"/>
    <n v="24711.73"/>
    <s v="Credit Card"/>
    <s v="No"/>
    <m/>
    <n v="7"/>
    <s v="Middle-Aged"/>
    <s v="High"/>
    <s v="Short Days"/>
    <m/>
    <m/>
    <m/>
    <m/>
    <m/>
    <m/>
  </r>
  <r>
    <s v="VIS200344"/>
    <d v="2025-02-27T00:00:00"/>
    <s v="PAT6658"/>
    <s v="Sangeetha Nair"/>
    <s v="Female"/>
    <n v="33"/>
    <s v="Madurai"/>
    <s v="Tamil Nadu"/>
    <x v="1"/>
    <s v="Dr. Anu"/>
    <s v="J00"/>
    <s v="Prescription Refill"/>
    <s v="OPD"/>
    <n v="363.31"/>
    <s v="Cash"/>
    <s v="No"/>
    <m/>
    <n v="7"/>
    <s v="Adult"/>
    <s v="Low"/>
    <s v="Short Days"/>
    <m/>
    <m/>
    <m/>
    <m/>
    <m/>
    <m/>
  </r>
  <r>
    <s v="VIS202938"/>
    <d v="2024-08-22T00:00:00"/>
    <s v="PAT5647"/>
    <s v="Rohan Sharma"/>
    <s v="Female"/>
    <n v="63"/>
    <s v="Delhi"/>
    <s v="Delhi"/>
    <x v="8"/>
    <s v="Dr. Kavitha"/>
    <s v="M54"/>
    <s v="Physiotherapy"/>
    <s v="Teleconsultation"/>
    <n v="14489.11"/>
    <s v="Cash"/>
    <s v="No"/>
    <m/>
    <n v="7"/>
    <s v="Senior"/>
    <s v="High"/>
    <s v="Short Days"/>
    <m/>
    <m/>
    <m/>
    <m/>
    <m/>
    <m/>
  </r>
  <r>
    <s v="VIS200779"/>
    <d v="2024-05-31T00:00:00"/>
    <s v="PAT5415"/>
    <s v="Shruti Bose"/>
    <s v="Male"/>
    <n v="65"/>
    <s v="Noida"/>
    <s v="Uttar Pradesh"/>
    <x v="5"/>
    <s v="Dr. Karthik"/>
    <s v="L40"/>
    <s v="Surgery"/>
    <s v="OPD"/>
    <n v="1257.6500000000001"/>
    <s v="Debit Card"/>
    <s v="No"/>
    <m/>
    <n v="14"/>
    <s v="Senior"/>
    <s v="Low"/>
    <s v="Short Days"/>
    <m/>
    <m/>
    <m/>
    <m/>
    <m/>
    <m/>
  </r>
  <r>
    <s v="VIS200237"/>
    <d v="2025-04-21T00:00:00"/>
    <s v="PAT6813"/>
    <s v="Sangeetha Das"/>
    <s v="Other"/>
    <n v="37"/>
    <s v="Bengaluru"/>
    <s v="Karnataka"/>
    <x v="2"/>
    <s v="Dr. Ramesh"/>
    <s v="E11"/>
    <s v="Minor Procedure"/>
    <s v="Teleconsultation"/>
    <n v="5883.69"/>
    <s v="Insurance"/>
    <s v="Yes"/>
    <m/>
    <n v="30"/>
    <s v="Adult"/>
    <s v="Medium"/>
    <s v="Short Days"/>
    <m/>
    <m/>
    <m/>
    <m/>
    <m/>
    <m/>
  </r>
  <r>
    <s v="VIS202602"/>
    <d v="2024-05-02T00:00:00"/>
    <s v="PAT6824"/>
    <s v="Rohan Khan"/>
    <s v="Male"/>
    <n v="11"/>
    <s v="Jaipur"/>
    <s v="Rajasthan"/>
    <x v="5"/>
    <s v="Dr. Karthik"/>
    <s v="F41"/>
    <s v="Prescription Refill"/>
    <s v="OPD"/>
    <n v="889.6"/>
    <s v="Debit Card"/>
    <s v="No"/>
    <m/>
    <n v="30"/>
    <s v="Child"/>
    <s v="Low"/>
    <s v="Short Days"/>
    <m/>
    <m/>
    <m/>
    <m/>
    <m/>
    <m/>
  </r>
  <r>
    <s v="VIS200181"/>
    <d v="2025-04-29T00:00:00"/>
    <s v="PAT6650"/>
    <s v="Shruti Bose"/>
    <s v="Female"/>
    <n v="21"/>
    <s v="Bengaluru"/>
    <s v="Karnataka"/>
    <x v="6"/>
    <s v="Dr. Priya"/>
    <s v="F41"/>
    <s v="Surgery"/>
    <s v="OPD"/>
    <n v="1674.66"/>
    <s v="Cash"/>
    <s v="No"/>
    <m/>
    <m/>
    <s v="Adult"/>
    <s v="Low"/>
    <s v="Short Days"/>
    <m/>
    <m/>
    <m/>
    <m/>
    <m/>
    <m/>
  </r>
  <r>
    <s v="VIS200410"/>
    <d v="2024-10-04T00:00:00"/>
    <s v="PAT6319"/>
    <s v="Aishwarya Kumar"/>
    <s v="Female"/>
    <n v="24"/>
    <s v="Bengaluru"/>
    <s v="Karnataka"/>
    <x v="9"/>
    <s v="Dr. Arvind"/>
    <s v="I10"/>
    <s v="Minor Surgery"/>
    <s v="OPD"/>
    <n v="24070.93"/>
    <s v="Cash"/>
    <s v="No"/>
    <m/>
    <n v="14"/>
    <s v="Adult"/>
    <s v="High"/>
    <s v="Short Days"/>
    <m/>
    <m/>
    <m/>
    <m/>
    <m/>
    <m/>
  </r>
  <r>
    <s v="VIS200833"/>
    <d v="2025-10-22T00:00:00"/>
    <s v="PAT6089"/>
    <s v="Rohan Patel"/>
    <s v="Female"/>
    <n v="30"/>
    <s v="Chennai"/>
    <s v="Tamil Nadu"/>
    <x v="0"/>
    <s v="Dr. Nikhil"/>
    <s v="L40"/>
    <s v="Minor Surgery"/>
    <s v="OPD"/>
    <n v="2856.78"/>
    <s v="UPI"/>
    <s v="No"/>
    <m/>
    <m/>
    <s v="Adult"/>
    <s v="Low"/>
    <s v="Short Days"/>
    <m/>
    <m/>
    <m/>
    <m/>
    <m/>
    <m/>
  </r>
  <r>
    <s v="VIS202064"/>
    <d v="2025-07-23T00:00:00"/>
    <s v="PAT6257"/>
    <s v="Aishwarya Kumar"/>
    <s v="Female"/>
    <n v="61"/>
    <s v="Pune"/>
    <s v="Maharashtra"/>
    <x v="9"/>
    <s v="Dr. Kusum"/>
    <s v="L40"/>
    <s v="Physiotherapy"/>
    <s v="OPD"/>
    <n v="10019.969999999999"/>
    <s v="Credit Card"/>
    <s v="No"/>
    <m/>
    <n v="90"/>
    <s v="Senior"/>
    <s v="High"/>
    <s v="Short Days"/>
    <m/>
    <m/>
    <m/>
    <m/>
    <m/>
    <m/>
  </r>
  <r>
    <s v="VIS202920"/>
    <d v="2025-06-27T00:00:00"/>
    <s v="PAT5381"/>
    <s v="Arjun Khan"/>
    <s v="Other"/>
    <n v="16"/>
    <s v="Delhi"/>
    <s v="Delhi"/>
    <x v="9"/>
    <s v="Dr. Kusum"/>
    <s v="K21"/>
    <s v="Prescription Refill"/>
    <s v="OPD"/>
    <n v="3460.81"/>
    <s v="UPI"/>
    <s v="No"/>
    <m/>
    <m/>
    <s v="Child"/>
    <s v="Low"/>
    <s v="Short Days"/>
    <m/>
    <m/>
    <m/>
    <m/>
    <m/>
    <m/>
  </r>
  <r>
    <s v="VIS201275"/>
    <d v="2024-02-03T00:00:00"/>
    <s v="PAT6968"/>
    <s v="Anil Gupta"/>
    <s v="Female"/>
    <n v="28"/>
    <s v="Lucknow"/>
    <s v="Uttar Pradesh"/>
    <x v="0"/>
    <s v="Dr. Nikhil"/>
    <s v="L40"/>
    <s v="Physiotherapy"/>
    <s v="OPD"/>
    <n v="9268.0400000000009"/>
    <s v="Credit Card"/>
    <s v="No"/>
    <m/>
    <n v="30"/>
    <s v="Adult"/>
    <s v="Medium"/>
    <s v="Short Days"/>
    <m/>
    <m/>
    <m/>
    <m/>
    <m/>
    <m/>
  </r>
  <r>
    <s v="VIS202431"/>
    <d v="2025-08-26T00:00:00"/>
    <s v="PAT5005"/>
    <s v="Rohan Gupta"/>
    <s v="Female"/>
    <n v="50"/>
    <s v="Kolkata"/>
    <s v="West Bengal"/>
    <x v="4"/>
    <s v="Dr. Varun"/>
    <s v="J00"/>
    <s v="Medication"/>
    <s v="OPD"/>
    <n v="3630.69"/>
    <s v="UPI"/>
    <s v="No"/>
    <m/>
    <m/>
    <s v="Middle-Aged"/>
    <s v="Low"/>
    <s v="Short Days"/>
    <m/>
    <m/>
    <m/>
    <m/>
    <m/>
    <m/>
  </r>
  <r>
    <s v="VIS200129"/>
    <d v="2024-09-29T00:00:00"/>
    <s v="PAT6169"/>
    <s v="Siddharth Nair"/>
    <s v="Female"/>
    <n v="20"/>
    <s v="Ahmedabad"/>
    <s v="Gujarat"/>
    <x v="4"/>
    <s v="Dr. Varun"/>
    <s v="J45"/>
    <s v="Counselling"/>
    <s v="OPD"/>
    <n v="10747.07"/>
    <s v="Cash"/>
    <s v="No"/>
    <m/>
    <n v="7"/>
    <s v="Adult"/>
    <s v="High"/>
    <s v="Short Days"/>
    <m/>
    <m/>
    <m/>
    <m/>
    <m/>
    <m/>
  </r>
  <r>
    <s v="VIS202507"/>
    <d v="2025-09-17T00:00:00"/>
    <s v="PAT6619"/>
    <s v="Karthik Reddy"/>
    <s v="Female"/>
    <n v="54"/>
    <s v="Ahmedabad"/>
    <s v="Gujarat"/>
    <x v="4"/>
    <s v="Dr. Bhavana"/>
    <s v="M54"/>
    <s v="Minor Procedure"/>
    <s v="IPD"/>
    <n v="6188.84"/>
    <s v="UPI"/>
    <s v="No"/>
    <n v="4"/>
    <m/>
    <s v="Middle-Aged"/>
    <s v="Medium"/>
    <s v="Short Days"/>
    <m/>
    <m/>
    <m/>
    <m/>
    <m/>
    <m/>
  </r>
  <r>
    <s v="VIS201566"/>
    <d v="2024-07-18T00:00:00"/>
    <s v="PAT5982"/>
    <s v="Deepa Patel"/>
    <s v="Male"/>
    <n v="26"/>
    <s v="Kochi"/>
    <s v="Kerala"/>
    <x v="8"/>
    <s v="Dr. Kavitha"/>
    <s v="M54"/>
    <s v="Physiotherapy"/>
    <s v="OPD"/>
    <n v="1273.1099999999999"/>
    <s v="Credit Card"/>
    <s v="No"/>
    <m/>
    <n v="14"/>
    <s v="Adult"/>
    <s v="Low"/>
    <s v="Short Days"/>
    <m/>
    <m/>
    <m/>
    <m/>
    <m/>
    <m/>
  </r>
  <r>
    <s v="VIS200544"/>
    <d v="2025-01-08T00:00:00"/>
    <s v="PAT6085"/>
    <s v="Deepa Patel"/>
    <s v="Female"/>
    <n v="53"/>
    <s v="Trichy"/>
    <s v="Tamil Nadu"/>
    <x v="7"/>
    <s v="Dr. Surya"/>
    <s v="K21"/>
    <s v="Prescription Refill"/>
    <s v="Teleconsultation"/>
    <n v="6826.1"/>
    <s v="Insurance"/>
    <s v="Yes"/>
    <m/>
    <n v="7"/>
    <s v="Middle-Aged"/>
    <s v="Medium"/>
    <s v="Short Days"/>
    <m/>
    <m/>
    <m/>
    <m/>
    <m/>
    <m/>
  </r>
  <r>
    <s v="VIS201563"/>
    <d v="2024-05-05T00:00:00"/>
    <s v="PAT6540"/>
    <s v="Sangeetha Gupta"/>
    <s v="Male"/>
    <n v="66"/>
    <s v="Bengaluru"/>
    <s v="Karnataka"/>
    <x v="8"/>
    <s v="Dr. Kavitha"/>
    <s v="M54"/>
    <s v="Minor Surgery"/>
    <s v="OPD"/>
    <n v="5115.54"/>
    <s v="Credit Card"/>
    <s v="No"/>
    <m/>
    <n v="14"/>
    <s v="Senior"/>
    <s v="Medium"/>
    <s v="Short Days"/>
    <m/>
    <m/>
    <m/>
    <m/>
    <m/>
    <m/>
  </r>
  <r>
    <s v="VIS201782"/>
    <d v="2024-07-31T00:00:00"/>
    <s v="PAT6493"/>
    <s v="Vishal Khan"/>
    <s v="Female"/>
    <n v="29"/>
    <s v="Chennai"/>
    <s v="Tamil Nadu"/>
    <x v="6"/>
    <s v="Dr. Priya"/>
    <s v="E11"/>
    <s v="Minor Procedure"/>
    <s v="OPD"/>
    <n v="1727.86"/>
    <s v="Credit Card"/>
    <s v="No"/>
    <m/>
    <n v="90"/>
    <s v="Adult"/>
    <s v="Low"/>
    <s v="Short Days"/>
    <m/>
    <m/>
    <m/>
    <m/>
    <m/>
    <m/>
  </r>
  <r>
    <s v="VIS202352"/>
    <d v="2024-04-01T00:00:00"/>
    <s v="PAT5770"/>
    <s v="Aishwarya Mishra"/>
    <s v="Female"/>
    <n v="55"/>
    <s v="Jaipur"/>
    <s v="Rajasthan"/>
    <x v="8"/>
    <s v="Dr. Sneha"/>
    <s v="H10"/>
    <s v="Prescription Refill"/>
    <s v="OPD"/>
    <n v="4272.46"/>
    <s v="UPI"/>
    <s v="No"/>
    <m/>
    <n v="14"/>
    <s v="Middle-Aged"/>
    <s v="Low"/>
    <s v="Short Days"/>
    <m/>
    <m/>
    <m/>
    <m/>
    <m/>
    <m/>
  </r>
  <r>
    <s v="VIS201999"/>
    <d v="2025-01-15T00:00:00"/>
    <s v="PAT5496"/>
    <s v="Shruti Patel"/>
    <s v="Female"/>
    <n v="11"/>
    <s v="Pune"/>
    <s v="Maharashtra"/>
    <x v="4"/>
    <s v="Dr. Varun"/>
    <s v="I10"/>
    <s v="Observation"/>
    <s v="OPD"/>
    <n v="4943.76"/>
    <s v="Credit Card"/>
    <s v="No"/>
    <m/>
    <m/>
    <s v="Child"/>
    <s v="Low"/>
    <s v="Short Days"/>
    <m/>
    <m/>
    <m/>
    <m/>
    <m/>
    <m/>
  </r>
  <r>
    <s v="VIS201189"/>
    <d v="2025-05-28T00:00:00"/>
    <s v="PAT5581"/>
    <s v="Karthik Nair"/>
    <s v="Female"/>
    <n v="32"/>
    <s v="Noida"/>
    <s v="Uttar Pradesh"/>
    <x v="2"/>
    <s v="Dr. Ramesh"/>
    <s v="K21"/>
    <s v="Physiotherapy"/>
    <s v="OPD"/>
    <n v="2506.4899999999998"/>
    <s v="Debit Card"/>
    <s v="No"/>
    <m/>
    <n v="14"/>
    <s v="Adult"/>
    <s v="Low"/>
    <s v="Short Days"/>
    <m/>
    <m/>
    <m/>
    <m/>
    <m/>
    <m/>
  </r>
  <r>
    <s v="VIS202011"/>
    <d v="2025-03-07T00:00:00"/>
    <s v="PAT6782"/>
    <s v="Shruti Nagar"/>
    <s v="Male"/>
    <n v="34"/>
    <s v="Hyderabad"/>
    <s v="Telangana"/>
    <x v="8"/>
    <s v="Dr. Kavitha"/>
    <s v="J45"/>
    <s v="Physiotherapy"/>
    <s v="OPD"/>
    <n v="5198.1000000000004"/>
    <s v="UPI"/>
    <s v="No"/>
    <m/>
    <n v="30"/>
    <s v="Adult"/>
    <s v="Medium"/>
    <s v="Short Days"/>
    <m/>
    <m/>
    <m/>
    <m/>
    <m/>
    <m/>
  </r>
  <r>
    <s v="VIS202344"/>
    <d v="2025-03-09T00:00:00"/>
    <s v="PAT6884"/>
    <s v="Kavya Nair"/>
    <s v="Female"/>
    <n v="40"/>
    <s v="Pune"/>
    <s v="Maharashtra"/>
    <x v="0"/>
    <s v="Dr. Shailesh"/>
    <s v="E11"/>
    <s v="Surgery"/>
    <s v="OPD"/>
    <n v="1957.5"/>
    <s v="Net Banking"/>
    <s v="No"/>
    <m/>
    <n v="30"/>
    <s v="Adult"/>
    <s v="Low"/>
    <s v="Short Days"/>
    <m/>
    <m/>
    <m/>
    <m/>
    <m/>
    <m/>
  </r>
  <r>
    <s v="VIS202653"/>
    <d v="2024-02-13T00:00:00"/>
    <s v="PAT6126"/>
    <s v="Ananya Reddy"/>
    <s v="Male"/>
    <n v="54"/>
    <s v="Kochi"/>
    <s v="Kerala"/>
    <x v="5"/>
    <s v="Dr. Karthik"/>
    <s v="I10"/>
    <s v="Minor Surgery"/>
    <s v="Teleconsultation"/>
    <n v="9508.6200000000008"/>
    <s v="Debit Card"/>
    <s v="No"/>
    <m/>
    <n v="30"/>
    <s v="Middle-Aged"/>
    <s v="Medium"/>
    <s v="Short Days"/>
    <m/>
    <m/>
    <m/>
    <m/>
    <m/>
    <m/>
  </r>
  <r>
    <s v="VIS202178"/>
    <d v="2024-12-08T00:00:00"/>
    <s v="PAT6336"/>
    <s v="Deepa Patel"/>
    <s v="Male"/>
    <n v="52"/>
    <s v="Madurai"/>
    <s v="Tamil Nadu"/>
    <x v="5"/>
    <s v="Dr. Karthik"/>
    <s v="L40"/>
    <s v="Observation"/>
    <s v="Teleconsultation"/>
    <n v="9137.3700000000008"/>
    <s v="Cash"/>
    <s v="No"/>
    <m/>
    <n v="90"/>
    <s v="Middle-Aged"/>
    <s v="Medium"/>
    <s v="Short Days"/>
    <m/>
    <m/>
    <m/>
    <m/>
    <m/>
    <m/>
  </r>
  <r>
    <s v="VIS200050"/>
    <d v="2025-08-20T00:00:00"/>
    <s v="PAT5618"/>
    <s v="Vishal Khan"/>
    <s v="Male"/>
    <n v="39"/>
    <s v="Delhi"/>
    <s v="Delhi"/>
    <x v="6"/>
    <s v="Dr. Lalitha"/>
    <s v="E11"/>
    <s v="Physiotherapy"/>
    <s v="Emergency"/>
    <n v="6730.01"/>
    <s v="Debit Card"/>
    <s v="No"/>
    <m/>
    <m/>
    <s v="Adult"/>
    <s v="Medium"/>
    <s v="Short Days"/>
    <m/>
    <m/>
    <m/>
    <m/>
    <m/>
    <m/>
  </r>
  <r>
    <s v="VIS202804"/>
    <d v="2024-06-24T00:00:00"/>
    <s v="PAT6673"/>
    <s v="Sangeetha Sharma"/>
    <s v="Female"/>
    <n v="64"/>
    <s v="Chennai"/>
    <s v="Tamil Nadu"/>
    <x v="5"/>
    <s v="Dr. Ravi"/>
    <s v="F41"/>
    <s v="Medication"/>
    <s v="OPD"/>
    <n v="5803.29"/>
    <s v="Debit Card"/>
    <s v="No"/>
    <m/>
    <n v="90"/>
    <s v="Senior"/>
    <s v="Medium"/>
    <s v="Short Days"/>
    <m/>
    <m/>
    <m/>
    <m/>
    <m/>
    <m/>
  </r>
  <r>
    <s v="VIS202368"/>
    <d v="2025-01-22T00:00:00"/>
    <s v="PAT5263"/>
    <s v="Priya Jose"/>
    <s v="Male"/>
    <n v="45"/>
    <s v="Mumbai"/>
    <s v="Maharashtra"/>
    <x v="7"/>
    <s v="Dr. Leela"/>
    <s v="J45"/>
    <s v="Physiotherapy"/>
    <s v="OPD"/>
    <n v="4010.93"/>
    <s v="Cash"/>
    <s v="No"/>
    <m/>
    <n v="90"/>
    <s v="Middle-Aged"/>
    <s v="Low"/>
    <s v="Short Days"/>
    <m/>
    <m/>
    <m/>
    <m/>
    <m/>
    <m/>
  </r>
  <r>
    <s v="VIS201816"/>
    <d v="2025-08-09T00:00:00"/>
    <s v="PAT5607"/>
    <s v="Deepa Nagar"/>
    <s v="Female"/>
    <n v="34"/>
    <s v="Coimbatore"/>
    <s v="Tamil Nadu"/>
    <x v="4"/>
    <s v="Dr. Varun"/>
    <s v="E11"/>
    <s v="Prescription Refill"/>
    <s v="OPD"/>
    <n v="1321.44"/>
    <s v="Insurance"/>
    <s v="Yes"/>
    <m/>
    <m/>
    <s v="Adult"/>
    <s v="Low"/>
    <s v="Short Days"/>
    <m/>
    <m/>
    <m/>
    <m/>
    <m/>
    <m/>
  </r>
  <r>
    <s v="VIS202323"/>
    <d v="2024-08-01T00:00:00"/>
    <s v="PAT6123"/>
    <s v="Deepa Kumar"/>
    <s v="Female"/>
    <n v="12"/>
    <s v="Trichy"/>
    <s v="Tamil Nadu"/>
    <x v="6"/>
    <s v="Dr. Lalitha"/>
    <s v="N39"/>
    <s v="Surgery"/>
    <s v="OPD"/>
    <n v="8006.55"/>
    <s v="Cash"/>
    <s v="No"/>
    <m/>
    <m/>
    <s v="Child"/>
    <s v="Medium"/>
    <s v="Short Days"/>
    <m/>
    <m/>
    <m/>
    <m/>
    <m/>
    <m/>
  </r>
  <r>
    <s v="VIS200562"/>
    <d v="2024-06-19T00:00:00"/>
    <s v="PAT5759"/>
    <s v="Deepa Singh"/>
    <s v="Female"/>
    <n v="69"/>
    <s v="Noida"/>
    <s v="Uttar Pradesh"/>
    <x v="3"/>
    <s v="Dr. Anand"/>
    <s v="F41"/>
    <s v="Prescription Refill"/>
    <s v="OPD"/>
    <n v="608.48"/>
    <s v="UPI"/>
    <s v="No"/>
    <m/>
    <n v="7"/>
    <s v="Senior"/>
    <s v="Low"/>
    <s v="Short Days"/>
    <m/>
    <m/>
    <m/>
    <m/>
    <m/>
    <m/>
  </r>
  <r>
    <s v="VIS201739"/>
    <d v="2024-02-06T00:00:00"/>
    <s v="PAT6820"/>
    <s v="Priya Mishra"/>
    <s v="Female"/>
    <n v="56"/>
    <s v="Hyderabad"/>
    <s v="Telangana"/>
    <x v="0"/>
    <s v="Dr. Shailesh"/>
    <s v="I10"/>
    <s v="Medication"/>
    <s v="OPD"/>
    <n v="11503.57"/>
    <s v="Debit Card"/>
    <s v="No"/>
    <m/>
    <m/>
    <s v="Middle-Aged"/>
    <s v="High"/>
    <s v="Short Days"/>
    <m/>
    <m/>
    <m/>
    <m/>
    <m/>
    <m/>
  </r>
  <r>
    <s v="VIS202658"/>
    <d v="2024-03-11T00:00:00"/>
    <s v="PAT6098"/>
    <s v="Rohan Iyer"/>
    <s v="Female"/>
    <n v="37"/>
    <s v="Delhi"/>
    <s v="Delhi"/>
    <x v="3"/>
    <s v="Dr. Anand"/>
    <s v="I10"/>
    <s v="Counselling"/>
    <s v="OPD"/>
    <n v="6800.5"/>
    <s v="Debit Card"/>
    <s v="No"/>
    <m/>
    <m/>
    <s v="Adult"/>
    <s v="Medium"/>
    <s v="Short Days"/>
    <m/>
    <m/>
    <m/>
    <m/>
    <m/>
    <m/>
  </r>
  <r>
    <s v="VIS201601"/>
    <d v="2025-02-08T00:00:00"/>
    <s v="PAT6429"/>
    <s v="Anil Nagar"/>
    <s v="Female"/>
    <n v="40"/>
    <s v="Jaipur"/>
    <s v="Rajasthan"/>
    <x v="3"/>
    <s v="Dr. Pallavi"/>
    <s v="J45"/>
    <s v="Prescription Refill"/>
    <s v="OPD"/>
    <n v="4669.83"/>
    <s v="UPI"/>
    <s v="No"/>
    <m/>
    <n v="14"/>
    <s v="Adult"/>
    <s v="Low"/>
    <s v="Short Days"/>
    <m/>
    <m/>
    <m/>
    <m/>
    <m/>
    <m/>
  </r>
  <r>
    <s v="VIS202942"/>
    <d v="2024-03-13T00:00:00"/>
    <s v="PAT6435"/>
    <s v="Siddharth Reddy"/>
    <s v="Male"/>
    <n v="5"/>
    <s v="Trichy"/>
    <s v="Tamil Nadu"/>
    <x v="7"/>
    <s v="Dr. Surya"/>
    <s v="H10"/>
    <s v="Prescription Refill"/>
    <s v="OPD"/>
    <n v="3359.54"/>
    <s v="Insurance"/>
    <s v="Yes"/>
    <m/>
    <n v="7"/>
    <s v="Child"/>
    <s v="Low"/>
    <s v="Short Days"/>
    <m/>
    <m/>
    <m/>
    <m/>
    <m/>
    <m/>
  </r>
  <r>
    <s v="VIS202389"/>
    <d v="2024-08-01T00:00:00"/>
    <s v="PAT5641"/>
    <s v="Anil Sharma"/>
    <s v="Female"/>
    <n v="39"/>
    <s v="Ahmedabad"/>
    <s v="Gujarat"/>
    <x v="7"/>
    <s v="Dr. Leela"/>
    <s v="E11"/>
    <s v="Prescription Refill"/>
    <s v="Teleconsultation"/>
    <n v="5297.13"/>
    <s v="Cash"/>
    <s v="No"/>
    <m/>
    <n v="14"/>
    <s v="Adult"/>
    <s v="Medium"/>
    <s v="Short Days"/>
    <m/>
    <m/>
    <m/>
    <m/>
    <m/>
    <m/>
  </r>
  <r>
    <s v="VIS202065"/>
    <d v="2024-02-01T00:00:00"/>
    <s v="PAT6506"/>
    <s v="Ishaan Sharma"/>
    <s v="Male"/>
    <n v="7"/>
    <s v="Trichy"/>
    <s v="Tamil Nadu"/>
    <x v="9"/>
    <s v="Dr. Arvind"/>
    <s v="J45"/>
    <s v="Surgery"/>
    <s v="OPD"/>
    <n v="2866.17"/>
    <s v="Debit Card"/>
    <s v="No"/>
    <m/>
    <n v="90"/>
    <s v="Child"/>
    <s v="Low"/>
    <s v="Short Days"/>
    <m/>
    <m/>
    <m/>
    <m/>
    <m/>
    <m/>
  </r>
  <r>
    <s v="VIS202077"/>
    <d v="2025-01-25T00:00:00"/>
    <s v="PAT5094"/>
    <s v="Ananya Bose"/>
    <s v="Female"/>
    <n v="38"/>
    <s v="Delhi"/>
    <s v="Tamil Nadu"/>
    <x v="6"/>
    <s v="Dr. Lalitha"/>
    <s v="Z111"/>
    <s v="Minor Procedure"/>
    <s v="OPD"/>
    <n v="3558.99"/>
    <s v="Credit Card"/>
    <s v="No"/>
    <m/>
    <n v="90"/>
    <s v="Adult"/>
    <s v="Low"/>
    <s v="Short Days"/>
    <m/>
    <m/>
    <m/>
    <m/>
    <m/>
    <m/>
  </r>
  <r>
    <s v="VIS202299"/>
    <d v="2024-03-03T00:00:00"/>
    <s v="PAT6748"/>
    <s v="Aarav Jose"/>
    <s v="Male"/>
    <n v="43"/>
    <s v="Jaipur"/>
    <s v="Rajasthan"/>
    <x v="2"/>
    <s v="Dr. Ramesh"/>
    <s v="M54"/>
    <s v="Medication"/>
    <s v="Teleconsultation"/>
    <n v="6043.8"/>
    <s v="Debit Card"/>
    <s v="No"/>
    <m/>
    <n v="7"/>
    <s v="Middle-Aged"/>
    <s v="Medium"/>
    <s v="Short Days"/>
    <m/>
    <m/>
    <m/>
    <m/>
    <m/>
    <m/>
  </r>
  <r>
    <s v="VIS202915"/>
    <d v="2025-02-23T00:00:00"/>
    <s v="PAT6213"/>
    <s v="Karthik Singh"/>
    <s v="Female"/>
    <n v="1"/>
    <s v="Kolkata"/>
    <s v="West Bengal"/>
    <x v="7"/>
    <s v="Dr. Leela"/>
    <s v="M54"/>
    <s v="Surgery"/>
    <s v="OPD"/>
    <n v="7940.43"/>
    <s v="Cash"/>
    <s v="No"/>
    <m/>
    <m/>
    <s v="Child"/>
    <s v="Medium"/>
    <s v="Short Days"/>
    <m/>
    <m/>
    <m/>
    <m/>
    <m/>
    <m/>
  </r>
  <r>
    <s v="VIS202402"/>
    <d v="2025-04-02T00:00:00"/>
    <s v="PAT6174"/>
    <s v="Deepa Reddy"/>
    <s v="Female"/>
    <n v="32"/>
    <s v="Hyderabad"/>
    <s v="Telangana"/>
    <x v="9"/>
    <s v="Dr. Arvind"/>
    <s v="L40"/>
    <s v="Observation"/>
    <s v="OPD"/>
    <n v="5557.91"/>
    <s v="Credit Card"/>
    <s v="No"/>
    <m/>
    <n v="7"/>
    <s v="Adult"/>
    <s v="Medium"/>
    <s v="Short Days"/>
    <m/>
    <m/>
    <m/>
    <m/>
    <m/>
    <m/>
  </r>
  <r>
    <s v="VIS200792"/>
    <d v="2024-07-15T00:00:00"/>
    <s v="PAT5405"/>
    <s v="Vishal Singh"/>
    <s v="Female"/>
    <n v="18"/>
    <s v="Hyderabad"/>
    <s v="Telangana"/>
    <x v="3"/>
    <s v="Dr. Anand"/>
    <s v="M54"/>
    <s v="Minor Procedure"/>
    <s v="OPD"/>
    <n v="2281.15"/>
    <s v="Credit Card"/>
    <s v="No"/>
    <m/>
    <n v="30"/>
    <s v="Adult"/>
    <s v="Low"/>
    <s v="Short Days"/>
    <m/>
    <m/>
    <m/>
    <m/>
    <m/>
    <m/>
  </r>
  <r>
    <s v="VIS202396"/>
    <d v="2024-01-20T00:00:00"/>
    <s v="PAT6188"/>
    <s v="Manisha Kumar"/>
    <s v="Female"/>
    <n v="76"/>
    <s v="Kolkata"/>
    <s v="West Bengal"/>
    <x v="2"/>
    <s v="Dr. Manoj"/>
    <s v="L40"/>
    <s v="Physiotherapy"/>
    <s v="OPD"/>
    <n v="7489.4"/>
    <s v="Cash"/>
    <s v="No"/>
    <m/>
    <m/>
    <s v="Senior"/>
    <s v="Medium"/>
    <s v="Short Days"/>
    <m/>
    <m/>
    <m/>
    <m/>
    <m/>
    <m/>
  </r>
  <r>
    <s v="VIS201759"/>
    <d v="2024-08-30T00:00:00"/>
    <s v="PAT6530"/>
    <s v="Manisha Singh"/>
    <s v="Female"/>
    <n v="59"/>
    <s v="Hyderabad"/>
    <s v="Telangana"/>
    <x v="3"/>
    <s v="Dr. Pallavi"/>
    <s v="H10"/>
    <s v="Prescription Refill"/>
    <s v="OPD"/>
    <n v="14700.77"/>
    <s v="UPI"/>
    <s v="No"/>
    <m/>
    <n v="90"/>
    <s v="Middle-Aged"/>
    <s v="High"/>
    <s v="Short Days"/>
    <m/>
    <m/>
    <m/>
    <m/>
    <m/>
    <m/>
  </r>
  <r>
    <s v="VIS200111"/>
    <d v="2025-02-08T00:00:00"/>
    <s v="PAT5480"/>
    <s v="Neha Nair"/>
    <s v="Male"/>
    <n v="45"/>
    <s v="Noida"/>
    <s v="Uttar Pradesh"/>
    <x v="7"/>
    <s v="Dr. Surya"/>
    <s v="H10"/>
    <s v="Medication"/>
    <s v="Teleconsultation"/>
    <n v="9537.73"/>
    <s v="Cash"/>
    <s v="No"/>
    <m/>
    <n v="90"/>
    <s v="Middle-Aged"/>
    <s v="Medium"/>
    <s v="Short Days"/>
    <m/>
    <m/>
    <m/>
    <m/>
    <m/>
    <m/>
  </r>
  <r>
    <s v="VIS201400"/>
    <d v="2024-05-16T00:00:00"/>
    <s v="PAT6923"/>
    <s v="Rohan Khan"/>
    <s v="Male"/>
    <n v="23"/>
    <s v="Jaipur"/>
    <s v="Rajasthan"/>
    <x v="6"/>
    <s v="Dr. Priya"/>
    <s v="E11"/>
    <s v="Prescription Refill"/>
    <s v="Teleconsultation"/>
    <n v="6828.19"/>
    <s v="Debit Card"/>
    <s v="No"/>
    <m/>
    <n v="14"/>
    <s v="Adult"/>
    <s v="Medium"/>
    <s v="Short Days"/>
    <m/>
    <m/>
    <m/>
    <m/>
    <m/>
    <m/>
  </r>
  <r>
    <s v="VIS200967"/>
    <d v="2024-12-24T00:00:00"/>
    <s v="PAT5183"/>
    <s v="Siddharth Mishra"/>
    <s v="Male"/>
    <n v="9"/>
    <s v="Chennai"/>
    <s v="Tamil Nadu"/>
    <x v="5"/>
    <s v="Dr. Karthik"/>
    <s v="N39"/>
    <s v="Minor Procedure"/>
    <s v="OPD"/>
    <n v="4958.25"/>
    <s v="Debit Card"/>
    <s v="No"/>
    <m/>
    <n v="90"/>
    <s v="Child"/>
    <s v="Low"/>
    <s v="Short Days"/>
    <m/>
    <m/>
    <m/>
    <m/>
    <m/>
    <m/>
  </r>
  <r>
    <s v="VIS202898"/>
    <d v="2024-04-18T00:00:00"/>
    <s v="PAT6529"/>
    <s v="Vivaan Iyer"/>
    <s v="Female"/>
    <n v="55"/>
    <s v="Kolkata"/>
    <s v="West Bengal"/>
    <x v="5"/>
    <s v="Dr. Ravi"/>
    <s v="J45"/>
    <s v="Observation"/>
    <s v="Teleconsultation"/>
    <n v="13016.85"/>
    <s v="UPI"/>
    <s v="No"/>
    <m/>
    <n v="14"/>
    <s v="Middle-Aged"/>
    <s v="High"/>
    <s v="Short Days"/>
    <m/>
    <m/>
    <m/>
    <m/>
    <m/>
    <m/>
  </r>
  <r>
    <s v="VIS202521"/>
    <d v="2024-05-05T00:00:00"/>
    <s v="PAT6907"/>
    <s v="Rohan Nair"/>
    <s v="Female"/>
    <n v="39"/>
    <s v="Lucknow"/>
    <s v="Uttar Pradesh"/>
    <x v="6"/>
    <s v="Dr. Priya"/>
    <s v="E11"/>
    <s v="Surgery"/>
    <s v="OPD"/>
    <n v="4190.42"/>
    <s v="Credit Card"/>
    <s v="No"/>
    <m/>
    <n v="14"/>
    <s v="Adult"/>
    <s v="Low"/>
    <s v="Short Days"/>
    <m/>
    <m/>
    <m/>
    <m/>
    <m/>
    <m/>
  </r>
  <r>
    <s v="VIS201444"/>
    <d v="2024-07-01T00:00:00"/>
    <s v="PAT5597"/>
    <s v="Vivaan Reddy"/>
    <s v="Male"/>
    <n v="15"/>
    <s v="Bengaluru"/>
    <s v="Karnataka"/>
    <x v="6"/>
    <s v="Dr. Lalitha"/>
    <s v="F41"/>
    <s v="Physiotherapy"/>
    <s v="OPD"/>
    <n v="5833.87"/>
    <s v="UPI"/>
    <s v="No"/>
    <m/>
    <n v="7"/>
    <s v="Child"/>
    <s v="Medium"/>
    <s v="Short Days"/>
    <m/>
    <m/>
    <m/>
    <m/>
    <m/>
    <m/>
  </r>
  <r>
    <s v="VIS200789"/>
    <d v="2025-02-09T00:00:00"/>
    <s v="PAT6670"/>
    <s v="Deepa Iyer"/>
    <s v="Male"/>
    <n v="44"/>
    <s v="Coimbatore"/>
    <s v="Tamil Nadu"/>
    <x v="2"/>
    <s v="Dr. Manoj"/>
    <s v="K21"/>
    <s v="Prescription Refill"/>
    <s v="OPD"/>
    <n v="1934.13"/>
    <s v="Credit Card"/>
    <s v="No"/>
    <m/>
    <n v="90"/>
    <s v="Middle-Aged"/>
    <s v="Low"/>
    <s v="Short Days"/>
    <m/>
    <m/>
    <m/>
    <m/>
    <m/>
    <m/>
  </r>
  <r>
    <s v="VIS202211"/>
    <d v="2025-06-05T00:00:00"/>
    <s v="PAT5974"/>
    <s v="Vivaan Patel"/>
    <s v="Male"/>
    <n v="50"/>
    <s v="Delhi"/>
    <s v="Delhi"/>
    <x v="9"/>
    <s v="Dr. Arvind"/>
    <s v="I10"/>
    <s v="Medication"/>
    <s v="OPD"/>
    <n v="1937.03"/>
    <s v="UPI"/>
    <s v="No"/>
    <m/>
    <n v="90"/>
    <s v="Middle-Aged"/>
    <s v="Low"/>
    <s v="Short Days"/>
    <m/>
    <m/>
    <m/>
    <m/>
    <m/>
    <m/>
  </r>
  <r>
    <s v="VIS201808"/>
    <d v="2025-07-19T00:00:00"/>
    <s v="PAT6593"/>
    <s v="Anil Mishra"/>
    <s v="Male"/>
    <n v="23"/>
    <s v="Kolkata"/>
    <s v="West Bengal"/>
    <x v="7"/>
    <s v="Dr. Leela"/>
    <s v="H10"/>
    <s v="Surgery"/>
    <s v="OPD"/>
    <n v="4354.18"/>
    <s v="UPI"/>
    <s v="No"/>
    <m/>
    <n v="90"/>
    <s v="Adult"/>
    <s v="Low"/>
    <s v="Short Days"/>
    <m/>
    <m/>
    <m/>
    <m/>
    <m/>
    <m/>
  </r>
  <r>
    <s v="VIS200655"/>
    <d v="2024-08-30T00:00:00"/>
    <s v="PAT6338"/>
    <s v="Siddharth Mishra"/>
    <s v="Female"/>
    <n v="11"/>
    <s v="Ahmedabad"/>
    <s v="Gujarat"/>
    <x v="4"/>
    <s v="Dr. Bhavana"/>
    <s v="H10"/>
    <s v="Observation"/>
    <s v="Emergency"/>
    <n v="5032.99"/>
    <s v="Debit Card"/>
    <s v="No"/>
    <m/>
    <m/>
    <s v="Child"/>
    <s v="Medium"/>
    <s v="Short Days"/>
    <m/>
    <m/>
    <m/>
    <m/>
    <m/>
    <m/>
  </r>
  <r>
    <s v="VIS200776"/>
    <d v="2024-10-12T00:00:00"/>
    <s v="PAT5888"/>
    <s v="Ishaan Gupta"/>
    <s v="Male"/>
    <n v="32"/>
    <s v="Jaipur"/>
    <s v="Rajasthan"/>
    <x v="6"/>
    <s v="Dr. Lalitha"/>
    <s v="E11"/>
    <s v="Minor Surgery"/>
    <s v="OPD"/>
    <n v="3178.38"/>
    <s v="Cash"/>
    <s v="No"/>
    <m/>
    <n v="14"/>
    <s v="Adult"/>
    <s v="Low"/>
    <s v="Short Days"/>
    <m/>
    <m/>
    <m/>
    <m/>
    <m/>
    <m/>
  </r>
  <r>
    <s v="VIS201285"/>
    <d v="2025-04-21T00:00:00"/>
    <s v="PAT6481"/>
    <s v="Kavya Nagar"/>
    <s v="Male"/>
    <n v="54"/>
    <s v="Noida"/>
    <s v="Uttar Pradesh"/>
    <x v="5"/>
    <s v="Dr. Meena"/>
    <s v="H10"/>
    <s v="Medication"/>
    <s v="OPD"/>
    <n v="8061.09"/>
    <s v="Insurance"/>
    <s v="Yes"/>
    <m/>
    <n v="14"/>
    <s v="Middle-Aged"/>
    <s v="Medium"/>
    <s v="Short Days"/>
    <m/>
    <m/>
    <m/>
    <m/>
    <m/>
    <m/>
  </r>
  <r>
    <s v="VIS202283"/>
    <d v="2024-05-18T00:00:00"/>
    <s v="PAT6889"/>
    <s v="Kavya Mishra"/>
    <s v="Female"/>
    <n v="79"/>
    <s v="Noida"/>
    <s v="Uttar Pradesh"/>
    <x v="7"/>
    <s v="Dr. Surya"/>
    <s v="F41"/>
    <s v="Minor Procedure"/>
    <s v="OPD"/>
    <n v="8237.69"/>
    <s v="Cash"/>
    <s v="No"/>
    <m/>
    <n v="14"/>
    <s v="Senior"/>
    <s v="Medium"/>
    <s v="Short Days"/>
    <m/>
    <m/>
    <m/>
    <m/>
    <m/>
    <m/>
  </r>
  <r>
    <s v="VIS202047"/>
    <d v="2025-07-22T00:00:00"/>
    <s v="PAT5627"/>
    <s v="Neha Mishra"/>
    <s v="Female"/>
    <n v="13"/>
    <s v="Chennai"/>
    <s v="Tamil Nadu"/>
    <x v="8"/>
    <s v="Dr. Sneha"/>
    <s v="L40"/>
    <s v="Surgery"/>
    <s v="OPD"/>
    <n v="2064.31"/>
    <s v="UPI"/>
    <s v="No"/>
    <m/>
    <n v="90"/>
    <s v="Child"/>
    <s v="Low"/>
    <s v="Short Days"/>
    <m/>
    <m/>
    <m/>
    <m/>
    <m/>
    <m/>
  </r>
  <r>
    <s v="VIS201163"/>
    <d v="2024-08-05T00:00:00"/>
    <s v="PAT6287"/>
    <s v="Shruti Nagar"/>
    <s v="Male"/>
    <n v="49"/>
    <s v="Noida"/>
    <s v="Uttar Pradesh"/>
    <x v="0"/>
    <s v="Dr. Nikhil"/>
    <s v="F41"/>
    <s v="Medication"/>
    <s v="Emergency"/>
    <n v="14800.15"/>
    <s v="Debit Card"/>
    <s v="No"/>
    <m/>
    <m/>
    <s v="Middle-Aged"/>
    <s v="High"/>
    <s v="Short Days"/>
    <m/>
    <m/>
    <m/>
    <m/>
    <m/>
    <m/>
  </r>
  <r>
    <s v="VIS202989"/>
    <d v="2024-07-16T00:00:00"/>
    <s v="PAT5657"/>
    <s v="Arjun Reddy"/>
    <s v="Female"/>
    <n v="9"/>
    <s v="Chennai"/>
    <s v="Tamil Nadu"/>
    <x v="2"/>
    <s v="Dr. Ramesh"/>
    <s v="L40"/>
    <s v="Medication"/>
    <s v="OPD"/>
    <n v="8159.24"/>
    <s v="Debit Card"/>
    <s v="No"/>
    <m/>
    <n v="7"/>
    <s v="Child"/>
    <s v="Medium"/>
    <s v="Short Days"/>
    <m/>
    <m/>
    <m/>
    <m/>
    <m/>
    <m/>
  </r>
  <r>
    <s v="VIS202705"/>
    <d v="2025-09-18T00:00:00"/>
    <s v="PAT5791"/>
    <s v="Deepa Das"/>
    <s v="Male"/>
    <n v="52"/>
    <s v="Mumbai"/>
    <s v="Maharashtra"/>
    <x v="0"/>
    <s v="Dr. Nikhil"/>
    <s v="E11"/>
    <s v="Minor Surgery"/>
    <s v="OPD"/>
    <n v="372.09"/>
    <s v="UPI"/>
    <s v="No"/>
    <m/>
    <n v="30"/>
    <s v="Middle-Aged"/>
    <s v="Low"/>
    <s v="Short Days"/>
    <m/>
    <m/>
    <m/>
    <m/>
    <m/>
    <m/>
  </r>
  <r>
    <s v="VIS200524"/>
    <d v="2024-10-12T00:00:00"/>
    <s v="PAT6434"/>
    <s v="Vishal Singh"/>
    <s v="Male"/>
    <n v="5"/>
    <s v="Jaipur"/>
    <s v="Rajasthan"/>
    <x v="4"/>
    <s v="Dr. Bhavana"/>
    <s v="F41"/>
    <s v="Counselling"/>
    <s v="Teleconsultation"/>
    <n v="7662.95"/>
    <s v="Cash"/>
    <s v="No"/>
    <m/>
    <n v="14"/>
    <s v="Child"/>
    <s v="Medium"/>
    <s v="Short Days"/>
    <m/>
    <m/>
    <m/>
    <m/>
    <m/>
    <m/>
  </r>
  <r>
    <s v="VIS200215"/>
    <d v="2024-06-04T00:00:00"/>
    <s v="PAT6698"/>
    <s v="Priya Khan"/>
    <s v="Male"/>
    <n v="41"/>
    <s v="Delhi"/>
    <s v="Delhi"/>
    <x v="1"/>
    <s v="Dr. Suri"/>
    <s v="M54"/>
    <s v="Observation"/>
    <s v="OPD"/>
    <n v="8544.0499999999993"/>
    <s v="Credit Card"/>
    <s v="No"/>
    <m/>
    <m/>
    <s v="Middle-Aged"/>
    <s v="Medium"/>
    <s v="Short Days"/>
    <m/>
    <m/>
    <m/>
    <m/>
    <m/>
    <m/>
  </r>
  <r>
    <s v="VIS200658"/>
    <d v="2024-09-25T00:00:00"/>
    <s v="PAT6919"/>
    <s v="Vishal Nagar"/>
    <s v="Male"/>
    <n v="61"/>
    <s v="Bengaluru"/>
    <s v="Karnataka"/>
    <x v="5"/>
    <s v="Dr. Ravi"/>
    <s v="M54"/>
    <s v="Medication"/>
    <s v="Teleconsultation"/>
    <n v="14460.61"/>
    <s v="UPI"/>
    <s v="No"/>
    <m/>
    <n v="7"/>
    <s v="Senior"/>
    <s v="High"/>
    <s v="Short Days"/>
    <m/>
    <m/>
    <m/>
    <m/>
    <m/>
    <m/>
  </r>
  <r>
    <s v="VIS201568"/>
    <d v="2024-04-27T00:00:00"/>
    <s v="PAT6981"/>
    <s v="Neha Jose"/>
    <s v="Male"/>
    <n v="43"/>
    <s v="Madurai"/>
    <s v="Tamil Nadu"/>
    <x v="9"/>
    <s v="Dr. Kusum"/>
    <s v="N39"/>
    <s v="Medication"/>
    <s v="OPD"/>
    <n v="5284.24"/>
    <s v="UPI"/>
    <s v="No"/>
    <m/>
    <n v="90"/>
    <s v="Middle-Aged"/>
    <s v="Medium"/>
    <s v="Short Days"/>
    <m/>
    <m/>
    <m/>
    <m/>
    <m/>
    <m/>
  </r>
  <r>
    <s v="VIS202974"/>
    <d v="2025-04-12T00:00:00"/>
    <s v="PAT6014"/>
    <s v="Aishwarya Nair"/>
    <s v="Female"/>
    <n v="58"/>
    <s v="Hyderabad"/>
    <s v="Telangana"/>
    <x v="0"/>
    <s v="Dr. Nikhil"/>
    <s v="M54"/>
    <s v="Counselling"/>
    <s v="Teleconsultation"/>
    <n v="6795.38"/>
    <s v="Insurance"/>
    <s v="Yes"/>
    <m/>
    <n v="14"/>
    <s v="Middle-Aged"/>
    <s v="Medium"/>
    <s v="Short Days"/>
    <m/>
    <m/>
    <m/>
    <m/>
    <m/>
    <m/>
  </r>
  <r>
    <s v="VIS202394"/>
    <d v="2024-06-05T00:00:00"/>
    <s v="PAT5235"/>
    <s v="Vishal Sharma"/>
    <s v="Male"/>
    <n v="21"/>
    <s v="Mumbai"/>
    <s v="Maharashtra"/>
    <x v="2"/>
    <s v="Dr. Manoj"/>
    <s v="N39"/>
    <s v="Counselling"/>
    <s v="Teleconsultation"/>
    <n v="5249.94"/>
    <s v="Cash"/>
    <s v="No"/>
    <m/>
    <m/>
    <s v="Adult"/>
    <s v="Medium"/>
    <s v="Short Days"/>
    <m/>
    <m/>
    <m/>
    <m/>
    <m/>
    <m/>
  </r>
  <r>
    <s v="VIS202962"/>
    <d v="2025-03-11T00:00:00"/>
    <s v="PAT5500"/>
    <s v="Aditya Kumar"/>
    <s v="Female"/>
    <n v="39"/>
    <s v="Jaipur"/>
    <s v="Rajasthan"/>
    <x v="3"/>
    <s v="Dr. Pallavi"/>
    <s v="Z111"/>
    <s v="Medication"/>
    <s v="IPD"/>
    <n v="21874.720000000001"/>
    <s v="UPI"/>
    <s v="No"/>
    <n v="5"/>
    <m/>
    <s v="Adult"/>
    <s v="High"/>
    <s v="Short Days"/>
    <m/>
    <m/>
    <m/>
    <m/>
    <m/>
    <m/>
  </r>
  <r>
    <s v="VIS200086"/>
    <d v="2024-09-04T00:00:00"/>
    <s v="PAT6086"/>
    <s v="Aditya Iyer"/>
    <s v="Female"/>
    <n v="52"/>
    <s v="Noida"/>
    <s v="Uttar Pradesh"/>
    <x v="8"/>
    <s v="Dr. Kavitha"/>
    <s v="J00"/>
    <s v="Minor Surgery"/>
    <s v="OPD"/>
    <n v="11317.94"/>
    <s v="Insurance"/>
    <s v="Yes"/>
    <m/>
    <n v="90"/>
    <s v="Middle-Aged"/>
    <s v="High"/>
    <s v="Short Days"/>
    <m/>
    <m/>
    <m/>
    <m/>
    <m/>
    <m/>
  </r>
  <r>
    <s v="VIS201709"/>
    <d v="2024-03-03T00:00:00"/>
    <s v="PAT5597"/>
    <s v="Shruti Singh"/>
    <s v="Female"/>
    <n v="66"/>
    <s v="Trichy"/>
    <s v="Tamil Nadu"/>
    <x v="8"/>
    <s v="Dr. Sneha"/>
    <s v="I10"/>
    <s v="Prescription Refill"/>
    <s v="OPD"/>
    <n v="4261.1000000000004"/>
    <s v="Insurance"/>
    <s v="Yes"/>
    <m/>
    <n v="90"/>
    <s v="Senior"/>
    <s v="Low"/>
    <s v="Short Days"/>
    <m/>
    <m/>
    <m/>
    <m/>
    <m/>
    <m/>
  </r>
  <r>
    <s v="VIS202601"/>
    <d v="2025-09-19T00:00:00"/>
    <s v="PAT6322"/>
    <s v="Aditya Nagar"/>
    <s v="Male"/>
    <n v="47"/>
    <s v="Hyderabad"/>
    <s v="Telangana"/>
    <x v="9"/>
    <s v="Dr. Kusum"/>
    <s v="L40"/>
    <s v="Medication"/>
    <s v="OPD"/>
    <n v="195.18"/>
    <s v="Debit Card"/>
    <s v="No"/>
    <m/>
    <m/>
    <s v="Middle-Aged"/>
    <s v="Low"/>
    <s v="Short Days"/>
    <m/>
    <m/>
    <m/>
    <m/>
    <m/>
    <m/>
  </r>
  <r>
    <s v="VIS202918"/>
    <d v="2025-02-23T00:00:00"/>
    <s v="PAT5627"/>
    <s v="Priya Reddy"/>
    <s v="Female"/>
    <n v="22"/>
    <s v="Jaipur"/>
    <s v="Rajasthan"/>
    <x v="8"/>
    <s v="Dr. Kavitha"/>
    <s v="E11"/>
    <s v="Counselling"/>
    <s v="Teleconsultation"/>
    <n v="8809.2199999999993"/>
    <s v="Cash"/>
    <s v="No"/>
    <m/>
    <n v="90"/>
    <s v="Adult"/>
    <s v="Medium"/>
    <s v="Short Days"/>
    <m/>
    <m/>
    <m/>
    <m/>
    <m/>
    <m/>
  </r>
  <r>
    <s v="VIS201468"/>
    <d v="2025-06-10T00:00:00"/>
    <s v="PAT6514"/>
    <s v="Kavya Nagar"/>
    <s v="Female"/>
    <n v="59"/>
    <s v="Kolkata"/>
    <s v="West Bengal"/>
    <x v="4"/>
    <s v="Dr. Varun"/>
    <s v="L40"/>
    <s v="Physiotherapy"/>
    <s v="OPD"/>
    <n v="1130.6199999999999"/>
    <s v="Credit Card"/>
    <s v="No"/>
    <m/>
    <n v="90"/>
    <s v="Middle-Aged"/>
    <s v="Low"/>
    <s v="Short Days"/>
    <m/>
    <m/>
    <m/>
    <m/>
    <m/>
    <m/>
  </r>
  <r>
    <s v="VIS201195"/>
    <d v="2024-10-24T00:00:00"/>
    <s v="PAT5949"/>
    <s v="Ananya Sharma"/>
    <s v="Male"/>
    <n v="56"/>
    <s v="Madurai"/>
    <s v="Tamil Nadu"/>
    <x v="4"/>
    <s v="Dr. Bhavana"/>
    <s v="H10"/>
    <s v="Counselling"/>
    <s v="OPD"/>
    <n v="7735.97"/>
    <s v="Debit Card"/>
    <s v="No"/>
    <m/>
    <n v="14"/>
    <s v="Middle-Aged"/>
    <s v="Medium"/>
    <s v="Short Days"/>
    <m/>
    <m/>
    <m/>
    <m/>
    <m/>
    <m/>
  </r>
  <r>
    <s v="VIS201952"/>
    <d v="2024-10-09T00:00:00"/>
    <s v="PAT5480"/>
    <s v="Ananya Reddy"/>
    <s v="Female"/>
    <n v="9"/>
    <s v="Jaipur"/>
    <s v="Rajasthan"/>
    <x v="6"/>
    <s v="Dr. Lalitha"/>
    <s v="E11"/>
    <s v="Surgery"/>
    <s v="OPD"/>
    <n v="245.1"/>
    <s v="UPI"/>
    <s v="No"/>
    <m/>
    <m/>
    <s v="Child"/>
    <s v="Low"/>
    <s v="Short Days"/>
    <m/>
    <m/>
    <m/>
    <m/>
    <m/>
    <m/>
  </r>
  <r>
    <s v="VIS201638"/>
    <d v="2024-09-25T00:00:00"/>
    <s v="PAT5879"/>
    <s v="Vivaan Reddy"/>
    <s v="Male"/>
    <n v="84"/>
    <s v="Chennai"/>
    <s v="Tamil Nadu"/>
    <x v="5"/>
    <s v="Dr. Ravi"/>
    <s v="I10"/>
    <s v="Minor Surgery"/>
    <s v="OPD"/>
    <n v="6022.81"/>
    <s v="Credit Card"/>
    <s v="No"/>
    <m/>
    <n v="14"/>
    <s v="Senior"/>
    <s v="Medium"/>
    <s v="Short Days"/>
    <m/>
    <m/>
    <m/>
    <m/>
    <m/>
    <m/>
  </r>
  <r>
    <s v="VIS202874"/>
    <d v="2024-01-20T00:00:00"/>
    <s v="PAT6367"/>
    <s v="Aditya Mishra"/>
    <s v="Female"/>
    <n v="7"/>
    <s v="Noida"/>
    <s v="Uttar Pradesh"/>
    <x v="7"/>
    <s v="Dr. Leela"/>
    <s v="F41"/>
    <s v="Medication"/>
    <s v="OPD"/>
    <n v="1019.42"/>
    <s v="Cash"/>
    <s v="No"/>
    <m/>
    <m/>
    <s v="Child"/>
    <s v="Low"/>
    <s v="Short Days"/>
    <m/>
    <m/>
    <m/>
    <m/>
    <m/>
    <m/>
  </r>
  <r>
    <s v="VIS200030"/>
    <d v="2024-08-18T00:00:00"/>
    <s v="PAT5848"/>
    <s v="Ananya Khan"/>
    <s v="Female"/>
    <n v="65"/>
    <s v="Pune"/>
    <s v="Maharashtra"/>
    <x v="8"/>
    <s v="Dr. Sneha"/>
    <s v="N39"/>
    <s v="Physiotherapy"/>
    <s v="Emergency"/>
    <n v="5081.3"/>
    <s v="UPI"/>
    <s v="No"/>
    <m/>
    <n v="7"/>
    <s v="Senior"/>
    <s v="Medium"/>
    <s v="Short Days"/>
    <m/>
    <m/>
    <m/>
    <m/>
    <m/>
    <m/>
  </r>
  <r>
    <s v="VIS200040"/>
    <d v="2025-10-02T00:00:00"/>
    <s v="PAT6377"/>
    <s v="Siddharth Bose"/>
    <s v="Male"/>
    <n v="34"/>
    <s v="Hyderabad"/>
    <s v="Telangana"/>
    <x v="1"/>
    <s v="Dr. Suri"/>
    <s v="F41"/>
    <s v="Physiotherapy"/>
    <s v="OPD"/>
    <n v="1427.82"/>
    <s v="Debit Card"/>
    <s v="No"/>
    <m/>
    <n v="7"/>
    <s v="Adult"/>
    <s v="Low"/>
    <s v="Short Days"/>
    <m/>
    <m/>
    <m/>
    <m/>
    <m/>
    <m/>
  </r>
  <r>
    <s v="VIS201907"/>
    <d v="2024-02-18T00:00:00"/>
    <s v="PAT5731"/>
    <s v="Sangeetha Sharma"/>
    <s v="Male"/>
    <n v="40"/>
    <s v="Noida"/>
    <s v="Uttar Pradesh"/>
    <x v="1"/>
    <s v="Dr. Suri"/>
    <s v="J00"/>
    <s v="Physiotherapy"/>
    <s v="Teleconsultation"/>
    <n v="9113.58"/>
    <s v="Cash"/>
    <s v="No"/>
    <m/>
    <n v="7"/>
    <s v="Adult"/>
    <s v="Medium"/>
    <s v="Short Days"/>
    <m/>
    <m/>
    <m/>
    <m/>
    <m/>
    <m/>
  </r>
  <r>
    <s v="VIS201962"/>
    <d v="2024-01-25T00:00:00"/>
    <s v="PAT5568"/>
    <s v="Anil Nair"/>
    <s v="Female"/>
    <n v="45"/>
    <s v="Noida"/>
    <s v="Uttar Pradesh"/>
    <x v="6"/>
    <s v="Dr. Priya"/>
    <s v="F41"/>
    <s v="Prescription Refill"/>
    <s v="OPD"/>
    <n v="5945.4"/>
    <s v="Net Banking"/>
    <s v="No"/>
    <m/>
    <n v="14"/>
    <s v="Middle-Aged"/>
    <s v="Medium"/>
    <s v="Short Days"/>
    <m/>
    <m/>
    <m/>
    <m/>
    <m/>
    <m/>
  </r>
  <r>
    <s v="VIS200699"/>
    <d v="2024-03-08T00:00:00"/>
    <s v="PAT6394"/>
    <s v="Aishwarya Gupta"/>
    <s v="Female"/>
    <n v="55"/>
    <s v="Lucknow"/>
    <s v="Uttar Pradesh"/>
    <x v="4"/>
    <s v="Dr. Varun"/>
    <s v="Z111"/>
    <s v="Counselling"/>
    <s v="OPD"/>
    <n v="1107.44"/>
    <s v="Credit Card"/>
    <s v="No"/>
    <m/>
    <m/>
    <s v="Middle-Aged"/>
    <s v="Low"/>
    <s v="Short Days"/>
    <m/>
    <m/>
    <m/>
    <m/>
    <m/>
    <m/>
  </r>
  <r>
    <s v="VIS201745"/>
    <d v="2025-03-05T00:00:00"/>
    <s v="PAT6271"/>
    <s v="Karthik Jose"/>
    <s v="Male"/>
    <n v="69.5"/>
    <s v="Delhi"/>
    <s v="Rajasthan"/>
    <x v="8"/>
    <s v="Dr. Sneha"/>
    <s v="Z111"/>
    <s v="Minor Procedure"/>
    <s v="Teleconsultation"/>
    <n v="11093.48"/>
    <s v="UPI"/>
    <s v="No"/>
    <m/>
    <n v="90"/>
    <s v="Senior"/>
    <s v="High"/>
    <s v="Short Days"/>
    <m/>
    <m/>
    <m/>
    <m/>
    <m/>
    <m/>
  </r>
  <r>
    <s v="VIS202307"/>
    <d v="2025-04-26T00:00:00"/>
    <s v="PAT6845"/>
    <s v="Ananya Gupta"/>
    <s v="Male"/>
    <n v="25"/>
    <s v="Jaipur"/>
    <s v="Rajasthan"/>
    <x v="0"/>
    <s v="Dr. Nikhil"/>
    <s v="F41"/>
    <s v="Counselling"/>
    <s v="OPD"/>
    <n v="5089.17"/>
    <s v="Net Banking"/>
    <s v="No"/>
    <m/>
    <n v="14"/>
    <s v="Adult"/>
    <s v="Medium"/>
    <s v="Short Days"/>
    <m/>
    <m/>
    <m/>
    <m/>
    <m/>
    <m/>
  </r>
  <r>
    <s v="VIS201518"/>
    <d v="2025-10-31T00:00:00"/>
    <s v="PAT5274"/>
    <s v="Anil Das"/>
    <s v="Male"/>
    <n v="41"/>
    <s v="Bengaluru"/>
    <s v="Karnataka"/>
    <x v="6"/>
    <s v="Dr. Lalitha"/>
    <s v="L40"/>
    <s v="Surgery"/>
    <s v="OPD"/>
    <n v="525.59"/>
    <s v="Insurance"/>
    <s v="Yes"/>
    <m/>
    <m/>
    <s v="Middle-Aged"/>
    <s v="Low"/>
    <s v="Short Days"/>
    <m/>
    <m/>
    <m/>
    <m/>
    <m/>
    <m/>
  </r>
  <r>
    <s v="VIS202428"/>
    <d v="2024-01-20T00:00:00"/>
    <s v="PAT5195"/>
    <s v="Deepa Sharma"/>
    <s v="Female"/>
    <n v="35"/>
    <s v="Delhi"/>
    <s v="Delhi"/>
    <x v="5"/>
    <s v="Dr. Karthik"/>
    <s v="J00"/>
    <s v="Physiotherapy"/>
    <s v="OPD"/>
    <n v="3182.32"/>
    <s v="Insurance"/>
    <s v="Yes"/>
    <m/>
    <m/>
    <s v="Adult"/>
    <s v="Low"/>
    <s v="Short Days"/>
    <m/>
    <m/>
    <m/>
    <m/>
    <m/>
    <m/>
  </r>
  <r>
    <s v="VIS200736"/>
    <d v="2025-01-06T00:00:00"/>
    <s v="PAT5571"/>
    <s v="Shruti Singh"/>
    <s v="Female"/>
    <n v="57"/>
    <s v="Coimbatore"/>
    <s v="Tamil Nadu"/>
    <x v="0"/>
    <s v="Dr. Nikhil"/>
    <s v="I10"/>
    <s v="Minor Surgery"/>
    <s v="OPD"/>
    <n v="4766.71"/>
    <s v="Cash"/>
    <s v="No"/>
    <m/>
    <n v="14"/>
    <s v="Middle-Aged"/>
    <s v="Low"/>
    <s v="Short Days"/>
    <m/>
    <m/>
    <m/>
    <m/>
    <m/>
    <m/>
  </r>
  <r>
    <s v="VIS201665"/>
    <d v="2025-01-26T00:00:00"/>
    <s v="PAT5253"/>
    <s v="Aarav Iyer"/>
    <s v="Male"/>
    <n v="24"/>
    <s v="Bengaluru"/>
    <s v="Karnataka"/>
    <x v="7"/>
    <s v="Dr. Leela"/>
    <s v="K21"/>
    <s v="Surgery"/>
    <s v="OPD"/>
    <n v="390.7"/>
    <s v="Credit Card"/>
    <s v="No"/>
    <m/>
    <n v="7"/>
    <s v="Adult"/>
    <s v="Low"/>
    <s v="Short Days"/>
    <m/>
    <m/>
    <m/>
    <m/>
    <m/>
    <m/>
  </r>
  <r>
    <s v="VIS200992"/>
    <d v="2025-01-23T00:00:00"/>
    <s v="PAT5533"/>
    <s v="Rahul Gupta"/>
    <s v="Male"/>
    <n v="39.5"/>
    <s v="Delhi"/>
    <s v="Tamil Nadu"/>
    <x v="4"/>
    <s v="Dr. Bhavana"/>
    <s v="Z111"/>
    <s v="Minor Procedure"/>
    <s v="OPD"/>
    <n v="666.13"/>
    <s v="Credit Card"/>
    <s v="No"/>
    <m/>
    <n v="7"/>
    <s v="Adult"/>
    <s v="Low"/>
    <s v="Short Days"/>
    <m/>
    <m/>
    <m/>
    <m/>
    <m/>
    <m/>
  </r>
  <r>
    <s v="VIS202734"/>
    <d v="2025-08-30T00:00:00"/>
    <s v="PAT5313"/>
    <s v="Deepa Khan"/>
    <s v="Male"/>
    <n v="66"/>
    <s v="Noida"/>
    <s v="Uttar Pradesh"/>
    <x v="8"/>
    <s v="Dr. Kavitha"/>
    <s v="K21"/>
    <s v="Prescription Refill"/>
    <s v="OPD"/>
    <n v="6692.21"/>
    <s v="Insurance"/>
    <s v="Yes"/>
    <m/>
    <n v="30"/>
    <s v="Senior"/>
    <s v="Medium"/>
    <s v="Short Days"/>
    <m/>
    <m/>
    <m/>
    <m/>
    <m/>
    <m/>
  </r>
  <r>
    <s v="VIS202795"/>
    <d v="2024-01-19T00:00:00"/>
    <s v="PAT6544"/>
    <s v="Deepa Nagar"/>
    <s v="Other"/>
    <n v="41"/>
    <s v="Noida"/>
    <s v="Uttar Pradesh"/>
    <x v="6"/>
    <s v="Dr. Priya"/>
    <s v="M54"/>
    <s v="Medication"/>
    <s v="Emergency"/>
    <n v="9412.5499999999993"/>
    <s v="UPI"/>
    <s v="No"/>
    <m/>
    <m/>
    <s v="Middle-Aged"/>
    <s v="Medium"/>
    <s v="Short Days"/>
    <m/>
    <m/>
    <m/>
    <m/>
    <m/>
    <m/>
  </r>
  <r>
    <s v="VIS201540"/>
    <d v="2025-04-10T00:00:00"/>
    <s v="PAT5949"/>
    <s v="Siddharth Bose"/>
    <s v="Male"/>
    <n v="45"/>
    <s v="Kochi"/>
    <s v="Kerala"/>
    <x v="4"/>
    <s v="Dr. Bhavana"/>
    <s v="M54"/>
    <s v="Surgery"/>
    <s v="OPD"/>
    <n v="4638.2700000000004"/>
    <s v="Debit Card"/>
    <s v="No"/>
    <m/>
    <m/>
    <s v="Middle-Aged"/>
    <s v="Low"/>
    <s v="Short Days"/>
    <m/>
    <m/>
    <m/>
    <m/>
    <m/>
    <m/>
  </r>
  <r>
    <s v="VIS200414"/>
    <d v="2025-10-01T00:00:00"/>
    <s v="PAT5378"/>
    <s v="Ananya Patel"/>
    <s v="Male"/>
    <n v="27"/>
    <s v="Kolkata"/>
    <s v="West Bengal"/>
    <x v="0"/>
    <s v="Dr. Shailesh"/>
    <s v="E11"/>
    <s v="Medication"/>
    <s v="OPD"/>
    <n v="1300.6300000000001"/>
    <s v="Net Banking"/>
    <s v="No"/>
    <m/>
    <n v="14"/>
    <s v="Adult"/>
    <s v="Low"/>
    <s v="Short Days"/>
    <m/>
    <m/>
    <m/>
    <m/>
    <m/>
    <m/>
  </r>
  <r>
    <s v="VIS200979"/>
    <d v="2025-01-19T00:00:00"/>
    <s v="PAT6550"/>
    <s v="Manisha Das"/>
    <s v="Male"/>
    <n v="37"/>
    <s v="Chennai"/>
    <s v="Tamil Nadu"/>
    <x v="8"/>
    <s v="Dr. Kavitha"/>
    <s v="I10"/>
    <s v="Minor Surgery"/>
    <s v="IPD"/>
    <n v="6587.73"/>
    <s v="Debit Card"/>
    <s v="No"/>
    <n v="7"/>
    <n v="7"/>
    <s v="Adult"/>
    <s v="Medium"/>
    <s v="Long Days"/>
    <m/>
    <m/>
    <m/>
    <m/>
    <m/>
    <m/>
  </r>
  <r>
    <s v="VIS201167"/>
    <d v="2024-04-02T00:00:00"/>
    <s v="PAT6588"/>
    <s v="Aditya Das"/>
    <s v="Female"/>
    <n v="60"/>
    <s v="Pune"/>
    <s v="Maharashtra"/>
    <x v="6"/>
    <s v="Dr. Lalitha"/>
    <s v="F41"/>
    <s v="Observation"/>
    <s v="OPD"/>
    <n v="1520.55"/>
    <s v="Debit Card"/>
    <s v="No"/>
    <m/>
    <n v="14"/>
    <s v="Middle-Aged"/>
    <s v="Low"/>
    <s v="Short Days"/>
    <m/>
    <m/>
    <m/>
    <m/>
    <m/>
    <m/>
  </r>
  <r>
    <s v="VIS201554"/>
    <d v="2024-12-14T00:00:00"/>
    <s v="PAT6338"/>
    <s v="Rohan Bose"/>
    <s v="Male"/>
    <n v="41"/>
    <s v="Mumbai"/>
    <s v="Maharashtra"/>
    <x v="1"/>
    <s v="Dr. Suri"/>
    <s v="J45"/>
    <s v="Counselling"/>
    <s v="Teleconsultation"/>
    <n v="5894.17"/>
    <s v="UPI"/>
    <s v="No"/>
    <m/>
    <m/>
    <s v="Middle-Aged"/>
    <s v="Medium"/>
    <s v="Short Days"/>
    <m/>
    <m/>
    <m/>
    <m/>
    <m/>
    <m/>
  </r>
  <r>
    <s v="VIS200017"/>
    <d v="2025-05-12T00:00:00"/>
    <s v="PAT5697"/>
    <s v="Neha Reddy"/>
    <s v="Female"/>
    <n v="52"/>
    <s v="Kolkata"/>
    <s v="West Bengal"/>
    <x v="2"/>
    <s v="Dr. Manoj"/>
    <s v="F41"/>
    <s v="Prescription Refill"/>
    <s v="OPD"/>
    <n v="664.33"/>
    <s v="UPI"/>
    <s v="No"/>
    <m/>
    <n v="90"/>
    <s v="Middle-Aged"/>
    <s v="Low"/>
    <s v="Short Days"/>
    <m/>
    <m/>
    <m/>
    <m/>
    <m/>
    <m/>
  </r>
  <r>
    <s v="VIS200653"/>
    <d v="2024-02-09T00:00:00"/>
    <s v="PAT5303"/>
    <s v="Aditya Bose"/>
    <s v="Female"/>
    <n v="29"/>
    <s v="Ahmedabad"/>
    <s v="Gujarat"/>
    <x v="5"/>
    <s v="Dr. Meena"/>
    <s v="M54"/>
    <s v="Observation"/>
    <s v="Teleconsultation"/>
    <n v="15181"/>
    <s v="UPI"/>
    <s v="No"/>
    <m/>
    <n v="14"/>
    <s v="Adult"/>
    <s v="High"/>
    <s v="Short Days"/>
    <m/>
    <m/>
    <m/>
    <m/>
    <m/>
    <m/>
  </r>
  <r>
    <s v="VIS202765"/>
    <d v="2024-02-07T00:00:00"/>
    <s v="PAT6837"/>
    <s v="Rahul Khan"/>
    <s v="Male"/>
    <n v="22"/>
    <s v="Kolkata"/>
    <s v="West Bengal"/>
    <x v="5"/>
    <s v="Dr. Meena"/>
    <s v="J45"/>
    <s v="Observation"/>
    <s v="OPD"/>
    <n v="5504.18"/>
    <s v="Insurance"/>
    <s v="Yes"/>
    <m/>
    <n v="90"/>
    <s v="Adult"/>
    <s v="Medium"/>
    <s v="Short Days"/>
    <m/>
    <m/>
    <m/>
    <m/>
    <m/>
    <m/>
  </r>
  <r>
    <s v="VIS200973"/>
    <d v="2025-07-16T00:00:00"/>
    <s v="PAT5718"/>
    <s v="Deepa Nair"/>
    <s v="Female"/>
    <n v="21"/>
    <s v="Ahmedabad"/>
    <s v="Gujarat"/>
    <x v="8"/>
    <s v="Dr. Kavitha"/>
    <s v="I10"/>
    <s v="Minor Surgery"/>
    <s v="Teleconsultation"/>
    <n v="6716.77"/>
    <s v="Insurance"/>
    <s v="Yes"/>
    <m/>
    <m/>
    <s v="Adult"/>
    <s v="Medium"/>
    <s v="Short Days"/>
    <m/>
    <m/>
    <m/>
    <m/>
    <m/>
    <m/>
  </r>
  <r>
    <s v="VIS201796"/>
    <d v="2025-10-10T00:00:00"/>
    <s v="PAT5977"/>
    <s v="Vivaan Nagar"/>
    <s v="Female"/>
    <n v="24"/>
    <s v="Trichy"/>
    <s v="Tamil Nadu"/>
    <x v="6"/>
    <s v="Dr. Priya"/>
    <s v="F41"/>
    <s v="Counselling"/>
    <s v="OPD"/>
    <n v="3086.42"/>
    <s v="Cash"/>
    <s v="No"/>
    <m/>
    <m/>
    <s v="Adult"/>
    <s v="Low"/>
    <s v="Short Days"/>
    <m/>
    <m/>
    <m/>
    <m/>
    <m/>
    <m/>
  </r>
  <r>
    <s v="VIS202546"/>
    <d v="2024-03-21T00:00:00"/>
    <s v="PAT6251"/>
    <s v="Manisha Singh"/>
    <s v="Female"/>
    <n v="55"/>
    <s v="Trichy"/>
    <s v="Tamil Nadu"/>
    <x v="0"/>
    <s v="Dr. Nikhil"/>
    <s v="J00"/>
    <s v="Minor Procedure"/>
    <s v="OPD"/>
    <n v="2948.56"/>
    <s v="Debit Card"/>
    <s v="No"/>
    <m/>
    <m/>
    <s v="Middle-Aged"/>
    <s v="Low"/>
    <s v="Short Days"/>
    <m/>
    <m/>
    <m/>
    <m/>
    <m/>
    <m/>
  </r>
  <r>
    <s v="VIS200808"/>
    <d v="2024-11-18T00:00:00"/>
    <s v="PAT6701"/>
    <s v="Aditya Gupta"/>
    <s v="Female"/>
    <n v="48"/>
    <s v="Chennai"/>
    <s v="Tamil Nadu"/>
    <x v="7"/>
    <s v="Dr. Surya"/>
    <s v="J00"/>
    <s v="Observation"/>
    <s v="OPD"/>
    <n v="2708.31"/>
    <s v="Insurance"/>
    <s v="Yes"/>
    <m/>
    <m/>
    <s v="Middle-Aged"/>
    <s v="Low"/>
    <s v="Short Days"/>
    <m/>
    <m/>
    <m/>
    <m/>
    <m/>
    <m/>
  </r>
  <r>
    <s v="VIS200590"/>
    <d v="2025-08-17T00:00:00"/>
    <s v="PAT5433"/>
    <s v="Arjun Singh"/>
    <s v="Female"/>
    <n v="65"/>
    <s v="Kolkata"/>
    <s v="West Bengal"/>
    <x v="3"/>
    <s v="Dr. Anand"/>
    <s v="K21"/>
    <s v="Prescription Refill"/>
    <s v="OPD"/>
    <n v="1402.53"/>
    <s v="Debit Card"/>
    <s v="No"/>
    <m/>
    <n v="7"/>
    <s v="Senior"/>
    <s v="Low"/>
    <s v="Short Days"/>
    <m/>
    <m/>
    <m/>
    <m/>
    <m/>
    <m/>
  </r>
  <r>
    <s v="VIS200574"/>
    <d v="2025-07-02T00:00:00"/>
    <s v="PAT5657"/>
    <s v="Priya Nagar"/>
    <s v="Female"/>
    <n v="46"/>
    <s v="Ahmedabad"/>
    <s v="Gujarat"/>
    <x v="1"/>
    <s v="Dr. Anu"/>
    <s v="J00"/>
    <s v="Medication"/>
    <s v="Emergency"/>
    <n v="6077.58"/>
    <s v="Debit Card"/>
    <s v="No"/>
    <m/>
    <n v="90"/>
    <s v="Middle-Aged"/>
    <s v="Medium"/>
    <s v="Short Days"/>
    <m/>
    <m/>
    <m/>
    <m/>
    <m/>
    <m/>
  </r>
  <r>
    <s v="VIS201394"/>
    <d v="2024-08-29T00:00:00"/>
    <s v="PAT5193"/>
    <s v="Rahul Kumar"/>
    <s v="Female"/>
    <n v="11"/>
    <s v="Madurai"/>
    <s v="Tamil Nadu"/>
    <x v="8"/>
    <s v="Dr. Kavitha"/>
    <s v="I10"/>
    <s v="Surgery"/>
    <s v="OPD"/>
    <n v="11759.91"/>
    <s v="Cash"/>
    <s v="No"/>
    <m/>
    <n v="14"/>
    <s v="Child"/>
    <s v="High"/>
    <s v="Short Days"/>
    <m/>
    <m/>
    <m/>
    <m/>
    <m/>
    <m/>
  </r>
  <r>
    <s v="VIS200083"/>
    <d v="2025-03-14T00:00:00"/>
    <s v="PAT5761"/>
    <s v="Neha Iyer"/>
    <s v="Male"/>
    <n v="33"/>
    <s v="Coimbatore"/>
    <s v="Tamil Nadu"/>
    <x v="9"/>
    <s v="Dr. Kusum"/>
    <s v="H10"/>
    <s v="Minor Surgery"/>
    <s v="IPD"/>
    <n v="8279.51"/>
    <s v="Cash"/>
    <s v="No"/>
    <n v="5"/>
    <n v="14"/>
    <s v="Adult"/>
    <s v="Medium"/>
    <s v="Short Days"/>
    <m/>
    <m/>
    <m/>
    <m/>
    <m/>
    <m/>
  </r>
  <r>
    <s v="VIS200227"/>
    <d v="2024-12-04T00:00:00"/>
    <s v="PAT6745"/>
    <s v="Aditya Kumar"/>
    <s v="Male"/>
    <n v="75"/>
    <s v="Pune"/>
    <s v="Maharashtra"/>
    <x v="0"/>
    <s v="Dr. Shailesh"/>
    <s v="H10"/>
    <s v="Physiotherapy"/>
    <s v="OPD"/>
    <n v="212.19"/>
    <s v="Insurance"/>
    <s v="Yes"/>
    <m/>
    <n v="14"/>
    <s v="Senior"/>
    <s v="Low"/>
    <s v="Short Days"/>
    <m/>
    <m/>
    <m/>
    <m/>
    <m/>
    <m/>
  </r>
  <r>
    <s v="VIS202348"/>
    <d v="2025-01-31T00:00:00"/>
    <s v="PAT5649"/>
    <s v="Ishaan Bose"/>
    <s v="Male"/>
    <n v="33"/>
    <s v="Lucknow"/>
    <s v="Uttar Pradesh"/>
    <x v="0"/>
    <s v="Dr. Nikhil"/>
    <s v="J00"/>
    <s v="Counselling"/>
    <s v="OPD"/>
    <n v="7073.6"/>
    <s v="Debit Card"/>
    <s v="No"/>
    <m/>
    <m/>
    <s v="Adult"/>
    <s v="Medium"/>
    <s v="Short Days"/>
    <m/>
    <m/>
    <m/>
    <m/>
    <m/>
    <m/>
  </r>
  <r>
    <s v="VIS201382"/>
    <d v="2025-07-15T00:00:00"/>
    <s v="PAT6622"/>
    <s v="Rahul Mishra"/>
    <s v="Female"/>
    <n v="41"/>
    <s v="Chennai"/>
    <s v="Tamil Nadu"/>
    <x v="2"/>
    <s v="Dr. Manoj"/>
    <s v="L40"/>
    <s v="Surgery"/>
    <s v="OPD"/>
    <n v="4405.0200000000004"/>
    <s v="Insurance"/>
    <s v="Yes"/>
    <m/>
    <m/>
    <s v="Middle-Aged"/>
    <s v="Low"/>
    <s v="Short Days"/>
    <m/>
    <m/>
    <m/>
    <m/>
    <m/>
    <m/>
  </r>
  <r>
    <s v="VIS201707"/>
    <d v="2025-04-19T00:00:00"/>
    <s v="PAT6581"/>
    <s v="Deepa Gupta"/>
    <s v="Male"/>
    <n v="33"/>
    <s v="Kolkata"/>
    <s v="West Bengal"/>
    <x v="7"/>
    <s v="Dr. Surya"/>
    <s v="K21"/>
    <s v="Observation"/>
    <s v="OPD"/>
    <n v="3254.32"/>
    <s v="Cash"/>
    <s v="No"/>
    <m/>
    <n v="14"/>
    <s v="Adult"/>
    <s v="Low"/>
    <s v="Short Days"/>
    <m/>
    <m/>
    <m/>
    <m/>
    <m/>
    <m/>
  </r>
  <r>
    <s v="VIS200642"/>
    <d v="2024-05-15T00:00:00"/>
    <s v="PAT6725"/>
    <s v="Ishaan Nagar"/>
    <s v="Female"/>
    <n v="54"/>
    <s v="Trichy"/>
    <s v="Tamil Nadu"/>
    <x v="5"/>
    <s v="Dr. Ravi"/>
    <s v="E11"/>
    <s v="Prescription Refill"/>
    <s v="OPD"/>
    <n v="13937.39"/>
    <s v="Debit Card"/>
    <s v="No"/>
    <m/>
    <m/>
    <s v="Middle-Aged"/>
    <s v="High"/>
    <s v="Short Days"/>
    <m/>
    <m/>
    <m/>
    <m/>
    <m/>
    <m/>
  </r>
  <r>
    <s v="VIS201737"/>
    <d v="2024-11-17T00:00:00"/>
    <s v="PAT5981"/>
    <s v="Neha Sharma"/>
    <s v="Female"/>
    <n v="14"/>
    <s v="Noida"/>
    <s v="Uttar Pradesh"/>
    <x v="1"/>
    <s v="Dr. Anu"/>
    <s v="N39"/>
    <s v="Minor Surgery"/>
    <s v="OPD"/>
    <n v="2059.83"/>
    <s v="Cash"/>
    <s v="No"/>
    <m/>
    <n v="90"/>
    <s v="Child"/>
    <s v="Low"/>
    <s v="Short Days"/>
    <m/>
    <m/>
    <m/>
    <m/>
    <m/>
    <m/>
  </r>
  <r>
    <s v="VIS200791"/>
    <d v="2025-01-11T00:00:00"/>
    <s v="PAT6331"/>
    <s v="Aarav Bose"/>
    <s v="Male"/>
    <n v="24"/>
    <s v="Bengaluru"/>
    <s v="Karnataka"/>
    <x v="8"/>
    <s v="Dr. Kavitha"/>
    <s v="H10"/>
    <s v="Minor Surgery"/>
    <s v="OPD"/>
    <n v="4695.7"/>
    <s v="Insurance"/>
    <s v="Yes"/>
    <m/>
    <n v="14"/>
    <s v="Adult"/>
    <s v="Low"/>
    <s v="Short Days"/>
    <m/>
    <m/>
    <m/>
    <m/>
    <m/>
    <m/>
  </r>
  <r>
    <s v="VIS201919"/>
    <d v="2025-09-19T00:00:00"/>
    <s v="PAT5071"/>
    <s v="Vishal Patel"/>
    <s v="Female"/>
    <n v="54"/>
    <s v="Noida"/>
    <s v="Uttar Pradesh"/>
    <x v="5"/>
    <s v="Dr. Karthik"/>
    <s v="K21"/>
    <s v="Medication"/>
    <s v="OPD"/>
    <n v="3951.41"/>
    <s v="Debit Card"/>
    <s v="No"/>
    <m/>
    <m/>
    <s v="Middle-Aged"/>
    <s v="Low"/>
    <s v="Short Days"/>
    <m/>
    <m/>
    <m/>
    <m/>
    <m/>
    <m/>
  </r>
  <r>
    <s v="VIS202961"/>
    <d v="2025-03-20T00:00:00"/>
    <s v="PAT5449"/>
    <s v="Aditya Bose"/>
    <s v="Female"/>
    <n v="41"/>
    <s v="Hyderabad"/>
    <s v="Telangana"/>
    <x v="2"/>
    <s v="Dr. Manoj"/>
    <s v="M54"/>
    <s v="Prescription Refill"/>
    <s v="Emergency"/>
    <n v="11759.34"/>
    <s v="UPI"/>
    <s v="No"/>
    <m/>
    <n v="7"/>
    <s v="Middle-Aged"/>
    <s v="High"/>
    <s v="Short Days"/>
    <m/>
    <m/>
    <m/>
    <m/>
    <m/>
    <m/>
  </r>
  <r>
    <s v="VIS202324"/>
    <d v="2025-06-13T00:00:00"/>
    <s v="PAT5535"/>
    <s v="Vivaan Gupta"/>
    <s v="Female"/>
    <n v="44"/>
    <s v="Jaipur"/>
    <s v="Rajasthan"/>
    <x v="2"/>
    <s v="Dr. Ramesh"/>
    <s v="I10"/>
    <s v="Minor Surgery"/>
    <s v="Teleconsultation"/>
    <n v="5263.4"/>
    <s v="UPI"/>
    <s v="No"/>
    <m/>
    <n v="7"/>
    <s v="Middle-Aged"/>
    <s v="Medium"/>
    <s v="Short Days"/>
    <m/>
    <m/>
    <m/>
    <m/>
    <m/>
    <m/>
  </r>
  <r>
    <s v="VIS201186"/>
    <d v="2024-12-23T00:00:00"/>
    <s v="PAT5836"/>
    <s v="Aarav Reddy"/>
    <s v="Female"/>
    <n v="30"/>
    <s v="Chennai"/>
    <s v="Tamil Nadu"/>
    <x v="3"/>
    <s v="Dr. Anand"/>
    <s v="I10"/>
    <s v="Prescription Refill"/>
    <s v="Teleconsultation"/>
    <n v="5076.46"/>
    <s v="Credit Card"/>
    <s v="No"/>
    <m/>
    <n v="30"/>
    <s v="Adult"/>
    <s v="Medium"/>
    <s v="Short Days"/>
    <m/>
    <m/>
    <m/>
    <m/>
    <m/>
    <m/>
  </r>
  <r>
    <s v="VIS202111"/>
    <d v="2024-11-20T00:00:00"/>
    <s v="PAT5081"/>
    <s v="Aditya Kumar"/>
    <s v="Female"/>
    <n v="15"/>
    <s v="Pune"/>
    <s v="Maharashtra"/>
    <x v="1"/>
    <s v="Dr. Suri"/>
    <s v="K21"/>
    <s v="Surgery"/>
    <s v="OPD"/>
    <n v="221.54"/>
    <s v="Debit Card"/>
    <s v="No"/>
    <m/>
    <n v="7"/>
    <s v="Child"/>
    <s v="Low"/>
    <s v="Short Days"/>
    <m/>
    <m/>
    <m/>
    <m/>
    <m/>
    <m/>
  </r>
  <r>
    <s v="VIS202495"/>
    <d v="2025-04-13T00:00:00"/>
    <s v="PAT5645"/>
    <s v="Manisha Patel"/>
    <s v="Female"/>
    <n v="24"/>
    <s v="Jaipur"/>
    <s v="Rajasthan"/>
    <x v="7"/>
    <s v="Dr. Surya"/>
    <s v="K21"/>
    <s v="Surgery"/>
    <s v="Teleconsultation"/>
    <n v="5349.35"/>
    <s v="Cash"/>
    <s v="No"/>
    <m/>
    <n v="14"/>
    <s v="Adult"/>
    <s v="Medium"/>
    <s v="Short Days"/>
    <m/>
    <m/>
    <m/>
    <m/>
    <m/>
    <m/>
  </r>
  <r>
    <s v="VIS202979"/>
    <d v="2025-03-18T00:00:00"/>
    <s v="PAT6884"/>
    <s v="Ishaan Nagar"/>
    <s v="Male"/>
    <n v="45"/>
    <s v="Bengaluru"/>
    <s v="Karnataka"/>
    <x v="2"/>
    <s v="Dr. Ramesh"/>
    <s v="N39"/>
    <s v="Physiotherapy"/>
    <s v="OPD"/>
    <n v="754.95"/>
    <s v="Cash"/>
    <s v="No"/>
    <m/>
    <n v="30"/>
    <s v="Middle-Aged"/>
    <s v="Low"/>
    <s v="Short Days"/>
    <m/>
    <m/>
    <m/>
    <m/>
    <m/>
    <m/>
  </r>
  <r>
    <s v="VIS202029"/>
    <d v="2025-08-20T00:00:00"/>
    <s v="PAT6155"/>
    <s v="Karthik Nagar"/>
    <s v="Female"/>
    <n v="35"/>
    <s v="Mumbai"/>
    <s v="Maharashtra"/>
    <x v="9"/>
    <s v="Dr. Kusum"/>
    <s v="H10"/>
    <s v="Surgery"/>
    <s v="IPD"/>
    <n v="8419.75"/>
    <s v="Cash"/>
    <s v="No"/>
    <n v="5"/>
    <n v="90"/>
    <s v="Adult"/>
    <s v="Medium"/>
    <s v="Short Days"/>
    <m/>
    <m/>
    <m/>
    <m/>
    <m/>
    <m/>
  </r>
  <r>
    <s v="VIS201130"/>
    <d v="2024-11-10T00:00:00"/>
    <s v="PAT5613"/>
    <s v="Ishaan Sharma"/>
    <s v="Female"/>
    <n v="8"/>
    <s v="Bengaluru"/>
    <s v="Karnataka"/>
    <x v="1"/>
    <s v="Dr. Anu"/>
    <s v="E11"/>
    <s v="Observation"/>
    <s v="Teleconsultation"/>
    <n v="9709.5499999999993"/>
    <s v="UPI"/>
    <s v="No"/>
    <m/>
    <m/>
    <s v="Child"/>
    <s v="Medium"/>
    <s v="Short Days"/>
    <m/>
    <m/>
    <m/>
    <m/>
    <m/>
    <m/>
  </r>
  <r>
    <s v="VIS202931"/>
    <d v="2024-07-24T00:00:00"/>
    <s v="PAT5229"/>
    <s v="Karthik Das"/>
    <s v="Male"/>
    <n v="48"/>
    <s v="Mumbai"/>
    <s v="Maharashtra"/>
    <x v="6"/>
    <s v="Dr. Lalitha"/>
    <s v="N39"/>
    <s v="Minor Procedure"/>
    <s v="Emergency"/>
    <n v="11271.33"/>
    <s v="Debit Card"/>
    <s v="No"/>
    <m/>
    <n v="7"/>
    <s v="Middle-Aged"/>
    <s v="High"/>
    <s v="Short Days"/>
    <m/>
    <m/>
    <m/>
    <m/>
    <m/>
    <m/>
  </r>
  <r>
    <s v="VIS202543"/>
    <d v="2025-06-05T00:00:00"/>
    <s v="PAT5593"/>
    <s v="Vivaan Iyer"/>
    <s v="Female"/>
    <n v="43"/>
    <s v="Pune"/>
    <s v="Maharashtra"/>
    <x v="6"/>
    <s v="Dr. Priya"/>
    <s v="E11"/>
    <s v="Surgery"/>
    <s v="OPD"/>
    <n v="8224.31"/>
    <s v="Debit Card"/>
    <s v="No"/>
    <m/>
    <m/>
    <s v="Middle-Aged"/>
    <s v="Medium"/>
    <s v="Short Days"/>
    <m/>
    <m/>
    <m/>
    <m/>
    <m/>
    <m/>
  </r>
  <r>
    <s v="VIS202581"/>
    <d v="2025-04-12T00:00:00"/>
    <s v="PAT5120"/>
    <s v="Ishaan Reddy"/>
    <s v="Male"/>
    <n v="18"/>
    <s v="Jaipur"/>
    <s v="Rajasthan"/>
    <x v="0"/>
    <s v="Dr. Nikhil"/>
    <s v="N39"/>
    <s v="Minor Surgery"/>
    <s v="OPD"/>
    <n v="3589.76"/>
    <s v="UPI"/>
    <s v="No"/>
    <m/>
    <m/>
    <s v="Adult"/>
    <s v="Low"/>
    <s v="Short Days"/>
    <m/>
    <m/>
    <m/>
    <m/>
    <m/>
    <m/>
  </r>
  <r>
    <s v="VIS201198"/>
    <d v="2024-03-28T00:00:00"/>
    <s v="PAT5837"/>
    <s v="Anil Mishra"/>
    <s v="Male"/>
    <n v="34"/>
    <s v="Ahmedabad"/>
    <s v="Gujarat"/>
    <x v="2"/>
    <s v="Dr. Manoj"/>
    <s v="J00"/>
    <s v="Medication"/>
    <s v="OPD"/>
    <n v="9605.3799999999992"/>
    <s v="Debit Card"/>
    <s v="No"/>
    <m/>
    <n v="90"/>
    <s v="Adult"/>
    <s v="Medium"/>
    <s v="Short Days"/>
    <m/>
    <m/>
    <m/>
    <m/>
    <m/>
    <m/>
  </r>
  <r>
    <s v="VIS201486"/>
    <d v="2025-01-09T00:00:00"/>
    <s v="PAT5349"/>
    <s v="Aishwarya Sharma"/>
    <s v="Female"/>
    <n v="74"/>
    <s v="Kolkata"/>
    <s v="West Bengal"/>
    <x v="2"/>
    <s v="Dr. Manoj"/>
    <s v="J45"/>
    <s v="Prescription Refill"/>
    <s v="Teleconsultation"/>
    <n v="5251.2"/>
    <s v="UPI"/>
    <s v="No"/>
    <m/>
    <n v="30"/>
    <s v="Senior"/>
    <s v="Medium"/>
    <s v="Short Days"/>
    <m/>
    <m/>
    <m/>
    <m/>
    <m/>
    <m/>
  </r>
  <r>
    <s v="VIS201201"/>
    <d v="2025-10-11T00:00:00"/>
    <s v="PAT5436"/>
    <s v="Priya Khan"/>
    <s v="Male"/>
    <n v="59"/>
    <s v="Ahmedabad"/>
    <s v="Gujarat"/>
    <x v="1"/>
    <s v="Dr. Anu"/>
    <s v="E11"/>
    <s v="Counselling"/>
    <s v="OPD"/>
    <n v="2516.4699999999998"/>
    <s v="Debit Card"/>
    <s v="No"/>
    <m/>
    <n v="30"/>
    <s v="Middle-Aged"/>
    <s v="Low"/>
    <s v="Short Days"/>
    <m/>
    <m/>
    <m/>
    <m/>
    <m/>
    <m/>
  </r>
  <r>
    <s v="VIS201365"/>
    <d v="2024-07-11T00:00:00"/>
    <s v="PAT5927"/>
    <s v="Sangeetha Nagar"/>
    <s v="Male"/>
    <n v="42"/>
    <s v="Noida"/>
    <s v="Uttar Pradesh"/>
    <x v="4"/>
    <s v="Dr. Varun"/>
    <s v="H10"/>
    <s v="Physiotherapy"/>
    <s v="OPD"/>
    <n v="990.33"/>
    <s v="Cash"/>
    <s v="No"/>
    <m/>
    <n v="90"/>
    <s v="Middle-Aged"/>
    <s v="Low"/>
    <s v="Short Days"/>
    <m/>
    <m/>
    <m/>
    <m/>
    <m/>
    <m/>
  </r>
  <r>
    <s v="VIS200884"/>
    <d v="2024-01-06T00:00:00"/>
    <s v="PAT5369"/>
    <s v="Rohan Patel"/>
    <s v="Male"/>
    <n v="0"/>
    <s v="Trichy"/>
    <s v="Tamil Nadu"/>
    <x v="3"/>
    <s v="Dr. Pallavi"/>
    <s v="J00"/>
    <s v="Minor Surgery"/>
    <s v="OPD"/>
    <n v="3276.48"/>
    <s v="Debit Card"/>
    <s v="No"/>
    <m/>
    <n v="14"/>
    <s v="Child"/>
    <s v="Low"/>
    <s v="Short Days"/>
    <m/>
    <m/>
    <m/>
    <m/>
    <m/>
    <m/>
  </r>
  <r>
    <s v="VIS201920"/>
    <d v="2024-08-04T00:00:00"/>
    <s v="PAT5365"/>
    <s v="Anil Iyer"/>
    <s v="Female"/>
    <n v="37"/>
    <s v="Lucknow"/>
    <s v="Uttar Pradesh"/>
    <x v="2"/>
    <s v="Dr. Ramesh"/>
    <s v="L40"/>
    <s v="Minor Surgery"/>
    <s v="OPD"/>
    <n v="9460.2099999999991"/>
    <s v="Credit Card"/>
    <s v="No"/>
    <m/>
    <m/>
    <s v="Adult"/>
    <s v="Medium"/>
    <s v="Short Days"/>
    <m/>
    <m/>
    <m/>
    <m/>
    <m/>
    <m/>
  </r>
  <r>
    <s v="VIS201711"/>
    <d v="2024-07-13T00:00:00"/>
    <s v="PAT5709"/>
    <s v="Priya Kumar"/>
    <s v="Male"/>
    <n v="11"/>
    <s v="Trichy"/>
    <s v="Tamil Nadu"/>
    <x v="6"/>
    <s v="Dr. Priya"/>
    <s v="J45"/>
    <s v="Physiotherapy"/>
    <s v="Teleconsultation"/>
    <n v="5046.1099999999997"/>
    <s v="Insurance"/>
    <s v="Yes"/>
    <m/>
    <n v="14"/>
    <s v="Child"/>
    <s v="Medium"/>
    <s v="Short Days"/>
    <m/>
    <m/>
    <m/>
    <m/>
    <m/>
    <m/>
  </r>
  <r>
    <s v="VIS201010"/>
    <d v="2024-04-18T00:00:00"/>
    <s v="PAT5271"/>
    <s v="Manisha Nair"/>
    <s v="Male"/>
    <n v="81"/>
    <s v="Trichy"/>
    <s v="Tamil Nadu"/>
    <x v="4"/>
    <s v="Dr. Bhavana"/>
    <s v="J00"/>
    <s v="Minor Surgery"/>
    <s v="OPD"/>
    <n v="8430.65"/>
    <s v="Credit Card"/>
    <s v="No"/>
    <m/>
    <n v="30"/>
    <s v="Senior"/>
    <s v="Medium"/>
    <s v="Short Days"/>
    <m/>
    <m/>
    <m/>
    <m/>
    <m/>
    <m/>
  </r>
  <r>
    <s v="VIS200720"/>
    <d v="2024-04-21T00:00:00"/>
    <s v="PAT6610"/>
    <s v="Rohan Khan"/>
    <s v="Male"/>
    <n v="41"/>
    <s v="Madurai"/>
    <s v="Tamil Nadu"/>
    <x v="3"/>
    <s v="Dr. Pallavi"/>
    <s v="I10"/>
    <s v="Minor Surgery"/>
    <s v="OPD"/>
    <n v="10461.57"/>
    <s v="UPI"/>
    <s v="No"/>
    <m/>
    <m/>
    <s v="Middle-Aged"/>
    <s v="High"/>
    <s v="Short Days"/>
    <m/>
    <m/>
    <m/>
    <m/>
    <m/>
    <m/>
  </r>
  <r>
    <s v="VIS202596"/>
    <d v="2025-08-15T00:00:00"/>
    <s v="PAT5580"/>
    <s v="Priya Jose"/>
    <s v="Female"/>
    <n v="27"/>
    <s v="Jaipur"/>
    <s v="Rajasthan"/>
    <x v="3"/>
    <s v="Dr. Pallavi"/>
    <s v="J00"/>
    <s v="Medication"/>
    <s v="Teleconsultation"/>
    <n v="8029.99"/>
    <s v="Cash"/>
    <s v="No"/>
    <m/>
    <n v="7"/>
    <s v="Adult"/>
    <s v="Medium"/>
    <s v="Short Days"/>
    <m/>
    <m/>
    <m/>
    <m/>
    <m/>
    <m/>
  </r>
  <r>
    <s v="VIS202286"/>
    <d v="2024-07-09T00:00:00"/>
    <s v="PAT6457"/>
    <s v="Aditya Jose"/>
    <s v="Female"/>
    <n v="24"/>
    <s v="Kochi"/>
    <s v="Kerala"/>
    <x v="7"/>
    <s v="Dr. Leela"/>
    <s v="M54"/>
    <s v="Minor Surgery"/>
    <s v="Teleconsultation"/>
    <n v="16315.09"/>
    <s v="UPI"/>
    <s v="No"/>
    <m/>
    <n v="7"/>
    <s v="Adult"/>
    <s v="High"/>
    <s v="Short Days"/>
    <m/>
    <m/>
    <m/>
    <m/>
    <m/>
    <m/>
  </r>
  <r>
    <s v="VIS201035"/>
    <d v="2024-01-04T00:00:00"/>
    <s v="PAT6732"/>
    <s v="Priya Patel"/>
    <s v="Male"/>
    <n v="25"/>
    <s v="Kolkata"/>
    <s v="West Bengal"/>
    <x v="1"/>
    <s v="Dr. Anu"/>
    <s v="K21"/>
    <s v="Minor Procedure"/>
    <s v="IPD"/>
    <n v="10075.700000000001"/>
    <s v="Cash"/>
    <s v="No"/>
    <n v="4"/>
    <m/>
    <s v="Adult"/>
    <s v="High"/>
    <s v="Short Days"/>
    <m/>
    <m/>
    <m/>
    <m/>
    <m/>
    <m/>
  </r>
  <r>
    <s v="VIS202643"/>
    <d v="2024-05-07T00:00:00"/>
    <s v="PAT6327"/>
    <s v="Vivaan Khan"/>
    <s v="Male"/>
    <n v="67"/>
    <s v="Hyderabad"/>
    <s v="Telangana"/>
    <x v="9"/>
    <s v="Dr. Arvind"/>
    <s v="J00"/>
    <s v="Observation"/>
    <s v="OPD"/>
    <n v="5998.4"/>
    <s v="Insurance"/>
    <s v="Yes"/>
    <m/>
    <n v="14"/>
    <s v="Senior"/>
    <s v="Medium"/>
    <s v="Short Days"/>
    <m/>
    <m/>
    <m/>
    <m/>
    <m/>
    <m/>
  </r>
  <r>
    <s v="VIS201678"/>
    <d v="2024-03-06T00:00:00"/>
    <s v="PAT6644"/>
    <s v="Vishal Reddy"/>
    <s v="Male"/>
    <n v="58"/>
    <s v="Mumbai"/>
    <s v="Maharashtra"/>
    <x v="9"/>
    <s v="Dr. Kusum"/>
    <s v="J45"/>
    <s v="Medication"/>
    <s v="Teleconsultation"/>
    <n v="16599.04"/>
    <s v="UPI"/>
    <s v="No"/>
    <m/>
    <m/>
    <s v="Middle-Aged"/>
    <s v="High"/>
    <s v="Short Days"/>
    <m/>
    <m/>
    <m/>
    <m/>
    <m/>
    <m/>
  </r>
  <r>
    <s v="VIS202886"/>
    <d v="2025-03-29T00:00:00"/>
    <s v="PAT5118"/>
    <s v="Ananya Patel"/>
    <s v="Male"/>
    <n v="21"/>
    <s v="Noida"/>
    <s v="Uttar Pradesh"/>
    <x v="0"/>
    <s v="Dr. Nikhil"/>
    <s v="N39"/>
    <s v="Surgery"/>
    <s v="Teleconsultation"/>
    <n v="9507.68"/>
    <s v="Insurance"/>
    <s v="Yes"/>
    <m/>
    <n v="30"/>
    <s v="Adult"/>
    <s v="Medium"/>
    <s v="Short Days"/>
    <m/>
    <m/>
    <m/>
    <m/>
    <m/>
    <m/>
  </r>
  <r>
    <s v="VIS202059"/>
    <d v="2024-11-16T00:00:00"/>
    <s v="PAT5544"/>
    <s v="Rohan Sharma"/>
    <s v="Female"/>
    <n v="32"/>
    <s v="Kolkata"/>
    <s v="West Bengal"/>
    <x v="5"/>
    <s v="Dr. Karthik"/>
    <s v="H10"/>
    <s v="Observation"/>
    <s v="OPD"/>
    <n v="4268.8100000000004"/>
    <s v="Insurance"/>
    <s v="Yes"/>
    <m/>
    <n v="90"/>
    <s v="Adult"/>
    <s v="Low"/>
    <s v="Short Days"/>
    <m/>
    <m/>
    <m/>
    <m/>
    <m/>
    <m/>
  </r>
  <r>
    <s v="VIS200409"/>
    <d v="2024-11-10T00:00:00"/>
    <s v="PAT5029"/>
    <s v="Kavya Kumar"/>
    <s v="Male"/>
    <n v="43"/>
    <s v="Pune"/>
    <s v="Maharashtra"/>
    <x v="1"/>
    <s v="Dr. Anu"/>
    <s v="M54"/>
    <s v="Minor Surgery"/>
    <s v="Teleconsultation"/>
    <n v="5165.1099999999997"/>
    <s v="Debit Card"/>
    <s v="No"/>
    <m/>
    <n v="30"/>
    <s v="Middle-Aged"/>
    <s v="Medium"/>
    <s v="Short Days"/>
    <m/>
    <m/>
    <m/>
    <m/>
    <m/>
    <m/>
  </r>
  <r>
    <s v="VIS201659"/>
    <d v="2024-06-30T00:00:00"/>
    <s v="PAT6977"/>
    <s v="Aishwarya Mishra"/>
    <s v="Male"/>
    <n v="59"/>
    <s v="Hyderabad"/>
    <s v="Telangana"/>
    <x v="6"/>
    <s v="Dr. Lalitha"/>
    <s v="K21"/>
    <s v="Medication"/>
    <s v="OPD"/>
    <n v="9992.48"/>
    <s v="Net Banking"/>
    <s v="No"/>
    <m/>
    <n v="7"/>
    <s v="Middle-Aged"/>
    <s v="Medium"/>
    <s v="Short Days"/>
    <m/>
    <m/>
    <m/>
    <m/>
    <m/>
    <m/>
  </r>
  <r>
    <s v="VIS200451"/>
    <d v="2024-09-11T00:00:00"/>
    <s v="PAT6690"/>
    <s v="Sangeetha Khan"/>
    <s v="Male"/>
    <n v="56"/>
    <s v="Ahmedabad"/>
    <s v="Gujarat"/>
    <x v="9"/>
    <s v="Dr. Arvind"/>
    <s v="J00"/>
    <s v="Minor Procedure"/>
    <s v="OPD"/>
    <n v="6573.29"/>
    <s v="UPI"/>
    <s v="No"/>
    <m/>
    <n v="7"/>
    <s v="Middle-Aged"/>
    <s v="Medium"/>
    <s v="Short Days"/>
    <m/>
    <m/>
    <m/>
    <m/>
    <m/>
    <m/>
  </r>
  <r>
    <s v="VIS202927"/>
    <d v="2024-07-27T00:00:00"/>
    <s v="PAT5114"/>
    <s v="Deepa Nagar"/>
    <s v="Male"/>
    <n v="81"/>
    <s v="Bengaluru"/>
    <s v="Karnataka"/>
    <x v="3"/>
    <s v="Dr. Pallavi"/>
    <s v="N39"/>
    <s v="Physiotherapy"/>
    <s v="Teleconsultation"/>
    <n v="9520.35"/>
    <s v="UPI"/>
    <s v="No"/>
    <m/>
    <n v="14"/>
    <s v="Senior"/>
    <s v="Medium"/>
    <s v="Short Days"/>
    <m/>
    <m/>
    <m/>
    <m/>
    <m/>
    <m/>
  </r>
  <r>
    <s v="VIS201115"/>
    <d v="2025-01-02T00:00:00"/>
    <s v="PAT5362"/>
    <s v="Deepa Kumar"/>
    <s v="Female"/>
    <n v="48"/>
    <s v="Pune"/>
    <s v="Maharashtra"/>
    <x v="8"/>
    <s v="Dr. Kavitha"/>
    <s v="M54"/>
    <s v="Surgery"/>
    <s v="Emergency"/>
    <n v="7389.36"/>
    <s v="Insurance"/>
    <s v="Yes"/>
    <m/>
    <n v="14"/>
    <s v="Middle-Aged"/>
    <s v="Medium"/>
    <s v="Short Days"/>
    <m/>
    <m/>
    <m/>
    <m/>
    <m/>
    <m/>
  </r>
  <r>
    <s v="VIS200284"/>
    <d v="2025-03-23T00:00:00"/>
    <s v="PAT6823"/>
    <s v="Ananya Gupta"/>
    <s v="Male"/>
    <n v="26"/>
    <s v="Lucknow"/>
    <s v="Uttar Pradesh"/>
    <x v="0"/>
    <s v="Dr. Nikhil"/>
    <s v="L40"/>
    <s v="Minor Surgery"/>
    <s v="Teleconsultation"/>
    <n v="9146.2999999999993"/>
    <s v="Insurance"/>
    <s v="Yes"/>
    <m/>
    <n v="14"/>
    <s v="Adult"/>
    <s v="Medium"/>
    <s v="Short Days"/>
    <m/>
    <m/>
    <m/>
    <m/>
    <m/>
    <m/>
  </r>
  <r>
    <s v="VIS200886"/>
    <d v="2024-02-29T00:00:00"/>
    <s v="PAT6294"/>
    <s v="Rohan Iyer"/>
    <s v="Male"/>
    <n v="30"/>
    <s v="Kolkata"/>
    <s v="West Bengal"/>
    <x v="9"/>
    <s v="Dr. Kusum"/>
    <s v="K21"/>
    <s v="Medication"/>
    <s v="OPD"/>
    <n v="6102.43"/>
    <s v="Cash"/>
    <s v="No"/>
    <m/>
    <n v="90"/>
    <s v="Adult"/>
    <s v="Medium"/>
    <s v="Short Days"/>
    <m/>
    <m/>
    <m/>
    <m/>
    <m/>
    <m/>
  </r>
  <r>
    <s v="VIS201762"/>
    <d v="2024-10-11T00:00:00"/>
    <s v="PAT5664"/>
    <s v="Deepa Sharma"/>
    <s v="Female"/>
    <n v="38"/>
    <s v="Lucknow"/>
    <s v="Uttar Pradesh"/>
    <x v="2"/>
    <s v="Dr. Manoj"/>
    <s v="K21"/>
    <s v="Medication"/>
    <s v="OPD"/>
    <n v="556.72"/>
    <s v="Debit Card"/>
    <s v="No"/>
    <m/>
    <n v="14"/>
    <s v="Adult"/>
    <s v="Low"/>
    <s v="Short Days"/>
    <m/>
    <m/>
    <m/>
    <m/>
    <m/>
    <m/>
  </r>
  <r>
    <s v="VIS202548"/>
    <d v="2024-08-20T00:00:00"/>
    <s v="PAT5626"/>
    <s v="Rohan Nagar"/>
    <s v="Female"/>
    <n v="18"/>
    <s v="Madurai"/>
    <s v="Tamil Nadu"/>
    <x v="1"/>
    <s v="Dr. Suri"/>
    <s v="K21"/>
    <s v="Minor Surgery"/>
    <s v="OPD"/>
    <n v="1376.68"/>
    <s v="Cash"/>
    <s v="No"/>
    <m/>
    <m/>
    <s v="Adult"/>
    <s v="Low"/>
    <s v="Short Days"/>
    <m/>
    <m/>
    <m/>
    <m/>
    <m/>
    <m/>
  </r>
  <r>
    <s v="VIS200611"/>
    <d v="2025-10-19T00:00:00"/>
    <s v="PAT5986"/>
    <s v="Vivaan Nair"/>
    <s v="Female"/>
    <n v="48"/>
    <s v="Hyderabad"/>
    <s v="Telangana"/>
    <x v="9"/>
    <s v="Dr. Arvind"/>
    <s v="K21"/>
    <s v="Minor Procedure"/>
    <s v="OPD"/>
    <n v="2506.63"/>
    <s v="Insurance"/>
    <s v="Yes"/>
    <m/>
    <n v="90"/>
    <s v="Middle-Aged"/>
    <s v="Low"/>
    <s v="Short Days"/>
    <m/>
    <m/>
    <m/>
    <m/>
    <m/>
    <m/>
  </r>
  <r>
    <s v="VIS201383"/>
    <d v="2024-06-28T00:00:00"/>
    <s v="PAT6196"/>
    <s v="Anil Bose"/>
    <s v="Male"/>
    <n v="33"/>
    <s v="Bengaluru"/>
    <s v="Karnataka"/>
    <x v="6"/>
    <s v="Dr. Lalitha"/>
    <s v="J00"/>
    <s v="Minor Procedure"/>
    <s v="OPD"/>
    <n v="12632.96"/>
    <s v="Credit Card"/>
    <s v="No"/>
    <m/>
    <m/>
    <s v="Adult"/>
    <s v="High"/>
    <s v="Short Days"/>
    <m/>
    <m/>
    <m/>
    <m/>
    <m/>
    <m/>
  </r>
  <r>
    <s v="VIS201779"/>
    <d v="2024-04-08T00:00:00"/>
    <s v="PAT5065"/>
    <s v="Aishwarya Sharma"/>
    <s v="Male"/>
    <n v="24"/>
    <s v="Kochi"/>
    <s v="Kerala"/>
    <x v="7"/>
    <s v="Dr. Surya"/>
    <s v="J00"/>
    <s v="Medication"/>
    <s v="Teleconsultation"/>
    <n v="7469.29"/>
    <s v="Cash"/>
    <s v="No"/>
    <m/>
    <n v="7"/>
    <s v="Adult"/>
    <s v="Medium"/>
    <s v="Short Days"/>
    <m/>
    <m/>
    <m/>
    <m/>
    <m/>
    <m/>
  </r>
  <r>
    <s v="VIS202985"/>
    <d v="2025-05-14T00:00:00"/>
    <s v="PAT6369"/>
    <s v="Neha Singh"/>
    <s v="Male"/>
    <n v="52"/>
    <s v="Mumbai"/>
    <s v="Maharashtra"/>
    <x v="3"/>
    <s v="Dr. Anand"/>
    <s v="M54"/>
    <s v="Medication"/>
    <s v="OPD"/>
    <n v="1216.77"/>
    <s v="UPI"/>
    <s v="No"/>
    <m/>
    <n v="14"/>
    <s v="Middle-Aged"/>
    <s v="Low"/>
    <s v="Short Days"/>
    <m/>
    <m/>
    <m/>
    <m/>
    <m/>
    <m/>
  </r>
  <r>
    <s v="VIS201633"/>
    <d v="2025-07-15T00:00:00"/>
    <s v="PAT6842"/>
    <s v="Priya Nair"/>
    <s v="Male"/>
    <n v="41"/>
    <s v="Ahmedabad"/>
    <s v="Gujarat"/>
    <x v="1"/>
    <s v="Dr. Anu"/>
    <s v="I10"/>
    <s v="Counselling"/>
    <s v="OPD"/>
    <n v="3479.79"/>
    <s v="Cash"/>
    <s v="No"/>
    <m/>
    <n v="7"/>
    <s v="Middle-Aged"/>
    <s v="Low"/>
    <s v="Short Days"/>
    <m/>
    <m/>
    <m/>
    <m/>
    <m/>
    <m/>
  </r>
  <r>
    <s v="VIS202547"/>
    <d v="2024-12-17T00:00:00"/>
    <s v="PAT5684"/>
    <s v="Kavya Iyer"/>
    <s v="Female"/>
    <n v="33"/>
    <s v="Kolkata"/>
    <s v="West Bengal"/>
    <x v="0"/>
    <s v="Dr. Nikhil"/>
    <s v="F41"/>
    <s v="Minor Surgery"/>
    <s v="Teleconsultation"/>
    <n v="14099.72"/>
    <s v="Cash"/>
    <s v="No"/>
    <m/>
    <n v="7"/>
    <s v="Adult"/>
    <s v="High"/>
    <s v="Short Days"/>
    <m/>
    <m/>
    <m/>
    <m/>
    <m/>
    <m/>
  </r>
  <r>
    <s v="VIS201360"/>
    <d v="2024-07-24T00:00:00"/>
    <s v="PAT6921"/>
    <s v="Kavya Reddy"/>
    <s v="Female"/>
    <n v="56"/>
    <s v="Lucknow"/>
    <s v="Uttar Pradesh"/>
    <x v="7"/>
    <s v="Dr. Leela"/>
    <s v="E11"/>
    <s v="Prescription Refill"/>
    <s v="IPD"/>
    <n v="9816.2900000000009"/>
    <s v="Insurance"/>
    <s v="Yes"/>
    <n v="2"/>
    <n v="30"/>
    <s v="Middle-Aged"/>
    <s v="Medium"/>
    <s v="Short Days"/>
    <m/>
    <m/>
    <m/>
    <m/>
    <m/>
    <m/>
  </r>
  <r>
    <s v="VIS200183"/>
    <d v="2024-09-19T00:00:00"/>
    <s v="PAT6115"/>
    <s v="Vivaan Jose"/>
    <s v="Male"/>
    <n v="41"/>
    <s v="Mumbai"/>
    <s v="Maharashtra"/>
    <x v="9"/>
    <s v="Dr. Arvind"/>
    <s v="N39"/>
    <s v="Counselling"/>
    <s v="OPD"/>
    <n v="1357.41"/>
    <s v="Insurance"/>
    <s v="Yes"/>
    <m/>
    <m/>
    <s v="Middle-Aged"/>
    <s v="Low"/>
    <s v="Short Days"/>
    <m/>
    <m/>
    <m/>
    <m/>
    <m/>
    <m/>
  </r>
  <r>
    <s v="VIS200980"/>
    <d v="2025-09-04T00:00:00"/>
    <s v="PAT5293"/>
    <s v="Priya Sharma"/>
    <s v="Female"/>
    <n v="28"/>
    <s v="Ahmedabad"/>
    <s v="Gujarat"/>
    <x v="5"/>
    <s v="Dr. Meena"/>
    <s v="J45"/>
    <s v="Medication"/>
    <s v="Teleconsultation"/>
    <n v="11994.01"/>
    <s v="UPI"/>
    <s v="No"/>
    <m/>
    <m/>
    <s v="Adult"/>
    <s v="High"/>
    <s v="Short Days"/>
    <m/>
    <m/>
    <m/>
    <m/>
    <m/>
    <m/>
  </r>
  <r>
    <s v="VIS201634"/>
    <d v="2024-11-16T00:00:00"/>
    <s v="PAT6461"/>
    <s v="Rohan Nagar"/>
    <s v="Male"/>
    <n v="26"/>
    <s v="Delhi"/>
    <s v="Tamil Nadu"/>
    <x v="1"/>
    <s v="Dr. Suri"/>
    <s v="Z111"/>
    <s v="Surgery"/>
    <s v="IPD"/>
    <n v="6814.03"/>
    <s v="Cash"/>
    <s v="No"/>
    <n v="4"/>
    <n v="14"/>
    <s v="Adult"/>
    <s v="Medium"/>
    <s v="Short Days"/>
    <m/>
    <m/>
    <m/>
    <m/>
    <m/>
    <m/>
  </r>
  <r>
    <s v="VIS200117"/>
    <d v="2024-11-02T00:00:00"/>
    <s v="PAT6576"/>
    <s v="Vivaan Jose"/>
    <s v="Female"/>
    <n v="9"/>
    <s v="Kolkata"/>
    <s v="West Bengal"/>
    <x v="4"/>
    <s v="Dr. Varun"/>
    <s v="J00"/>
    <s v="Medication"/>
    <s v="OPD"/>
    <n v="13517.09"/>
    <s v="Debit Card"/>
    <s v="No"/>
    <m/>
    <n v="14"/>
    <s v="Child"/>
    <s v="High"/>
    <s v="Short Days"/>
    <m/>
    <m/>
    <m/>
    <m/>
    <m/>
    <m/>
  </r>
  <r>
    <s v="VIS202464"/>
    <d v="2025-11-03T00:00:00"/>
    <s v="PAT5717"/>
    <s v="Shruti Iyer"/>
    <s v="Male"/>
    <n v="40"/>
    <s v="Chennai"/>
    <s v="Tamil Nadu"/>
    <x v="1"/>
    <s v="Dr. Suri"/>
    <s v="N39"/>
    <s v="Surgery"/>
    <s v="Teleconsultation"/>
    <n v="11052.78"/>
    <s v="Cash"/>
    <s v="No"/>
    <m/>
    <m/>
    <s v="Adult"/>
    <s v="High"/>
    <s v="Short Days"/>
    <m/>
    <m/>
    <m/>
    <m/>
    <m/>
    <m/>
  </r>
  <r>
    <s v="VIS201847"/>
    <d v="2024-03-07T00:00:00"/>
    <s v="PAT5172"/>
    <s v="Manisha Nagar"/>
    <s v="Female"/>
    <n v="23"/>
    <s v="Chennai"/>
    <s v="Tamil Nadu"/>
    <x v="1"/>
    <s v="Dr. Anu"/>
    <s v="H10"/>
    <s v="Minor Procedure"/>
    <s v="Emergency"/>
    <n v="11635.5"/>
    <s v="Cash"/>
    <s v="No"/>
    <m/>
    <n v="14"/>
    <s v="Adult"/>
    <s v="High"/>
    <s v="Short Days"/>
    <m/>
    <m/>
    <m/>
    <m/>
    <m/>
    <m/>
  </r>
  <r>
    <s v="VIS201472"/>
    <d v="2024-05-05T00:00:00"/>
    <s v="PAT5941"/>
    <s v="Shruti Nagar"/>
    <s v="Male"/>
    <n v="45"/>
    <s v="Jaipur"/>
    <s v="Rajasthan"/>
    <x v="8"/>
    <s v="Dr. Sneha"/>
    <s v="N39"/>
    <s v="Medication"/>
    <s v="OPD"/>
    <n v="6497.96"/>
    <s v="Debit Card"/>
    <s v="No"/>
    <m/>
    <m/>
    <s v="Middle-Aged"/>
    <s v="Medium"/>
    <s v="Short Days"/>
    <m/>
    <m/>
    <m/>
    <m/>
    <m/>
    <m/>
  </r>
  <r>
    <s v="VIS201093"/>
    <d v="2025-08-25T00:00:00"/>
    <s v="PAT5746"/>
    <s v="Ishaan Das"/>
    <s v="Male"/>
    <n v="35"/>
    <s v="Jaipur"/>
    <s v="Rajasthan"/>
    <x v="6"/>
    <s v="Dr. Lalitha"/>
    <s v="J45"/>
    <s v="Minor Procedure"/>
    <s v="Teleconsultation"/>
    <n v="25471.65"/>
    <s v="Cash"/>
    <s v="No"/>
    <m/>
    <m/>
    <s v="Adult"/>
    <s v="High"/>
    <s v="Short Days"/>
    <m/>
    <m/>
    <m/>
    <m/>
    <m/>
    <m/>
  </r>
  <r>
    <s v="VIS200384"/>
    <d v="2024-09-28T00:00:00"/>
    <s v="PAT6773"/>
    <s v="Vivaan Nair"/>
    <s v="Male"/>
    <n v="41"/>
    <s v="Delhi"/>
    <s v="Delhi"/>
    <x v="7"/>
    <s v="Dr. Leela"/>
    <s v="J00"/>
    <s v="Minor Surgery"/>
    <s v="OPD"/>
    <n v="839.33"/>
    <s v="Net Banking"/>
    <s v="No"/>
    <m/>
    <n v="90"/>
    <s v="Middle-Aged"/>
    <s v="Low"/>
    <s v="Short Days"/>
    <m/>
    <m/>
    <m/>
    <m/>
    <m/>
    <m/>
  </r>
  <r>
    <s v="VIS201625"/>
    <d v="2024-06-13T00:00:00"/>
    <s v="PAT5033"/>
    <s v="Siddharth Kumar"/>
    <s v="Male"/>
    <n v="59"/>
    <s v="Trichy"/>
    <s v="Tamil Nadu"/>
    <x v="2"/>
    <s v="Dr. Ramesh"/>
    <s v="K21"/>
    <s v="Surgery"/>
    <s v="Teleconsultation"/>
    <n v="8620.4500000000007"/>
    <s v="Cash"/>
    <s v="No"/>
    <m/>
    <n v="7"/>
    <s v="Middle-Aged"/>
    <s v="Medium"/>
    <s v="Short Days"/>
    <m/>
    <m/>
    <m/>
    <m/>
    <m/>
    <m/>
  </r>
  <r>
    <s v="VIS202052"/>
    <d v="2025-05-29T00:00:00"/>
    <s v="PAT6943"/>
    <s v="Arjun Singh"/>
    <s v="Male"/>
    <n v="52"/>
    <s v="Coimbatore"/>
    <s v="Tamil Nadu"/>
    <x v="6"/>
    <s v="Dr. Priya"/>
    <s v="K21"/>
    <s v="Surgery"/>
    <s v="IPD"/>
    <n v="13555.53"/>
    <s v="Debit Card"/>
    <s v="No"/>
    <n v="7"/>
    <m/>
    <s v="Middle-Aged"/>
    <s v="High"/>
    <s v="Long Days"/>
    <m/>
    <m/>
    <m/>
    <m/>
    <m/>
    <m/>
  </r>
  <r>
    <s v="VIS201906"/>
    <d v="2025-06-02T00:00:00"/>
    <s v="PAT5510"/>
    <s v="Aarav Nagar"/>
    <s v="Female"/>
    <n v="38"/>
    <s v="Pune"/>
    <s v="Maharashtra"/>
    <x v="2"/>
    <s v="Dr. Ramesh"/>
    <s v="I10"/>
    <s v="Minor Procedure"/>
    <s v="OPD"/>
    <n v="3667.68"/>
    <s v="Insurance"/>
    <s v="Yes"/>
    <m/>
    <n v="14"/>
    <s v="Adult"/>
    <s v="Low"/>
    <s v="Short Days"/>
    <m/>
    <m/>
    <m/>
    <m/>
    <m/>
    <m/>
  </r>
  <r>
    <s v="VIS200553"/>
    <d v="2024-05-19T00:00:00"/>
    <s v="PAT5362"/>
    <s v="Aishwarya Das"/>
    <s v="Female"/>
    <n v="42"/>
    <s v="Kochi"/>
    <s v="Kerala"/>
    <x v="7"/>
    <s v="Dr. Surya"/>
    <s v="K21"/>
    <s v="Surgery"/>
    <s v="OPD"/>
    <n v="7115.85"/>
    <s v="Debit Card"/>
    <s v="No"/>
    <m/>
    <n v="90"/>
    <s v="Middle-Aged"/>
    <s v="Medium"/>
    <s v="Short Days"/>
    <m/>
    <m/>
    <m/>
    <m/>
    <m/>
    <m/>
  </r>
  <r>
    <s v="VIS200958"/>
    <d v="2024-03-06T00:00:00"/>
    <s v="PAT5201"/>
    <s v="Aishwarya Khan"/>
    <s v="Male"/>
    <n v="29"/>
    <s v="Coimbatore"/>
    <s v="Tamil Nadu"/>
    <x v="0"/>
    <s v="Dr. Nikhil"/>
    <s v="J00"/>
    <s v="Minor Surgery"/>
    <s v="OPD"/>
    <n v="11305.83"/>
    <s v="Credit Card"/>
    <s v="No"/>
    <m/>
    <m/>
    <s v="Adult"/>
    <s v="High"/>
    <s v="Short Days"/>
    <m/>
    <m/>
    <m/>
    <m/>
    <m/>
    <m/>
  </r>
  <r>
    <s v="VIS200087"/>
    <d v="2024-11-28T00:00:00"/>
    <s v="PAT6625"/>
    <s v="Aditya Sharma"/>
    <s v="Male"/>
    <n v="29"/>
    <s v="Noida"/>
    <s v="Uttar Pradesh"/>
    <x v="4"/>
    <s v="Dr. Bhavana"/>
    <s v="I10"/>
    <s v="Observation"/>
    <s v="OPD"/>
    <n v="270.92"/>
    <s v="Insurance"/>
    <s v="Yes"/>
    <m/>
    <m/>
    <s v="Adult"/>
    <s v="Low"/>
    <s v="Short Days"/>
    <m/>
    <m/>
    <m/>
    <m/>
    <m/>
    <m/>
  </r>
  <r>
    <s v="VIS202371"/>
    <d v="2025-08-06T00:00:00"/>
    <s v="PAT6387"/>
    <s v="Aishwarya Iyer"/>
    <s v="Male"/>
    <n v="68"/>
    <s v="Pune"/>
    <s v="Maharashtra"/>
    <x v="7"/>
    <s v="Dr. Surya"/>
    <s v="N39"/>
    <s v="Observation"/>
    <s v="Emergency"/>
    <n v="11934.63"/>
    <s v="Net Banking"/>
    <s v="No"/>
    <m/>
    <n v="30"/>
    <s v="Senior"/>
    <s v="High"/>
    <s v="Short Days"/>
    <m/>
    <m/>
    <m/>
    <m/>
    <m/>
    <m/>
  </r>
  <r>
    <s v="VIS200631"/>
    <d v="2025-01-20T00:00:00"/>
    <s v="PAT6782"/>
    <s v="Vivaan Nagar"/>
    <s v="Male"/>
    <n v="51"/>
    <s v="Kochi"/>
    <s v="Kerala"/>
    <x v="5"/>
    <s v="Dr. Karthik"/>
    <s v="Z111"/>
    <s v="Observation"/>
    <s v="Teleconsultation"/>
    <n v="15739.22"/>
    <s v="Debit Card"/>
    <s v="No"/>
    <m/>
    <m/>
    <s v="Middle-Aged"/>
    <s v="High"/>
    <s v="Short Days"/>
    <m/>
    <m/>
    <m/>
    <m/>
    <m/>
    <m/>
  </r>
  <r>
    <s v="VIS200702"/>
    <d v="2025-08-24T00:00:00"/>
    <s v="PAT5402"/>
    <s v="Vivaan Patel"/>
    <s v="Male"/>
    <n v="37"/>
    <s v="Delhi"/>
    <s v="Delhi"/>
    <x v="8"/>
    <s v="Dr. Sneha"/>
    <s v="N39"/>
    <s v="Counselling"/>
    <s v="OPD"/>
    <n v="5260.54"/>
    <s v="Cash"/>
    <s v="No"/>
    <m/>
    <m/>
    <s v="Adult"/>
    <s v="Medium"/>
    <s v="Short Days"/>
    <m/>
    <m/>
    <m/>
    <m/>
    <m/>
    <m/>
  </r>
  <r>
    <s v="VIS200425"/>
    <d v="2025-10-21T00:00:00"/>
    <s v="PAT6285"/>
    <s v="Ananya Nagar"/>
    <s v="Female"/>
    <n v="20"/>
    <s v="Bengaluru"/>
    <s v="Karnataka"/>
    <x v="9"/>
    <s v="Dr. Kusum"/>
    <s v="K21"/>
    <s v="Minor Surgery"/>
    <s v="OPD"/>
    <n v="2387.34"/>
    <s v="UPI"/>
    <s v="No"/>
    <m/>
    <m/>
    <s v="Adult"/>
    <s v="Low"/>
    <s v="Short Days"/>
    <m/>
    <m/>
    <m/>
    <m/>
    <m/>
    <m/>
  </r>
  <r>
    <s v="VIS202331"/>
    <d v="2025-03-27T00:00:00"/>
    <s v="PAT6846"/>
    <s v="Ishaan Kumar"/>
    <s v="Female"/>
    <n v="27"/>
    <s v="Madurai"/>
    <s v="Tamil Nadu"/>
    <x v="4"/>
    <s v="Dr. Bhavana"/>
    <s v="M54"/>
    <s v="Surgery"/>
    <s v="OPD"/>
    <n v="6031.03"/>
    <s v="UPI"/>
    <s v="No"/>
    <m/>
    <n v="7"/>
    <s v="Adult"/>
    <s v="Medium"/>
    <s v="Short Days"/>
    <m/>
    <m/>
    <m/>
    <m/>
    <m/>
    <m/>
  </r>
  <r>
    <s v="VIS201094"/>
    <d v="2025-03-02T00:00:00"/>
    <s v="PAT5860"/>
    <s v="Ishaan Iyer"/>
    <s v="Male"/>
    <n v="69"/>
    <s v="Madurai"/>
    <s v="Tamil Nadu"/>
    <x v="3"/>
    <s v="Dr. Pallavi"/>
    <s v="J00"/>
    <s v="Physiotherapy"/>
    <s v="Teleconsultation"/>
    <n v="9454.23"/>
    <s v="Debit Card"/>
    <s v="No"/>
    <m/>
    <n v="14"/>
    <s v="Senior"/>
    <s v="Medium"/>
    <s v="Short Days"/>
    <m/>
    <m/>
    <m/>
    <m/>
    <m/>
    <m/>
  </r>
  <r>
    <s v="VIS200741"/>
    <d v="2025-01-23T00:00:00"/>
    <s v="PAT6396"/>
    <s v="Vivaan Patel"/>
    <s v="Male"/>
    <n v="69"/>
    <s v="Coimbatore"/>
    <s v="Tamil Nadu"/>
    <x v="5"/>
    <s v="Dr. Ravi"/>
    <s v="M54"/>
    <s v="Prescription Refill"/>
    <s v="OPD"/>
    <n v="485.25"/>
    <s v="Debit Card"/>
    <s v="No"/>
    <m/>
    <m/>
    <s v="Senior"/>
    <s v="Low"/>
    <s v="Short Days"/>
    <m/>
    <m/>
    <m/>
    <m/>
    <m/>
    <m/>
  </r>
  <r>
    <s v="VIS200037"/>
    <d v="2025-07-10T00:00:00"/>
    <s v="PAT5539"/>
    <s v="Aishwarya Khan"/>
    <s v="Male"/>
    <n v="37"/>
    <s v="Trichy"/>
    <s v="Tamil Nadu"/>
    <x v="2"/>
    <s v="Dr. Ramesh"/>
    <s v="J00"/>
    <s v="Counselling"/>
    <s v="OPD"/>
    <n v="2589.0300000000002"/>
    <s v="Credit Card"/>
    <s v="No"/>
    <m/>
    <n v="7"/>
    <s v="Adult"/>
    <s v="Low"/>
    <s v="Short Days"/>
    <m/>
    <m/>
    <m/>
    <m/>
    <m/>
    <m/>
  </r>
  <r>
    <s v="VIS201023"/>
    <d v="2024-11-21T00:00:00"/>
    <s v="PAT6559"/>
    <s v="Aditya Singh"/>
    <s v="Female"/>
    <n v="41"/>
    <s v="Lucknow"/>
    <s v="Uttar Pradesh"/>
    <x v="7"/>
    <s v="Dr. Leela"/>
    <s v="M54"/>
    <s v="Physiotherapy"/>
    <s v="OPD"/>
    <n v="418.94"/>
    <s v="Credit Card"/>
    <s v="No"/>
    <m/>
    <n v="30"/>
    <s v="Middle-Aged"/>
    <s v="Low"/>
    <s v="Short Days"/>
    <m/>
    <m/>
    <m/>
    <m/>
    <m/>
    <m/>
  </r>
  <r>
    <s v="VIS200576"/>
    <d v="2024-04-28T00:00:00"/>
    <s v="PAT6244"/>
    <s v="Rahul Jose"/>
    <s v="Male"/>
    <n v="61"/>
    <s v="Bengaluru"/>
    <s v="Karnataka"/>
    <x v="9"/>
    <s v="Dr. Arvind"/>
    <s v="J45"/>
    <s v="Prescription Refill"/>
    <s v="OPD"/>
    <n v="3958.97"/>
    <s v="UPI"/>
    <s v="No"/>
    <m/>
    <n v="7"/>
    <s v="Senior"/>
    <s v="Low"/>
    <s v="Short Days"/>
    <m/>
    <m/>
    <m/>
    <m/>
    <m/>
    <m/>
  </r>
  <r>
    <s v="VIS202606"/>
    <d v="2025-06-30T00:00:00"/>
    <s v="PAT5526"/>
    <s v="Manisha Nair"/>
    <s v="Male"/>
    <n v="22"/>
    <s v="Madurai"/>
    <s v="Tamil Nadu"/>
    <x v="5"/>
    <s v="Dr. Karthik"/>
    <s v="J45"/>
    <s v="Prescription Refill"/>
    <s v="OPD"/>
    <n v="5090.84"/>
    <s v="UPI"/>
    <s v="No"/>
    <m/>
    <m/>
    <s v="Adult"/>
    <s v="Medium"/>
    <s v="Short Days"/>
    <m/>
    <m/>
    <m/>
    <m/>
    <m/>
    <m/>
  </r>
  <r>
    <s v="VIS202091"/>
    <d v="2024-02-05T00:00:00"/>
    <s v="PAT6444"/>
    <s v="Siddharth Nair"/>
    <s v="Other"/>
    <n v="37"/>
    <s v="Lucknow"/>
    <s v="Uttar Pradesh"/>
    <x v="3"/>
    <s v="Dr. Anand"/>
    <s v="H10"/>
    <s v="Counselling"/>
    <s v="OPD"/>
    <n v="8373.5300000000007"/>
    <s v="Cash"/>
    <s v="No"/>
    <m/>
    <n v="7"/>
    <s v="Adult"/>
    <s v="Medium"/>
    <s v="Short Days"/>
    <m/>
    <m/>
    <m/>
    <m/>
    <m/>
    <m/>
  </r>
  <r>
    <s v="VIS202465"/>
    <d v="2025-10-27T00:00:00"/>
    <s v="PAT6615"/>
    <s v="Rohan Iyer"/>
    <s v="Female"/>
    <n v="47"/>
    <s v="Kolkata"/>
    <s v="West Bengal"/>
    <x v="3"/>
    <s v="Dr. Anand"/>
    <s v="L40"/>
    <s v="Surgery"/>
    <s v="Teleconsultation"/>
    <n v="16362.75"/>
    <s v="UPI"/>
    <s v="No"/>
    <m/>
    <n v="90"/>
    <s v="Middle-Aged"/>
    <s v="High"/>
    <s v="Short Days"/>
    <m/>
    <m/>
    <m/>
    <m/>
    <m/>
    <m/>
  </r>
  <r>
    <s v="VIS201188"/>
    <d v="2024-06-06T00:00:00"/>
    <s v="PAT6836"/>
    <s v="Vivaan Jose"/>
    <s v="Female"/>
    <n v="39"/>
    <s v="Delhi"/>
    <s v="Delhi"/>
    <x v="7"/>
    <s v="Dr. Leela"/>
    <s v="J45"/>
    <s v="Observation"/>
    <s v="Teleconsultation"/>
    <n v="5136.6400000000003"/>
    <s v="UPI"/>
    <s v="No"/>
    <m/>
    <n v="90"/>
    <s v="Adult"/>
    <s v="Medium"/>
    <s v="Short Days"/>
    <m/>
    <m/>
    <m/>
    <m/>
    <m/>
    <m/>
  </r>
  <r>
    <s v="VIS202869"/>
    <d v="2024-04-20T00:00:00"/>
    <s v="PAT6846"/>
    <s v="Ananya Gupta"/>
    <s v="Male"/>
    <n v="30"/>
    <s v="Kolkata"/>
    <s v="West Bengal"/>
    <x v="9"/>
    <s v="Dr. Kusum"/>
    <s v="K21"/>
    <s v="Observation"/>
    <s v="OPD"/>
    <n v="364.37"/>
    <s v="Credit Card"/>
    <s v="No"/>
    <m/>
    <n v="90"/>
    <s v="Adult"/>
    <s v="Low"/>
    <s v="Short Days"/>
    <m/>
    <m/>
    <m/>
    <m/>
    <m/>
    <m/>
  </r>
  <r>
    <s v="VIS201899"/>
    <d v="2025-03-05T00:00:00"/>
    <s v="PAT6562"/>
    <s v="Karthik Reddy"/>
    <s v="Female"/>
    <n v="26"/>
    <s v="Madurai"/>
    <s v="Tamil Nadu"/>
    <x v="8"/>
    <s v="Dr. Sneha"/>
    <s v="K21"/>
    <s v="Minor Surgery"/>
    <s v="OPD"/>
    <n v="4429.57"/>
    <s v="Cash"/>
    <s v="No"/>
    <m/>
    <m/>
    <s v="Adult"/>
    <s v="Low"/>
    <s v="Short Days"/>
    <m/>
    <m/>
    <m/>
    <m/>
    <m/>
    <m/>
  </r>
  <r>
    <s v="VIS202198"/>
    <d v="2024-10-12T00:00:00"/>
    <s v="PAT6405"/>
    <s v="Siddharth Sharma"/>
    <s v="Male"/>
    <n v="49"/>
    <s v="Jaipur"/>
    <s v="Rajasthan"/>
    <x v="5"/>
    <s v="Dr. Ravi"/>
    <s v="I10"/>
    <s v="Medication"/>
    <s v="OPD"/>
    <n v="10871.57"/>
    <s v="Net Banking"/>
    <s v="No"/>
    <m/>
    <n v="30"/>
    <s v="Middle-Aged"/>
    <s v="High"/>
    <s v="Short Days"/>
    <m/>
    <m/>
    <m/>
    <m/>
    <m/>
    <m/>
  </r>
  <r>
    <s v="VIS202830"/>
    <d v="2024-11-24T00:00:00"/>
    <s v="PAT5709"/>
    <s v="Rahul Khan"/>
    <s v="Male"/>
    <n v="46"/>
    <s v="Madurai"/>
    <s v="Tamil Nadu"/>
    <x v="4"/>
    <s v="Dr. Bhavana"/>
    <s v="J45"/>
    <s v="Counselling"/>
    <s v="OPD"/>
    <n v="11572.79"/>
    <s v="Debit Card"/>
    <s v="No"/>
    <m/>
    <n v="7"/>
    <s v="Middle-Aged"/>
    <s v="High"/>
    <s v="Short Days"/>
    <m/>
    <m/>
    <m/>
    <m/>
    <m/>
    <m/>
  </r>
  <r>
    <s v="VIS200450"/>
    <d v="2024-12-18T00:00:00"/>
    <s v="PAT5438"/>
    <s v="Manisha Kumar"/>
    <s v="Male"/>
    <n v="30"/>
    <s v="Chennai"/>
    <s v="Tamil Nadu"/>
    <x v="9"/>
    <s v="Dr. Arvind"/>
    <s v="I10"/>
    <s v="Medication"/>
    <s v="Teleconsultation"/>
    <n v="11191.09"/>
    <s v="Cash"/>
    <s v="No"/>
    <m/>
    <m/>
    <s v="Adult"/>
    <s v="High"/>
    <s v="Short Days"/>
    <m/>
    <m/>
    <m/>
    <m/>
    <m/>
    <m/>
  </r>
  <r>
    <s v="VIS201983"/>
    <d v="2025-09-19T00:00:00"/>
    <s v="PAT5848"/>
    <s v="Sangeetha Singh"/>
    <s v="Female"/>
    <n v="34"/>
    <s v="Madurai"/>
    <s v="Tamil Nadu"/>
    <x v="1"/>
    <s v="Dr. Anu"/>
    <s v="H10"/>
    <s v="Minor Surgery"/>
    <s v="OPD"/>
    <n v="1480.03"/>
    <s v="UPI"/>
    <s v="No"/>
    <m/>
    <n v="90"/>
    <s v="Adult"/>
    <s v="Low"/>
    <s v="Short Days"/>
    <m/>
    <m/>
    <m/>
    <m/>
    <m/>
    <m/>
  </r>
  <r>
    <s v="VIS202358"/>
    <d v="2024-06-17T00:00:00"/>
    <s v="PAT5571"/>
    <s v="Anil Jose"/>
    <s v="Male"/>
    <n v="36"/>
    <s v="Trichy"/>
    <s v="Tamil Nadu"/>
    <x v="6"/>
    <s v="Dr. Lalitha"/>
    <s v="I10"/>
    <s v="Observation"/>
    <s v="Emergency"/>
    <n v="10256.56"/>
    <s v="Cash"/>
    <s v="No"/>
    <m/>
    <n v="30"/>
    <s v="Adult"/>
    <s v="High"/>
    <s v="Short Days"/>
    <m/>
    <m/>
    <m/>
    <m/>
    <m/>
    <m/>
  </r>
  <r>
    <s v="VIS202841"/>
    <d v="2025-05-09T00:00:00"/>
    <s v="PAT6359"/>
    <s v="Priya Khan"/>
    <s v="Male"/>
    <n v="33"/>
    <s v="Delhi"/>
    <s v="Delhi"/>
    <x v="1"/>
    <s v="Dr. Anu"/>
    <s v="K21"/>
    <s v="Prescription Refill"/>
    <s v="OPD"/>
    <n v="4391.4399999999996"/>
    <s v="Cash"/>
    <s v="No"/>
    <m/>
    <n v="7"/>
    <s v="Adult"/>
    <s v="Low"/>
    <s v="Short Days"/>
    <m/>
    <m/>
    <m/>
    <m/>
    <m/>
    <m/>
  </r>
  <r>
    <s v="VIS201249"/>
    <d v="2024-06-21T00:00:00"/>
    <s v="PAT5108"/>
    <s v="Manisha Gupta"/>
    <s v="Male"/>
    <n v="50"/>
    <s v="Coimbatore"/>
    <s v="Tamil Nadu"/>
    <x v="1"/>
    <s v="Dr. Suri"/>
    <s v="M54"/>
    <s v="Surgery"/>
    <s v="Teleconsultation"/>
    <n v="5877.06"/>
    <s v="Debit Card"/>
    <s v="No"/>
    <m/>
    <m/>
    <s v="Middle-Aged"/>
    <s v="Medium"/>
    <s v="Short Days"/>
    <m/>
    <m/>
    <m/>
    <m/>
    <m/>
    <m/>
  </r>
  <r>
    <s v="VIS202582"/>
    <d v="2024-10-16T00:00:00"/>
    <s v="PAT6085"/>
    <s v="Kavya Jose"/>
    <s v="Male"/>
    <n v="6"/>
    <s v="Hyderabad"/>
    <s v="Telangana"/>
    <x v="0"/>
    <s v="Dr. Shailesh"/>
    <s v="H10"/>
    <s v="Minor Surgery"/>
    <s v="OPD"/>
    <n v="6522.1"/>
    <s v="Net Banking"/>
    <s v="No"/>
    <m/>
    <n v="7"/>
    <s v="Child"/>
    <s v="Medium"/>
    <s v="Short Days"/>
    <m/>
    <m/>
    <m/>
    <m/>
    <m/>
    <m/>
  </r>
  <r>
    <s v="VIS201784"/>
    <d v="2025-01-27T00:00:00"/>
    <s v="PAT5374"/>
    <s v="Ananya Patel"/>
    <s v="Male"/>
    <n v="37"/>
    <s v="Lucknow"/>
    <s v="Uttar Pradesh"/>
    <x v="1"/>
    <s v="Dr. Anu"/>
    <s v="Z111"/>
    <s v="Observation"/>
    <s v="OPD"/>
    <n v="3647.19"/>
    <s v="Insurance"/>
    <s v="Yes"/>
    <m/>
    <n v="7"/>
    <s v="Adult"/>
    <s v="Low"/>
    <s v="Short Days"/>
    <m/>
    <m/>
    <m/>
    <m/>
    <m/>
    <m/>
  </r>
  <r>
    <s v="VIS202656"/>
    <d v="2024-06-05T00:00:00"/>
    <s v="PAT5210"/>
    <s v="Aditya Jose"/>
    <s v="Male"/>
    <n v="11"/>
    <s v="Kochi"/>
    <s v="Kerala"/>
    <x v="7"/>
    <s v="Dr. Leela"/>
    <s v="N39"/>
    <s v="Medication"/>
    <s v="OPD"/>
    <n v="10578.07"/>
    <s v="Insurance"/>
    <s v="Yes"/>
    <m/>
    <n v="14"/>
    <s v="Child"/>
    <s v="High"/>
    <s v="Short Days"/>
    <m/>
    <m/>
    <m/>
    <m/>
    <m/>
    <m/>
  </r>
  <r>
    <s v="VIS200809"/>
    <d v="2024-12-27T00:00:00"/>
    <s v="PAT5082"/>
    <s v="Sangeetha Das"/>
    <s v="Male"/>
    <n v="30"/>
    <s v="Hyderabad"/>
    <s v="Telangana"/>
    <x v="1"/>
    <s v="Dr. Anu"/>
    <s v="F41"/>
    <s v="Prescription Refill"/>
    <s v="Teleconsultation"/>
    <n v="7891.95"/>
    <s v="Cash"/>
    <s v="No"/>
    <m/>
    <m/>
    <s v="Adult"/>
    <s v="Medium"/>
    <s v="Short Days"/>
    <m/>
    <m/>
    <m/>
    <m/>
    <m/>
    <m/>
  </r>
  <r>
    <s v="VIS202586"/>
    <d v="2024-08-25T00:00:00"/>
    <s v="PAT5941"/>
    <s v="Aarav Sharma"/>
    <s v="Male"/>
    <n v="57"/>
    <s v="Noida"/>
    <s v="Uttar Pradesh"/>
    <x v="1"/>
    <s v="Dr. Anu"/>
    <s v="F41"/>
    <s v="Minor Surgery"/>
    <s v="OPD"/>
    <n v="729.98"/>
    <s v="Net Banking"/>
    <s v="No"/>
    <m/>
    <m/>
    <s v="Middle-Aged"/>
    <s v="Low"/>
    <s v="Short Days"/>
    <m/>
    <m/>
    <m/>
    <m/>
    <m/>
    <m/>
  </r>
  <r>
    <s v="VIS201736"/>
    <d v="2025-09-28T00:00:00"/>
    <s v="PAT6467"/>
    <s v="Shruti Nagar"/>
    <s v="Male"/>
    <n v="43"/>
    <s v="Trichy"/>
    <s v="Tamil Nadu"/>
    <x v="8"/>
    <s v="Dr. Kavitha"/>
    <s v="L40"/>
    <s v="Counselling"/>
    <s v="OPD"/>
    <n v="7961.7"/>
    <s v="Debit Card"/>
    <s v="No"/>
    <m/>
    <n v="30"/>
    <s v="Middle-Aged"/>
    <s v="Medium"/>
    <s v="Short Days"/>
    <m/>
    <m/>
    <m/>
    <m/>
    <m/>
    <m/>
  </r>
  <r>
    <s v="VIS200740"/>
    <d v="2024-12-12T00:00:00"/>
    <s v="PAT5084"/>
    <s v="Kavya Reddy"/>
    <s v="Other"/>
    <n v="68"/>
    <s v="Trichy"/>
    <s v="Tamil Nadu"/>
    <x v="3"/>
    <s v="Dr. Anand"/>
    <s v="L40"/>
    <s v="Medication"/>
    <s v="OPD"/>
    <n v="1877.95"/>
    <s v="Debit Card"/>
    <s v="No"/>
    <m/>
    <n v="14"/>
    <s v="Senior"/>
    <s v="Low"/>
    <s v="Short Days"/>
    <m/>
    <m/>
    <m/>
    <m/>
    <m/>
    <m/>
  </r>
  <r>
    <s v="VIS201403"/>
    <d v="2025-06-18T00:00:00"/>
    <s v="PAT6567"/>
    <s v="Shruti Singh"/>
    <s v="Male"/>
    <n v="56"/>
    <s v="Pune"/>
    <s v="Maharashtra"/>
    <x v="3"/>
    <s v="Dr. Pallavi"/>
    <s v="N39"/>
    <s v="Physiotherapy"/>
    <s v="Emergency"/>
    <n v="7095.15"/>
    <s v="Cash"/>
    <s v="No"/>
    <m/>
    <m/>
    <s v="Middle-Aged"/>
    <s v="Medium"/>
    <s v="Short Days"/>
    <m/>
    <m/>
    <m/>
    <m/>
    <m/>
    <m/>
  </r>
  <r>
    <s v="VIS200755"/>
    <d v="2025-02-28T00:00:00"/>
    <s v="PAT6753"/>
    <s v="Shruti Patel"/>
    <s v="Female"/>
    <n v="53"/>
    <s v="Jaipur"/>
    <s v="Rajasthan"/>
    <x v="5"/>
    <s v="Dr. Meena"/>
    <s v="K21"/>
    <s v="Medication"/>
    <s v="OPD"/>
    <n v="3773.33"/>
    <s v="UPI"/>
    <s v="No"/>
    <m/>
    <n v="7"/>
    <s v="Middle-Aged"/>
    <s v="Low"/>
    <s v="Short Days"/>
    <m/>
    <m/>
    <m/>
    <m/>
    <m/>
    <m/>
  </r>
  <r>
    <s v="VIS200888"/>
    <d v="2025-10-27T00:00:00"/>
    <s v="PAT5740"/>
    <s v="Kavya Patel"/>
    <s v="Male"/>
    <n v="43"/>
    <s v="Delhi"/>
    <s v="Delhi"/>
    <x v="1"/>
    <s v="Dr. Suri"/>
    <s v="J45"/>
    <s v="Prescription Refill"/>
    <s v="OPD"/>
    <n v="806.99"/>
    <s v="Debit Card"/>
    <s v="No"/>
    <m/>
    <n v="30"/>
    <s v="Middle-Aged"/>
    <s v="Low"/>
    <s v="Short Days"/>
    <m/>
    <m/>
    <m/>
    <m/>
    <m/>
    <m/>
  </r>
  <r>
    <s v="VIS202907"/>
    <d v="2025-07-15T00:00:00"/>
    <s v="PAT6775"/>
    <s v="Manisha Mishra"/>
    <s v="Male"/>
    <n v="32"/>
    <s v="Kolkata"/>
    <s v="West Bengal"/>
    <x v="2"/>
    <s v="Dr. Ramesh"/>
    <s v="I10"/>
    <s v="Counselling"/>
    <s v="OPD"/>
    <n v="1336.48"/>
    <s v="UPI"/>
    <s v="No"/>
    <m/>
    <m/>
    <s v="Adult"/>
    <s v="Low"/>
    <s v="Short Days"/>
    <m/>
    <m/>
    <m/>
    <m/>
    <m/>
    <m/>
  </r>
  <r>
    <s v="VIS202639"/>
    <d v="2024-12-17T00:00:00"/>
    <s v="PAT5868"/>
    <s v="Vishal Sharma"/>
    <s v="Female"/>
    <n v="22"/>
    <s v="Hyderabad"/>
    <s v="Telangana"/>
    <x v="4"/>
    <s v="Dr. Bhavana"/>
    <s v="L40"/>
    <s v="Medication"/>
    <s v="Teleconsultation"/>
    <n v="10203.25"/>
    <s v="Credit Card"/>
    <s v="No"/>
    <m/>
    <n v="14"/>
    <s v="Adult"/>
    <s v="High"/>
    <s v="Short Days"/>
    <m/>
    <m/>
    <m/>
    <m/>
    <m/>
    <m/>
  </r>
  <r>
    <s v="VIS200700"/>
    <d v="2024-09-30T00:00:00"/>
    <s v="PAT5657"/>
    <s v="Neha Mishra"/>
    <s v="Male"/>
    <n v="32"/>
    <s v="Coimbatore"/>
    <s v="Tamil Nadu"/>
    <x v="5"/>
    <s v="Dr. Karthik"/>
    <s v="K21"/>
    <s v="Counselling"/>
    <s v="OPD"/>
    <n v="8277.9"/>
    <s v="UPI"/>
    <s v="No"/>
    <m/>
    <m/>
    <s v="Adult"/>
    <s v="Medium"/>
    <s v="Short Days"/>
    <m/>
    <m/>
    <m/>
    <m/>
    <m/>
    <m/>
  </r>
  <r>
    <s v="VIS201219"/>
    <d v="2025-08-26T00:00:00"/>
    <s v="PAT5679"/>
    <s v="Kavya Khan"/>
    <s v="Female"/>
    <n v="56"/>
    <s v="Trichy"/>
    <s v="Tamil Nadu"/>
    <x v="3"/>
    <s v="Dr. Pallavi"/>
    <s v="N39"/>
    <s v="Observation"/>
    <s v="OPD"/>
    <n v="2393.59"/>
    <s v="Net Banking"/>
    <s v="No"/>
    <m/>
    <n v="90"/>
    <s v="Middle-Aged"/>
    <s v="Low"/>
    <s v="Short Days"/>
    <m/>
    <m/>
    <m/>
    <m/>
    <m/>
    <m/>
  </r>
  <r>
    <s v="VIS201713"/>
    <d v="2025-08-04T00:00:00"/>
    <s v="PAT6296"/>
    <s v="Ishaan Nagar"/>
    <s v="Male"/>
    <n v="49"/>
    <s v="Mumbai"/>
    <s v="Maharashtra"/>
    <x v="8"/>
    <s v="Dr. Sneha"/>
    <s v="M54"/>
    <s v="Observation"/>
    <s v="OPD"/>
    <n v="3186.8"/>
    <s v="Debit Card"/>
    <s v="No"/>
    <m/>
    <n v="7"/>
    <s v="Middle-Aged"/>
    <s v="Low"/>
    <s v="Short Days"/>
    <m/>
    <m/>
    <m/>
    <m/>
    <m/>
    <m/>
  </r>
  <r>
    <s v="VIS201234"/>
    <d v="2025-10-27T00:00:00"/>
    <s v="PAT6435"/>
    <s v="Vishal Reddy"/>
    <s v="Female"/>
    <n v="49"/>
    <s v="Coimbatore"/>
    <s v="Tamil Nadu"/>
    <x v="2"/>
    <s v="Dr. Manoj"/>
    <s v="E11"/>
    <s v="Physiotherapy"/>
    <s v="OPD"/>
    <n v="17632.66"/>
    <s v="Credit Card"/>
    <s v="No"/>
    <m/>
    <n v="30"/>
    <s v="Middle-Aged"/>
    <s v="High"/>
    <s v="Short Days"/>
    <m/>
    <m/>
    <m/>
    <m/>
    <m/>
    <m/>
  </r>
  <r>
    <s v="VIS201033"/>
    <d v="2024-11-21T00:00:00"/>
    <s v="PAT5163"/>
    <s v="Rahul Sharma"/>
    <s v="Male"/>
    <n v="61"/>
    <s v="Pune"/>
    <s v="Maharashtra"/>
    <x v="7"/>
    <s v="Dr. Leela"/>
    <s v="J00"/>
    <s v="Physiotherapy"/>
    <s v="OPD"/>
    <n v="2802.03"/>
    <s v="Cash"/>
    <s v="No"/>
    <m/>
    <n v="14"/>
    <s v="Senior"/>
    <s v="Low"/>
    <s v="Short Days"/>
    <m/>
    <m/>
    <m/>
    <m/>
    <m/>
    <m/>
  </r>
  <r>
    <s v="VIS200940"/>
    <d v="2025-02-25T00:00:00"/>
    <s v="PAT6185"/>
    <s v="Siddharth Das"/>
    <s v="Other"/>
    <n v="21"/>
    <s v="Trichy"/>
    <s v="Tamil Nadu"/>
    <x v="4"/>
    <s v="Dr. Varun"/>
    <s v="J45"/>
    <s v="Medication"/>
    <s v="OPD"/>
    <n v="10052.33"/>
    <s v="Cash"/>
    <s v="No"/>
    <m/>
    <n v="30"/>
    <s v="Adult"/>
    <s v="High"/>
    <s v="Short Days"/>
    <m/>
    <m/>
    <m/>
    <m/>
    <m/>
    <m/>
  </r>
  <r>
    <s v="VIS201846"/>
    <d v="2025-04-17T00:00:00"/>
    <s v="PAT5260"/>
    <s v="Kavya Khan"/>
    <s v="Male"/>
    <n v="34"/>
    <s v="Chennai"/>
    <s v="Tamil Nadu"/>
    <x v="3"/>
    <s v="Dr. Anand"/>
    <s v="K21"/>
    <s v="Surgery"/>
    <s v="OPD"/>
    <n v="7413.31"/>
    <s v="Insurance"/>
    <s v="Yes"/>
    <m/>
    <m/>
    <s v="Adult"/>
    <s v="Medium"/>
    <s v="Short Days"/>
    <m/>
    <m/>
    <m/>
    <m/>
    <m/>
    <m/>
  </r>
  <r>
    <s v="VIS202756"/>
    <d v="2024-03-21T00:00:00"/>
    <s v="PAT6397"/>
    <s v="Sangeetha Reddy"/>
    <s v="Female"/>
    <n v="50"/>
    <s v="Bengaluru"/>
    <s v="Karnataka"/>
    <x v="9"/>
    <s v="Dr. Arvind"/>
    <s v="I10"/>
    <s v="Medication"/>
    <s v="OPD"/>
    <n v="1622.28"/>
    <s v="Cash"/>
    <s v="No"/>
    <m/>
    <n v="7"/>
    <s v="Middle-Aged"/>
    <s v="Low"/>
    <s v="Short Days"/>
    <m/>
    <m/>
    <m/>
    <m/>
    <m/>
    <m/>
  </r>
  <r>
    <s v="VIS201449"/>
    <d v="2025-03-16T00:00:00"/>
    <s v="PAT6375"/>
    <s v="Anil Bose"/>
    <s v="Male"/>
    <n v="26"/>
    <s v="Kolkata"/>
    <s v="West Bengal"/>
    <x v="5"/>
    <s v="Dr. Meena"/>
    <s v="J00"/>
    <s v="Counselling"/>
    <s v="Emergency"/>
    <n v="16882.79"/>
    <s v="Credit Card"/>
    <s v="No"/>
    <m/>
    <m/>
    <s v="Adult"/>
    <s v="High"/>
    <s v="Short Days"/>
    <m/>
    <m/>
    <m/>
    <m/>
    <m/>
    <m/>
  </r>
  <r>
    <s v="VIS202946"/>
    <d v="2024-07-17T00:00:00"/>
    <s v="PAT6243"/>
    <s v="Shruti Iyer"/>
    <s v="Male"/>
    <n v="54"/>
    <s v="Madurai"/>
    <s v="Tamil Nadu"/>
    <x v="8"/>
    <s v="Dr. Kavitha"/>
    <s v="H10"/>
    <s v="Prescription Refill"/>
    <s v="OPD"/>
    <n v="1809.44"/>
    <s v="Credit Card"/>
    <s v="No"/>
    <m/>
    <n v="30"/>
    <s v="Middle-Aged"/>
    <s v="Low"/>
    <s v="Short Days"/>
    <m/>
    <m/>
    <m/>
    <m/>
    <m/>
    <m/>
  </r>
  <r>
    <s v="VIS201343"/>
    <d v="2024-11-17T00:00:00"/>
    <s v="PAT5375"/>
    <s v="Rahul Singh"/>
    <s v="Female"/>
    <n v="39"/>
    <s v="Pune"/>
    <s v="Maharashtra"/>
    <x v="5"/>
    <s v="Dr. Karthik"/>
    <s v="H10"/>
    <s v="Counselling"/>
    <s v="OPD"/>
    <n v="9309.98"/>
    <s v="Cash"/>
    <s v="No"/>
    <m/>
    <n v="90"/>
    <s v="Adult"/>
    <s v="Medium"/>
    <s v="Short Days"/>
    <m/>
    <m/>
    <m/>
    <m/>
    <m/>
    <m/>
  </r>
  <r>
    <s v="VIS201804"/>
    <d v="2024-03-13T00:00:00"/>
    <s v="PAT6422"/>
    <s v="Siddharth Jose"/>
    <s v="Male"/>
    <n v="22"/>
    <s v="Coimbatore"/>
    <s v="Tamil Nadu"/>
    <x v="2"/>
    <s v="Dr. Manoj"/>
    <s v="H10"/>
    <s v="Minor Procedure"/>
    <s v="OPD"/>
    <n v="3151.47"/>
    <s v="Insurance"/>
    <s v="Yes"/>
    <m/>
    <n v="14"/>
    <s v="Adult"/>
    <s v="Low"/>
    <s v="Short Days"/>
    <m/>
    <m/>
    <m/>
    <m/>
    <m/>
    <m/>
  </r>
  <r>
    <s v="VIS202105"/>
    <d v="2025-03-22T00:00:00"/>
    <s v="PAT6839"/>
    <s v="Shruti Sharma"/>
    <s v="Female"/>
    <n v="38"/>
    <s v="Hyderabad"/>
    <s v="Telangana"/>
    <x v="8"/>
    <s v="Dr. Sneha"/>
    <s v="E11"/>
    <s v="Physiotherapy"/>
    <s v="OPD"/>
    <n v="16719.689999999999"/>
    <s v="Cash"/>
    <s v="No"/>
    <m/>
    <m/>
    <s v="Adult"/>
    <s v="High"/>
    <s v="Short Days"/>
    <m/>
    <m/>
    <m/>
    <m/>
    <m/>
    <m/>
  </r>
  <r>
    <s v="VIS200472"/>
    <d v="2024-08-16T00:00:00"/>
    <s v="PAT6615"/>
    <s v="Sangeetha Gupta"/>
    <s v="Male"/>
    <n v="45"/>
    <s v="Ahmedabad"/>
    <s v="Gujarat"/>
    <x v="2"/>
    <s v="Dr. Ramesh"/>
    <s v="J00"/>
    <s v="Prescription Refill"/>
    <s v="OPD"/>
    <n v="3812.56"/>
    <s v="Insurance"/>
    <s v="Yes"/>
    <m/>
    <m/>
    <s v="Middle-Aged"/>
    <s v="Low"/>
    <s v="Short Days"/>
    <m/>
    <m/>
    <m/>
    <m/>
    <m/>
    <m/>
  </r>
  <r>
    <s v="VIS202434"/>
    <d v="2025-05-23T00:00:00"/>
    <s v="PAT5809"/>
    <s v="Siddharth Jose"/>
    <s v="Female"/>
    <n v="42"/>
    <s v="Kochi"/>
    <s v="Kerala"/>
    <x v="2"/>
    <s v="Dr. Manoj"/>
    <s v="I10"/>
    <s v="Minor Procedure"/>
    <s v="Teleconsultation"/>
    <n v="19969.509999999998"/>
    <s v="Debit Card"/>
    <s v="No"/>
    <m/>
    <n v="30"/>
    <s v="Middle-Aged"/>
    <s v="High"/>
    <s v="Short Days"/>
    <m/>
    <m/>
    <m/>
    <m/>
    <m/>
    <m/>
  </r>
  <r>
    <s v="VIS201237"/>
    <d v="2025-04-27T00:00:00"/>
    <s v="PAT5042"/>
    <s v="Aarav Iyer"/>
    <s v="Female"/>
    <n v="0"/>
    <s v="Delhi"/>
    <s v="Delhi"/>
    <x v="2"/>
    <s v="Dr. Manoj"/>
    <s v="L40"/>
    <s v="Minor Procedure"/>
    <s v="OPD"/>
    <n v="1339.69"/>
    <s v="Credit Card"/>
    <s v="No"/>
    <m/>
    <m/>
    <s v="Child"/>
    <s v="Low"/>
    <s v="Short Days"/>
    <m/>
    <m/>
    <m/>
    <m/>
    <m/>
    <m/>
  </r>
  <r>
    <s v="VIS202383"/>
    <d v="2024-02-27T00:00:00"/>
    <s v="PAT6267"/>
    <s v="Arjun Jose"/>
    <s v="Female"/>
    <n v="45"/>
    <s v="Kolkata"/>
    <s v="West Bengal"/>
    <x v="3"/>
    <s v="Dr. Pallavi"/>
    <s v="H10"/>
    <s v="Counselling"/>
    <s v="OPD"/>
    <n v="149.04"/>
    <s v="Cash"/>
    <s v="No"/>
    <m/>
    <n v="90"/>
    <s v="Middle-Aged"/>
    <s v="Low"/>
    <s v="Short Days"/>
    <m/>
    <m/>
    <m/>
    <m/>
    <m/>
    <m/>
  </r>
  <r>
    <s v="VIS201447"/>
    <d v="2025-07-04T00:00:00"/>
    <s v="PAT6653"/>
    <s v="Ishaan Patel"/>
    <s v="Female"/>
    <n v="59"/>
    <s v="Trichy"/>
    <s v="Tamil Nadu"/>
    <x v="0"/>
    <s v="Dr. Shailesh"/>
    <s v="K21"/>
    <s v="Observation"/>
    <s v="OPD"/>
    <n v="978.14"/>
    <s v="Insurance"/>
    <s v="Yes"/>
    <m/>
    <m/>
    <s v="Middle-Aged"/>
    <s v="Low"/>
    <s v="Short Days"/>
    <m/>
    <m/>
    <m/>
    <m/>
    <m/>
    <m/>
  </r>
  <r>
    <s v="VIS201425"/>
    <d v="2024-05-14T00:00:00"/>
    <s v="PAT5678"/>
    <s v="Aditya Jose"/>
    <s v="Female"/>
    <n v="16"/>
    <s v="Pune"/>
    <s v="Maharashtra"/>
    <x v="2"/>
    <s v="Dr. Manoj"/>
    <s v="M54"/>
    <s v="Minor Surgery"/>
    <s v="OPD"/>
    <n v="3698.79"/>
    <s v="Cash"/>
    <s v="No"/>
    <m/>
    <n v="90"/>
    <s v="Child"/>
    <s v="Low"/>
    <s v="Short Days"/>
    <m/>
    <m/>
    <m/>
    <m/>
    <m/>
    <m/>
  </r>
  <r>
    <s v="VIS200994"/>
    <d v="2024-02-05T00:00:00"/>
    <s v="PAT5566"/>
    <s v="Aishwarya Mishra"/>
    <s v="Female"/>
    <n v="73"/>
    <s v="Kochi"/>
    <s v="Kerala"/>
    <x v="9"/>
    <s v="Dr. Kusum"/>
    <s v="J45"/>
    <s v="Surgery"/>
    <s v="Teleconsultation"/>
    <n v="16260.93"/>
    <s v="Credit Card"/>
    <s v="No"/>
    <m/>
    <n v="7"/>
    <s v="Senior"/>
    <s v="High"/>
    <s v="Short Days"/>
    <m/>
    <m/>
    <m/>
    <m/>
    <m/>
    <m/>
  </r>
  <r>
    <s v="VIS201570"/>
    <d v="2024-08-08T00:00:00"/>
    <s v="PAT6612"/>
    <s v="Ananya Singh"/>
    <s v="Female"/>
    <n v="38"/>
    <s v="Kochi"/>
    <s v="Kerala"/>
    <x v="1"/>
    <s v="Dr. Suri"/>
    <s v="J45"/>
    <s v="Medication"/>
    <s v="Emergency"/>
    <n v="8691.94"/>
    <s v="Credit Card"/>
    <s v="No"/>
    <m/>
    <m/>
    <s v="Adult"/>
    <s v="Medium"/>
    <s v="Short Days"/>
    <m/>
    <m/>
    <m/>
    <m/>
    <m/>
    <m/>
  </r>
  <r>
    <s v="VIS202355"/>
    <d v="2024-05-01T00:00:00"/>
    <s v="PAT6258"/>
    <s v="Ananya Kumar"/>
    <s v="Female"/>
    <n v="37"/>
    <s v="Trichy"/>
    <s v="Tamil Nadu"/>
    <x v="0"/>
    <s v="Dr. Shailesh"/>
    <s v="J00"/>
    <s v="Surgery"/>
    <s v="OPD"/>
    <n v="2689.92"/>
    <s v="Cash"/>
    <s v="No"/>
    <m/>
    <n v="14"/>
    <s v="Adult"/>
    <s v="Low"/>
    <s v="Short Days"/>
    <m/>
    <m/>
    <m/>
    <m/>
    <m/>
    <m/>
  </r>
  <r>
    <s v="VIS202771"/>
    <d v="2025-02-12T00:00:00"/>
    <s v="PAT6472"/>
    <s v="Aditya Bose"/>
    <s v="Male"/>
    <n v="50"/>
    <s v="Kolkata"/>
    <s v="West Bengal"/>
    <x v="7"/>
    <s v="Dr. Leela"/>
    <s v="Z111"/>
    <s v="Surgery"/>
    <s v="Teleconsultation"/>
    <n v="10918.6"/>
    <s v="Insurance"/>
    <s v="Yes"/>
    <m/>
    <n v="30"/>
    <s v="Middle-Aged"/>
    <s v="High"/>
    <s v="Short Days"/>
    <m/>
    <m/>
    <m/>
    <m/>
    <m/>
    <m/>
  </r>
  <r>
    <s v="VIS201089"/>
    <d v="2025-04-15T00:00:00"/>
    <s v="PAT5779"/>
    <s v="Manisha Nagar"/>
    <s v="Female"/>
    <n v="27"/>
    <s v="Noida"/>
    <s v="Uttar Pradesh"/>
    <x v="7"/>
    <s v="Dr. Leela"/>
    <s v="M54"/>
    <s v="Observation"/>
    <s v="OPD"/>
    <n v="3802.06"/>
    <s v="Net Banking"/>
    <s v="No"/>
    <m/>
    <n v="30"/>
    <s v="Adult"/>
    <s v="Low"/>
    <s v="Short Days"/>
    <m/>
    <m/>
    <m/>
    <m/>
    <m/>
    <m/>
  </r>
  <r>
    <s v="VIS202933"/>
    <d v="2025-05-26T00:00:00"/>
    <s v="PAT6994"/>
    <s v="Vishal Iyer"/>
    <s v="Female"/>
    <n v="25"/>
    <s v="Mumbai"/>
    <s v="Maharashtra"/>
    <x v="8"/>
    <s v="Dr. Kavitha"/>
    <s v="Z111"/>
    <s v="Prescription Refill"/>
    <s v="OPD"/>
    <n v="9765.93"/>
    <s v="Cash"/>
    <s v="No"/>
    <m/>
    <n v="30"/>
    <s v="Adult"/>
    <s v="Medium"/>
    <s v="Short Days"/>
    <m/>
    <m/>
    <m/>
    <m/>
    <m/>
    <m/>
  </r>
  <r>
    <s v="VIS200613"/>
    <d v="2024-11-10T00:00:00"/>
    <s v="PAT6666"/>
    <s v="Aarav Jose"/>
    <s v="Female"/>
    <n v="12"/>
    <s v="Hyderabad"/>
    <s v="Telangana"/>
    <x v="8"/>
    <s v="Dr. Kavitha"/>
    <s v="L40"/>
    <s v="Observation"/>
    <s v="OPD"/>
    <n v="408.11"/>
    <s v="Cash"/>
    <s v="No"/>
    <m/>
    <m/>
    <s v="Child"/>
    <s v="Low"/>
    <s v="Short Days"/>
    <m/>
    <m/>
    <m/>
    <m/>
    <m/>
    <m/>
  </r>
  <r>
    <s v="VIS201454"/>
    <d v="2025-08-15T00:00:00"/>
    <s v="PAT5326"/>
    <s v="Vivaan Patel"/>
    <s v="Male"/>
    <n v="28"/>
    <s v="Trichy"/>
    <s v="Tamil Nadu"/>
    <x v="2"/>
    <s v="Dr. Ramesh"/>
    <s v="M54"/>
    <s v="Prescription Refill"/>
    <s v="OPD"/>
    <n v="16373.16"/>
    <s v="Net Banking"/>
    <s v="No"/>
    <m/>
    <n v="90"/>
    <s v="Adult"/>
    <s v="High"/>
    <s v="Short Days"/>
    <m/>
    <m/>
    <m/>
    <m/>
    <m/>
    <m/>
  </r>
  <r>
    <s v="VIS202859"/>
    <d v="2024-05-30T00:00:00"/>
    <s v="PAT6048"/>
    <s v="Anil Nair"/>
    <s v="Other"/>
    <n v="31"/>
    <s v="Jaipur"/>
    <s v="Rajasthan"/>
    <x v="5"/>
    <s v="Dr. Ravi"/>
    <s v="J45"/>
    <s v="Observation"/>
    <s v="Emergency"/>
    <n v="7671.52"/>
    <s v="Credit Card"/>
    <s v="No"/>
    <m/>
    <m/>
    <s v="Adult"/>
    <s v="Medium"/>
    <s v="Short Days"/>
    <m/>
    <m/>
    <m/>
    <m/>
    <m/>
    <m/>
  </r>
  <r>
    <s v="VIS202375"/>
    <d v="2024-07-18T00:00:00"/>
    <s v="PAT5042"/>
    <s v="Manisha Bose"/>
    <s v="Male"/>
    <n v="64"/>
    <s v="Lucknow"/>
    <s v="Uttar Pradesh"/>
    <x v="8"/>
    <s v="Dr. Kavitha"/>
    <s v="J45"/>
    <s v="Minor Surgery"/>
    <s v="OPD"/>
    <n v="1127.3599999999999"/>
    <s v="UPI"/>
    <s v="No"/>
    <m/>
    <m/>
    <s v="Senior"/>
    <s v="Low"/>
    <s v="Short Days"/>
    <m/>
    <m/>
    <m/>
    <m/>
    <m/>
    <m/>
  </r>
  <r>
    <s v="VIS202144"/>
    <d v="2024-06-02T00:00:00"/>
    <s v="PAT5747"/>
    <s v="Sangeetha Singh"/>
    <s v="Male"/>
    <n v="43"/>
    <s v="Noida"/>
    <s v="Uttar Pradesh"/>
    <x v="7"/>
    <s v="Dr. Surya"/>
    <s v="J45"/>
    <s v="Surgery"/>
    <s v="OPD"/>
    <n v="1781.73"/>
    <s v="UPI"/>
    <s v="No"/>
    <m/>
    <m/>
    <s v="Middle-Aged"/>
    <s v="Low"/>
    <s v="Short Days"/>
    <m/>
    <m/>
    <m/>
    <m/>
    <m/>
    <m/>
  </r>
  <r>
    <s v="VIS200534"/>
    <d v="2024-09-29T00:00:00"/>
    <s v="PAT5999"/>
    <s v="Deepa Mishra"/>
    <s v="Male"/>
    <n v="68"/>
    <s v="Chennai"/>
    <s v="Tamil Nadu"/>
    <x v="9"/>
    <s v="Dr. Arvind"/>
    <s v="H10"/>
    <s v="Observation"/>
    <s v="Teleconsultation"/>
    <n v="7121.87"/>
    <s v="UPI"/>
    <s v="No"/>
    <m/>
    <n v="14"/>
    <s v="Senior"/>
    <s v="Medium"/>
    <s v="Short Days"/>
    <m/>
    <m/>
    <m/>
    <m/>
    <m/>
    <m/>
  </r>
  <r>
    <s v="VIS200556"/>
    <d v="2025-02-11T00:00:00"/>
    <s v="PAT6543"/>
    <s v="Arjun Bose"/>
    <s v="Female"/>
    <n v="50"/>
    <s v="Lucknow"/>
    <s v="Uttar Pradesh"/>
    <x v="7"/>
    <s v="Dr. Surya"/>
    <s v="K21"/>
    <s v="Physiotherapy"/>
    <s v="OPD"/>
    <n v="2363.25"/>
    <s v="Net Banking"/>
    <s v="No"/>
    <m/>
    <n v="30"/>
    <s v="Middle-Aged"/>
    <s v="Low"/>
    <s v="Short Days"/>
    <m/>
    <m/>
    <m/>
    <m/>
    <m/>
    <m/>
  </r>
  <r>
    <s v="VIS201047"/>
    <d v="2024-08-22T00:00:00"/>
    <s v="PAT6470"/>
    <s v="Shruti Mishra"/>
    <s v="Male"/>
    <n v="36"/>
    <s v="Bengaluru"/>
    <s v="Karnataka"/>
    <x v="2"/>
    <s v="Dr. Ramesh"/>
    <s v="K21"/>
    <s v="Medication"/>
    <s v="OPD"/>
    <n v="4209.6099999999997"/>
    <s v="UPI"/>
    <s v="No"/>
    <m/>
    <n v="30"/>
    <s v="Adult"/>
    <s v="Low"/>
    <s v="Short Days"/>
    <m/>
    <m/>
    <m/>
    <m/>
    <m/>
    <m/>
  </r>
  <r>
    <s v="VIS200603"/>
    <d v="2025-01-26T00:00:00"/>
    <s v="PAT6962"/>
    <s v="Ananya Sharma"/>
    <s v="Female"/>
    <n v="46"/>
    <s v="Mumbai"/>
    <s v="Maharashtra"/>
    <x v="0"/>
    <s v="Dr. Shailesh"/>
    <s v="M54"/>
    <s v="Minor Surgery"/>
    <s v="Teleconsultation"/>
    <n v="7838.97"/>
    <s v="Cash"/>
    <s v="No"/>
    <m/>
    <n v="30"/>
    <s v="Middle-Aged"/>
    <s v="Medium"/>
    <s v="Short Days"/>
    <m/>
    <m/>
    <m/>
    <m/>
    <m/>
    <m/>
  </r>
  <r>
    <s v="VIS202968"/>
    <d v="2025-08-23T00:00:00"/>
    <s v="PAT6079"/>
    <s v="Manisha Gupta"/>
    <s v="Male"/>
    <n v="39"/>
    <s v="Chennai"/>
    <s v="Tamil Nadu"/>
    <x v="8"/>
    <s v="Dr. Sneha"/>
    <s v="L40"/>
    <s v="Medication"/>
    <s v="OPD"/>
    <n v="11414.96"/>
    <s v="Cash"/>
    <s v="No"/>
    <m/>
    <n v="30"/>
    <s v="Adult"/>
    <s v="High"/>
    <s v="Short Days"/>
    <m/>
    <m/>
    <m/>
    <m/>
    <m/>
    <m/>
  </r>
  <r>
    <s v="VIS200165"/>
    <d v="2024-02-10T00:00:00"/>
    <s v="PAT6516"/>
    <s v="Anil Singh"/>
    <s v="Female"/>
    <n v="32"/>
    <s v="Ahmedabad"/>
    <s v="Gujarat"/>
    <x v="3"/>
    <s v="Dr. Pallavi"/>
    <s v="E11"/>
    <s v="Minor Procedure"/>
    <s v="OPD"/>
    <n v="592.83000000000004"/>
    <s v="Net Banking"/>
    <s v="No"/>
    <m/>
    <m/>
    <s v="Adult"/>
    <s v="Low"/>
    <s v="Short Days"/>
    <m/>
    <m/>
    <m/>
    <m/>
    <m/>
    <m/>
  </r>
  <r>
    <s v="VIS200963"/>
    <d v="2024-06-17T00:00:00"/>
    <s v="PAT5463"/>
    <s v="Vivaan Bose"/>
    <s v="Female"/>
    <n v="54"/>
    <s v="Mumbai"/>
    <s v="Maharashtra"/>
    <x v="1"/>
    <s v="Dr. Suri"/>
    <s v="J45"/>
    <s v="Surgery"/>
    <s v="Teleconsultation"/>
    <n v="7945.08"/>
    <s v="Credit Card"/>
    <s v="No"/>
    <m/>
    <m/>
    <s v="Middle-Aged"/>
    <s v="Medium"/>
    <s v="Short Days"/>
    <m/>
    <m/>
    <m/>
    <m/>
    <m/>
    <m/>
  </r>
  <r>
    <s v="VIS202125"/>
    <d v="2024-09-29T00:00:00"/>
    <s v="PAT6270"/>
    <s v="Priya Jose"/>
    <s v="Male"/>
    <n v="47"/>
    <s v="Noida"/>
    <s v="Uttar Pradesh"/>
    <x v="4"/>
    <s v="Dr. Bhavana"/>
    <s v="M54"/>
    <s v="Medication"/>
    <s v="Emergency"/>
    <n v="9231.17"/>
    <s v="UPI"/>
    <s v="No"/>
    <m/>
    <m/>
    <s v="Middle-Aged"/>
    <s v="Medium"/>
    <s v="Short Days"/>
    <m/>
    <m/>
    <m/>
    <m/>
    <m/>
    <m/>
  </r>
  <r>
    <s v="VIS200602"/>
    <d v="2024-07-28T00:00:00"/>
    <s v="PAT5368"/>
    <s v="Sangeetha Das"/>
    <s v="Female"/>
    <n v="29"/>
    <s v="Pune"/>
    <s v="Maharashtra"/>
    <x v="4"/>
    <s v="Dr. Varun"/>
    <s v="H10"/>
    <s v="Physiotherapy"/>
    <s v="Emergency"/>
    <n v="10910.49"/>
    <s v="Cash"/>
    <s v="No"/>
    <m/>
    <m/>
    <s v="Adult"/>
    <s v="High"/>
    <s v="Short Days"/>
    <m/>
    <m/>
    <m/>
    <m/>
    <m/>
    <m/>
  </r>
  <r>
    <s v="VIS201604"/>
    <d v="2024-12-25T00:00:00"/>
    <s v="PAT6299"/>
    <s v="Rohan Patel"/>
    <s v="Male"/>
    <n v="45"/>
    <s v="Kochi"/>
    <s v="Kerala"/>
    <x v="9"/>
    <s v="Dr. Kusum"/>
    <s v="N39"/>
    <s v="Medication"/>
    <s v="OPD"/>
    <n v="12831.32"/>
    <s v="Credit Card"/>
    <s v="No"/>
    <m/>
    <n v="14"/>
    <s v="Middle-Aged"/>
    <s v="High"/>
    <s v="Short Days"/>
    <m/>
    <m/>
    <m/>
    <m/>
    <m/>
    <m/>
  </r>
  <r>
    <s v="VIS202634"/>
    <d v="2024-09-30T00:00:00"/>
    <s v="PAT6553"/>
    <s v="Sangeetha Singh"/>
    <s v="Male"/>
    <n v="35"/>
    <s v="Kochi"/>
    <s v="Kerala"/>
    <x v="2"/>
    <s v="Dr. Ramesh"/>
    <s v="J45"/>
    <s v="Prescription Refill"/>
    <s v="Teleconsultation"/>
    <n v="8609.6299999999992"/>
    <s v="Credit Card"/>
    <s v="No"/>
    <m/>
    <m/>
    <s v="Adult"/>
    <s v="Medium"/>
    <s v="Short Days"/>
    <m/>
    <m/>
    <m/>
    <m/>
    <m/>
    <m/>
  </r>
  <r>
    <s v="VIS202476"/>
    <d v="2025-10-03T00:00:00"/>
    <s v="PAT6416"/>
    <s v="Aishwarya Iyer"/>
    <s v="Female"/>
    <n v="27"/>
    <s v="Bengaluru"/>
    <s v="Karnataka"/>
    <x v="0"/>
    <s v="Dr. Shailesh"/>
    <s v="F41"/>
    <s v="Observation"/>
    <s v="IPD"/>
    <n v="10289.14"/>
    <s v="Credit Card"/>
    <s v="No"/>
    <n v="4"/>
    <n v="90"/>
    <s v="Adult"/>
    <s v="High"/>
    <s v="Short Days"/>
    <m/>
    <m/>
    <m/>
    <m/>
    <m/>
    <m/>
  </r>
  <r>
    <s v="VIS201317"/>
    <d v="2024-01-24T00:00:00"/>
    <s v="PAT6590"/>
    <s v="Aishwarya Nair"/>
    <s v="Female"/>
    <n v="42"/>
    <s v="Madurai"/>
    <s v="Tamil Nadu"/>
    <x v="8"/>
    <s v="Dr. Kavitha"/>
    <s v="J45"/>
    <s v="Minor Procedure"/>
    <s v="OPD"/>
    <n v="4724.1499999999996"/>
    <s v="Debit Card"/>
    <s v="No"/>
    <m/>
    <n v="30"/>
    <s v="Middle-Aged"/>
    <s v="Low"/>
    <s v="Short Days"/>
    <m/>
    <m/>
    <m/>
    <m/>
    <m/>
    <m/>
  </r>
  <r>
    <s v="VIS201544"/>
    <d v="2025-11-01T00:00:00"/>
    <s v="PAT6248"/>
    <s v="Kavya Khan"/>
    <s v="Male"/>
    <n v="50"/>
    <s v="Madurai"/>
    <s v="Tamil Nadu"/>
    <x v="4"/>
    <s v="Dr. Bhavana"/>
    <s v="H10"/>
    <s v="Prescription Refill"/>
    <s v="OPD"/>
    <n v="3025.55"/>
    <s v="Insurance"/>
    <s v="Yes"/>
    <m/>
    <n v="90"/>
    <s v="Middle-Aged"/>
    <s v="Low"/>
    <s v="Short Days"/>
    <m/>
    <m/>
    <m/>
    <m/>
    <m/>
    <m/>
  </r>
  <r>
    <s v="VIS200350"/>
    <d v="2024-08-03T00:00:00"/>
    <s v="PAT6200"/>
    <s v="Sangeetha Bose"/>
    <s v="Male"/>
    <n v="32"/>
    <s v="Kolkata"/>
    <s v="West Bengal"/>
    <x v="6"/>
    <s v="Dr. Priya"/>
    <s v="E11"/>
    <s v="Surgery"/>
    <s v="Emergency"/>
    <n v="10603.18"/>
    <s v="Credit Card"/>
    <s v="No"/>
    <m/>
    <m/>
    <s v="Adult"/>
    <s v="High"/>
    <s v="Short Days"/>
    <m/>
    <m/>
    <m/>
    <m/>
    <m/>
    <m/>
  </r>
  <r>
    <s v="VIS200855"/>
    <d v="2025-05-07T00:00:00"/>
    <s v="PAT6909"/>
    <s v="Anil Gupta"/>
    <s v="Male"/>
    <n v="6"/>
    <s v="Noida"/>
    <s v="Uttar Pradesh"/>
    <x v="5"/>
    <s v="Dr. Karthik"/>
    <s v="M54"/>
    <s v="Observation"/>
    <s v="IPD"/>
    <n v="6064.87"/>
    <s v="Cash"/>
    <s v="No"/>
    <n v="5"/>
    <m/>
    <s v="Child"/>
    <s v="Medium"/>
    <s v="Short Days"/>
    <m/>
    <m/>
    <m/>
    <m/>
    <m/>
    <m/>
  </r>
  <r>
    <s v="VIS200832"/>
    <d v="2024-07-21T00:00:00"/>
    <s v="PAT5620"/>
    <s v="Sangeetha Jose"/>
    <s v="Male"/>
    <n v="66"/>
    <s v="Chennai"/>
    <s v="Tamil Nadu"/>
    <x v="3"/>
    <s v="Dr. Pallavi"/>
    <s v="J45"/>
    <s v="Medication"/>
    <s v="Teleconsultation"/>
    <n v="5431.83"/>
    <s v="UPI"/>
    <s v="No"/>
    <m/>
    <m/>
    <s v="Senior"/>
    <s v="Medium"/>
    <s v="Short Days"/>
    <m/>
    <m/>
    <m/>
    <m/>
    <m/>
    <m/>
  </r>
  <r>
    <s v="VIS202421"/>
    <d v="2024-02-27T00:00:00"/>
    <s v="PAT6342"/>
    <s v="Priya Mishra"/>
    <s v="Female"/>
    <n v="19"/>
    <s v="Delhi"/>
    <s v="Delhi"/>
    <x v="5"/>
    <s v="Dr. Karthik"/>
    <s v="J45"/>
    <s v="Minor Surgery"/>
    <s v="Emergency"/>
    <n v="5722.55"/>
    <s v="Insurance"/>
    <s v="Yes"/>
    <m/>
    <m/>
    <s v="Adult"/>
    <s v="Medium"/>
    <s v="Short Days"/>
    <m/>
    <m/>
    <m/>
    <m/>
    <m/>
    <m/>
  </r>
  <r>
    <s v="VIS201686"/>
    <d v="2025-01-02T00:00:00"/>
    <s v="PAT5967"/>
    <s v="Shruti Kumar"/>
    <s v="Male"/>
    <n v="31"/>
    <s v="Lucknow"/>
    <s v="Uttar Pradesh"/>
    <x v="3"/>
    <s v="Dr. Anand"/>
    <s v="M54"/>
    <s v="Medication"/>
    <s v="OPD"/>
    <n v="8033.2"/>
    <s v="Cash"/>
    <s v="No"/>
    <m/>
    <m/>
    <s v="Adult"/>
    <s v="Medium"/>
    <s v="Short Days"/>
    <m/>
    <m/>
    <m/>
    <m/>
    <m/>
    <m/>
  </r>
  <r>
    <s v="VIS201592"/>
    <d v="2024-06-04T00:00:00"/>
    <s v="PAT6970"/>
    <s v="Vivaan Nair"/>
    <s v="Male"/>
    <n v="37"/>
    <s v="Ahmedabad"/>
    <s v="Gujarat"/>
    <x v="8"/>
    <s v="Dr. Kavitha"/>
    <s v="N39"/>
    <s v="Minor Procedure"/>
    <s v="Teleconsultation"/>
    <n v="6730.81"/>
    <s v="Cash"/>
    <s v="No"/>
    <m/>
    <n v="90"/>
    <s v="Adult"/>
    <s v="Medium"/>
    <s v="Short Days"/>
    <m/>
    <m/>
    <m/>
    <m/>
    <m/>
    <m/>
  </r>
  <r>
    <s v="VIS200360"/>
    <d v="2024-10-16T00:00:00"/>
    <s v="PAT5734"/>
    <s v="Shruti Das"/>
    <s v="Female"/>
    <n v="13"/>
    <s v="Lucknow"/>
    <s v="Uttar Pradesh"/>
    <x v="2"/>
    <s v="Dr. Manoj"/>
    <s v="E11"/>
    <s v="Physiotherapy"/>
    <s v="Emergency"/>
    <n v="5262.4"/>
    <s v="Debit Card"/>
    <s v="No"/>
    <m/>
    <n v="14"/>
    <s v="Child"/>
    <s v="Medium"/>
    <s v="Short Days"/>
    <m/>
    <m/>
    <m/>
    <m/>
    <m/>
    <m/>
  </r>
  <r>
    <s v="VIS200280"/>
    <d v="2024-09-03T00:00:00"/>
    <s v="PAT6332"/>
    <s v="Shruti Mishra"/>
    <s v="Female"/>
    <n v="62"/>
    <s v="Kolkata"/>
    <s v="West Bengal"/>
    <x v="6"/>
    <s v="Dr. Priya"/>
    <s v="E11"/>
    <s v="Counselling"/>
    <s v="OPD"/>
    <n v="1794.36"/>
    <s v="Cash"/>
    <s v="No"/>
    <m/>
    <n v="14"/>
    <s v="Senior"/>
    <s v="Low"/>
    <s v="Short Days"/>
    <m/>
    <m/>
    <m/>
    <m/>
    <m/>
    <m/>
  </r>
  <r>
    <s v="VIS200120"/>
    <d v="2025-06-08T00:00:00"/>
    <s v="PAT5734"/>
    <s v="Siddharth Jose"/>
    <s v="Male"/>
    <n v="54"/>
    <s v="Jaipur"/>
    <s v="Rajasthan"/>
    <x v="1"/>
    <s v="Dr. Suri"/>
    <s v="F41"/>
    <s v="Counselling"/>
    <s v="OPD"/>
    <n v="1155.51"/>
    <s v="UPI"/>
    <s v="No"/>
    <m/>
    <m/>
    <s v="Middle-Aged"/>
    <s v="Low"/>
    <s v="Short Days"/>
    <m/>
    <m/>
    <m/>
    <m/>
    <m/>
    <m/>
  </r>
  <r>
    <s v="VIS200801"/>
    <d v="2024-07-25T00:00:00"/>
    <s v="PAT6657"/>
    <s v="Rahul Mishra"/>
    <s v="Female"/>
    <n v="28"/>
    <s v="Delhi"/>
    <s v="Delhi"/>
    <x v="4"/>
    <s v="Dr. Bhavana"/>
    <s v="L40"/>
    <s v="Medication"/>
    <s v="Teleconsultation"/>
    <n v="18635.8"/>
    <s v="Cash"/>
    <s v="No"/>
    <m/>
    <m/>
    <s v="Adult"/>
    <s v="High"/>
    <s v="Short Days"/>
    <m/>
    <m/>
    <m/>
    <m/>
    <m/>
    <m/>
  </r>
  <r>
    <s v="VIS202061"/>
    <d v="2024-08-05T00:00:00"/>
    <s v="PAT6889"/>
    <s v="Arjun Gupta"/>
    <s v="Female"/>
    <n v="44"/>
    <s v="Trichy"/>
    <s v="Tamil Nadu"/>
    <x v="2"/>
    <s v="Dr. Ramesh"/>
    <s v="F41"/>
    <s v="Minor Procedure"/>
    <s v="OPD"/>
    <n v="15549.84"/>
    <s v="Credit Card"/>
    <s v="No"/>
    <m/>
    <m/>
    <s v="Middle-Aged"/>
    <s v="High"/>
    <s v="Short Days"/>
    <m/>
    <m/>
    <m/>
    <m/>
    <m/>
    <m/>
  </r>
  <r>
    <s v="VIS202792"/>
    <d v="2025-04-06T00:00:00"/>
    <s v="PAT5258"/>
    <s v="Aarav Khan"/>
    <s v="Male"/>
    <n v="62"/>
    <s v="Kochi"/>
    <s v="Kerala"/>
    <x v="3"/>
    <s v="Dr. Pallavi"/>
    <s v="J45"/>
    <s v="Medication"/>
    <s v="OPD"/>
    <n v="1021.6"/>
    <s v="UPI"/>
    <s v="No"/>
    <m/>
    <n v="14"/>
    <s v="Senior"/>
    <s v="Low"/>
    <s v="Short Days"/>
    <m/>
    <m/>
    <m/>
    <m/>
    <m/>
    <m/>
  </r>
  <r>
    <s v="VIS202216"/>
    <d v="2025-01-13T00:00:00"/>
    <s v="PAT6910"/>
    <s v="Vivaan Sharma"/>
    <s v="Male"/>
    <n v="51"/>
    <s v="Kochi"/>
    <s v="Kerala"/>
    <x v="7"/>
    <s v="Dr. Surya"/>
    <s v="F41"/>
    <s v="Minor Procedure"/>
    <s v="OPD"/>
    <n v="114.42"/>
    <s v="UPI"/>
    <s v="No"/>
    <m/>
    <n v="14"/>
    <s v="Middle-Aged"/>
    <s v="Low"/>
    <s v="Short Days"/>
    <m/>
    <m/>
    <m/>
    <m/>
    <m/>
    <m/>
  </r>
  <r>
    <s v="VIS202733"/>
    <d v="2024-06-22T00:00:00"/>
    <s v="PAT5974"/>
    <s v="Deepa Nair"/>
    <s v="Female"/>
    <n v="70"/>
    <s v="Madurai"/>
    <s v="Tamil Nadu"/>
    <x v="7"/>
    <s v="Dr. Surya"/>
    <s v="I10"/>
    <s v="Counselling"/>
    <s v="Teleconsultation"/>
    <n v="8029.63"/>
    <s v="Debit Card"/>
    <s v="No"/>
    <m/>
    <n v="7"/>
    <s v="Senior"/>
    <s v="Medium"/>
    <s v="Short Days"/>
    <m/>
    <m/>
    <m/>
    <m/>
    <m/>
    <m/>
  </r>
  <r>
    <s v="VIS200036"/>
    <d v="2024-03-03T00:00:00"/>
    <s v="PAT5118"/>
    <s v="Rahul Sharma"/>
    <s v="Male"/>
    <n v="32"/>
    <s v="Mumbai"/>
    <s v="Maharashtra"/>
    <x v="6"/>
    <s v="Dr. Priya"/>
    <s v="E11"/>
    <s v="Medication"/>
    <s v="Teleconsultation"/>
    <n v="6817.55"/>
    <s v="UPI"/>
    <s v="No"/>
    <m/>
    <n v="90"/>
    <s v="Adult"/>
    <s v="Medium"/>
    <s v="Short Days"/>
    <m/>
    <m/>
    <m/>
    <m/>
    <m/>
    <m/>
  </r>
  <r>
    <s v="VIS202884"/>
    <d v="2024-06-05T00:00:00"/>
    <s v="PAT5636"/>
    <s v="Aditya Nair"/>
    <s v="Female"/>
    <n v="41"/>
    <s v="Delhi"/>
    <s v="Delhi"/>
    <x v="2"/>
    <s v="Dr. Manoj"/>
    <s v="H10"/>
    <s v="Prescription Refill"/>
    <s v="OPD"/>
    <n v="6947.54"/>
    <s v="Cash"/>
    <s v="No"/>
    <m/>
    <n v="30"/>
    <s v="Middle-Aged"/>
    <s v="Medium"/>
    <s v="Short Days"/>
    <m/>
    <m/>
    <m/>
    <m/>
    <m/>
    <m/>
  </r>
  <r>
    <s v="VIS201588"/>
    <d v="2025-04-05T00:00:00"/>
    <s v="PAT6169"/>
    <s v="Deepa Bose"/>
    <s v="Female"/>
    <n v="80"/>
    <s v="Bengaluru"/>
    <s v="Karnataka"/>
    <x v="5"/>
    <s v="Dr. Meena"/>
    <s v="J45"/>
    <s v="Counselling"/>
    <s v="OPD"/>
    <n v="2166.41"/>
    <s v="UPI"/>
    <s v="No"/>
    <m/>
    <n v="90"/>
    <s v="Senior"/>
    <s v="Low"/>
    <s v="Short Days"/>
    <m/>
    <m/>
    <m/>
    <m/>
    <m/>
    <m/>
  </r>
  <r>
    <s v="VIS200496"/>
    <d v="2024-04-14T00:00:00"/>
    <s v="PAT6985"/>
    <s v="Ananya Sharma"/>
    <s v="Male"/>
    <n v="49"/>
    <s v="Delhi"/>
    <s v="Delhi"/>
    <x v="6"/>
    <s v="Dr. Priya"/>
    <s v="L40"/>
    <s v="Medication"/>
    <s v="Teleconsultation"/>
    <n v="11095.53"/>
    <s v="Debit Card"/>
    <s v="No"/>
    <m/>
    <m/>
    <s v="Middle-Aged"/>
    <s v="High"/>
    <s v="Short Days"/>
    <m/>
    <m/>
    <m/>
    <m/>
    <m/>
    <m/>
  </r>
  <r>
    <s v="VIS201882"/>
    <d v="2025-06-15T00:00:00"/>
    <s v="PAT6793"/>
    <s v="Sangeetha Iyer"/>
    <s v="Female"/>
    <n v="49"/>
    <s v="Hyderabad"/>
    <s v="Telangana"/>
    <x v="0"/>
    <s v="Dr. Shailesh"/>
    <s v="N39"/>
    <s v="Minor Surgery"/>
    <s v="OPD"/>
    <n v="2714.66"/>
    <s v="Credit Card"/>
    <s v="No"/>
    <m/>
    <m/>
    <s v="Middle-Aged"/>
    <s v="Low"/>
    <s v="Short Days"/>
    <m/>
    <m/>
    <m/>
    <m/>
    <m/>
    <m/>
  </r>
  <r>
    <s v="VIS200061"/>
    <d v="2024-11-14T00:00:00"/>
    <s v="PAT6380"/>
    <s v="Arjun Patel"/>
    <s v="Male"/>
    <n v="56"/>
    <s v="Chennai"/>
    <s v="Tamil Nadu"/>
    <x v="1"/>
    <s v="Dr. Suri"/>
    <s v="H10"/>
    <s v="Medication"/>
    <s v="OPD"/>
    <n v="5522.03"/>
    <s v="UPI"/>
    <s v="No"/>
    <m/>
    <m/>
    <s v="Middle-Aged"/>
    <s v="Medium"/>
    <s v="Short Days"/>
    <m/>
    <m/>
    <m/>
    <m/>
    <m/>
    <m/>
  </r>
  <r>
    <s v="VIS200549"/>
    <d v="2025-01-07T00:00:00"/>
    <s v="PAT6129"/>
    <s v="Sangeetha Mishra"/>
    <s v="Male"/>
    <n v="45"/>
    <s v="Pune"/>
    <s v="Maharashtra"/>
    <x v="9"/>
    <s v="Dr. Arvind"/>
    <s v="H10"/>
    <s v="Observation"/>
    <s v="OPD"/>
    <n v="1159.1199999999999"/>
    <s v="Debit Card"/>
    <s v="No"/>
    <m/>
    <n v="30"/>
    <s v="Middle-Aged"/>
    <s v="Low"/>
    <s v="Short Days"/>
    <m/>
    <m/>
    <m/>
    <m/>
    <m/>
    <m/>
  </r>
  <r>
    <s v="VIS201358"/>
    <d v="2024-04-19T00:00:00"/>
    <s v="PAT6611"/>
    <s v="Rahul Das"/>
    <s v="Male"/>
    <n v="66"/>
    <s v="Bengaluru"/>
    <s v="Karnataka"/>
    <x v="9"/>
    <s v="Dr. Kusum"/>
    <s v="J45"/>
    <s v="Minor Procedure"/>
    <s v="Teleconsultation"/>
    <n v="5745.2"/>
    <s v="Cash"/>
    <s v="No"/>
    <m/>
    <n v="30"/>
    <s v="Senior"/>
    <s v="Medium"/>
    <s v="Short Days"/>
    <m/>
    <m/>
    <m/>
    <m/>
    <m/>
    <m/>
  </r>
  <r>
    <s v="VIS201626"/>
    <d v="2025-04-19T00:00:00"/>
    <s v="PAT5747"/>
    <s v="Neha Jose"/>
    <s v="Male"/>
    <n v="37"/>
    <s v="Madurai"/>
    <s v="Tamil Nadu"/>
    <x v="9"/>
    <s v="Dr. Kusum"/>
    <s v="M54"/>
    <s v="Observation"/>
    <s v="OPD"/>
    <n v="7816.63"/>
    <s v="Insurance"/>
    <s v="Yes"/>
    <m/>
    <n v="90"/>
    <s v="Adult"/>
    <s v="Medium"/>
    <s v="Short Days"/>
    <m/>
    <m/>
    <m/>
    <m/>
    <m/>
    <m/>
  </r>
  <r>
    <s v="VIS200029"/>
    <d v="2024-10-25T00:00:00"/>
    <s v="PAT6898"/>
    <s v="Siddharth Nair"/>
    <s v="Male"/>
    <n v="54"/>
    <s v="Trichy"/>
    <s v="Tamil Nadu"/>
    <x v="9"/>
    <s v="Dr. Arvind"/>
    <s v="H10"/>
    <s v="Medication"/>
    <s v="Teleconsultation"/>
    <n v="9248.5"/>
    <s v="Credit Card"/>
    <s v="No"/>
    <m/>
    <m/>
    <s v="Middle-Aged"/>
    <s v="Medium"/>
    <s v="Short Days"/>
    <m/>
    <m/>
    <m/>
    <m/>
    <m/>
    <m/>
  </r>
  <r>
    <s v="VIS200566"/>
    <d v="2025-02-25T00:00:00"/>
    <s v="PAT6977"/>
    <s v="Karthik Iyer"/>
    <s v="Male"/>
    <n v="34"/>
    <s v="Delhi"/>
    <s v="Delhi"/>
    <x v="6"/>
    <s v="Dr. Lalitha"/>
    <s v="E11"/>
    <s v="Medication"/>
    <s v="OPD"/>
    <n v="754.87"/>
    <s v="Insurance"/>
    <s v="Yes"/>
    <m/>
    <n v="30"/>
    <s v="Adult"/>
    <s v="Low"/>
    <s v="Short Days"/>
    <m/>
    <m/>
    <m/>
    <m/>
    <m/>
    <m/>
  </r>
  <r>
    <s v="VIS200031"/>
    <d v="2024-10-20T00:00:00"/>
    <s v="PAT5285"/>
    <s v="Deepa Jose"/>
    <s v="Female"/>
    <n v="54"/>
    <s v="Bengaluru"/>
    <s v="Karnataka"/>
    <x v="2"/>
    <s v="Dr. Manoj"/>
    <s v="L40"/>
    <s v="Observation"/>
    <s v="OPD"/>
    <n v="4562.33"/>
    <s v="Cash"/>
    <s v="No"/>
    <m/>
    <m/>
    <s v="Middle-Aged"/>
    <s v="Low"/>
    <s v="Short Days"/>
    <m/>
    <m/>
    <m/>
    <m/>
    <m/>
    <m/>
  </r>
  <r>
    <s v="VIS201998"/>
    <d v="2025-07-16T00:00:00"/>
    <s v="PAT6980"/>
    <s v="Sangeetha Jose"/>
    <s v="Male"/>
    <n v="26"/>
    <s v="Ahmedabad"/>
    <s v="Gujarat"/>
    <x v="9"/>
    <s v="Dr. Arvind"/>
    <s v="J00"/>
    <s v="Medication"/>
    <s v="OPD"/>
    <n v="8998.92"/>
    <s v="Insurance"/>
    <s v="Yes"/>
    <m/>
    <m/>
    <s v="Adult"/>
    <s v="Medium"/>
    <s v="Short Days"/>
    <m/>
    <m/>
    <m/>
    <m/>
    <m/>
    <m/>
  </r>
  <r>
    <s v="VIS202910"/>
    <d v="2024-12-07T00:00:00"/>
    <s v="PAT6799"/>
    <s v="Kavya Reddy"/>
    <s v="Female"/>
    <n v="31"/>
    <s v="Jaipur"/>
    <s v="Rajasthan"/>
    <x v="7"/>
    <s v="Dr. Surya"/>
    <s v="J45"/>
    <s v="Counselling"/>
    <s v="OPD"/>
    <n v="5088.84"/>
    <s v="UPI"/>
    <s v="No"/>
    <m/>
    <n v="90"/>
    <s v="Adult"/>
    <s v="Medium"/>
    <s v="Short Days"/>
    <m/>
    <m/>
    <m/>
    <m/>
    <m/>
    <m/>
  </r>
  <r>
    <s v="VIS201909"/>
    <d v="2024-10-10T00:00:00"/>
    <s v="PAT5073"/>
    <s v="Rohan Nagar"/>
    <s v="Male"/>
    <n v="56"/>
    <s v="Chennai"/>
    <s v="Tamil Nadu"/>
    <x v="9"/>
    <s v="Dr. Kusum"/>
    <s v="H10"/>
    <s v="Minor Procedure"/>
    <s v="OPD"/>
    <n v="1417.54"/>
    <s v="Cash"/>
    <s v="No"/>
    <m/>
    <n v="14"/>
    <s v="Middle-Aged"/>
    <s v="Low"/>
    <s v="Short Days"/>
    <m/>
    <m/>
    <m/>
    <m/>
    <m/>
    <m/>
  </r>
  <r>
    <s v="VIS201064"/>
    <d v="2024-05-08T00:00:00"/>
    <s v="PAT5047"/>
    <s v="Vishal Reddy"/>
    <s v="Male"/>
    <n v="42"/>
    <s v="Lucknow"/>
    <s v="Uttar Pradesh"/>
    <x v="4"/>
    <s v="Dr. Varun"/>
    <s v="J00"/>
    <s v="Counselling"/>
    <s v="Teleconsultation"/>
    <n v="6892.83"/>
    <s v="Credit Card"/>
    <s v="No"/>
    <m/>
    <m/>
    <s v="Middle-Aged"/>
    <s v="Medium"/>
    <s v="Short Days"/>
    <m/>
    <m/>
    <m/>
    <m/>
    <m/>
    <m/>
  </r>
  <r>
    <s v="VIS200016"/>
    <d v="2025-07-21T00:00:00"/>
    <s v="PAT6101"/>
    <s v="Aditya Bose"/>
    <s v="Female"/>
    <n v="40"/>
    <s v="Hyderabad"/>
    <s v="Telangana"/>
    <x v="4"/>
    <s v="Dr. Bhavana"/>
    <s v="N39"/>
    <s v="Medication"/>
    <s v="OPD"/>
    <n v="4940.21"/>
    <s v="Debit Card"/>
    <s v="No"/>
    <m/>
    <m/>
    <s v="Adult"/>
    <s v="Low"/>
    <s v="Short Days"/>
    <m/>
    <m/>
    <m/>
    <m/>
    <m/>
    <m/>
  </r>
  <r>
    <s v="VIS201805"/>
    <d v="2024-04-24T00:00:00"/>
    <s v="PAT5708"/>
    <s v="Vivaan Das"/>
    <s v="Female"/>
    <n v="26"/>
    <s v="Chennai"/>
    <s v="Tamil Nadu"/>
    <x v="4"/>
    <s v="Dr. Varun"/>
    <s v="K21"/>
    <s v="Physiotherapy"/>
    <s v="OPD"/>
    <n v="3918.24"/>
    <s v="Cash"/>
    <s v="No"/>
    <m/>
    <n v="7"/>
    <s v="Adult"/>
    <s v="Low"/>
    <s v="Short Days"/>
    <m/>
    <m/>
    <m/>
    <m/>
    <m/>
    <m/>
  </r>
  <r>
    <s v="VIS200683"/>
    <d v="2024-07-13T00:00:00"/>
    <s v="PAT6023"/>
    <s v="Vivaan Das"/>
    <s v="Female"/>
    <n v="24"/>
    <s v="Trichy"/>
    <s v="Tamil Nadu"/>
    <x v="5"/>
    <s v="Dr. Karthik"/>
    <s v="N39"/>
    <s v="Physiotherapy"/>
    <s v="Emergency"/>
    <n v="23330.23"/>
    <s v="Debit Card"/>
    <s v="No"/>
    <m/>
    <n v="7"/>
    <s v="Adult"/>
    <s v="High"/>
    <s v="Short Days"/>
    <m/>
    <m/>
    <m/>
    <m/>
    <m/>
    <m/>
  </r>
  <r>
    <s v="VIS202533"/>
    <d v="2025-01-12T00:00:00"/>
    <s v="PAT5747"/>
    <s v="Aishwarya Singh"/>
    <s v="Male"/>
    <n v="57"/>
    <s v="Coimbatore"/>
    <s v="Tamil Nadu"/>
    <x v="5"/>
    <s v="Dr. Ravi"/>
    <s v="J45"/>
    <s v="Physiotherapy"/>
    <s v="OPD"/>
    <n v="844.72"/>
    <s v="UPI"/>
    <s v="No"/>
    <m/>
    <m/>
    <s v="Middle-Aged"/>
    <s v="Low"/>
    <s v="Short Days"/>
    <m/>
    <m/>
    <m/>
    <m/>
    <m/>
    <m/>
  </r>
  <r>
    <s v="VIS201216"/>
    <d v="2025-06-21T00:00:00"/>
    <s v="PAT5942"/>
    <s v="Kavya Gupta"/>
    <s v="Female"/>
    <n v="65"/>
    <s v="Kochi"/>
    <s v="Kerala"/>
    <x v="1"/>
    <s v="Dr. Suri"/>
    <s v="E11"/>
    <s v="Observation"/>
    <s v="IPD"/>
    <n v="17924.009999999998"/>
    <s v="UPI"/>
    <s v="No"/>
    <n v="9"/>
    <n v="30"/>
    <s v="Senior"/>
    <s v="High"/>
    <s v="Long Days"/>
    <m/>
    <m/>
    <m/>
    <m/>
    <m/>
    <m/>
  </r>
  <r>
    <s v="VIS201852"/>
    <d v="2025-10-07T00:00:00"/>
    <s v="PAT6056"/>
    <s v="Aarav Singh"/>
    <s v="Female"/>
    <n v="51"/>
    <s v="Delhi"/>
    <s v="Delhi"/>
    <x v="5"/>
    <s v="Dr. Meena"/>
    <s v="K21"/>
    <s v="Minor Surgery"/>
    <s v="Teleconsultation"/>
    <n v="26475.759999999998"/>
    <s v="Debit Card"/>
    <s v="No"/>
    <m/>
    <n v="90"/>
    <s v="Middle-Aged"/>
    <s v="High"/>
    <s v="Short Days"/>
    <m/>
    <m/>
    <m/>
    <m/>
    <m/>
    <m/>
  </r>
  <r>
    <s v="VIS202749"/>
    <d v="2025-10-17T00:00:00"/>
    <s v="PAT5211"/>
    <s v="Priya Jose"/>
    <s v="Male"/>
    <n v="29"/>
    <s v="Hyderabad"/>
    <s v="Telangana"/>
    <x v="7"/>
    <s v="Dr. Surya"/>
    <s v="N39"/>
    <s v="Minor Procedure"/>
    <s v="OPD"/>
    <n v="1827.21"/>
    <s v="Debit Card"/>
    <s v="No"/>
    <m/>
    <n v="14"/>
    <s v="Adult"/>
    <s v="Low"/>
    <s v="Short Days"/>
    <m/>
    <m/>
    <m/>
    <m/>
    <m/>
    <m/>
  </r>
  <r>
    <s v="VIS202848"/>
    <d v="2024-05-27T00:00:00"/>
    <s v="PAT6380"/>
    <s v="Aditya Patel"/>
    <s v="Male"/>
    <n v="50"/>
    <s v="Delhi"/>
    <s v="Delhi"/>
    <x v="3"/>
    <s v="Dr. Pallavi"/>
    <s v="M54"/>
    <s v="Medication"/>
    <s v="Teleconsultation"/>
    <n v="19477.68"/>
    <s v="Insurance"/>
    <s v="Yes"/>
    <m/>
    <n v="14"/>
    <s v="Middle-Aged"/>
    <s v="High"/>
    <s v="Short Days"/>
    <m/>
    <m/>
    <m/>
    <m/>
    <m/>
    <m/>
  </r>
  <r>
    <s v="VIS201258"/>
    <d v="2025-03-27T00:00:00"/>
    <s v="PAT6173"/>
    <s v="Aditya Gupta"/>
    <s v="Female"/>
    <n v="28"/>
    <s v="Trichy"/>
    <s v="Tamil Nadu"/>
    <x v="1"/>
    <s v="Dr. Anu"/>
    <s v="M54"/>
    <s v="Counselling"/>
    <s v="OPD"/>
    <n v="2660.17"/>
    <s v="UPI"/>
    <s v="No"/>
    <m/>
    <m/>
    <s v="Adult"/>
    <s v="Low"/>
    <s v="Short Days"/>
    <m/>
    <m/>
    <m/>
    <m/>
    <m/>
    <m/>
  </r>
  <r>
    <s v="VIS201050"/>
    <d v="2025-06-13T00:00:00"/>
    <s v="PAT6649"/>
    <s v="Sangeetha Mishra"/>
    <s v="Female"/>
    <n v="60"/>
    <s v="Kolkata"/>
    <s v="West Bengal"/>
    <x v="7"/>
    <s v="Dr. Leela"/>
    <s v="M54"/>
    <s v="Observation"/>
    <s v="OPD"/>
    <n v="4886.32"/>
    <s v="Debit Card"/>
    <s v="No"/>
    <m/>
    <n v="90"/>
    <s v="Middle-Aged"/>
    <s v="Low"/>
    <s v="Short Days"/>
    <m/>
    <m/>
    <m/>
    <m/>
    <m/>
    <m/>
  </r>
  <r>
    <s v="VIS201614"/>
    <d v="2024-09-14T00:00:00"/>
    <s v="PAT5076"/>
    <s v="Rohan Gupta"/>
    <s v="Male"/>
    <n v="18"/>
    <s v="Ahmedabad"/>
    <s v="Gujarat"/>
    <x v="5"/>
    <s v="Dr. Meena"/>
    <s v="F41"/>
    <s v="Prescription Refill"/>
    <s v="OPD"/>
    <n v="730.54"/>
    <s v="Debit Card"/>
    <s v="No"/>
    <m/>
    <m/>
    <s v="Adult"/>
    <s v="Low"/>
    <s v="Short Days"/>
    <m/>
    <m/>
    <m/>
    <m/>
    <m/>
    <m/>
  </r>
  <r>
    <s v="VIS201931"/>
    <d v="2025-02-18T00:00:00"/>
    <s v="PAT6325"/>
    <s v="Manisha Das"/>
    <s v="Female"/>
    <n v="59"/>
    <s v="Ahmedabad"/>
    <s v="Gujarat"/>
    <x v="6"/>
    <s v="Dr. Lalitha"/>
    <s v="E11"/>
    <s v="Counselling"/>
    <s v="Teleconsultation"/>
    <n v="22366.240000000002"/>
    <s v="UPI"/>
    <s v="No"/>
    <m/>
    <n v="14"/>
    <s v="Middle-Aged"/>
    <s v="High"/>
    <s v="Short Days"/>
    <m/>
    <m/>
    <m/>
    <m/>
    <m/>
    <m/>
  </r>
  <r>
    <s v="VIS202663"/>
    <d v="2025-07-07T00:00:00"/>
    <s v="PAT5580"/>
    <s v="Manisha Khan"/>
    <s v="Male"/>
    <n v="10"/>
    <s v="Bengaluru"/>
    <s v="Karnataka"/>
    <x v="3"/>
    <s v="Dr. Pallavi"/>
    <s v="H10"/>
    <s v="Surgery"/>
    <s v="OPD"/>
    <n v="6685.83"/>
    <s v="Debit Card"/>
    <s v="No"/>
    <m/>
    <m/>
    <s v="Child"/>
    <s v="Medium"/>
    <s v="Short Days"/>
    <m/>
    <m/>
    <m/>
    <m/>
    <m/>
    <m/>
  </r>
  <r>
    <s v="VIS201351"/>
    <d v="2024-03-18T00:00:00"/>
    <s v="PAT5413"/>
    <s v="Priya Mishra"/>
    <s v="Male"/>
    <n v="28"/>
    <s v="Lucknow"/>
    <s v="Uttar Pradesh"/>
    <x v="9"/>
    <s v="Dr. Kusum"/>
    <s v="E11"/>
    <s v="Prescription Refill"/>
    <s v="OPD"/>
    <n v="2025.45"/>
    <s v="Insurance"/>
    <s v="Yes"/>
    <m/>
    <n v="30"/>
    <s v="Adult"/>
    <s v="Low"/>
    <s v="Short Days"/>
    <m/>
    <m/>
    <m/>
    <m/>
    <m/>
    <m/>
  </r>
  <r>
    <s v="VIS201726"/>
    <d v="2024-08-02T00:00:00"/>
    <s v="PAT5279"/>
    <s v="Vishal Reddy"/>
    <s v="Female"/>
    <n v="29"/>
    <s v="Kochi"/>
    <s v="Kerala"/>
    <x v="7"/>
    <s v="Dr. Leela"/>
    <s v="I10"/>
    <s v="Physiotherapy"/>
    <s v="OPD"/>
    <n v="5920.89"/>
    <s v="Cash"/>
    <s v="No"/>
    <m/>
    <m/>
    <s v="Adult"/>
    <s v="Medium"/>
    <s v="Short Days"/>
    <m/>
    <m/>
    <m/>
    <m/>
    <m/>
    <m/>
  </r>
  <r>
    <s v="VIS200359"/>
    <d v="2024-09-07T00:00:00"/>
    <s v="PAT6804"/>
    <s v="Aishwarya Sharma"/>
    <s v="Female"/>
    <n v="21"/>
    <s v="Hyderabad"/>
    <s v="Telangana"/>
    <x v="4"/>
    <s v="Dr. Bhavana"/>
    <s v="N39"/>
    <s v="Surgery"/>
    <s v="Teleconsultation"/>
    <n v="26555"/>
    <s v="Insurance"/>
    <s v="Yes"/>
    <m/>
    <m/>
    <s v="Adult"/>
    <s v="High"/>
    <s v="Short Days"/>
    <m/>
    <m/>
    <m/>
    <m/>
    <m/>
    <m/>
  </r>
  <r>
    <s v="VIS200168"/>
    <d v="2025-05-29T00:00:00"/>
    <s v="PAT6981"/>
    <s v="Sangeetha Nair"/>
    <s v="Female"/>
    <n v="32"/>
    <s v="Delhi"/>
    <s v="Delhi"/>
    <x v="0"/>
    <s v="Dr. Nikhil"/>
    <s v="I10"/>
    <s v="Minor Procedure"/>
    <s v="OPD"/>
    <n v="153.94999999999999"/>
    <s v="Cash"/>
    <s v="No"/>
    <m/>
    <n v="30"/>
    <s v="Adult"/>
    <s v="Low"/>
    <s v="Short Days"/>
    <m/>
    <m/>
    <m/>
    <m/>
    <m/>
    <m/>
  </r>
  <r>
    <s v="VIS202858"/>
    <d v="2024-03-24T00:00:00"/>
    <s v="PAT6427"/>
    <s v="Ananya Nagar"/>
    <s v="Female"/>
    <n v="56"/>
    <s v="Madurai"/>
    <s v="Tamil Nadu"/>
    <x v="7"/>
    <s v="Dr. Surya"/>
    <s v="L40"/>
    <s v="Minor Surgery"/>
    <s v="Emergency"/>
    <n v="10773.11"/>
    <s v="Debit Card"/>
    <s v="No"/>
    <m/>
    <m/>
    <s v="Middle-Aged"/>
    <s v="High"/>
    <s v="Short Days"/>
    <m/>
    <m/>
    <m/>
    <m/>
    <m/>
    <m/>
  </r>
  <r>
    <s v="VIS201520"/>
    <d v="2024-02-03T00:00:00"/>
    <s v="PAT6813"/>
    <s v="Deepa Patel"/>
    <s v="Female"/>
    <n v="49"/>
    <s v="Madurai"/>
    <s v="Tamil Nadu"/>
    <x v="2"/>
    <s v="Dr. Manoj"/>
    <s v="L40"/>
    <s v="Minor Procedure"/>
    <s v="OPD"/>
    <n v="2358.83"/>
    <s v="Net Banking"/>
    <s v="No"/>
    <m/>
    <n v="14"/>
    <s v="Middle-Aged"/>
    <s v="Low"/>
    <s v="Short Days"/>
    <m/>
    <m/>
    <m/>
    <m/>
    <m/>
    <m/>
  </r>
  <r>
    <s v="VIS200193"/>
    <d v="2025-08-28T00:00:00"/>
    <s v="PAT5519"/>
    <s v="Rohan Nagar"/>
    <s v="Male"/>
    <n v="30"/>
    <s v="Hyderabad"/>
    <s v="Telangana"/>
    <x v="3"/>
    <s v="Dr. Pallavi"/>
    <s v="M54"/>
    <s v="Medication"/>
    <s v="Teleconsultation"/>
    <n v="7490.4"/>
    <s v="UPI"/>
    <s v="No"/>
    <m/>
    <n v="90"/>
    <s v="Adult"/>
    <s v="Medium"/>
    <s v="Short Days"/>
    <m/>
    <m/>
    <m/>
    <m/>
    <m/>
    <m/>
  </r>
  <r>
    <s v="VIS202725"/>
    <d v="2024-09-08T00:00:00"/>
    <s v="PAT5456"/>
    <s v="Aditya Khan"/>
    <s v="Female"/>
    <n v="39"/>
    <s v="Coimbatore"/>
    <s v="Tamil Nadu"/>
    <x v="8"/>
    <s v="Dr. Kavitha"/>
    <s v="J00"/>
    <s v="Medication"/>
    <s v="Teleconsultation"/>
    <n v="7403.88"/>
    <s v="UPI"/>
    <s v="No"/>
    <m/>
    <n v="14"/>
    <s v="Adult"/>
    <s v="Medium"/>
    <s v="Short Days"/>
    <m/>
    <m/>
    <m/>
    <m/>
    <m/>
    <m/>
  </r>
  <r>
    <s v="VIS202904"/>
    <d v="2024-01-27T00:00:00"/>
    <s v="PAT5805"/>
    <s v="Neha Patel"/>
    <s v="Female"/>
    <n v="26"/>
    <s v="Hyderabad"/>
    <s v="Telangana"/>
    <x v="7"/>
    <s v="Dr. Surya"/>
    <s v="H10"/>
    <s v="Counselling"/>
    <s v="OPD"/>
    <n v="2381.25"/>
    <s v="Cash"/>
    <s v="No"/>
    <m/>
    <n v="14"/>
    <s v="Adult"/>
    <s v="Low"/>
    <s v="Short Days"/>
    <m/>
    <m/>
    <m/>
    <m/>
    <m/>
    <m/>
  </r>
  <r>
    <s v="VIS201451"/>
    <d v="2024-03-07T00:00:00"/>
    <s v="PAT6269"/>
    <s v="Shruti Bose"/>
    <s v="Female"/>
    <n v="59"/>
    <s v="Lucknow"/>
    <s v="Uttar Pradesh"/>
    <x v="1"/>
    <s v="Dr. Suri"/>
    <s v="H10"/>
    <s v="Counselling"/>
    <s v="Teleconsultation"/>
    <n v="12224.61"/>
    <s v="Credit Card"/>
    <s v="No"/>
    <m/>
    <n v="14"/>
    <s v="Middle-Aged"/>
    <s v="High"/>
    <s v="Short Days"/>
    <m/>
    <m/>
    <m/>
    <m/>
    <m/>
    <m/>
  </r>
  <r>
    <s v="VIS200775"/>
    <d v="2025-01-20T00:00:00"/>
    <s v="PAT5981"/>
    <s v="Rahul Gupta"/>
    <s v="Other"/>
    <n v="9"/>
    <s v="Trichy"/>
    <s v="Tamil Nadu"/>
    <x v="2"/>
    <s v="Dr. Manoj"/>
    <s v="K21"/>
    <s v="Surgery"/>
    <s v="OPD"/>
    <n v="191.51"/>
    <s v="Cash"/>
    <s v="No"/>
    <m/>
    <n v="30"/>
    <s v="Child"/>
    <s v="Low"/>
    <s v="Short Days"/>
    <m/>
    <m/>
    <m/>
    <m/>
    <m/>
    <m/>
  </r>
  <r>
    <s v="VIS201900"/>
    <d v="2025-03-28T00:00:00"/>
    <s v="PAT5007"/>
    <s v="Aishwarya Iyer"/>
    <s v="Male"/>
    <n v="10"/>
    <s v="Coimbatore"/>
    <s v="Tamil Nadu"/>
    <x v="2"/>
    <s v="Dr. Ramesh"/>
    <s v="K21"/>
    <s v="Minor Surgery"/>
    <s v="Teleconsultation"/>
    <n v="15767.18"/>
    <s v="Debit Card"/>
    <s v="No"/>
    <m/>
    <n v="30"/>
    <s v="Child"/>
    <s v="High"/>
    <s v="Short Days"/>
    <m/>
    <m/>
    <m/>
    <m/>
    <m/>
    <m/>
  </r>
  <r>
    <s v="VIS202424"/>
    <d v="2025-01-05T00:00:00"/>
    <s v="PAT5952"/>
    <s v="Aarav Jose"/>
    <s v="Female"/>
    <n v="40"/>
    <s v="Madurai"/>
    <s v="Tamil Nadu"/>
    <x v="2"/>
    <s v="Dr. Manoj"/>
    <s v="N39"/>
    <s v="Observation"/>
    <s v="Teleconsultation"/>
    <n v="8702.4699999999993"/>
    <s v="Debit Card"/>
    <s v="No"/>
    <m/>
    <m/>
    <s v="Adult"/>
    <s v="Medium"/>
    <s v="Short Days"/>
    <m/>
    <m/>
    <m/>
    <m/>
    <m/>
    <m/>
  </r>
  <r>
    <s v="VIS202031"/>
    <d v="2024-05-15T00:00:00"/>
    <s v="PAT5078"/>
    <s v="Vishal Bose"/>
    <s v="Male"/>
    <n v="59"/>
    <s v="Mumbai"/>
    <s v="Maharashtra"/>
    <x v="9"/>
    <s v="Dr. Arvind"/>
    <s v="H10"/>
    <s v="Physiotherapy"/>
    <s v="Teleconsultation"/>
    <n v="7626.52"/>
    <s v="Net Banking"/>
    <s v="No"/>
    <m/>
    <m/>
    <s v="Middle-Aged"/>
    <s v="Medium"/>
    <s v="Short Days"/>
    <m/>
    <m/>
    <m/>
    <m/>
    <m/>
    <m/>
  </r>
  <r>
    <s v="VIS200408"/>
    <d v="2024-04-12T00:00:00"/>
    <s v="PAT6984"/>
    <s v="Vivaan Jose"/>
    <s v="Female"/>
    <n v="40"/>
    <s v="Noida"/>
    <s v="Uttar Pradesh"/>
    <x v="6"/>
    <s v="Dr. Priya"/>
    <s v="F41"/>
    <s v="Prescription Refill"/>
    <s v="Emergency"/>
    <n v="12751.54"/>
    <s v="Credit Card"/>
    <s v="No"/>
    <m/>
    <n v="90"/>
    <s v="Adult"/>
    <s v="High"/>
    <s v="Short Days"/>
    <m/>
    <m/>
    <m/>
    <m/>
    <m/>
    <m/>
  </r>
  <r>
    <s v="VIS202045"/>
    <d v="2025-04-22T00:00:00"/>
    <s v="PAT5837"/>
    <s v="Deepa Patel"/>
    <s v="Female"/>
    <n v="26"/>
    <s v="Trichy"/>
    <s v="Tamil Nadu"/>
    <x v="9"/>
    <s v="Dr. Kusum"/>
    <s v="N39"/>
    <s v="Physiotherapy"/>
    <s v="OPD"/>
    <n v="4277.8900000000003"/>
    <s v="Credit Card"/>
    <s v="No"/>
    <m/>
    <n v="30"/>
    <s v="Adult"/>
    <s v="Low"/>
    <s v="Short Days"/>
    <m/>
    <m/>
    <m/>
    <m/>
    <m/>
    <m/>
  </r>
  <r>
    <s v="VIS200386"/>
    <d v="2025-06-03T00:00:00"/>
    <s v="PAT5161"/>
    <s v="Deepa Khan"/>
    <s v="Female"/>
    <n v="56"/>
    <s v="Coimbatore"/>
    <s v="Tamil Nadu"/>
    <x v="0"/>
    <s v="Dr. Shailesh"/>
    <s v="M54"/>
    <s v="Counselling"/>
    <s v="Teleconsultation"/>
    <n v="7132.01"/>
    <s v="Cash"/>
    <s v="No"/>
    <m/>
    <n v="14"/>
    <s v="Middle-Aged"/>
    <s v="Medium"/>
    <s v="Short Days"/>
    <m/>
    <m/>
    <m/>
    <m/>
    <m/>
    <m/>
  </r>
  <r>
    <s v="VIS202168"/>
    <d v="2025-09-02T00:00:00"/>
    <s v="PAT5236"/>
    <s v="Aarav Kumar"/>
    <s v="Female"/>
    <n v="25"/>
    <s v="Delhi"/>
    <s v="Delhi"/>
    <x v="1"/>
    <s v="Dr. Suri"/>
    <s v="L40"/>
    <s v="Surgery"/>
    <s v="OPD"/>
    <n v="4125.3999999999996"/>
    <s v="UPI"/>
    <s v="No"/>
    <m/>
    <n v="30"/>
    <s v="Adult"/>
    <s v="Low"/>
    <s v="Short Days"/>
    <m/>
    <m/>
    <m/>
    <m/>
    <m/>
    <m/>
  </r>
  <r>
    <s v="VIS200844"/>
    <d v="2024-10-17T00:00:00"/>
    <s v="PAT5730"/>
    <s v="Vivaan Khan"/>
    <s v="Male"/>
    <n v="31"/>
    <s v="Kochi"/>
    <s v="Kerala"/>
    <x v="2"/>
    <s v="Dr. Manoj"/>
    <s v="H10"/>
    <s v="Medication"/>
    <s v="OPD"/>
    <n v="4236.47"/>
    <s v="Insurance"/>
    <s v="Yes"/>
    <m/>
    <n v="30"/>
    <s v="Adult"/>
    <s v="Low"/>
    <s v="Short Days"/>
    <m/>
    <m/>
    <m/>
    <m/>
    <m/>
    <m/>
  </r>
  <r>
    <s v="VIS200695"/>
    <d v="2024-12-22T00:00:00"/>
    <s v="PAT5679"/>
    <s v="Ishaan Gupta"/>
    <s v="Female"/>
    <n v="36"/>
    <s v="Lucknow"/>
    <s v="Uttar Pradesh"/>
    <x v="6"/>
    <s v="Dr. Priya"/>
    <s v="I10"/>
    <s v="Medication"/>
    <s v="IPD"/>
    <n v="7362.34"/>
    <s v="UPI"/>
    <s v="No"/>
    <n v="11"/>
    <m/>
    <s v="Adult"/>
    <s v="Medium"/>
    <s v="Long Days"/>
    <m/>
    <m/>
    <m/>
    <m/>
    <m/>
    <m/>
  </r>
  <r>
    <s v="VIS200110"/>
    <d v="2024-10-22T00:00:00"/>
    <s v="PAT5346"/>
    <s v="Kavya Bose"/>
    <s v="Male"/>
    <n v="45"/>
    <s v="Trichy"/>
    <s v="Tamil Nadu"/>
    <x v="4"/>
    <s v="Dr. Bhavana"/>
    <s v="I10"/>
    <s v="Physiotherapy"/>
    <s v="OPD"/>
    <n v="711.51"/>
    <s v="Debit Card"/>
    <s v="No"/>
    <m/>
    <m/>
    <s v="Middle-Aged"/>
    <s v="Low"/>
    <s v="Short Days"/>
    <m/>
    <m/>
    <m/>
    <m/>
    <m/>
    <m/>
  </r>
  <r>
    <s v="VIS201422"/>
    <d v="2024-10-04T00:00:00"/>
    <s v="PAT5602"/>
    <s v="Priya Gupta"/>
    <s v="Male"/>
    <n v="6"/>
    <s v="Kolkata"/>
    <s v="West Bengal"/>
    <x v="5"/>
    <s v="Dr. Meena"/>
    <s v="J45"/>
    <s v="Physiotherapy"/>
    <s v="Teleconsultation"/>
    <n v="5141.59"/>
    <s v="Net Banking"/>
    <s v="No"/>
    <m/>
    <n v="7"/>
    <s v="Child"/>
    <s v="Medium"/>
    <s v="Short Days"/>
    <m/>
    <m/>
    <m/>
    <m/>
    <m/>
    <m/>
  </r>
  <r>
    <s v="VIS202572"/>
    <d v="2024-04-02T00:00:00"/>
    <s v="PAT6894"/>
    <s v="Aditya Iyer"/>
    <s v="Female"/>
    <n v="21"/>
    <s v="Bengaluru"/>
    <s v="Karnataka"/>
    <x v="1"/>
    <s v="Dr. Suri"/>
    <s v="L40"/>
    <s v="Observation"/>
    <s v="Teleconsultation"/>
    <n v="15545.78"/>
    <s v="Debit Card"/>
    <s v="No"/>
    <m/>
    <m/>
    <s v="Adult"/>
    <s v="High"/>
    <s v="Short Days"/>
    <m/>
    <m/>
    <m/>
    <m/>
    <m/>
    <m/>
  </r>
  <r>
    <s v="VIS200760"/>
    <d v="2025-08-31T00:00:00"/>
    <s v="PAT6061"/>
    <s v="Karthik Singh"/>
    <s v="Female"/>
    <n v="23"/>
    <s v="Kochi"/>
    <s v="Kerala"/>
    <x v="8"/>
    <s v="Dr. Kavitha"/>
    <s v="J00"/>
    <s v="Physiotherapy"/>
    <s v="OPD"/>
    <n v="6447.39"/>
    <s v="Cash"/>
    <s v="No"/>
    <m/>
    <m/>
    <s v="Adult"/>
    <s v="Medium"/>
    <s v="Short Days"/>
    <m/>
    <m/>
    <m/>
    <m/>
    <m/>
    <m/>
  </r>
  <r>
    <s v="VIS200750"/>
    <d v="2024-05-26T00:00:00"/>
    <s v="PAT6741"/>
    <s v="Ishaan Reddy"/>
    <s v="Male"/>
    <n v="34"/>
    <s v="Noida"/>
    <s v="Uttar Pradesh"/>
    <x v="2"/>
    <s v="Dr. Ramesh"/>
    <s v="J00"/>
    <s v="Prescription Refill"/>
    <s v="OPD"/>
    <n v="433.2"/>
    <s v="Cash"/>
    <s v="No"/>
    <m/>
    <n v="90"/>
    <s v="Adult"/>
    <s v="Low"/>
    <s v="Short Days"/>
    <m/>
    <m/>
    <m/>
    <m/>
    <m/>
    <m/>
  </r>
  <r>
    <s v="VIS201954"/>
    <d v="2025-05-27T00:00:00"/>
    <s v="PAT6038"/>
    <s v="Rahul Nair"/>
    <s v="Male"/>
    <n v="49"/>
    <s v="Mumbai"/>
    <s v="Maharashtra"/>
    <x v="4"/>
    <s v="Dr. Bhavana"/>
    <s v="M54"/>
    <s v="Prescription Refill"/>
    <s v="OPD"/>
    <n v="2824.9"/>
    <s v="Insurance"/>
    <s v="Yes"/>
    <m/>
    <n v="7"/>
    <s v="Middle-Aged"/>
    <s v="Low"/>
    <s v="Short Days"/>
    <m/>
    <m/>
    <m/>
    <m/>
    <m/>
    <m/>
  </r>
  <r>
    <s v="VIS202155"/>
    <d v="2025-02-27T00:00:00"/>
    <s v="PAT6495"/>
    <s v="Ishaan Khan"/>
    <s v="Male"/>
    <n v="45"/>
    <s v="Hyderabad"/>
    <s v="Telangana"/>
    <x v="7"/>
    <s v="Dr. Surya"/>
    <s v="J00"/>
    <s v="Surgery"/>
    <s v="OPD"/>
    <n v="1159.1099999999999"/>
    <s v="Cash"/>
    <s v="No"/>
    <m/>
    <n v="90"/>
    <s v="Middle-Aged"/>
    <s v="Low"/>
    <s v="Short Days"/>
    <m/>
    <m/>
    <m/>
    <m/>
    <m/>
    <m/>
  </r>
  <r>
    <s v="VIS202640"/>
    <d v="2024-11-17T00:00:00"/>
    <s v="PAT6554"/>
    <s v="Aishwarya Sharma"/>
    <s v="Male"/>
    <n v="13"/>
    <s v="Pune"/>
    <s v="Maharashtra"/>
    <x v="1"/>
    <s v="Dr. Anu"/>
    <s v="J00"/>
    <s v="Counselling"/>
    <s v="OPD"/>
    <n v="7699.22"/>
    <s v="Debit Card"/>
    <s v="No"/>
    <m/>
    <n v="14"/>
    <s v="Child"/>
    <s v="Medium"/>
    <s v="Short Days"/>
    <m/>
    <m/>
    <m/>
    <m/>
    <m/>
    <m/>
  </r>
  <r>
    <s v="VIS202496"/>
    <d v="2025-05-02T00:00:00"/>
    <s v="PAT5243"/>
    <s v="Priya Gupta"/>
    <s v="Female"/>
    <n v="41"/>
    <s v="Jaipur"/>
    <s v="Rajasthan"/>
    <x v="9"/>
    <s v="Dr. Arvind"/>
    <s v="J45"/>
    <s v="Minor Surgery"/>
    <s v="OPD"/>
    <n v="3960.95"/>
    <s v="Debit Card"/>
    <s v="No"/>
    <m/>
    <m/>
    <s v="Middle-Aged"/>
    <s v="Low"/>
    <s v="Short Days"/>
    <m/>
    <m/>
    <m/>
    <m/>
    <m/>
    <m/>
  </r>
  <r>
    <s v="VIS201583"/>
    <d v="2025-02-08T00:00:00"/>
    <s v="PAT6029"/>
    <s v="Ishaan Reddy"/>
    <s v="Female"/>
    <n v="47"/>
    <s v="Noida"/>
    <s v="Uttar Pradesh"/>
    <x v="7"/>
    <s v="Dr. Surya"/>
    <s v="H10"/>
    <s v="Observation"/>
    <s v="OPD"/>
    <n v="12372.6"/>
    <s v="Cash"/>
    <s v="No"/>
    <m/>
    <n v="30"/>
    <s v="Middle-Aged"/>
    <s v="High"/>
    <s v="Short Days"/>
    <m/>
    <m/>
    <m/>
    <m/>
    <m/>
    <m/>
  </r>
  <r>
    <s v="VIS201835"/>
    <d v="2024-10-27T00:00:00"/>
    <s v="PAT6436"/>
    <s v="Manisha Kumar"/>
    <s v="Male"/>
    <n v="35"/>
    <s v="Chennai"/>
    <s v="Tamil Nadu"/>
    <x v="1"/>
    <s v="Dr. Anu"/>
    <s v="N39"/>
    <s v="Minor Surgery"/>
    <s v="IPD"/>
    <n v="5077.3500000000004"/>
    <s v="UPI"/>
    <s v="No"/>
    <n v="6"/>
    <n v="90"/>
    <s v="Adult"/>
    <s v="Medium"/>
    <s v="Long Days"/>
    <m/>
    <m/>
    <m/>
    <m/>
    <m/>
    <m/>
  </r>
  <r>
    <s v="VIS202865"/>
    <d v="2025-10-30T00:00:00"/>
    <s v="PAT5466"/>
    <s v="Siddharth Bose"/>
    <s v="Female"/>
    <n v="19"/>
    <s v="Mumbai"/>
    <s v="Maharashtra"/>
    <x v="5"/>
    <s v="Dr. Karthik"/>
    <s v="J00"/>
    <s v="Minor Surgery"/>
    <s v="OPD"/>
    <n v="1283.94"/>
    <s v="Insurance"/>
    <s v="Yes"/>
    <m/>
    <n v="7"/>
    <s v="Adult"/>
    <s v="Low"/>
    <s v="Short Days"/>
    <m/>
    <m/>
    <m/>
    <m/>
    <m/>
    <m/>
  </r>
  <r>
    <s v="VIS202893"/>
    <d v="2024-05-30T00:00:00"/>
    <s v="PAT6316"/>
    <s v="Vishal Khan"/>
    <s v="Female"/>
    <n v="53"/>
    <s v="Pune"/>
    <s v="Maharashtra"/>
    <x v="0"/>
    <s v="Dr. Shailesh"/>
    <s v="E11"/>
    <s v="Observation"/>
    <s v="OPD"/>
    <n v="2748.13"/>
    <s v="Cash"/>
    <s v="No"/>
    <m/>
    <n v="14"/>
    <s v="Middle-Aged"/>
    <s v="Low"/>
    <s v="Short Days"/>
    <m/>
    <m/>
    <m/>
    <m/>
    <m/>
    <m/>
  </r>
  <r>
    <s v="VIS202966"/>
    <d v="2024-02-22T00:00:00"/>
    <s v="PAT5536"/>
    <s v="Rahul Mishra"/>
    <s v="Male"/>
    <n v="79"/>
    <s v="Lucknow"/>
    <s v="Uttar Pradesh"/>
    <x v="3"/>
    <s v="Dr. Anand"/>
    <s v="N39"/>
    <s v="Counselling"/>
    <s v="OPD"/>
    <n v="2484.34"/>
    <s v="Credit Card"/>
    <s v="No"/>
    <m/>
    <m/>
    <s v="Senior"/>
    <s v="Low"/>
    <s v="Short Days"/>
    <m/>
    <m/>
    <m/>
    <m/>
    <m/>
    <m/>
  </r>
  <r>
    <s v="VIS200856"/>
    <d v="2025-01-15T00:00:00"/>
    <s v="PAT5754"/>
    <s v="Anil Reddy"/>
    <s v="Male"/>
    <n v="37"/>
    <s v="Mumbai"/>
    <s v="Maharashtra"/>
    <x v="5"/>
    <s v="Dr. Karthik"/>
    <s v="K21"/>
    <s v="Prescription Refill"/>
    <s v="Teleconsultation"/>
    <n v="12218.44"/>
    <s v="Debit Card"/>
    <s v="No"/>
    <m/>
    <n v="7"/>
    <s v="Adult"/>
    <s v="High"/>
    <s v="Short Days"/>
    <m/>
    <m/>
    <m/>
    <m/>
    <m/>
    <m/>
  </r>
  <r>
    <s v="VIS202016"/>
    <d v="2025-07-31T00:00:00"/>
    <s v="PAT5827"/>
    <s v="Siddharth Khan"/>
    <s v="Male"/>
    <n v="34"/>
    <s v="Mumbai"/>
    <s v="Maharashtra"/>
    <x v="0"/>
    <s v="Dr. Shailesh"/>
    <s v="H10"/>
    <s v="Prescription Refill"/>
    <s v="OPD"/>
    <n v="9167.84"/>
    <s v="Credit Card"/>
    <s v="No"/>
    <m/>
    <m/>
    <s v="Adult"/>
    <s v="Medium"/>
    <s v="Short Days"/>
    <m/>
    <m/>
    <m/>
    <m/>
    <m/>
    <m/>
  </r>
  <r>
    <s v="VIS201921"/>
    <d v="2025-03-25T00:00:00"/>
    <s v="PAT6795"/>
    <s v="Aditya Das"/>
    <s v="Female"/>
    <n v="29"/>
    <s v="Pune"/>
    <s v="Maharashtra"/>
    <x v="8"/>
    <s v="Dr. Kavitha"/>
    <s v="E11"/>
    <s v="Counselling"/>
    <s v="Teleconsultation"/>
    <n v="10875.26"/>
    <s v="Cash"/>
    <s v="No"/>
    <m/>
    <n v="30"/>
    <s v="Adult"/>
    <s v="High"/>
    <s v="Short Days"/>
    <m/>
    <m/>
    <m/>
    <m/>
    <m/>
    <m/>
  </r>
  <r>
    <s v="VIS202588"/>
    <d v="2024-06-20T00:00:00"/>
    <s v="PAT6530"/>
    <s v="Karthik Singh"/>
    <s v="Male"/>
    <n v="75"/>
    <s v="Noida"/>
    <s v="Uttar Pradesh"/>
    <x v="2"/>
    <s v="Dr. Ramesh"/>
    <s v="J00"/>
    <s v="Counselling"/>
    <s v="OPD"/>
    <n v="1679.13"/>
    <s v="UPI"/>
    <s v="No"/>
    <m/>
    <m/>
    <s v="Senior"/>
    <s v="Low"/>
    <s v="Short Days"/>
    <m/>
    <m/>
    <m/>
    <m/>
    <m/>
    <m/>
  </r>
  <r>
    <s v="VIS202212"/>
    <d v="2025-07-29T00:00:00"/>
    <s v="PAT5969"/>
    <s v="Ananya Patel"/>
    <s v="Male"/>
    <n v="39"/>
    <s v="Pune"/>
    <s v="Maharashtra"/>
    <x v="4"/>
    <s v="Dr. Varun"/>
    <s v="M54"/>
    <s v="Surgery"/>
    <s v="OPD"/>
    <n v="12260.54"/>
    <s v="UPI"/>
    <s v="No"/>
    <m/>
    <n v="30"/>
    <s v="Adult"/>
    <s v="High"/>
    <s v="Short Days"/>
    <m/>
    <m/>
    <m/>
    <m/>
    <m/>
    <m/>
  </r>
  <r>
    <s v="VIS200920"/>
    <d v="2025-02-27T00:00:00"/>
    <s v="PAT6749"/>
    <s v="Manisha Nair"/>
    <s v="Female"/>
    <n v="72"/>
    <s v="Coimbatore"/>
    <s v="Tamil Nadu"/>
    <x v="6"/>
    <s v="Dr. Lalitha"/>
    <s v="I10"/>
    <s v="Minor Procedure"/>
    <s v="OPD"/>
    <n v="1647.66"/>
    <s v="Credit Card"/>
    <s v="No"/>
    <m/>
    <n v="30"/>
    <s v="Senior"/>
    <s v="Low"/>
    <s v="Short Days"/>
    <m/>
    <m/>
    <m/>
    <m/>
    <m/>
    <m/>
  </r>
  <r>
    <s v="VIS200189"/>
    <d v="2024-10-02T00:00:00"/>
    <s v="PAT6249"/>
    <s v="Siddharth Khan"/>
    <s v="Male"/>
    <n v="44"/>
    <s v="Kochi"/>
    <s v="Kerala"/>
    <x v="7"/>
    <s v="Dr. Surya"/>
    <s v="J00"/>
    <s v="Minor Procedure"/>
    <s v="OPD"/>
    <n v="22254.61"/>
    <s v="Cash"/>
    <s v="No"/>
    <m/>
    <m/>
    <s v="Middle-Aged"/>
    <s v="High"/>
    <s v="Short Days"/>
    <m/>
    <m/>
    <m/>
    <m/>
    <m/>
    <m/>
  </r>
  <r>
    <s v="VIS202400"/>
    <d v="2025-08-09T00:00:00"/>
    <s v="PAT5250"/>
    <s v="Rohan Singh"/>
    <s v="Female"/>
    <n v="24"/>
    <s v="Trichy"/>
    <s v="Tamil Nadu"/>
    <x v="1"/>
    <s v="Dr. Anu"/>
    <s v="J00"/>
    <s v="Surgery"/>
    <s v="Teleconsultation"/>
    <n v="9425.33"/>
    <s v="Debit Card"/>
    <s v="No"/>
    <m/>
    <n v="90"/>
    <s v="Adult"/>
    <s v="Medium"/>
    <s v="Short Days"/>
    <m/>
    <m/>
    <m/>
    <m/>
    <m/>
    <m/>
  </r>
  <r>
    <s v="VIS202221"/>
    <d v="2025-05-09T00:00:00"/>
    <s v="PAT5445"/>
    <s v="Arjun Reddy"/>
    <s v="Male"/>
    <n v="71"/>
    <s v="Kochi"/>
    <s v="Kerala"/>
    <x v="8"/>
    <s v="Dr. Kavitha"/>
    <s v="I10"/>
    <s v="Medication"/>
    <s v="OPD"/>
    <n v="514.28"/>
    <s v="Insurance"/>
    <s v="Yes"/>
    <m/>
    <n v="7"/>
    <s v="Senior"/>
    <s v="Low"/>
    <s v="Short Days"/>
    <m/>
    <m/>
    <m/>
    <m/>
    <m/>
    <m/>
  </r>
  <r>
    <s v="VIS200971"/>
    <d v="2025-03-10T00:00:00"/>
    <s v="PAT5294"/>
    <s v="Aditya Singh"/>
    <s v="Male"/>
    <n v="46"/>
    <s v="Ahmedabad"/>
    <s v="Gujarat"/>
    <x v="2"/>
    <s v="Dr. Ramesh"/>
    <s v="F41"/>
    <s v="Surgery"/>
    <s v="OPD"/>
    <n v="7137.91"/>
    <s v="Credit Card"/>
    <s v="No"/>
    <m/>
    <n v="90"/>
    <s v="Middle-Aged"/>
    <s v="Medium"/>
    <s v="Short Days"/>
    <m/>
    <m/>
    <m/>
    <m/>
    <m/>
    <m/>
  </r>
  <r>
    <s v="VIS202436"/>
    <d v="2024-08-11T00:00:00"/>
    <s v="PAT6679"/>
    <s v="Shruti Sharma"/>
    <s v="Male"/>
    <n v="26"/>
    <s v="Kochi"/>
    <s v="Kerala"/>
    <x v="6"/>
    <s v="Dr. Priya"/>
    <s v="N39"/>
    <s v="Observation"/>
    <s v="Emergency"/>
    <n v="6300.95"/>
    <s v="UPI"/>
    <s v="No"/>
    <m/>
    <n v="30"/>
    <s v="Adult"/>
    <s v="Medium"/>
    <s v="Short Days"/>
    <m/>
    <m/>
    <m/>
    <m/>
    <m/>
    <m/>
  </r>
  <r>
    <s v="VIS201772"/>
    <d v="2024-10-20T00:00:00"/>
    <s v="PAT6133"/>
    <s v="Aarav Sharma"/>
    <s v="Male"/>
    <n v="30"/>
    <s v="Lucknow"/>
    <s v="Uttar Pradesh"/>
    <x v="5"/>
    <s v="Dr. Karthik"/>
    <s v="H10"/>
    <s v="Observation"/>
    <s v="Emergency"/>
    <n v="13385.68"/>
    <s v="Cash"/>
    <s v="No"/>
    <m/>
    <n v="30"/>
    <s v="Adult"/>
    <s v="High"/>
    <s v="Short Days"/>
    <m/>
    <m/>
    <m/>
    <m/>
    <m/>
    <m/>
  </r>
  <r>
    <s v="VIS200862"/>
    <d v="2024-06-12T00:00:00"/>
    <s v="PAT5004"/>
    <s v="Karthik Sharma"/>
    <s v="Female"/>
    <n v="2"/>
    <s v="Bengaluru"/>
    <s v="Karnataka"/>
    <x v="0"/>
    <s v="Dr. Nikhil"/>
    <s v="F41"/>
    <s v="Counselling"/>
    <s v="OPD"/>
    <n v="2004.05"/>
    <s v="Credit Card"/>
    <s v="No"/>
    <m/>
    <m/>
    <s v="Child"/>
    <s v="Low"/>
    <s v="Short Days"/>
    <m/>
    <m/>
    <m/>
    <m/>
    <m/>
    <m/>
  </r>
  <r>
    <s v="VIS201975"/>
    <d v="2025-07-23T00:00:00"/>
    <s v="PAT5534"/>
    <s v="Deepa Kumar"/>
    <s v="Male"/>
    <n v="15"/>
    <s v="Jaipur"/>
    <s v="Rajasthan"/>
    <x v="3"/>
    <s v="Dr. Pallavi"/>
    <s v="J45"/>
    <s v="Surgery"/>
    <s v="OPD"/>
    <n v="3371.01"/>
    <s v="UPI"/>
    <s v="No"/>
    <m/>
    <n v="14"/>
    <s v="Child"/>
    <s v="Low"/>
    <s v="Short Days"/>
    <m/>
    <m/>
    <m/>
    <m/>
    <m/>
    <m/>
  </r>
  <r>
    <s v="VIS202969"/>
    <d v="2024-11-18T00:00:00"/>
    <s v="PAT5184"/>
    <s v="Priya Nair"/>
    <s v="Female"/>
    <n v="14"/>
    <s v="Jaipur"/>
    <s v="Rajasthan"/>
    <x v="8"/>
    <s v="Dr. Sneha"/>
    <s v="M54"/>
    <s v="Minor Surgery"/>
    <s v="IPD"/>
    <n v="26709.09"/>
    <s v="Insurance"/>
    <s v="Yes"/>
    <n v="10"/>
    <m/>
    <s v="Child"/>
    <s v="High"/>
    <s v="Long Days"/>
    <m/>
    <m/>
    <m/>
    <m/>
    <m/>
    <m/>
  </r>
  <r>
    <s v="VIS202839"/>
    <d v="2025-01-05T00:00:00"/>
    <s v="PAT5220"/>
    <s v="Kavya Reddy"/>
    <s v="Female"/>
    <n v="35"/>
    <s v="Mumbai"/>
    <s v="Maharashtra"/>
    <x v="1"/>
    <s v="Dr. Suri"/>
    <s v="N39"/>
    <s v="Physiotherapy"/>
    <s v="OPD"/>
    <n v="31179.25"/>
    <s v="Insurance"/>
    <s v="Yes"/>
    <m/>
    <n v="7"/>
    <s v="Adult"/>
    <s v="High"/>
    <s v="Short Days"/>
    <m/>
    <m/>
    <m/>
    <m/>
    <m/>
    <m/>
  </r>
  <r>
    <s v="VIS200829"/>
    <d v="2025-02-22T00:00:00"/>
    <s v="PAT5480"/>
    <s v="Manisha Reddy"/>
    <s v="Male"/>
    <n v="30"/>
    <s v="Delhi"/>
    <s v="Delhi"/>
    <x v="4"/>
    <s v="Dr. Bhavana"/>
    <s v="M54"/>
    <s v="Surgery"/>
    <s v="OPD"/>
    <n v="5095.93"/>
    <s v="UPI"/>
    <s v="No"/>
    <m/>
    <m/>
    <s v="Adult"/>
    <s v="Medium"/>
    <s v="Short Days"/>
    <m/>
    <m/>
    <m/>
    <m/>
    <m/>
    <m/>
  </r>
  <r>
    <s v="VIS202647"/>
    <d v="2025-07-24T00:00:00"/>
    <s v="PAT5667"/>
    <s v="Vishal Sharma"/>
    <s v="Male"/>
    <n v="15"/>
    <s v="Mumbai"/>
    <s v="Maharashtra"/>
    <x v="6"/>
    <s v="Dr. Priya"/>
    <s v="F41"/>
    <s v="Medication"/>
    <s v="Emergency"/>
    <n v="21420.74"/>
    <s v="UPI"/>
    <s v="No"/>
    <m/>
    <n v="7"/>
    <s v="Child"/>
    <s v="High"/>
    <s v="Short Days"/>
    <m/>
    <m/>
    <m/>
    <m/>
    <m/>
    <m/>
  </r>
  <r>
    <s v="VIS200138"/>
    <d v="2024-08-06T00:00:00"/>
    <s v="PAT6071"/>
    <s v="Siddharth Iyer"/>
    <s v="Male"/>
    <n v="47"/>
    <s v="Madurai"/>
    <s v="Tamil Nadu"/>
    <x v="5"/>
    <s v="Dr. Karthik"/>
    <s v="E11"/>
    <s v="Physiotherapy"/>
    <s v="OPD"/>
    <n v="2088.61"/>
    <s v="Cash"/>
    <s v="No"/>
    <m/>
    <n v="90"/>
    <s v="Middle-Aged"/>
    <s v="Low"/>
    <s v="Short Days"/>
    <m/>
    <m/>
    <m/>
    <m/>
    <m/>
    <m/>
  </r>
  <r>
    <s v="VIS200968"/>
    <d v="2024-01-13T00:00:00"/>
    <s v="PAT6075"/>
    <s v="Ishaan Sharma"/>
    <s v="Male"/>
    <n v="18"/>
    <s v="Bengaluru"/>
    <s v="Karnataka"/>
    <x v="3"/>
    <s v="Dr. Anand"/>
    <s v="K21"/>
    <s v="Observation"/>
    <s v="OPD"/>
    <n v="13726.93"/>
    <s v="UPI"/>
    <s v="No"/>
    <m/>
    <m/>
    <s v="Adult"/>
    <s v="High"/>
    <s v="Short Days"/>
    <m/>
    <m/>
    <m/>
    <m/>
    <m/>
    <m/>
  </r>
  <r>
    <s v="VIS201371"/>
    <d v="2024-10-24T00:00:00"/>
    <s v="PAT6267"/>
    <s v="Kavya Nair"/>
    <s v="Male"/>
    <n v="33"/>
    <s v="Pune"/>
    <s v="Maharashtra"/>
    <x v="6"/>
    <s v="Dr. Priya"/>
    <s v="K21"/>
    <s v="Minor Procedure"/>
    <s v="OPD"/>
    <n v="3309.06"/>
    <s v="Insurance"/>
    <s v="Yes"/>
    <m/>
    <n v="7"/>
    <s v="Adult"/>
    <s v="Low"/>
    <s v="Short Days"/>
    <m/>
    <m/>
    <m/>
    <m/>
    <m/>
    <m/>
  </r>
  <r>
    <s v="VIS201662"/>
    <d v="2024-06-07T00:00:00"/>
    <s v="PAT5531"/>
    <s v="Karthik Iyer"/>
    <s v="Female"/>
    <n v="43"/>
    <s v="Noida"/>
    <s v="Uttar Pradesh"/>
    <x v="7"/>
    <s v="Dr. Leela"/>
    <s v="K21"/>
    <s v="Observation"/>
    <s v="Teleconsultation"/>
    <n v="11763.9"/>
    <s v="Insurance"/>
    <s v="Yes"/>
    <m/>
    <n v="14"/>
    <s v="Middle-Aged"/>
    <s v="High"/>
    <s v="Short Days"/>
    <m/>
    <m/>
    <m/>
    <m/>
    <m/>
    <m/>
  </r>
  <r>
    <s v="VIS200718"/>
    <d v="2024-11-14T00:00:00"/>
    <s v="PAT5238"/>
    <s v="Sangeetha Nagar"/>
    <s v="Female"/>
    <n v="39"/>
    <s v="Delhi"/>
    <s v="Tamil Nadu"/>
    <x v="5"/>
    <s v="Dr. Karthik"/>
    <s v="Z111"/>
    <s v="Counselling"/>
    <s v="OPD"/>
    <n v="2070.5300000000002"/>
    <s v="Insurance"/>
    <s v="Yes"/>
    <m/>
    <m/>
    <s v="Adult"/>
    <s v="Low"/>
    <s v="Short Days"/>
    <m/>
    <m/>
    <m/>
    <m/>
    <m/>
    <m/>
  </r>
  <r>
    <s v="VIS200245"/>
    <d v="2024-12-15T00:00:00"/>
    <s v="PAT6795"/>
    <s v="Ishaan Singh"/>
    <s v="Male"/>
    <n v="32"/>
    <s v="Pune"/>
    <s v="Maharashtra"/>
    <x v="1"/>
    <s v="Dr. Anu"/>
    <s v="J45"/>
    <s v="Prescription Refill"/>
    <s v="OPD"/>
    <n v="27486.6"/>
    <s v="Credit Card"/>
    <s v="No"/>
    <m/>
    <n v="14"/>
    <s v="Adult"/>
    <s v="High"/>
    <s v="Short Days"/>
    <m/>
    <m/>
    <m/>
    <m/>
    <m/>
    <m/>
  </r>
  <r>
    <s v="VIS200201"/>
    <d v="2024-05-13T00:00:00"/>
    <s v="PAT6475"/>
    <s v="Aditya Khan"/>
    <s v="Male"/>
    <n v="20"/>
    <s v="Noida"/>
    <s v="Uttar Pradesh"/>
    <x v="1"/>
    <s v="Dr. Anu"/>
    <s v="J00"/>
    <s v="Prescription Refill"/>
    <s v="OPD"/>
    <n v="1721.91"/>
    <s v="Cash"/>
    <s v="No"/>
    <m/>
    <m/>
    <s v="Adult"/>
    <s v="Low"/>
    <s v="Short Days"/>
    <m/>
    <m/>
    <m/>
    <m/>
    <m/>
    <m/>
  </r>
  <r>
    <s v="VIS200455"/>
    <d v="2025-07-14T00:00:00"/>
    <s v="PAT6403"/>
    <s v="Ananya Gupta"/>
    <s v="Male"/>
    <n v="64"/>
    <s v="Ahmedabad"/>
    <s v="Gujarat"/>
    <x v="6"/>
    <s v="Dr. Priya"/>
    <s v="L40"/>
    <s v="Counselling"/>
    <s v="OPD"/>
    <n v="5416.02"/>
    <s v="Net Banking"/>
    <s v="No"/>
    <m/>
    <n v="7"/>
    <s v="Senior"/>
    <s v="Medium"/>
    <s v="Short Days"/>
    <m/>
    <m/>
    <m/>
    <m/>
    <m/>
    <m/>
  </r>
  <r>
    <s v="VIS202957"/>
    <d v="2025-02-04T00:00:00"/>
    <s v="PAT6499"/>
    <s v="Aditya Sharma"/>
    <s v="Female"/>
    <n v="39"/>
    <s v="Hyderabad"/>
    <s v="Telangana"/>
    <x v="6"/>
    <s v="Dr. Lalitha"/>
    <s v="J45"/>
    <s v="Medication"/>
    <s v="OPD"/>
    <n v="265.16000000000003"/>
    <s v="Cash"/>
    <s v="No"/>
    <m/>
    <n v="90"/>
    <s v="Adult"/>
    <s v="Low"/>
    <s v="Short Days"/>
    <m/>
    <m/>
    <m/>
    <m/>
    <m/>
    <m/>
  </r>
  <r>
    <s v="VIS202949"/>
    <d v="2025-10-13T00:00:00"/>
    <s v="PAT5216"/>
    <s v="Rohan Patel"/>
    <s v="Male"/>
    <n v="14"/>
    <s v="Delhi"/>
    <s v="Delhi"/>
    <x v="8"/>
    <s v="Dr. Sneha"/>
    <s v="I10"/>
    <s v="Medication"/>
    <s v="Teleconsultation"/>
    <n v="28542.51"/>
    <s v="Credit Card"/>
    <s v="No"/>
    <m/>
    <m/>
    <s v="Child"/>
    <s v="High"/>
    <s v="Short Days"/>
    <m/>
    <m/>
    <m/>
    <m/>
    <m/>
    <m/>
  </r>
  <r>
    <s v="VIS201152"/>
    <d v="2025-08-19T00:00:00"/>
    <s v="PAT6111"/>
    <s v="Aditya Sharma"/>
    <s v="Male"/>
    <n v="2"/>
    <s v="Mumbai"/>
    <s v="Maharashtra"/>
    <x v="9"/>
    <s v="Dr. Arvind"/>
    <s v="J45"/>
    <s v="Minor Surgery"/>
    <s v="IPD"/>
    <n v="5330.08"/>
    <s v="UPI"/>
    <s v="No"/>
    <n v="5"/>
    <n v="30"/>
    <s v="Child"/>
    <s v="Medium"/>
    <s v="Short Days"/>
    <m/>
    <m/>
    <m/>
    <m/>
    <m/>
    <m/>
  </r>
  <r>
    <s v="VIS200116"/>
    <d v="2025-03-04T00:00:00"/>
    <s v="PAT6947"/>
    <s v="Karthik Bose"/>
    <s v="Male"/>
    <n v="27"/>
    <s v="Delhi"/>
    <s v="Delhi"/>
    <x v="7"/>
    <s v="Dr. Leela"/>
    <s v="M54"/>
    <s v="Prescription Refill"/>
    <s v="OPD"/>
    <n v="3067.35"/>
    <s v="Debit Card"/>
    <s v="No"/>
    <m/>
    <n v="30"/>
    <s v="Adult"/>
    <s v="Low"/>
    <s v="Short Days"/>
    <m/>
    <m/>
    <m/>
    <m/>
    <m/>
    <m/>
  </r>
  <r>
    <s v="VIS201479"/>
    <d v="2024-12-01T00:00:00"/>
    <s v="PAT5646"/>
    <s v="Shruti Khan"/>
    <s v="Female"/>
    <n v="34"/>
    <s v="Noida"/>
    <s v="Uttar Pradesh"/>
    <x v="0"/>
    <s v="Dr. Nikhil"/>
    <s v="K21"/>
    <s v="Surgery"/>
    <s v="Teleconsultation"/>
    <n v="11558.41"/>
    <s v="Debit Card"/>
    <s v="No"/>
    <m/>
    <m/>
    <s v="Adult"/>
    <s v="High"/>
    <s v="Short Days"/>
    <m/>
    <m/>
    <m/>
    <m/>
    <m/>
    <m/>
  </r>
  <r>
    <s v="VIS200731"/>
    <d v="2024-07-07T00:00:00"/>
    <s v="PAT6907"/>
    <s v="Anil Khan"/>
    <s v="Male"/>
    <n v="60"/>
    <s v="Pune"/>
    <s v="Maharashtra"/>
    <x v="1"/>
    <s v="Dr. Anu"/>
    <s v="I10"/>
    <s v="Counselling"/>
    <s v="Teleconsultation"/>
    <n v="20617.82"/>
    <s v="Insurance"/>
    <s v="Yes"/>
    <m/>
    <n v="14"/>
    <s v="Middle-Aged"/>
    <s v="High"/>
    <s v="Short Days"/>
    <m/>
    <m/>
    <m/>
    <m/>
    <m/>
    <m/>
  </r>
  <r>
    <s v="VIS200218"/>
    <d v="2025-03-24T00:00:00"/>
    <s v="PAT5031"/>
    <s v="Priya Das"/>
    <s v="Male"/>
    <n v="34"/>
    <s v="Coimbatore"/>
    <s v="Tamil Nadu"/>
    <x v="1"/>
    <s v="Dr. Suri"/>
    <s v="H10"/>
    <s v="Minor Procedure"/>
    <s v="IPD"/>
    <n v="12136.54"/>
    <s v="Cash"/>
    <s v="No"/>
    <n v="5"/>
    <n v="14"/>
    <s v="Adult"/>
    <s v="High"/>
    <s v="Short Days"/>
    <m/>
    <m/>
    <m/>
    <m/>
    <m/>
    <m/>
  </r>
  <r>
    <s v="VIS201789"/>
    <d v="2024-02-27T00:00:00"/>
    <s v="PAT5471"/>
    <s v="Manisha Patel"/>
    <s v="Female"/>
    <n v="31"/>
    <s v="Kochi"/>
    <s v="Kerala"/>
    <x v="7"/>
    <s v="Dr. Surya"/>
    <s v="J45"/>
    <s v="Medication"/>
    <s v="OPD"/>
    <n v="10325.709999999999"/>
    <s v="Insurance"/>
    <s v="Yes"/>
    <m/>
    <m/>
    <s v="Adult"/>
    <s v="High"/>
    <s v="Short Days"/>
    <m/>
    <m/>
    <m/>
    <m/>
    <m/>
    <m/>
  </r>
  <r>
    <s v="VIS201654"/>
    <d v="2024-01-11T00:00:00"/>
    <s v="PAT5357"/>
    <s v="Ananya Iyer"/>
    <s v="Male"/>
    <n v="48"/>
    <s v="Chennai"/>
    <s v="Tamil Nadu"/>
    <x v="4"/>
    <s v="Dr. Bhavana"/>
    <s v="J45"/>
    <s v="Counselling"/>
    <s v="Teleconsultation"/>
    <n v="6869.96"/>
    <s v="Net Banking"/>
    <s v="No"/>
    <m/>
    <m/>
    <s v="Middle-Aged"/>
    <s v="Medium"/>
    <s v="Short Days"/>
    <m/>
    <m/>
    <m/>
    <m/>
    <m/>
    <m/>
  </r>
  <r>
    <s v="VIS200865"/>
    <d v="2024-06-27T00:00:00"/>
    <s v="PAT6639"/>
    <s v="Rohan Das"/>
    <s v="Female"/>
    <n v="14"/>
    <s v="Madurai"/>
    <s v="Tamil Nadu"/>
    <x v="3"/>
    <s v="Dr. Pallavi"/>
    <s v="I10"/>
    <s v="Counselling"/>
    <s v="OPD"/>
    <n v="651.98"/>
    <s v="Credit Card"/>
    <s v="No"/>
    <m/>
    <n v="7"/>
    <s v="Child"/>
    <s v="Low"/>
    <s v="Short Days"/>
    <m/>
    <m/>
    <m/>
    <m/>
    <m/>
    <m/>
  </r>
  <r>
    <s v="VIS202154"/>
    <d v="2025-10-14T00:00:00"/>
    <s v="PAT6813"/>
    <s v="Aditya Reddy"/>
    <s v="Male"/>
    <n v="46"/>
    <s v="Madurai"/>
    <s v="Tamil Nadu"/>
    <x v="4"/>
    <s v="Dr. Varun"/>
    <s v="K21"/>
    <s v="Medication"/>
    <s v="OPD"/>
    <n v="4737.59"/>
    <s v="Insurance"/>
    <s v="Yes"/>
    <m/>
    <n v="30"/>
    <s v="Middle-Aged"/>
    <s v="Low"/>
    <s v="Short Days"/>
    <m/>
    <m/>
    <m/>
    <m/>
    <m/>
    <m/>
  </r>
  <r>
    <s v="VIS201889"/>
    <d v="2024-06-18T00:00:00"/>
    <s v="PAT5016"/>
    <s v="Aarav Reddy"/>
    <s v="Female"/>
    <n v="48"/>
    <s v="Kochi"/>
    <s v="Kerala"/>
    <x v="8"/>
    <s v="Dr. Kavitha"/>
    <s v="N39"/>
    <s v="Physiotherapy"/>
    <s v="OPD"/>
    <n v="1955.18"/>
    <s v="Insurance"/>
    <s v="Yes"/>
    <m/>
    <n v="30"/>
    <s v="Middle-Aged"/>
    <s v="Low"/>
    <s v="Short Days"/>
    <m/>
    <m/>
    <m/>
    <m/>
    <m/>
    <m/>
  </r>
  <r>
    <s v="VIS202388"/>
    <d v="2024-10-14T00:00:00"/>
    <s v="PAT6098"/>
    <s v="Karthik Reddy"/>
    <s v="Male"/>
    <n v="57"/>
    <s v="Delhi"/>
    <s v="Delhi"/>
    <x v="6"/>
    <s v="Dr. Lalitha"/>
    <s v="N39"/>
    <s v="Minor Surgery"/>
    <s v="OPD"/>
    <n v="9179.84"/>
    <s v="Debit Card"/>
    <s v="No"/>
    <m/>
    <n v="7"/>
    <s v="Middle-Aged"/>
    <s v="Medium"/>
    <s v="Short Days"/>
    <m/>
    <m/>
    <m/>
    <m/>
    <m/>
    <m/>
  </r>
  <r>
    <s v="VIS201660"/>
    <d v="2024-11-29T00:00:00"/>
    <s v="PAT6640"/>
    <s v="Priya Nair"/>
    <s v="Male"/>
    <n v="15"/>
    <s v="Coimbatore"/>
    <s v="Tamil Nadu"/>
    <x v="0"/>
    <s v="Dr. Nikhil"/>
    <s v="E11"/>
    <s v="Prescription Refill"/>
    <s v="OPD"/>
    <n v="3405.56"/>
    <s v="Credit Card"/>
    <s v="No"/>
    <m/>
    <m/>
    <s v="Child"/>
    <s v="Low"/>
    <s v="Short Days"/>
    <m/>
    <m/>
    <m/>
    <m/>
    <m/>
    <m/>
  </r>
  <r>
    <s v="VIS202124"/>
    <d v="2024-08-21T00:00:00"/>
    <s v="PAT5940"/>
    <s v="Arjun Iyer"/>
    <s v="Female"/>
    <n v="19"/>
    <s v="Kolkata"/>
    <s v="West Bengal"/>
    <x v="2"/>
    <s v="Dr. Ramesh"/>
    <s v="M54"/>
    <s v="Medication"/>
    <s v="OPD"/>
    <n v="5316.43"/>
    <s v="Debit Card"/>
    <s v="No"/>
    <m/>
    <n v="90"/>
    <s v="Adult"/>
    <s v="Medium"/>
    <s v="Short Days"/>
    <m/>
    <m/>
    <m/>
    <m/>
    <m/>
    <m/>
  </r>
  <r>
    <s v="VIS200205"/>
    <d v="2024-02-19T00:00:00"/>
    <s v="PAT5061"/>
    <s v="Arjun Patel"/>
    <s v="Other"/>
    <n v="42"/>
    <s v="Lucknow"/>
    <s v="Uttar Pradesh"/>
    <x v="4"/>
    <s v="Dr. Varun"/>
    <s v="E11"/>
    <s v="Minor Procedure"/>
    <s v="OPD"/>
    <n v="2427.0500000000002"/>
    <s v="UPI"/>
    <s v="No"/>
    <m/>
    <n v="14"/>
    <s v="Middle-Aged"/>
    <s v="Low"/>
    <s v="Short Days"/>
    <m/>
    <m/>
    <m/>
    <m/>
    <m/>
    <m/>
  </r>
  <r>
    <s v="VIS202982"/>
    <d v="2024-02-02T00:00:00"/>
    <s v="PAT6129"/>
    <s v="Neha Reddy"/>
    <s v="Female"/>
    <n v="27"/>
    <s v="Mumbai"/>
    <s v="Maharashtra"/>
    <x v="8"/>
    <s v="Dr. Kavitha"/>
    <s v="E11"/>
    <s v="Physiotherapy"/>
    <s v="Emergency"/>
    <n v="11624.91"/>
    <s v="Cash"/>
    <s v="No"/>
    <m/>
    <m/>
    <s v="Adult"/>
    <s v="High"/>
    <s v="Short Days"/>
    <m/>
    <m/>
    <m/>
    <m/>
    <m/>
    <m/>
  </r>
  <r>
    <s v="VIS201299"/>
    <d v="2024-02-05T00:00:00"/>
    <s v="PAT6421"/>
    <s v="Arjun Nair"/>
    <s v="Male"/>
    <n v="11"/>
    <s v="Bengaluru"/>
    <s v="Karnataka"/>
    <x v="4"/>
    <s v="Dr. Bhavana"/>
    <s v="N39"/>
    <s v="Surgery"/>
    <s v="OPD"/>
    <n v="10051.82"/>
    <s v="Debit Card"/>
    <s v="No"/>
    <m/>
    <n v="14"/>
    <s v="Child"/>
    <s v="High"/>
    <s v="Short Days"/>
    <m/>
    <m/>
    <m/>
    <m/>
    <m/>
    <m/>
  </r>
  <r>
    <s v="VIS202782"/>
    <d v="2025-08-12T00:00:00"/>
    <s v="PAT6234"/>
    <s v="Vishal Mishra"/>
    <s v="Male"/>
    <n v="25"/>
    <s v="Ahmedabad"/>
    <s v="Gujarat"/>
    <x v="6"/>
    <s v="Dr. Priya"/>
    <s v="I10"/>
    <s v="Physiotherapy"/>
    <s v="Teleconsultation"/>
    <n v="6595"/>
    <s v="UPI"/>
    <s v="No"/>
    <m/>
    <n v="30"/>
    <s v="Adult"/>
    <s v="Medium"/>
    <s v="Short Days"/>
    <m/>
    <m/>
    <m/>
    <m/>
    <m/>
    <m/>
  </r>
  <r>
    <s v="VIS200299"/>
    <d v="2025-10-03T00:00:00"/>
    <s v="PAT6867"/>
    <s v="Arjun Gupta"/>
    <s v="Other"/>
    <n v="20"/>
    <s v="Chennai"/>
    <s v="Tamil Nadu"/>
    <x v="7"/>
    <s v="Dr. Surya"/>
    <s v="H10"/>
    <s v="Counselling"/>
    <s v="Emergency"/>
    <n v="6280.42"/>
    <s v="Cash"/>
    <s v="No"/>
    <m/>
    <n v="90"/>
    <s v="Adult"/>
    <s v="Medium"/>
    <s v="Short Days"/>
    <m/>
    <m/>
    <m/>
    <m/>
    <m/>
    <m/>
  </r>
  <r>
    <s v="VIS200707"/>
    <d v="2025-08-01T00:00:00"/>
    <s v="PAT5780"/>
    <s v="Karthik Mishra"/>
    <s v="Male"/>
    <n v="42"/>
    <s v="Jaipur"/>
    <s v="Rajasthan"/>
    <x v="2"/>
    <s v="Dr. Manoj"/>
    <s v="N39"/>
    <s v="Medication"/>
    <s v="Teleconsultation"/>
    <n v="6751.17"/>
    <s v="Insurance"/>
    <s v="Yes"/>
    <m/>
    <m/>
    <s v="Middle-Aged"/>
    <s v="Medium"/>
    <s v="Short Days"/>
    <m/>
    <m/>
    <m/>
    <m/>
    <m/>
    <m/>
  </r>
  <r>
    <s v="VIS202181"/>
    <d v="2024-05-09T00:00:00"/>
    <s v="PAT5964"/>
    <s v="Anil Reddy"/>
    <s v="Male"/>
    <n v="33"/>
    <s v="Delhi"/>
    <s v="Delhi"/>
    <x v="5"/>
    <s v="Dr. Karthik"/>
    <s v="K21"/>
    <s v="Minor Surgery"/>
    <s v="IPD"/>
    <n v="8978.7999999999993"/>
    <s v="Insurance"/>
    <s v="Yes"/>
    <n v="6"/>
    <n v="7"/>
    <s v="Adult"/>
    <s v="Medium"/>
    <s v="Long Days"/>
    <m/>
    <m/>
    <m/>
    <m/>
    <m/>
    <m/>
  </r>
  <r>
    <s v="VIS202882"/>
    <d v="2024-03-12T00:00:00"/>
    <s v="PAT5697"/>
    <s v="Anil Reddy"/>
    <s v="Male"/>
    <n v="56"/>
    <s v="Noida"/>
    <s v="Uttar Pradesh"/>
    <x v="7"/>
    <s v="Dr. Surya"/>
    <s v="K21"/>
    <s v="Minor Procedure"/>
    <s v="OPD"/>
    <n v="2702.48"/>
    <s v="Cash"/>
    <s v="No"/>
    <m/>
    <n v="30"/>
    <s v="Middle-Aged"/>
    <s v="Low"/>
    <s v="Short Days"/>
    <m/>
    <m/>
    <m/>
    <m/>
    <m/>
    <m/>
  </r>
  <r>
    <s v="VIS201136"/>
    <d v="2024-12-18T00:00:00"/>
    <s v="PAT6343"/>
    <s v="Aishwarya Mishra"/>
    <s v="Female"/>
    <n v="45"/>
    <s v="Lucknow"/>
    <s v="Uttar Pradesh"/>
    <x v="9"/>
    <s v="Dr. Kusum"/>
    <s v="I10"/>
    <s v="Medication"/>
    <s v="OPD"/>
    <n v="137.51"/>
    <s v="UPI"/>
    <s v="No"/>
    <m/>
    <n v="30"/>
    <s v="Middle-Aged"/>
    <s v="Low"/>
    <s v="Short Days"/>
    <m/>
    <m/>
    <m/>
    <m/>
    <m/>
    <m/>
  </r>
  <r>
    <s v="VIS202679"/>
    <d v="2025-03-28T00:00:00"/>
    <s v="PAT6791"/>
    <s v="Aditya Bose"/>
    <s v="Female"/>
    <n v="33"/>
    <s v="Kochi"/>
    <s v="Kerala"/>
    <x v="5"/>
    <s v="Dr. Meena"/>
    <s v="M54"/>
    <s v="Medication"/>
    <s v="Teleconsultation"/>
    <n v="5245.42"/>
    <s v="Credit Card"/>
    <s v="No"/>
    <m/>
    <m/>
    <s v="Adult"/>
    <s v="Medium"/>
    <s v="Short Days"/>
    <m/>
    <m/>
    <m/>
    <m/>
    <m/>
    <m/>
  </r>
  <r>
    <s v="VIS202213"/>
    <d v="2025-09-15T00:00:00"/>
    <s v="PAT6480"/>
    <s v="Aditya Bose"/>
    <s v="Female"/>
    <n v="53"/>
    <s v="Kochi"/>
    <s v="Kerala"/>
    <x v="2"/>
    <s v="Dr. Ramesh"/>
    <s v="I10"/>
    <s v="Minor Surgery"/>
    <s v="OPD"/>
    <n v="1908.08"/>
    <s v="Credit Card"/>
    <s v="No"/>
    <m/>
    <m/>
    <s v="Middle-Aged"/>
    <s v="Low"/>
    <s v="Short Days"/>
    <m/>
    <m/>
    <m/>
    <m/>
    <m/>
    <m/>
  </r>
  <r>
    <s v="VIS201443"/>
    <d v="2025-01-01T00:00:00"/>
    <s v="PAT5121"/>
    <s v="Neha Kumar"/>
    <s v="Male"/>
    <n v="36.5"/>
    <s v="Delhi"/>
    <s v="Maharashtra"/>
    <x v="7"/>
    <s v="Dr. Surya"/>
    <s v="Z111"/>
    <s v="Surgery"/>
    <s v="Teleconsultation"/>
    <n v="8696.4699999999993"/>
    <s v="Cash"/>
    <s v="No"/>
    <m/>
    <n v="90"/>
    <s v="Adult"/>
    <s v="Medium"/>
    <s v="Short Days"/>
    <m/>
    <m/>
    <m/>
    <m/>
    <m/>
    <m/>
  </r>
  <r>
    <s v="VIS201483"/>
    <d v="2025-01-02T00:00:00"/>
    <s v="PAT5770"/>
    <s v="Vivaan Kumar"/>
    <s v="Male"/>
    <n v="76"/>
    <s v="Lucknow"/>
    <s v="Uttar Pradesh"/>
    <x v="7"/>
    <s v="Dr. Leela"/>
    <s v="J45"/>
    <s v="Prescription Refill"/>
    <s v="Teleconsultation"/>
    <n v="9640.0400000000009"/>
    <s v="UPI"/>
    <s v="No"/>
    <m/>
    <n v="7"/>
    <s v="Senior"/>
    <s v="Medium"/>
    <s v="Short Days"/>
    <m/>
    <m/>
    <m/>
    <m/>
    <m/>
    <m/>
  </r>
  <r>
    <s v="VIS201437"/>
    <d v="2025-09-06T00:00:00"/>
    <s v="PAT6671"/>
    <s v="Kavya Iyer"/>
    <s v="Male"/>
    <n v="25"/>
    <s v="Madurai"/>
    <s v="Tamil Nadu"/>
    <x v="5"/>
    <s v="Dr. Meena"/>
    <s v="J45"/>
    <s v="Minor Procedure"/>
    <s v="OPD"/>
    <n v="707.98"/>
    <s v="Cash"/>
    <s v="No"/>
    <m/>
    <n v="14"/>
    <s v="Adult"/>
    <s v="Low"/>
    <s v="Short Days"/>
    <m/>
    <m/>
    <m/>
    <m/>
    <m/>
    <m/>
  </r>
  <r>
    <s v="VIS202014"/>
    <d v="2025-10-07T00:00:00"/>
    <s v="PAT6497"/>
    <s v="Vivaan Singh"/>
    <s v="Female"/>
    <n v="63"/>
    <s v="Trichy"/>
    <s v="Tamil Nadu"/>
    <x v="0"/>
    <s v="Dr. Nikhil"/>
    <s v="H10"/>
    <s v="Minor Surgery"/>
    <s v="Teleconsultation"/>
    <n v="8436.2900000000009"/>
    <s v="Cash"/>
    <s v="No"/>
    <m/>
    <m/>
    <s v="Senior"/>
    <s v="Medium"/>
    <s v="Short Days"/>
    <m/>
    <m/>
    <m/>
    <m/>
    <m/>
    <m/>
  </r>
  <r>
    <s v="VIS201228"/>
    <d v="2024-12-20T00:00:00"/>
    <s v="PAT6091"/>
    <s v="Manisha Patel"/>
    <s v="Male"/>
    <n v="65"/>
    <s v="Jaipur"/>
    <s v="Rajasthan"/>
    <x v="7"/>
    <s v="Dr. Leela"/>
    <s v="N39"/>
    <s v="Minor Procedure"/>
    <s v="OPD"/>
    <n v="1583.18"/>
    <s v="UPI"/>
    <s v="No"/>
    <m/>
    <n v="30"/>
    <s v="Senior"/>
    <s v="Low"/>
    <s v="Short Days"/>
    <m/>
    <m/>
    <m/>
    <m/>
    <m/>
    <m/>
  </r>
  <r>
    <s v="VIS202691"/>
    <d v="2024-08-25T00:00:00"/>
    <s v="PAT6407"/>
    <s v="Aarav Patel"/>
    <s v="Male"/>
    <n v="50"/>
    <s v="Jaipur"/>
    <s v="Rajasthan"/>
    <x v="9"/>
    <s v="Dr. Kusum"/>
    <s v="H10"/>
    <s v="Counselling"/>
    <s v="OPD"/>
    <n v="5216.05"/>
    <s v="Cash"/>
    <s v="No"/>
    <m/>
    <m/>
    <s v="Middle-Aged"/>
    <s v="Medium"/>
    <s v="Short Days"/>
    <m/>
    <m/>
    <m/>
    <m/>
    <m/>
    <m/>
  </r>
  <r>
    <s v="VIS202901"/>
    <d v="2025-02-02T00:00:00"/>
    <s v="PAT5855"/>
    <s v="Anil Patel"/>
    <s v="Male"/>
    <n v="13"/>
    <s v="Coimbatore"/>
    <s v="Tamil Nadu"/>
    <x v="7"/>
    <s v="Dr. Surya"/>
    <s v="I10"/>
    <s v="Surgery"/>
    <s v="OPD"/>
    <n v="6568.37"/>
    <s v="Debit Card"/>
    <s v="No"/>
    <m/>
    <n v="14"/>
    <s v="Child"/>
    <s v="Medium"/>
    <s v="Short Days"/>
    <m/>
    <m/>
    <m/>
    <m/>
    <m/>
    <m/>
  </r>
  <r>
    <s v="VIS202380"/>
    <d v="2024-07-02T00:00:00"/>
    <s v="PAT6946"/>
    <s v="Siddharth Jose"/>
    <s v="Female"/>
    <n v="45"/>
    <s v="Jaipur"/>
    <s v="Rajasthan"/>
    <x v="1"/>
    <s v="Dr. Suri"/>
    <s v="N39"/>
    <s v="Observation"/>
    <s v="OPD"/>
    <n v="1942.19"/>
    <s v="Debit Card"/>
    <s v="No"/>
    <m/>
    <m/>
    <s v="Middle-Aged"/>
    <s v="Low"/>
    <s v="Short Days"/>
    <m/>
    <m/>
    <m/>
    <m/>
    <m/>
    <m/>
  </r>
  <r>
    <s v="VIS200041"/>
    <d v="2025-01-04T00:00:00"/>
    <s v="PAT5116"/>
    <s v="Sangeetha Patel"/>
    <s v="Male"/>
    <n v="20"/>
    <s v="Pune"/>
    <s v="Maharashtra"/>
    <x v="1"/>
    <s v="Dr. Anu"/>
    <s v="H10"/>
    <s v="Physiotherapy"/>
    <s v="IPD"/>
    <n v="7103.83"/>
    <s v="Cash"/>
    <s v="No"/>
    <n v="4"/>
    <n v="30"/>
    <s v="Adult"/>
    <s v="Medium"/>
    <s v="Short Days"/>
    <m/>
    <m/>
    <m/>
    <m/>
    <m/>
    <m/>
  </r>
  <r>
    <s v="VIS202362"/>
    <d v="2024-01-16T00:00:00"/>
    <s v="PAT6814"/>
    <s v="Vivaan Sharma"/>
    <s v="Male"/>
    <n v="42"/>
    <s v="Madurai"/>
    <s v="Tamil Nadu"/>
    <x v="6"/>
    <s v="Dr. Lalitha"/>
    <s v="N39"/>
    <s v="Physiotherapy"/>
    <s v="Emergency"/>
    <n v="7077.16"/>
    <s v="UPI"/>
    <s v="No"/>
    <m/>
    <n v="90"/>
    <s v="Middle-Aged"/>
    <s v="Medium"/>
    <s v="Short Days"/>
    <m/>
    <m/>
    <m/>
    <m/>
    <m/>
    <m/>
  </r>
  <r>
    <s v="VIS200684"/>
    <d v="2024-06-04T00:00:00"/>
    <s v="PAT5006"/>
    <s v="Anil Mishra"/>
    <s v="Male"/>
    <n v="49"/>
    <s v="Chennai"/>
    <s v="Tamil Nadu"/>
    <x v="0"/>
    <s v="Dr. Nikhil"/>
    <s v="N39"/>
    <s v="Physiotherapy"/>
    <s v="Teleconsultation"/>
    <n v="31936.07"/>
    <s v="UPI"/>
    <s v="No"/>
    <m/>
    <n v="30"/>
    <s v="Middle-Aged"/>
    <s v="High"/>
    <s v="Short Days"/>
    <m/>
    <m/>
    <m/>
    <m/>
    <m/>
    <m/>
  </r>
  <r>
    <s v="VIS202835"/>
    <d v="2024-03-11T00:00:00"/>
    <s v="PAT5383"/>
    <s v="Karthik Nagar"/>
    <s v="Male"/>
    <n v="51"/>
    <s v="Madurai"/>
    <s v="Tamil Nadu"/>
    <x v="5"/>
    <s v="Dr. Karthik"/>
    <s v="H10"/>
    <s v="Prescription Refill"/>
    <s v="Teleconsultation"/>
    <n v="6000.34"/>
    <s v="Cash"/>
    <s v="No"/>
    <m/>
    <n v="90"/>
    <s v="Middle-Aged"/>
    <s v="Medium"/>
    <s v="Short Days"/>
    <m/>
    <m/>
    <m/>
    <m/>
    <m/>
    <m/>
  </r>
  <r>
    <s v="VIS202260"/>
    <d v="2024-07-24T00:00:00"/>
    <s v="PAT6073"/>
    <s v="Priya Mishra"/>
    <s v="Male"/>
    <n v="39"/>
    <s v="Madurai"/>
    <s v="Tamil Nadu"/>
    <x v="2"/>
    <s v="Dr. Ramesh"/>
    <s v="K21"/>
    <s v="Counselling"/>
    <s v="OPD"/>
    <n v="2718.06"/>
    <s v="Insurance"/>
    <s v="Yes"/>
    <m/>
    <m/>
    <s v="Adult"/>
    <s v="Low"/>
    <s v="Short Days"/>
    <m/>
    <m/>
    <m/>
    <m/>
    <m/>
    <m/>
  </r>
  <r>
    <s v="VIS200799"/>
    <d v="2025-10-14T00:00:00"/>
    <s v="PAT6571"/>
    <s v="Rahul Jose"/>
    <s v="Female"/>
    <n v="58"/>
    <s v="Madurai"/>
    <s v="Tamil Nadu"/>
    <x v="8"/>
    <s v="Dr. Kavitha"/>
    <s v="J45"/>
    <s v="Prescription Refill"/>
    <s v="Emergency"/>
    <n v="7359.05"/>
    <s v="Credit Card"/>
    <s v="No"/>
    <m/>
    <m/>
    <s v="Middle-Aged"/>
    <s v="Medium"/>
    <s v="Short Days"/>
    <m/>
    <m/>
    <m/>
    <m/>
    <m/>
    <m/>
  </r>
  <r>
    <s v="VIS202732"/>
    <d v="2025-10-08T00:00:00"/>
    <s v="PAT6419"/>
    <s v="Kavya Mishra"/>
    <s v="Male"/>
    <n v="44"/>
    <s v="Delhi"/>
    <s v="Delhi"/>
    <x v="1"/>
    <s v="Dr. Anu"/>
    <s v="I10"/>
    <s v="Minor Procedure"/>
    <s v="OPD"/>
    <n v="5236.54"/>
    <s v="Cash"/>
    <s v="No"/>
    <m/>
    <m/>
    <s v="Middle-Aged"/>
    <s v="Medium"/>
    <s v="Short Days"/>
    <m/>
    <m/>
    <m/>
    <m/>
    <m/>
    <m/>
  </r>
  <r>
    <s v="VIS202866"/>
    <d v="2025-09-09T00:00:00"/>
    <s v="PAT6940"/>
    <s v="Ishaan Singh"/>
    <s v="Male"/>
    <n v="3"/>
    <s v="Coimbatore"/>
    <s v="Tamil Nadu"/>
    <x v="1"/>
    <s v="Dr. Suri"/>
    <s v="L40"/>
    <s v="Minor Surgery"/>
    <s v="OPD"/>
    <n v="186.24"/>
    <s v="UPI"/>
    <s v="No"/>
    <m/>
    <m/>
    <s v="Child"/>
    <s v="Low"/>
    <s v="Short Days"/>
    <m/>
    <m/>
    <m/>
    <m/>
    <m/>
    <m/>
  </r>
  <r>
    <s v="VIS201277"/>
    <d v="2025-07-14T00:00:00"/>
    <s v="PAT5078"/>
    <s v="Shruti Jose"/>
    <s v="Female"/>
    <n v="43"/>
    <s v="Chennai"/>
    <s v="Tamil Nadu"/>
    <x v="3"/>
    <s v="Dr. Anand"/>
    <s v="M54"/>
    <s v="Medication"/>
    <s v="OPD"/>
    <n v="9421.64"/>
    <s v="Insurance"/>
    <s v="Yes"/>
    <m/>
    <n v="30"/>
    <s v="Middle-Aged"/>
    <s v="Medium"/>
    <s v="Short Days"/>
    <m/>
    <m/>
    <m/>
    <m/>
    <m/>
    <m/>
  </r>
  <r>
    <s v="VIS201346"/>
    <d v="2024-05-03T00:00:00"/>
    <s v="PAT5550"/>
    <s v="Kavya Jose"/>
    <s v="Female"/>
    <n v="55"/>
    <s v="Lucknow"/>
    <s v="Uttar Pradesh"/>
    <x v="8"/>
    <s v="Dr. Sneha"/>
    <s v="K21"/>
    <s v="Counselling"/>
    <s v="OPD"/>
    <n v="6776.49"/>
    <s v="UPI"/>
    <s v="No"/>
    <m/>
    <n v="7"/>
    <s v="Middle-Aged"/>
    <s v="Medium"/>
    <s v="Short Days"/>
    <m/>
    <m/>
    <m/>
    <m/>
    <m/>
    <m/>
  </r>
  <r>
    <s v="VIS201127"/>
    <d v="2025-07-12T00:00:00"/>
    <s v="PAT5845"/>
    <s v="Vishal Jose"/>
    <s v="Female"/>
    <n v="46"/>
    <s v="Madurai"/>
    <s v="Tamil Nadu"/>
    <x v="8"/>
    <s v="Dr. Sneha"/>
    <s v="I10"/>
    <s v="Surgery"/>
    <s v="OPD"/>
    <n v="3106.04"/>
    <s v="Cash"/>
    <s v="No"/>
    <m/>
    <n v="7"/>
    <s v="Middle-Aged"/>
    <s v="Low"/>
    <s v="Short Days"/>
    <m/>
    <m/>
    <m/>
    <m/>
    <m/>
    <m/>
  </r>
  <r>
    <s v="VIS201865"/>
    <d v="2025-07-03T00:00:00"/>
    <s v="PAT6317"/>
    <s v="Rohan Khan"/>
    <s v="Male"/>
    <n v="22"/>
    <s v="Pune"/>
    <s v="Maharashtra"/>
    <x v="0"/>
    <s v="Dr. Shailesh"/>
    <s v="H10"/>
    <s v="Counselling"/>
    <s v="OPD"/>
    <n v="333.25"/>
    <s v="Debit Card"/>
    <s v="No"/>
    <m/>
    <n v="14"/>
    <s v="Adult"/>
    <s v="Low"/>
    <s v="Short Days"/>
    <m/>
    <m/>
    <m/>
    <m/>
    <m/>
    <m/>
  </r>
  <r>
    <s v="VIS201843"/>
    <d v="2024-08-08T00:00:00"/>
    <s v="PAT5104"/>
    <s v="Vivaan Iyer"/>
    <s v="Male"/>
    <n v="43"/>
    <s v="Madurai"/>
    <s v="Tamil Nadu"/>
    <x v="4"/>
    <s v="Dr. Varun"/>
    <s v="M54"/>
    <s v="Minor Procedure"/>
    <s v="OPD"/>
    <n v="7049.07"/>
    <s v="UPI"/>
    <s v="No"/>
    <m/>
    <m/>
    <s v="Middle-Aged"/>
    <s v="Medium"/>
    <s v="Short Days"/>
    <m/>
    <m/>
    <m/>
    <m/>
    <m/>
    <m/>
  </r>
  <r>
    <s v="VIS201416"/>
    <d v="2025-10-26T00:00:00"/>
    <s v="PAT6163"/>
    <s v="Deepa Sharma"/>
    <s v="Female"/>
    <n v="50"/>
    <s v="Noida"/>
    <s v="Uttar Pradesh"/>
    <x v="5"/>
    <s v="Dr. Ravi"/>
    <s v="E11"/>
    <s v="Minor Surgery"/>
    <s v="Teleconsultation"/>
    <n v="6498.28"/>
    <s v="Cash"/>
    <s v="No"/>
    <m/>
    <n v="90"/>
    <s v="Middle-Aged"/>
    <s v="Medium"/>
    <s v="Short Days"/>
    <m/>
    <m/>
    <m/>
    <m/>
    <m/>
    <m/>
  </r>
  <r>
    <s v="VIS200704"/>
    <d v="2025-04-29T00:00:00"/>
    <s v="PAT6517"/>
    <s v="Neha Bose"/>
    <s v="Female"/>
    <n v="33"/>
    <s v="Ahmedabad"/>
    <s v="Gujarat"/>
    <x v="8"/>
    <s v="Dr. Kavitha"/>
    <s v="F41"/>
    <s v="Minor Procedure"/>
    <s v="Teleconsultation"/>
    <n v="5476.88"/>
    <s v="Cash"/>
    <s v="No"/>
    <m/>
    <m/>
    <s v="Adult"/>
    <s v="Medium"/>
    <s v="Short Days"/>
    <m/>
    <m/>
    <m/>
    <m/>
    <m/>
    <m/>
  </r>
  <r>
    <s v="VIS200771"/>
    <d v="2024-11-02T00:00:00"/>
    <s v="PAT5708"/>
    <s v="Rahul Patel"/>
    <s v="Female"/>
    <n v="41"/>
    <s v="Trichy"/>
    <s v="Tamil Nadu"/>
    <x v="0"/>
    <s v="Dr. Nikhil"/>
    <s v="E11"/>
    <s v="Physiotherapy"/>
    <s v="Teleconsultation"/>
    <n v="14360.09"/>
    <s v="Debit Card"/>
    <s v="No"/>
    <m/>
    <n v="30"/>
    <s v="Middle-Aged"/>
    <s v="High"/>
    <s v="Short Days"/>
    <m/>
    <m/>
    <m/>
    <m/>
    <m/>
    <m/>
  </r>
  <r>
    <s v="VIS201335"/>
    <d v="2025-10-15T00:00:00"/>
    <s v="PAT5230"/>
    <s v="Ishaan Bose"/>
    <s v="Female"/>
    <n v="51"/>
    <s v="Lucknow"/>
    <s v="Uttar Pradesh"/>
    <x v="5"/>
    <s v="Dr. Meena"/>
    <s v="J45"/>
    <s v="Physiotherapy"/>
    <s v="OPD"/>
    <n v="905.21"/>
    <s v="Cash"/>
    <s v="No"/>
    <m/>
    <n v="7"/>
    <s v="Middle-Aged"/>
    <s v="Low"/>
    <s v="Short Days"/>
    <m/>
    <m/>
    <m/>
    <m/>
    <m/>
    <m/>
  </r>
  <r>
    <s v="VIS200527"/>
    <d v="2025-04-10T00:00:00"/>
    <s v="PAT5358"/>
    <s v="Aditya Kumar"/>
    <s v="Female"/>
    <n v="38"/>
    <s v="Chennai"/>
    <s v="Tamil Nadu"/>
    <x v="0"/>
    <s v="Dr. Shailesh"/>
    <s v="M54"/>
    <s v="Minor Procedure"/>
    <s v="Teleconsultation"/>
    <n v="5406.52"/>
    <s v="Cash"/>
    <s v="No"/>
    <m/>
    <n v="30"/>
    <s v="Adult"/>
    <s v="Medium"/>
    <s v="Short Days"/>
    <m/>
    <m/>
    <m/>
    <m/>
    <m/>
    <m/>
  </r>
  <r>
    <s v="VIS200488"/>
    <d v="2025-02-24T00:00:00"/>
    <s v="PAT6364"/>
    <s v="Manisha Das"/>
    <s v="Female"/>
    <n v="32"/>
    <s v="Jaipur"/>
    <s v="Rajasthan"/>
    <x v="7"/>
    <s v="Dr. Leela"/>
    <s v="I10"/>
    <s v="Surgery"/>
    <s v="OPD"/>
    <n v="3963.46"/>
    <s v="Insurance"/>
    <s v="Yes"/>
    <m/>
    <n v="7"/>
    <s v="Adult"/>
    <s v="Low"/>
    <s v="Short Days"/>
    <m/>
    <m/>
    <m/>
    <m/>
    <m/>
    <m/>
  </r>
  <r>
    <s v="VIS201349"/>
    <d v="2025-07-03T00:00:00"/>
    <s v="PAT6449"/>
    <s v="Deepa Gupta"/>
    <s v="Female"/>
    <n v="61"/>
    <s v="Coimbatore"/>
    <s v="Tamil Nadu"/>
    <x v="2"/>
    <s v="Dr. Ramesh"/>
    <s v="J00"/>
    <s v="Observation"/>
    <s v="Emergency"/>
    <n v="9650.99"/>
    <s v="Debit Card"/>
    <s v="No"/>
    <m/>
    <n v="30"/>
    <s v="Senior"/>
    <s v="Medium"/>
    <s v="Short Days"/>
    <m/>
    <m/>
    <m/>
    <m/>
    <m/>
    <m/>
  </r>
  <r>
    <s v="VIS201730"/>
    <d v="2024-11-10T00:00:00"/>
    <s v="PAT5647"/>
    <s v="Anil Nair"/>
    <s v="Female"/>
    <n v="30"/>
    <s v="Kochi"/>
    <s v="Kerala"/>
    <x v="0"/>
    <s v="Dr. Shailesh"/>
    <s v="I10"/>
    <s v="Prescription Refill"/>
    <s v="OPD"/>
    <n v="7655.79"/>
    <s v="UPI"/>
    <s v="No"/>
    <m/>
    <n v="30"/>
    <s v="Adult"/>
    <s v="Medium"/>
    <s v="Short Days"/>
    <m/>
    <m/>
    <m/>
    <m/>
    <m/>
    <m/>
  </r>
  <r>
    <s v="VIS202095"/>
    <d v="2025-09-20T00:00:00"/>
    <s v="PAT5150"/>
    <s v="Ananya Nagar"/>
    <s v="Male"/>
    <n v="37"/>
    <s v="Noida"/>
    <s v="Uttar Pradesh"/>
    <x v="7"/>
    <s v="Dr. Surya"/>
    <s v="E11"/>
    <s v="Observation"/>
    <s v="Teleconsultation"/>
    <n v="9389.7800000000007"/>
    <s v="Debit Card"/>
    <s v="No"/>
    <m/>
    <n v="14"/>
    <s v="Adult"/>
    <s v="Medium"/>
    <s v="Short Days"/>
    <m/>
    <m/>
    <m/>
    <m/>
    <m/>
    <m/>
  </r>
  <r>
    <s v="VIS201755"/>
    <d v="2024-03-15T00:00:00"/>
    <s v="PAT5461"/>
    <s v="Aditya Patel"/>
    <s v="Female"/>
    <n v="36"/>
    <s v="Ahmedabad"/>
    <s v="Gujarat"/>
    <x v="4"/>
    <s v="Dr. Varun"/>
    <s v="H10"/>
    <s v="Physiotherapy"/>
    <s v="OPD"/>
    <n v="889.77"/>
    <s v="Insurance"/>
    <s v="Yes"/>
    <m/>
    <n v="30"/>
    <s v="Adult"/>
    <s v="Low"/>
    <s v="Short Days"/>
    <m/>
    <m/>
    <m/>
    <m/>
    <m/>
    <m/>
  </r>
  <r>
    <s v="VIS200901"/>
    <d v="2025-07-17T00:00:00"/>
    <s v="PAT5058"/>
    <s v="Sangeetha Bose"/>
    <s v="Female"/>
    <n v="46"/>
    <s v="Jaipur"/>
    <s v="Rajasthan"/>
    <x v="1"/>
    <s v="Dr. Suri"/>
    <s v="E11"/>
    <s v="Physiotherapy"/>
    <s v="Teleconsultation"/>
    <n v="5016.5"/>
    <s v="Insurance"/>
    <s v="Yes"/>
    <m/>
    <n v="14"/>
    <s v="Middle-Aged"/>
    <s v="Medium"/>
    <s v="Short Days"/>
    <m/>
    <m/>
    <m/>
    <m/>
    <m/>
    <m/>
  </r>
  <r>
    <s v="VIS201551"/>
    <d v="2024-01-17T00:00:00"/>
    <s v="PAT5594"/>
    <s v="Aditya Patel"/>
    <s v="Female"/>
    <n v="47"/>
    <s v="Chennai"/>
    <s v="Tamil Nadu"/>
    <x v="0"/>
    <s v="Dr. Nikhil"/>
    <s v="J00"/>
    <s v="Physiotherapy"/>
    <s v="OPD"/>
    <n v="3983.98"/>
    <s v="Cash"/>
    <s v="No"/>
    <m/>
    <n v="30"/>
    <s v="Middle-Aged"/>
    <s v="Low"/>
    <s v="Short Days"/>
    <m/>
    <m/>
    <m/>
    <m/>
    <m/>
    <m/>
  </r>
  <r>
    <s v="VIS202676"/>
    <d v="2025-02-02T00:00:00"/>
    <s v="PAT6406"/>
    <s v="Karthik Singh"/>
    <s v="Female"/>
    <n v="38"/>
    <s v="Delhi"/>
    <s v="Delhi"/>
    <x v="1"/>
    <s v="Dr. Suri"/>
    <s v="H10"/>
    <s v="Medication"/>
    <s v="OPD"/>
    <n v="6752.31"/>
    <s v="Debit Card"/>
    <s v="No"/>
    <m/>
    <n v="7"/>
    <s v="Adult"/>
    <s v="Medium"/>
    <s v="Short Days"/>
    <m/>
    <m/>
    <m/>
    <m/>
    <m/>
    <m/>
  </r>
  <r>
    <s v="VIS202559"/>
    <d v="2025-05-29T00:00:00"/>
    <s v="PAT5474"/>
    <s v="Priya Singh"/>
    <s v="Female"/>
    <n v="71"/>
    <s v="Pune"/>
    <s v="Maharashtra"/>
    <x v="0"/>
    <s v="Dr. Nikhil"/>
    <s v="F41"/>
    <s v="Prescription Refill"/>
    <s v="Emergency"/>
    <n v="19997.43"/>
    <s v="Cash"/>
    <s v="No"/>
    <m/>
    <n v="90"/>
    <s v="Senior"/>
    <s v="High"/>
    <s v="Short Days"/>
    <m/>
    <m/>
    <m/>
    <m/>
    <m/>
    <m/>
  </r>
  <r>
    <s v="VIS202797"/>
    <d v="2025-10-11T00:00:00"/>
    <s v="PAT6966"/>
    <s v="Siddharth Reddy"/>
    <s v="Male"/>
    <n v="95"/>
    <s v="Delhi"/>
    <s v="Delhi"/>
    <x v="7"/>
    <s v="Dr. Leela"/>
    <s v="I10"/>
    <s v="Prescription Refill"/>
    <s v="OPD"/>
    <n v="1130.08"/>
    <s v="UPI"/>
    <s v="No"/>
    <m/>
    <n v="7"/>
    <s v="Senior"/>
    <s v="Low"/>
    <s v="Short Days"/>
    <m/>
    <m/>
    <m/>
    <m/>
    <m/>
    <m/>
  </r>
  <r>
    <s v="VIS201411"/>
    <d v="2025-06-11T00:00:00"/>
    <s v="PAT5474"/>
    <s v="Anil Kumar"/>
    <s v="Female"/>
    <n v="48"/>
    <s v="Trichy"/>
    <s v="Tamil Nadu"/>
    <x v="1"/>
    <s v="Dr. Suri"/>
    <s v="N39"/>
    <s v="Counselling"/>
    <s v="OPD"/>
    <n v="2484.79"/>
    <s v="Credit Card"/>
    <s v="No"/>
    <m/>
    <m/>
    <s v="Middle-Aged"/>
    <s v="Low"/>
    <s v="Short Days"/>
    <m/>
    <m/>
    <m/>
    <m/>
    <m/>
    <m/>
  </r>
  <r>
    <s v="VIS200679"/>
    <d v="2024-05-09T00:00:00"/>
    <s v="PAT6907"/>
    <s v="Priya Khan"/>
    <s v="Male"/>
    <n v="27"/>
    <s v="Ahmedabad"/>
    <s v="Gujarat"/>
    <x v="7"/>
    <s v="Dr. Surya"/>
    <s v="M54"/>
    <s v="Physiotherapy"/>
    <s v="OPD"/>
    <n v="1547.72"/>
    <s v="Insurance"/>
    <s v="Yes"/>
    <m/>
    <n v="7"/>
    <s v="Adult"/>
    <s v="Low"/>
    <s v="Short Days"/>
    <m/>
    <m/>
    <m/>
    <m/>
    <m/>
    <m/>
  </r>
  <r>
    <s v="VIS201776"/>
    <d v="2025-10-15T00:00:00"/>
    <s v="PAT5457"/>
    <s v="Vivaan Patel"/>
    <s v="Female"/>
    <n v="8"/>
    <s v="Mumbai"/>
    <s v="Maharashtra"/>
    <x v="0"/>
    <s v="Dr. Shailesh"/>
    <s v="H10"/>
    <s v="Prescription Refill"/>
    <s v="OPD"/>
    <n v="812.44"/>
    <s v="Cash"/>
    <s v="No"/>
    <m/>
    <n v="14"/>
    <s v="Child"/>
    <s v="Low"/>
    <s v="Short Days"/>
    <m/>
    <m/>
    <m/>
    <m/>
    <m/>
    <m/>
  </r>
  <r>
    <s v="VIS200221"/>
    <d v="2024-03-22T00:00:00"/>
    <s v="PAT6582"/>
    <s v="Sangeetha Kumar"/>
    <s v="Male"/>
    <n v="32"/>
    <s v="Trichy"/>
    <s v="Tamil Nadu"/>
    <x v="6"/>
    <s v="Dr. Priya"/>
    <s v="M54"/>
    <s v="Counselling"/>
    <s v="OPD"/>
    <n v="1724.21"/>
    <s v="UPI"/>
    <s v="No"/>
    <m/>
    <n v="30"/>
    <s v="Adult"/>
    <s v="Low"/>
    <s v="Short Days"/>
    <m/>
    <m/>
    <m/>
    <m/>
    <m/>
    <m/>
  </r>
  <r>
    <s v="VIS202840"/>
    <d v="2024-09-19T00:00:00"/>
    <s v="PAT5931"/>
    <s v="Manisha Mishra"/>
    <s v="Female"/>
    <n v="17"/>
    <s v="Kolkata"/>
    <s v="West Bengal"/>
    <x v="6"/>
    <s v="Dr. Lalitha"/>
    <s v="J45"/>
    <s v="Observation"/>
    <s v="Emergency"/>
    <n v="6471.84"/>
    <s v="Cash"/>
    <s v="No"/>
    <m/>
    <m/>
    <s v="Child"/>
    <s v="Medium"/>
    <s v="Short Days"/>
    <m/>
    <m/>
    <m/>
    <m/>
    <m/>
    <m/>
  </r>
  <r>
    <s v="VIS200993"/>
    <d v="2024-06-24T00:00:00"/>
    <s v="PAT5410"/>
    <s v="Rahul Jose"/>
    <s v="Female"/>
    <n v="52"/>
    <s v="Mumbai"/>
    <s v="Maharashtra"/>
    <x v="3"/>
    <s v="Dr. Anand"/>
    <s v="J00"/>
    <s v="Observation"/>
    <s v="OPD"/>
    <n v="204.44"/>
    <s v="Debit Card"/>
    <s v="No"/>
    <m/>
    <n v="7"/>
    <s v="Middle-Aged"/>
    <s v="Low"/>
    <s v="Short Days"/>
    <m/>
    <m/>
    <m/>
    <m/>
    <m/>
    <m/>
  </r>
  <r>
    <s v="VIS202083"/>
    <d v="2025-01-13T00:00:00"/>
    <s v="PAT5850"/>
    <s v="Rahul Mishra"/>
    <s v="Female"/>
    <n v="62"/>
    <s v="Chennai"/>
    <s v="Tamil Nadu"/>
    <x v="4"/>
    <s v="Dr. Bhavana"/>
    <s v="N39"/>
    <s v="Medication"/>
    <s v="IPD"/>
    <n v="22000.53"/>
    <s v="Debit Card"/>
    <s v="No"/>
    <n v="2"/>
    <m/>
    <s v="Senior"/>
    <s v="High"/>
    <s v="Short Days"/>
    <m/>
    <m/>
    <m/>
    <m/>
    <m/>
    <m/>
  </r>
  <r>
    <s v="VIS200550"/>
    <d v="2025-03-22T00:00:00"/>
    <s v="PAT6218"/>
    <s v="Anil Mishra"/>
    <s v="Female"/>
    <n v="28"/>
    <s v="Pune"/>
    <s v="Maharashtra"/>
    <x v="6"/>
    <s v="Dr. Lalitha"/>
    <s v="M54"/>
    <s v="Minor Procedure"/>
    <s v="OPD"/>
    <n v="5302.16"/>
    <s v="UPI"/>
    <s v="No"/>
    <m/>
    <m/>
    <s v="Adult"/>
    <s v="Medium"/>
    <s v="Short Days"/>
    <m/>
    <m/>
    <m/>
    <m/>
    <m/>
    <m/>
  </r>
  <r>
    <s v="VIS200417"/>
    <d v="2025-10-07T00:00:00"/>
    <s v="PAT6920"/>
    <s v="Aishwarya Das"/>
    <s v="Male"/>
    <n v="39"/>
    <s v="Chennai"/>
    <s v="Tamil Nadu"/>
    <x v="0"/>
    <s v="Dr. Shailesh"/>
    <s v="N39"/>
    <s v="Minor Procedure"/>
    <s v="OPD"/>
    <n v="2949.64"/>
    <s v="UPI"/>
    <s v="No"/>
    <m/>
    <m/>
    <s v="Adult"/>
    <s v="Low"/>
    <s v="Short Days"/>
    <m/>
    <m/>
    <m/>
    <m/>
    <m/>
    <m/>
  </r>
  <r>
    <s v="VIS202115"/>
    <d v="2025-06-18T00:00:00"/>
    <s v="PAT6202"/>
    <s v="Aishwarya Singh"/>
    <s v="Female"/>
    <n v="53"/>
    <s v="Lucknow"/>
    <s v="Uttar Pradesh"/>
    <x v="3"/>
    <s v="Dr. Pallavi"/>
    <s v="H10"/>
    <s v="Minor Surgery"/>
    <s v="OPD"/>
    <n v="4259.46"/>
    <s v="Cash"/>
    <s v="No"/>
    <m/>
    <n v="14"/>
    <s v="Middle-Aged"/>
    <s v="Low"/>
    <s v="Short Days"/>
    <m/>
    <m/>
    <m/>
    <m/>
    <m/>
    <m/>
  </r>
  <r>
    <s v="VIS201681"/>
    <d v="2024-02-15T00:00:00"/>
    <s v="PAT6544"/>
    <s v="Ishaan Mishra"/>
    <s v="Female"/>
    <n v="11"/>
    <s v="Mumbai"/>
    <s v="Maharashtra"/>
    <x v="1"/>
    <s v="Dr. Suri"/>
    <s v="K21"/>
    <s v="Surgery"/>
    <s v="OPD"/>
    <n v="1614.51"/>
    <s v="Debit Card"/>
    <s v="No"/>
    <m/>
    <n v="90"/>
    <s v="Child"/>
    <s v="Low"/>
    <s v="Short Days"/>
    <m/>
    <m/>
    <m/>
    <m/>
    <m/>
    <m/>
  </r>
  <r>
    <s v="VIS200044"/>
    <d v="2024-03-26T00:00:00"/>
    <s v="PAT5357"/>
    <s v="Rahul Nair"/>
    <s v="Male"/>
    <n v="33"/>
    <s v="Noida"/>
    <s v="Uttar Pradesh"/>
    <x v="8"/>
    <s v="Dr. Kavitha"/>
    <s v="I10"/>
    <s v="Medication"/>
    <s v="OPD"/>
    <n v="1954.75"/>
    <s v="UPI"/>
    <s v="No"/>
    <m/>
    <n v="30"/>
    <s v="Adult"/>
    <s v="Low"/>
    <s v="Short Days"/>
    <m/>
    <m/>
    <m/>
    <m/>
    <m/>
    <m/>
  </r>
  <r>
    <s v="VIS200355"/>
    <d v="2025-07-08T00:00:00"/>
    <s v="PAT5135"/>
    <s v="Karthik Kumar"/>
    <s v="Male"/>
    <n v="69"/>
    <s v="Madurai"/>
    <s v="Tamil Nadu"/>
    <x v="4"/>
    <s v="Dr. Varun"/>
    <s v="E11"/>
    <s v="Minor Surgery"/>
    <s v="OPD"/>
    <n v="3073.19"/>
    <s v="Insurance"/>
    <s v="Yes"/>
    <m/>
    <n v="90"/>
    <s v="Senior"/>
    <s v="Low"/>
    <s v="Short Days"/>
    <m/>
    <m/>
    <m/>
    <m/>
    <m/>
    <m/>
  </r>
  <r>
    <s v="VIS200810"/>
    <d v="2025-05-13T00:00:00"/>
    <s v="PAT6905"/>
    <s v="Shruti Gupta"/>
    <s v="Female"/>
    <n v="21"/>
    <s v="Lucknow"/>
    <s v="Uttar Pradesh"/>
    <x v="6"/>
    <s v="Dr. Priya"/>
    <s v="I10"/>
    <s v="Prescription Refill"/>
    <s v="Emergency"/>
    <n v="5871.5"/>
    <s v="Cash"/>
    <s v="No"/>
    <m/>
    <m/>
    <s v="Adult"/>
    <s v="Medium"/>
    <s v="Short Days"/>
    <m/>
    <m/>
    <m/>
    <m/>
    <m/>
    <m/>
  </r>
  <r>
    <s v="VIS202527"/>
    <d v="2024-06-01T00:00:00"/>
    <s v="PAT6670"/>
    <s v="Neha Jose"/>
    <s v="Female"/>
    <n v="75"/>
    <s v="Kochi"/>
    <s v="Kerala"/>
    <x v="2"/>
    <s v="Dr. Ramesh"/>
    <s v="L40"/>
    <s v="Minor Procedure"/>
    <s v="Teleconsultation"/>
    <n v="11731.65"/>
    <s v="Insurance"/>
    <s v="Yes"/>
    <m/>
    <n v="90"/>
    <s v="Senior"/>
    <s v="High"/>
    <s v="Short Days"/>
    <m/>
    <m/>
    <m/>
    <m/>
    <m/>
    <m/>
  </r>
  <r>
    <s v="VIS200793"/>
    <d v="2025-03-26T00:00:00"/>
    <s v="PAT6648"/>
    <s v="Rahul Sharma"/>
    <s v="Male"/>
    <n v="51"/>
    <s v="Jaipur"/>
    <s v="Rajasthan"/>
    <x v="0"/>
    <s v="Dr. Nikhil"/>
    <s v="I10"/>
    <s v="Surgery"/>
    <s v="Teleconsultation"/>
    <n v="13316.38"/>
    <s v="Cash"/>
    <s v="No"/>
    <m/>
    <n v="14"/>
    <s v="Middle-Aged"/>
    <s v="High"/>
    <s v="Short Days"/>
    <m/>
    <m/>
    <m/>
    <m/>
    <m/>
    <m/>
  </r>
  <r>
    <s v="VIS200178"/>
    <d v="2024-12-13T00:00:00"/>
    <s v="PAT6199"/>
    <s v="Kavya Bose"/>
    <s v="Female"/>
    <n v="31"/>
    <s v="Jaipur"/>
    <s v="Rajasthan"/>
    <x v="6"/>
    <s v="Dr. Lalitha"/>
    <s v="K21"/>
    <s v="Observation"/>
    <s v="OPD"/>
    <n v="954.97"/>
    <s v="Debit Card"/>
    <s v="No"/>
    <m/>
    <n v="90"/>
    <s v="Adult"/>
    <s v="Low"/>
    <s v="Short Days"/>
    <m/>
    <m/>
    <m/>
    <m/>
    <m/>
    <m/>
  </r>
  <r>
    <s v="VIS202892"/>
    <d v="2025-10-24T00:00:00"/>
    <s v="PAT5119"/>
    <s v="Neha Reddy"/>
    <s v="Female"/>
    <n v="24"/>
    <s v="Lucknow"/>
    <s v="Uttar Pradesh"/>
    <x v="9"/>
    <s v="Dr. Kusum"/>
    <s v="M54"/>
    <s v="Surgery"/>
    <s v="OPD"/>
    <n v="15585.73"/>
    <s v="Credit Card"/>
    <s v="No"/>
    <m/>
    <m/>
    <s v="Adult"/>
    <s v="High"/>
    <s v="Short Days"/>
    <m/>
    <m/>
    <m/>
    <m/>
    <m/>
    <m/>
  </r>
  <r>
    <s v="VIS201008"/>
    <d v="2024-06-22T00:00:00"/>
    <s v="PAT6557"/>
    <s v="Siddharth Das"/>
    <s v="Male"/>
    <n v="53"/>
    <s v="Lucknow"/>
    <s v="Uttar Pradesh"/>
    <x v="3"/>
    <s v="Dr. Pallavi"/>
    <s v="I10"/>
    <s v="Physiotherapy"/>
    <s v="OPD"/>
    <n v="389.46"/>
    <s v="Insurance"/>
    <s v="Yes"/>
    <m/>
    <n v="7"/>
    <s v="Middle-Aged"/>
    <s v="Low"/>
    <s v="Short Days"/>
    <m/>
    <m/>
    <m/>
    <m/>
    <m/>
    <m/>
  </r>
  <r>
    <s v="VIS201553"/>
    <d v="2025-04-16T00:00:00"/>
    <s v="PAT5410"/>
    <s v="Aarav Mishra"/>
    <s v="Male"/>
    <n v="58"/>
    <s v="Hyderabad"/>
    <s v="Telangana"/>
    <x v="7"/>
    <s v="Dr. Surya"/>
    <s v="M54"/>
    <s v="Physiotherapy"/>
    <s v="OPD"/>
    <n v="915.8"/>
    <s v="Cash"/>
    <s v="No"/>
    <m/>
    <n v="7"/>
    <s v="Middle-Aged"/>
    <s v="Low"/>
    <s v="Short Days"/>
    <m/>
    <m/>
    <m/>
    <m/>
    <m/>
    <m/>
  </r>
  <r>
    <s v="VIS202740"/>
    <d v="2024-04-12T00:00:00"/>
    <s v="PAT6405"/>
    <s v="Rahul Kumar"/>
    <s v="Female"/>
    <n v="16"/>
    <s v="Delhi"/>
    <s v="Delhi"/>
    <x v="9"/>
    <s v="Dr. Arvind"/>
    <s v="E11"/>
    <s v="Observation"/>
    <s v="OPD"/>
    <n v="3161.15"/>
    <s v="UPI"/>
    <s v="No"/>
    <m/>
    <n v="90"/>
    <s v="Child"/>
    <s v="Low"/>
    <s v="Short Days"/>
    <m/>
    <m/>
    <m/>
    <m/>
    <m/>
    <m/>
  </r>
  <r>
    <s v="VIS201226"/>
    <d v="2024-01-11T00:00:00"/>
    <s v="PAT6241"/>
    <s v="Sangeetha Mishra"/>
    <s v="Female"/>
    <n v="43"/>
    <s v="Hyderabad"/>
    <s v="Telangana"/>
    <x v="5"/>
    <s v="Dr. Meena"/>
    <s v="F41"/>
    <s v="Minor Procedure"/>
    <s v="Teleconsultation"/>
    <n v="7917.15"/>
    <s v="Credit Card"/>
    <s v="No"/>
    <m/>
    <n v="90"/>
    <s v="Middle-Aged"/>
    <s v="Medium"/>
    <s v="Short Days"/>
    <m/>
    <m/>
    <m/>
    <m/>
    <m/>
    <m/>
  </r>
  <r>
    <s v="VIS200581"/>
    <d v="2024-09-26T00:00:00"/>
    <s v="PAT6416"/>
    <s v="Rohan Singh"/>
    <s v="Male"/>
    <n v="46"/>
    <s v="Noida"/>
    <s v="Uttar Pradesh"/>
    <x v="8"/>
    <s v="Dr. Kavitha"/>
    <s v="N39"/>
    <s v="Physiotherapy"/>
    <s v="OPD"/>
    <n v="1094.21"/>
    <s v="Debit Card"/>
    <s v="No"/>
    <m/>
    <n v="90"/>
    <s v="Middle-Aged"/>
    <s v="Low"/>
    <s v="Short Days"/>
    <m/>
    <m/>
    <m/>
    <m/>
    <m/>
    <m/>
  </r>
  <r>
    <s v="VIS200251"/>
    <d v="2025-02-02T00:00:00"/>
    <s v="PAT6507"/>
    <s v="Arjun Mishra"/>
    <s v="Male"/>
    <n v="44"/>
    <s v="Trichy"/>
    <s v="Tamil Nadu"/>
    <x v="3"/>
    <s v="Dr. Pallavi"/>
    <s v="J45"/>
    <s v="Surgery"/>
    <s v="Teleconsultation"/>
    <n v="7274.75"/>
    <s v="Credit Card"/>
    <s v="No"/>
    <m/>
    <m/>
    <s v="Middle-Aged"/>
    <s v="Medium"/>
    <s v="Short Days"/>
    <m/>
    <m/>
    <m/>
    <m/>
    <m/>
    <m/>
  </r>
  <r>
    <s v="VIS201682"/>
    <d v="2025-07-07T00:00:00"/>
    <s v="PAT5312"/>
    <s v="Priya Nagar"/>
    <s v="Female"/>
    <n v="34"/>
    <s v="Trichy"/>
    <s v="Tamil Nadu"/>
    <x v="4"/>
    <s v="Dr. Varun"/>
    <s v="E11"/>
    <s v="Minor Surgery"/>
    <s v="Emergency"/>
    <n v="10087.02"/>
    <s v="UPI"/>
    <s v="No"/>
    <m/>
    <n v="30"/>
    <s v="Adult"/>
    <s v="High"/>
    <s v="Short Days"/>
    <m/>
    <m/>
    <m/>
    <m/>
    <m/>
    <m/>
  </r>
  <r>
    <s v="VIS201379"/>
    <d v="2025-03-22T00:00:00"/>
    <s v="PAT6766"/>
    <s v="Rohan Iyer"/>
    <s v="Female"/>
    <n v="63"/>
    <s v="Chennai"/>
    <s v="Tamil Nadu"/>
    <x v="6"/>
    <s v="Dr. Lalitha"/>
    <s v="H10"/>
    <s v="Physiotherapy"/>
    <s v="OPD"/>
    <n v="1497.74"/>
    <s v="Cash"/>
    <s v="No"/>
    <m/>
    <n v="90"/>
    <s v="Senior"/>
    <s v="Low"/>
    <s v="Short Days"/>
    <m/>
    <m/>
    <m/>
    <m/>
    <m/>
    <m/>
  </r>
  <r>
    <s v="VIS202242"/>
    <d v="2025-07-30T00:00:00"/>
    <s v="PAT5942"/>
    <s v="Ishaan Bose"/>
    <s v="Other"/>
    <n v="10"/>
    <s v="Pune"/>
    <s v="Maharashtra"/>
    <x v="8"/>
    <s v="Dr. Sneha"/>
    <s v="H10"/>
    <s v="Physiotherapy"/>
    <s v="Teleconsultation"/>
    <n v="9202.9599999999991"/>
    <s v="Cash"/>
    <s v="No"/>
    <m/>
    <n v="7"/>
    <s v="Child"/>
    <s v="Medium"/>
    <s v="Short Days"/>
    <m/>
    <m/>
    <m/>
    <m/>
    <m/>
    <m/>
  </r>
  <r>
    <s v="VIS200518"/>
    <d v="2024-04-13T00:00:00"/>
    <s v="PAT5004"/>
    <s v="Aishwarya Sharma"/>
    <s v="Female"/>
    <n v="31"/>
    <s v="Delhi"/>
    <s v="Delhi"/>
    <x v="6"/>
    <s v="Dr. Priya"/>
    <s v="F41"/>
    <s v="Surgery"/>
    <s v="OPD"/>
    <n v="4507.8100000000004"/>
    <s v="Insurance"/>
    <s v="Yes"/>
    <m/>
    <n v="30"/>
    <s v="Adult"/>
    <s v="Low"/>
    <s v="Short Days"/>
    <m/>
    <m/>
    <m/>
    <m/>
    <m/>
    <m/>
  </r>
  <r>
    <s v="VIS201685"/>
    <d v="2024-09-03T00:00:00"/>
    <s v="PAT5718"/>
    <s v="Priya Sharma"/>
    <s v="Female"/>
    <n v="31"/>
    <s v="Kolkata"/>
    <s v="West Bengal"/>
    <x v="8"/>
    <s v="Dr. Sneha"/>
    <s v="J45"/>
    <s v="Minor Surgery"/>
    <s v="OPD"/>
    <n v="3662.5"/>
    <s v="UPI"/>
    <s v="No"/>
    <m/>
    <n v="7"/>
    <s v="Adult"/>
    <s v="Low"/>
    <s v="Short Days"/>
    <m/>
    <m/>
    <m/>
    <m/>
    <m/>
    <m/>
  </r>
  <r>
    <s v="VIS202844"/>
    <d v="2024-07-04T00:00:00"/>
    <s v="PAT6547"/>
    <s v="Karthik Iyer"/>
    <s v="Male"/>
    <n v="47"/>
    <s v="Noida"/>
    <s v="Uttar Pradesh"/>
    <x v="8"/>
    <s v="Dr. Sneha"/>
    <s v="L40"/>
    <s v="Prescription Refill"/>
    <s v="IPD"/>
    <n v="14429.43"/>
    <s v="Debit Card"/>
    <s v="No"/>
    <n v="7"/>
    <n v="90"/>
    <s v="Middle-Aged"/>
    <s v="High"/>
    <s v="Long Days"/>
    <m/>
    <m/>
    <m/>
    <m/>
    <m/>
    <m/>
  </r>
  <r>
    <s v="VIS202225"/>
    <d v="2025-04-22T00:00:00"/>
    <s v="PAT5896"/>
    <s v="Karthik Patel"/>
    <s v="Male"/>
    <n v="62"/>
    <s v="Jaipur"/>
    <s v="Rajasthan"/>
    <x v="1"/>
    <s v="Dr. Anu"/>
    <s v="I10"/>
    <s v="Minor Surgery"/>
    <s v="Teleconsultation"/>
    <n v="10901.4"/>
    <s v="Debit Card"/>
    <s v="No"/>
    <m/>
    <m/>
    <s v="Senior"/>
    <s v="High"/>
    <s v="Short Days"/>
    <m/>
    <m/>
    <m/>
    <m/>
    <m/>
    <m/>
  </r>
  <r>
    <s v="VIS201561"/>
    <d v="2025-01-02T00:00:00"/>
    <s v="PAT5886"/>
    <s v="Siddharth Khan"/>
    <s v="Female"/>
    <n v="27"/>
    <s v="Noida"/>
    <s v="Uttar Pradesh"/>
    <x v="1"/>
    <s v="Dr. Suri"/>
    <s v="J45"/>
    <s v="Counselling"/>
    <s v="Teleconsultation"/>
    <n v="14417.22"/>
    <s v="Debit Card"/>
    <s v="No"/>
    <m/>
    <n v="90"/>
    <s v="Adult"/>
    <s v="High"/>
    <s v="Short Days"/>
    <m/>
    <m/>
    <m/>
    <m/>
    <m/>
    <m/>
  </r>
  <r>
    <s v="VIS201741"/>
    <d v="2024-05-09T00:00:00"/>
    <s v="PAT5873"/>
    <s v="Shruti Khan"/>
    <s v="Male"/>
    <n v="49"/>
    <s v="Bengaluru"/>
    <s v="Karnataka"/>
    <x v="8"/>
    <s v="Dr. Kavitha"/>
    <s v="K21"/>
    <s v="Physiotherapy"/>
    <s v="IPD"/>
    <n v="18202.07"/>
    <s v="Insurance"/>
    <s v="Yes"/>
    <n v="4"/>
    <n v="30"/>
    <s v="Middle-Aged"/>
    <s v="High"/>
    <s v="Short Days"/>
    <m/>
    <m/>
    <m/>
    <m/>
    <m/>
    <m/>
  </r>
  <r>
    <s v="VIS202665"/>
    <d v="2025-02-09T00:00:00"/>
    <s v="PAT6735"/>
    <s v="Siddharth Gupta"/>
    <s v="Male"/>
    <n v="22"/>
    <s v="Pune"/>
    <s v="Maharashtra"/>
    <x v="4"/>
    <s v="Dr. Bhavana"/>
    <s v="E11"/>
    <s v="Prescription Refill"/>
    <s v="OPD"/>
    <n v="4264.78"/>
    <s v="Cash"/>
    <s v="No"/>
    <m/>
    <n v="30"/>
    <s v="Adult"/>
    <s v="Low"/>
    <s v="Short Days"/>
    <m/>
    <m/>
    <m/>
    <m/>
    <m/>
    <m/>
  </r>
  <r>
    <s v="VIS200032"/>
    <d v="2024-12-27T00:00:00"/>
    <s v="PAT5591"/>
    <s v="Vishal Reddy"/>
    <s v="Male"/>
    <n v="18"/>
    <s v="Chennai"/>
    <s v="Tamil Nadu"/>
    <x v="1"/>
    <s v="Dr. Suri"/>
    <s v="F41"/>
    <s v="Observation"/>
    <s v="Teleconsultation"/>
    <n v="5830.69"/>
    <s v="Credit Card"/>
    <s v="No"/>
    <m/>
    <n v="14"/>
    <s v="Adult"/>
    <s v="Medium"/>
    <s v="Short Days"/>
    <m/>
    <m/>
    <m/>
    <m/>
    <m/>
    <m/>
  </r>
  <r>
    <s v="VIS202637"/>
    <d v="2024-01-03T00:00:00"/>
    <s v="PAT5774"/>
    <s v="Siddharth Nagar"/>
    <s v="Female"/>
    <n v="31"/>
    <s v="Trichy"/>
    <s v="Tamil Nadu"/>
    <x v="2"/>
    <s v="Dr. Manoj"/>
    <s v="J45"/>
    <s v="Physiotherapy"/>
    <s v="OPD"/>
    <n v="523.58000000000004"/>
    <s v="Insurance"/>
    <s v="Yes"/>
    <m/>
    <n v="14"/>
    <s v="Adult"/>
    <s v="Low"/>
    <s v="Short Days"/>
    <m/>
    <m/>
    <m/>
    <m/>
    <m/>
    <m/>
  </r>
  <r>
    <s v="VIS201826"/>
    <d v="2024-04-20T00:00:00"/>
    <s v="PAT6811"/>
    <s v="Siddharth Nagar"/>
    <s v="Female"/>
    <n v="35"/>
    <s v="Coimbatore"/>
    <s v="Tamil Nadu"/>
    <x v="9"/>
    <s v="Dr. Kusum"/>
    <s v="J45"/>
    <s v="Medication"/>
    <s v="IPD"/>
    <n v="5154.8900000000003"/>
    <s v="Insurance"/>
    <s v="Yes"/>
    <n v="11"/>
    <m/>
    <s v="Adult"/>
    <s v="Medium"/>
    <s v="Long Days"/>
    <m/>
    <m/>
    <m/>
    <m/>
    <m/>
    <m/>
  </r>
  <r>
    <s v="VIS200559"/>
    <d v="2025-10-24T00:00:00"/>
    <s v="PAT5984"/>
    <s v="Deepa Nair"/>
    <s v="Female"/>
    <n v="39"/>
    <s v="Lucknow"/>
    <s v="Uttar Pradesh"/>
    <x v="0"/>
    <s v="Dr. Nikhil"/>
    <s v="H10"/>
    <s v="Surgery"/>
    <s v="OPD"/>
    <n v="39756.42"/>
    <s v="Cash"/>
    <s v="No"/>
    <m/>
    <n v="30"/>
    <s v="Adult"/>
    <s v="High"/>
    <s v="Short Days"/>
    <m/>
    <m/>
    <m/>
    <m/>
    <m/>
    <m/>
  </r>
  <r>
    <s v="VIS201949"/>
    <d v="2024-01-01T00:00:00"/>
    <s v="PAT6243"/>
    <s v="Ananya Singh"/>
    <s v="Female"/>
    <n v="58"/>
    <s v="Hyderabad"/>
    <s v="Telangana"/>
    <x v="0"/>
    <s v="Dr. Nikhil"/>
    <s v="E11"/>
    <s v="Minor Procedure"/>
    <s v="OPD"/>
    <n v="10565.89"/>
    <s v="Debit Card"/>
    <s v="No"/>
    <m/>
    <m/>
    <s v="Middle-Aged"/>
    <s v="High"/>
    <s v="Short Days"/>
    <m/>
    <m/>
    <m/>
    <m/>
    <m/>
    <m/>
  </r>
  <r>
    <s v="VIS202917"/>
    <d v="2025-07-10T00:00:00"/>
    <s v="PAT5941"/>
    <s v="Ishaan Nagar"/>
    <s v="Female"/>
    <n v="24"/>
    <s v="Lucknow"/>
    <s v="Uttar Pradesh"/>
    <x v="9"/>
    <s v="Dr. Arvind"/>
    <s v="K21"/>
    <s v="Prescription Refill"/>
    <s v="Teleconsultation"/>
    <n v="11886.44"/>
    <s v="Cash"/>
    <s v="No"/>
    <m/>
    <n v="90"/>
    <s v="Adult"/>
    <s v="High"/>
    <s v="Short Days"/>
    <m/>
    <m/>
    <m/>
    <m/>
    <m/>
    <m/>
  </r>
  <r>
    <s v="VIS201630"/>
    <d v="2024-05-13T00:00:00"/>
    <s v="PAT5585"/>
    <s v="Siddharth Patel"/>
    <s v="Male"/>
    <n v="18"/>
    <s v="Ahmedabad"/>
    <s v="Gujarat"/>
    <x v="7"/>
    <s v="Dr. Surya"/>
    <s v="L40"/>
    <s v="Surgery"/>
    <s v="Teleconsultation"/>
    <n v="8677.07"/>
    <s v="Insurance"/>
    <s v="Yes"/>
    <m/>
    <n v="14"/>
    <s v="Adult"/>
    <s v="Medium"/>
    <s v="Short Days"/>
    <m/>
    <m/>
    <m/>
    <m/>
    <m/>
    <m/>
  </r>
  <r>
    <s v="VIS201003"/>
    <d v="2024-07-15T00:00:00"/>
    <s v="PAT6578"/>
    <s v="Arjun Kumar"/>
    <s v="Male"/>
    <n v="17"/>
    <s v="Noida"/>
    <s v="Uttar Pradesh"/>
    <x v="9"/>
    <s v="Dr. Kusum"/>
    <s v="L40"/>
    <s v="Counselling"/>
    <s v="Teleconsultation"/>
    <n v="5522.48"/>
    <s v="Insurance"/>
    <s v="Yes"/>
    <m/>
    <n v="30"/>
    <s v="Child"/>
    <s v="Medium"/>
    <s v="Short Days"/>
    <m/>
    <m/>
    <m/>
    <m/>
    <m/>
    <m/>
  </r>
  <r>
    <s v="VIS202416"/>
    <d v="2025-07-17T00:00:00"/>
    <s v="PAT5839"/>
    <s v="Ananya Sharma"/>
    <s v="Female"/>
    <n v="33"/>
    <s v="Chennai"/>
    <s v="Tamil Nadu"/>
    <x v="4"/>
    <s v="Dr. Bhavana"/>
    <s v="N39"/>
    <s v="Counselling"/>
    <s v="Teleconsultation"/>
    <n v="11267.68"/>
    <s v="Debit Card"/>
    <s v="No"/>
    <m/>
    <n v="90"/>
    <s v="Adult"/>
    <s v="High"/>
    <s v="Short Days"/>
    <m/>
    <m/>
    <m/>
    <m/>
    <m/>
    <m/>
  </r>
  <r>
    <s v="VIS201523"/>
    <d v="2024-11-22T00:00:00"/>
    <s v="PAT6093"/>
    <s v="Arjun Sharma"/>
    <s v="Male"/>
    <n v="16"/>
    <s v="Bengaluru"/>
    <s v="Karnataka"/>
    <x v="5"/>
    <s v="Dr. Meena"/>
    <s v="E11"/>
    <s v="Minor Procedure"/>
    <s v="OPD"/>
    <n v="4041.43"/>
    <s v="Cash"/>
    <s v="No"/>
    <m/>
    <m/>
    <s v="Child"/>
    <s v="Low"/>
    <s v="Short Days"/>
    <m/>
    <m/>
    <m/>
    <m/>
    <m/>
    <m/>
  </r>
  <r>
    <s v="VIS202498"/>
    <d v="2025-08-26T00:00:00"/>
    <s v="PAT5606"/>
    <s v="Aditya Mishra"/>
    <s v="Male"/>
    <n v="27.5"/>
    <s v="Delhi"/>
    <s v="West Bengal"/>
    <x v="0"/>
    <s v="Dr. Nikhil"/>
    <s v="Z111"/>
    <s v="Counselling"/>
    <s v="Teleconsultation"/>
    <n v="13021.35"/>
    <s v="Cash"/>
    <s v="No"/>
    <m/>
    <n v="14"/>
    <s v="Adult"/>
    <s v="High"/>
    <s v="Short Days"/>
    <m/>
    <m/>
    <m/>
    <m/>
    <m/>
    <m/>
  </r>
  <r>
    <s v="VIS200264"/>
    <d v="2024-08-10T00:00:00"/>
    <s v="PAT5532"/>
    <s v="Sangeetha Das"/>
    <s v="Female"/>
    <n v="31"/>
    <s v="Trichy"/>
    <s v="Tamil Nadu"/>
    <x v="5"/>
    <s v="Dr. Karthik"/>
    <s v="L40"/>
    <s v="Minor Procedure"/>
    <s v="OPD"/>
    <n v="7402.06"/>
    <s v="Debit Card"/>
    <s v="No"/>
    <m/>
    <n v="30"/>
    <s v="Adult"/>
    <s v="Medium"/>
    <s v="Short Days"/>
    <m/>
    <m/>
    <m/>
    <m/>
    <m/>
    <m/>
  </r>
  <r>
    <s v="VIS200184"/>
    <d v="2024-02-15T00:00:00"/>
    <s v="PAT6183"/>
    <s v="Sangeetha Gupta"/>
    <s v="Female"/>
    <n v="44"/>
    <s v="Hyderabad"/>
    <s v="Telangana"/>
    <x v="2"/>
    <s v="Dr. Ramesh"/>
    <s v="I10"/>
    <s v="Physiotherapy"/>
    <s v="OPD"/>
    <n v="6645.07"/>
    <s v="Credit Card"/>
    <s v="No"/>
    <m/>
    <m/>
    <s v="Middle-Aged"/>
    <s v="Medium"/>
    <s v="Short Days"/>
    <m/>
    <m/>
    <m/>
    <m/>
    <m/>
    <m/>
  </r>
  <r>
    <s v="VIS200406"/>
    <d v="2024-05-21T00:00:00"/>
    <s v="PAT6054"/>
    <s v="Sangeetha Gupta"/>
    <s v="Female"/>
    <n v="66"/>
    <s v="Jaipur"/>
    <s v="Rajasthan"/>
    <x v="1"/>
    <s v="Dr. Anu"/>
    <s v="I10"/>
    <s v="Counselling"/>
    <s v="OPD"/>
    <n v="478.39"/>
    <s v="UPI"/>
    <s v="No"/>
    <m/>
    <n v="30"/>
    <s v="Senior"/>
    <s v="Low"/>
    <s v="Short Days"/>
    <m/>
    <m/>
    <m/>
    <m/>
    <m/>
    <m/>
  </r>
  <r>
    <s v="VIS200911"/>
    <d v="2025-08-13T00:00:00"/>
    <s v="PAT6338"/>
    <s v="Vivaan Kumar"/>
    <s v="Female"/>
    <n v="43"/>
    <s v="Jaipur"/>
    <s v="Rajasthan"/>
    <x v="2"/>
    <s v="Dr. Ramesh"/>
    <s v="J45"/>
    <s v="Minor Procedure"/>
    <s v="Teleconsultation"/>
    <n v="9452.43"/>
    <s v="Debit Card"/>
    <s v="No"/>
    <m/>
    <n v="90"/>
    <s v="Middle-Aged"/>
    <s v="Medium"/>
    <s v="Short Days"/>
    <m/>
    <m/>
    <m/>
    <m/>
    <m/>
    <m/>
  </r>
  <r>
    <s v="VIS201936"/>
    <d v="2025-07-10T00:00:00"/>
    <s v="PAT5531"/>
    <s v="Aishwarya Iyer"/>
    <s v="Male"/>
    <n v="40"/>
    <s v="Kochi"/>
    <s v="Kerala"/>
    <x v="9"/>
    <s v="Dr. Kusum"/>
    <s v="L40"/>
    <s v="Surgery"/>
    <s v="Emergency"/>
    <n v="6275.61"/>
    <s v="Debit Card"/>
    <s v="No"/>
    <m/>
    <n v="14"/>
    <s v="Adult"/>
    <s v="Medium"/>
    <s v="Short Days"/>
    <m/>
    <m/>
    <m/>
    <m/>
    <m/>
    <m/>
  </r>
  <r>
    <s v="VIS201231"/>
    <d v="2025-05-07T00:00:00"/>
    <s v="PAT5364"/>
    <s v="Arjun Khan"/>
    <s v="Male"/>
    <n v="28"/>
    <s v="Bengaluru"/>
    <s v="Karnataka"/>
    <x v="1"/>
    <s v="Dr. Anu"/>
    <s v="H10"/>
    <s v="Physiotherapy"/>
    <s v="OPD"/>
    <n v="825.87"/>
    <s v="Credit Card"/>
    <s v="No"/>
    <m/>
    <n v="90"/>
    <s v="Adult"/>
    <s v="Low"/>
    <s v="Short Days"/>
    <m/>
    <m/>
    <m/>
    <m/>
    <m/>
    <m/>
  </r>
  <r>
    <s v="VIS202664"/>
    <d v="2024-10-16T00:00:00"/>
    <s v="PAT6720"/>
    <s v="Ananya Reddy"/>
    <s v="Male"/>
    <n v="30"/>
    <s v="Pune"/>
    <s v="Maharashtra"/>
    <x v="4"/>
    <s v="Dr. Bhavana"/>
    <s v="N39"/>
    <s v="Medication"/>
    <s v="OPD"/>
    <n v="3001.13"/>
    <s v="UPI"/>
    <s v="No"/>
    <m/>
    <n v="90"/>
    <s v="Adult"/>
    <s v="Low"/>
    <s v="Short Days"/>
    <m/>
    <m/>
    <m/>
    <m/>
    <m/>
    <m/>
  </r>
  <r>
    <s v="VIS201526"/>
    <d v="2024-09-18T00:00:00"/>
    <s v="PAT6030"/>
    <s v="Aishwarya Bose"/>
    <s v="Female"/>
    <n v="47"/>
    <s v="Bengaluru"/>
    <s v="Karnataka"/>
    <x v="6"/>
    <s v="Dr. Priya"/>
    <s v="K21"/>
    <s v="Physiotherapy"/>
    <s v="OPD"/>
    <n v="928.5"/>
    <s v="UPI"/>
    <s v="No"/>
    <m/>
    <m/>
    <s v="Middle-Aged"/>
    <s v="Low"/>
    <s v="Short Days"/>
    <m/>
    <m/>
    <m/>
    <m/>
    <m/>
    <m/>
  </r>
  <r>
    <s v="VIS202872"/>
    <d v="2024-08-30T00:00:00"/>
    <s v="PAT6417"/>
    <s v="Ishaan Khan"/>
    <s v="Male"/>
    <n v="28"/>
    <s v="Bengaluru"/>
    <s v="Karnataka"/>
    <x v="8"/>
    <s v="Dr. Kavitha"/>
    <s v="E11"/>
    <s v="Minor Procedure"/>
    <s v="OPD"/>
    <n v="5126.17"/>
    <s v="Cash"/>
    <s v="No"/>
    <m/>
    <n v="14"/>
    <s v="Adult"/>
    <s v="Medium"/>
    <s v="Short Days"/>
    <m/>
    <m/>
    <m/>
    <m/>
    <m/>
    <m/>
  </r>
  <r>
    <s v="VIS201631"/>
    <d v="2024-07-02T00:00:00"/>
    <s v="PAT6073"/>
    <s v="Anil Khan"/>
    <s v="Female"/>
    <n v="48"/>
    <s v="Trichy"/>
    <s v="Tamil Nadu"/>
    <x v="2"/>
    <s v="Dr. Ramesh"/>
    <s v="J00"/>
    <s v="Observation"/>
    <s v="OPD"/>
    <n v="430.13"/>
    <s v="Cash"/>
    <s v="No"/>
    <m/>
    <m/>
    <s v="Middle-Aged"/>
    <s v="Low"/>
    <s v="Short Days"/>
    <m/>
    <m/>
    <m/>
    <m/>
    <m/>
    <m/>
  </r>
  <r>
    <s v="VIS201632"/>
    <d v="2025-05-07T00:00:00"/>
    <s v="PAT5326"/>
    <s v="Deepa Jose"/>
    <s v="Male"/>
    <n v="11"/>
    <s v="Madurai"/>
    <s v="Tamil Nadu"/>
    <x v="3"/>
    <s v="Dr. Pallavi"/>
    <s v="H10"/>
    <s v="Minor Procedure"/>
    <s v="Emergency"/>
    <n v="6250.22"/>
    <s v="Debit Card"/>
    <s v="No"/>
    <m/>
    <n v="90"/>
    <s v="Child"/>
    <s v="Medium"/>
    <s v="Short Days"/>
    <m/>
    <m/>
    <m/>
    <m/>
    <m/>
    <m/>
  </r>
  <r>
    <s v="VIS201417"/>
    <d v="2024-07-18T00:00:00"/>
    <s v="PAT5907"/>
    <s v="Vishal Kumar"/>
    <s v="Female"/>
    <n v="85"/>
    <s v="Madurai"/>
    <s v="Tamil Nadu"/>
    <x v="6"/>
    <s v="Dr. Priya"/>
    <s v="F41"/>
    <s v="Counselling"/>
    <s v="OPD"/>
    <n v="861.43"/>
    <s v="Insurance"/>
    <s v="Yes"/>
    <m/>
    <n v="7"/>
    <s v="Senior"/>
    <s v="Low"/>
    <s v="Short Days"/>
    <m/>
    <m/>
    <m/>
    <m/>
    <m/>
    <m/>
  </r>
  <r>
    <s v="VIS200494"/>
    <d v="2024-06-11T00:00:00"/>
    <s v="PAT6530"/>
    <s v="Neha Nagar"/>
    <s v="Male"/>
    <n v="52"/>
    <s v="Trichy"/>
    <s v="Tamil Nadu"/>
    <x v="3"/>
    <s v="Dr. Anand"/>
    <s v="K21"/>
    <s v="Minor Surgery"/>
    <s v="IPD"/>
    <n v="12911.65"/>
    <s v="UPI"/>
    <s v="No"/>
    <n v="6"/>
    <n v="30"/>
    <s v="Middle-Aged"/>
    <s v="High"/>
    <s v="Long Days"/>
    <m/>
    <m/>
    <m/>
    <m/>
    <m/>
    <m/>
  </r>
  <r>
    <s v="VIS202715"/>
    <d v="2024-06-16T00:00:00"/>
    <s v="PAT6369"/>
    <s v="Vishal Khan"/>
    <s v="Male"/>
    <n v="70"/>
    <s v="Hyderabad"/>
    <s v="Telangana"/>
    <x v="1"/>
    <s v="Dr. Anu"/>
    <s v="K21"/>
    <s v="Minor Surgery"/>
    <s v="OPD"/>
    <n v="6037.04"/>
    <s v="Insurance"/>
    <s v="Yes"/>
    <m/>
    <n v="7"/>
    <s v="Senior"/>
    <s v="Medium"/>
    <s v="Short Days"/>
    <m/>
    <m/>
    <m/>
    <m/>
    <m/>
    <m/>
  </r>
  <r>
    <s v="VIS202420"/>
    <d v="2025-09-08T00:00:00"/>
    <s v="PAT5346"/>
    <s v="Rohan Mishra"/>
    <s v="Female"/>
    <n v="61"/>
    <s v="Ahmedabad"/>
    <s v="Gujarat"/>
    <x v="9"/>
    <s v="Dr. Kusum"/>
    <s v="J00"/>
    <s v="Observation"/>
    <s v="Teleconsultation"/>
    <n v="8453.27"/>
    <s v="UPI"/>
    <s v="No"/>
    <m/>
    <n v="14"/>
    <s v="Senior"/>
    <s v="Medium"/>
    <s v="Short Days"/>
    <m/>
    <m/>
    <m/>
    <m/>
    <m/>
    <m/>
  </r>
  <r>
    <s v="VIS200008"/>
    <d v="2024-09-19T00:00:00"/>
    <s v="PAT6636"/>
    <s v="Vishal Nagar"/>
    <s v="Male"/>
    <n v="32"/>
    <s v="Pune"/>
    <s v="Maharashtra"/>
    <x v="8"/>
    <s v="Dr. Sneha"/>
    <s v="I10"/>
    <s v="Physiotherapy"/>
    <s v="OPD"/>
    <n v="3841.64"/>
    <s v="Credit Card"/>
    <s v="No"/>
    <m/>
    <n v="7"/>
    <s v="Adult"/>
    <s v="Low"/>
    <s v="Short Days"/>
    <m/>
    <m/>
    <m/>
    <m/>
    <m/>
    <m/>
  </r>
  <r>
    <s v="VIS202992"/>
    <d v="2024-11-01T00:00:00"/>
    <s v="PAT6658"/>
    <s v="Aditya Nagar"/>
    <s v="Female"/>
    <n v="42"/>
    <s v="Hyderabad"/>
    <s v="Telangana"/>
    <x v="0"/>
    <s v="Dr. Shailesh"/>
    <s v="H10"/>
    <s v="Observation"/>
    <s v="OPD"/>
    <n v="3463.31"/>
    <s v="Insurance"/>
    <s v="Yes"/>
    <m/>
    <m/>
    <s v="Middle-Aged"/>
    <s v="Low"/>
    <s v="Short Days"/>
    <m/>
    <m/>
    <m/>
    <m/>
    <m/>
    <m/>
  </r>
  <r>
    <s v="VIS200427"/>
    <d v="2025-06-14T00:00:00"/>
    <s v="PAT6398"/>
    <s v="Kavya Sharma"/>
    <s v="Male"/>
    <n v="30"/>
    <s v="Ahmedabad"/>
    <s v="Gujarat"/>
    <x v="6"/>
    <s v="Dr. Priya"/>
    <s v="J00"/>
    <s v="Minor Procedure"/>
    <s v="OPD"/>
    <n v="2484.9899999999998"/>
    <s v="Insurance"/>
    <s v="Yes"/>
    <m/>
    <n v="90"/>
    <s v="Adult"/>
    <s v="Low"/>
    <s v="Short Days"/>
    <m/>
    <m/>
    <m/>
    <m/>
    <m/>
    <m/>
  </r>
  <r>
    <s v="VIS201393"/>
    <d v="2025-02-11T00:00:00"/>
    <s v="PAT5621"/>
    <s v="Aditya Bose"/>
    <s v="Female"/>
    <n v="27"/>
    <s v="Lucknow"/>
    <s v="Uttar Pradesh"/>
    <x v="3"/>
    <s v="Dr. Pallavi"/>
    <s v="K21"/>
    <s v="Surgery"/>
    <s v="OPD"/>
    <n v="6858.41"/>
    <s v="Debit Card"/>
    <s v="No"/>
    <m/>
    <n v="14"/>
    <s v="Adult"/>
    <s v="Medium"/>
    <s v="Short Days"/>
    <m/>
    <m/>
    <m/>
    <m/>
    <m/>
    <m/>
  </r>
  <r>
    <s v="VIS200402"/>
    <d v="2024-01-25T00:00:00"/>
    <s v="PAT6708"/>
    <s v="Vivaan Patel"/>
    <s v="Male"/>
    <n v="31"/>
    <s v="Madurai"/>
    <s v="Tamil Nadu"/>
    <x v="7"/>
    <s v="Dr. Leela"/>
    <s v="N39"/>
    <s v="Counselling"/>
    <s v="OPD"/>
    <n v="6875.01"/>
    <s v="Insurance"/>
    <s v="Yes"/>
    <m/>
    <n v="7"/>
    <s v="Adult"/>
    <s v="Medium"/>
    <s v="Short Days"/>
    <m/>
    <m/>
    <m/>
    <m/>
    <m/>
    <m/>
  </r>
  <r>
    <s v="VIS201238"/>
    <d v="2024-02-19T00:00:00"/>
    <s v="PAT6695"/>
    <s v="Shruti Khan"/>
    <s v="Male"/>
    <n v="27"/>
    <s v="Delhi"/>
    <s v="Delhi"/>
    <x v="0"/>
    <s v="Dr. Nikhil"/>
    <s v="H10"/>
    <s v="Counselling"/>
    <s v="Emergency"/>
    <n v="23870.89"/>
    <s v="Insurance"/>
    <s v="Yes"/>
    <m/>
    <n v="14"/>
    <s v="Adult"/>
    <s v="High"/>
    <s v="Short Days"/>
    <m/>
    <m/>
    <m/>
    <m/>
    <m/>
    <m/>
  </r>
  <r>
    <s v="VIS202571"/>
    <d v="2024-10-20T00:00:00"/>
    <s v="PAT6977"/>
    <s v="Karthik Iyer"/>
    <s v="Male"/>
    <n v="40"/>
    <s v="Jaipur"/>
    <s v="Rajasthan"/>
    <x v="9"/>
    <s v="Dr. Arvind"/>
    <s v="J00"/>
    <s v="Minor Surgery"/>
    <s v="OPD"/>
    <n v="1920.45"/>
    <s v="Insurance"/>
    <s v="Yes"/>
    <m/>
    <n v="14"/>
    <s v="Adult"/>
    <s v="Low"/>
    <s v="Short Days"/>
    <m/>
    <m/>
    <m/>
    <m/>
    <m/>
    <m/>
  </r>
  <r>
    <s v="VIS202426"/>
    <d v="2024-01-11T00:00:00"/>
    <s v="PAT6161"/>
    <s v="Anil Singh"/>
    <s v="Male"/>
    <n v="18"/>
    <s v="Mumbai"/>
    <s v="Maharashtra"/>
    <x v="3"/>
    <s v="Dr. Pallavi"/>
    <s v="L40"/>
    <s v="Minor Surgery"/>
    <s v="OPD"/>
    <n v="2019.02"/>
    <s v="UPI"/>
    <s v="No"/>
    <m/>
    <n v="7"/>
    <s v="Adult"/>
    <s v="Low"/>
    <s v="Short Days"/>
    <m/>
    <m/>
    <m/>
    <m/>
    <m/>
    <m/>
  </r>
  <r>
    <s v="VIS202810"/>
    <d v="2025-02-15T00:00:00"/>
    <s v="PAT5600"/>
    <s v="Vivaan Kumar"/>
    <s v="Male"/>
    <n v="28"/>
    <s v="Jaipur"/>
    <s v="Rajasthan"/>
    <x v="8"/>
    <s v="Dr. Kavitha"/>
    <s v="N39"/>
    <s v="Minor Surgery"/>
    <s v="OPD"/>
    <n v="402.8"/>
    <s v="Cash"/>
    <s v="No"/>
    <m/>
    <n v="90"/>
    <s v="Adult"/>
    <s v="Low"/>
    <s v="Short Days"/>
    <m/>
    <m/>
    <m/>
    <m/>
    <m/>
    <m/>
  </r>
  <r>
    <s v="VIS202258"/>
    <d v="2024-03-09T00:00:00"/>
    <s v="PAT5902"/>
    <s v="Vishal Bose"/>
    <s v="Female"/>
    <n v="22"/>
    <s v="Chennai"/>
    <s v="Tamil Nadu"/>
    <x v="0"/>
    <s v="Dr. Shailesh"/>
    <s v="E11"/>
    <s v="Medication"/>
    <s v="OPD"/>
    <n v="3283.06"/>
    <s v="Credit Card"/>
    <s v="No"/>
    <m/>
    <m/>
    <s v="Adult"/>
    <s v="Low"/>
    <s v="Short Days"/>
    <m/>
    <m/>
    <m/>
    <m/>
    <m/>
    <m/>
  </r>
  <r>
    <s v="VIS201366"/>
    <d v="2024-02-13T00:00:00"/>
    <s v="PAT6591"/>
    <s v="Sangeetha Bose"/>
    <s v="Female"/>
    <n v="58"/>
    <s v="Coimbatore"/>
    <s v="Tamil Nadu"/>
    <x v="3"/>
    <s v="Dr. Pallavi"/>
    <s v="J45"/>
    <s v="Prescription Refill"/>
    <s v="Teleconsultation"/>
    <n v="8192.24"/>
    <s v="Debit Card"/>
    <s v="No"/>
    <m/>
    <n v="30"/>
    <s v="Middle-Aged"/>
    <s v="Medium"/>
    <s v="Short Days"/>
    <m/>
    <m/>
    <m/>
    <m/>
    <m/>
    <m/>
  </r>
  <r>
    <s v="VIS202312"/>
    <d v="2024-02-19T00:00:00"/>
    <s v="PAT5268"/>
    <s v="Shruti Sharma"/>
    <s v="Female"/>
    <n v="51"/>
    <s v="Pune"/>
    <s v="Maharashtra"/>
    <x v="9"/>
    <s v="Dr. Kusum"/>
    <s v="H10"/>
    <s v="Prescription Refill"/>
    <s v="OPD"/>
    <n v="8107.97"/>
    <s v="UPI"/>
    <s v="No"/>
    <m/>
    <n v="90"/>
    <s v="Middle-Aged"/>
    <s v="Medium"/>
    <s v="Short Days"/>
    <m/>
    <m/>
    <m/>
    <m/>
    <m/>
    <m/>
  </r>
  <r>
    <s v="VIS201061"/>
    <d v="2024-03-16T00:00:00"/>
    <s v="PAT6635"/>
    <s v="Ishaan Jose"/>
    <s v="Male"/>
    <n v="47"/>
    <s v="Madurai"/>
    <s v="Tamil Nadu"/>
    <x v="9"/>
    <s v="Dr. Kusum"/>
    <s v="J00"/>
    <s v="Prescription Refill"/>
    <s v="OPD"/>
    <n v="6309.88"/>
    <s v="Debit Card"/>
    <s v="No"/>
    <m/>
    <m/>
    <s v="Middle-Aged"/>
    <s v="Medium"/>
    <s v="Short Days"/>
    <m/>
    <m/>
    <m/>
    <m/>
    <m/>
    <m/>
  </r>
  <r>
    <s v="VIS201354"/>
    <d v="2025-05-25T00:00:00"/>
    <s v="PAT6786"/>
    <s v="Aditya Iyer"/>
    <s v="Female"/>
    <n v="61"/>
    <s v="Kolkata"/>
    <s v="West Bengal"/>
    <x v="0"/>
    <s v="Dr. Shailesh"/>
    <s v="K21"/>
    <s v="Physiotherapy"/>
    <s v="IPD"/>
    <n v="13821.08"/>
    <s v="Credit Card"/>
    <s v="No"/>
    <n v="4"/>
    <m/>
    <s v="Senior"/>
    <s v="High"/>
    <s v="Short Days"/>
    <m/>
    <m/>
    <m/>
    <m/>
    <m/>
    <m/>
  </r>
  <r>
    <s v="VIS202525"/>
    <d v="2025-04-07T00:00:00"/>
    <s v="PAT6244"/>
    <s v="Shruti Reddy"/>
    <s v="Female"/>
    <n v="55"/>
    <s v="Delhi"/>
    <s v="Delhi"/>
    <x v="2"/>
    <s v="Dr. Ramesh"/>
    <s v="I10"/>
    <s v="Prescription Refill"/>
    <s v="OPD"/>
    <n v="1700.3"/>
    <s v="Credit Card"/>
    <s v="No"/>
    <m/>
    <n v="90"/>
    <s v="Middle-Aged"/>
    <s v="Low"/>
    <s v="Short Days"/>
    <m/>
    <m/>
    <m/>
    <m/>
    <m/>
    <m/>
  </r>
  <r>
    <s v="VIS201233"/>
    <d v="2025-02-06T00:00:00"/>
    <s v="PAT6664"/>
    <s v="Shruti Kumar"/>
    <s v="Female"/>
    <n v="27"/>
    <s v="Hyderabad"/>
    <s v="Telangana"/>
    <x v="2"/>
    <s v="Dr. Ramesh"/>
    <s v="H10"/>
    <s v="Physiotherapy"/>
    <s v="Emergency"/>
    <n v="10662.37"/>
    <s v="UPI"/>
    <s v="No"/>
    <m/>
    <n v="90"/>
    <s v="Adult"/>
    <s v="High"/>
    <s v="Short Days"/>
    <m/>
    <m/>
    <m/>
    <m/>
    <m/>
    <m/>
  </r>
  <r>
    <s v="VIS200004"/>
    <d v="2025-07-05T00:00:00"/>
    <s v="PAT6307"/>
    <s v="Anil Gupta"/>
    <s v="Male"/>
    <n v="0"/>
    <s v="Trichy"/>
    <s v="Tamil Nadu"/>
    <x v="8"/>
    <s v="Dr. Kavitha"/>
    <s v="H10"/>
    <s v="Medication"/>
    <s v="Teleconsultation"/>
    <n v="7101.71"/>
    <s v="UPI"/>
    <s v="No"/>
    <m/>
    <n v="90"/>
    <s v="Child"/>
    <s v="Medium"/>
    <s v="Short Days"/>
    <m/>
    <m/>
    <m/>
    <m/>
    <m/>
    <m/>
  </r>
  <r>
    <s v="VIS201293"/>
    <d v="2024-09-30T00:00:00"/>
    <s v="PAT5987"/>
    <s v="Vivaan Kumar"/>
    <s v="Male"/>
    <n v="24"/>
    <s v="Trichy"/>
    <s v="Tamil Nadu"/>
    <x v="6"/>
    <s v="Dr. Lalitha"/>
    <s v="F41"/>
    <s v="Minor Procedure"/>
    <s v="OPD"/>
    <n v="7303.43"/>
    <s v="Debit Card"/>
    <s v="No"/>
    <m/>
    <m/>
    <s v="Adult"/>
    <s v="Medium"/>
    <s v="Short Days"/>
    <m/>
    <m/>
    <m/>
    <m/>
    <m/>
    <m/>
  </r>
  <r>
    <s v="VIS200682"/>
    <d v="2024-04-01T00:00:00"/>
    <s v="PAT5708"/>
    <s v="Ananya Iyer"/>
    <s v="Male"/>
    <n v="53"/>
    <s v="Kolkata"/>
    <s v="West Bengal"/>
    <x v="4"/>
    <s v="Dr. Bhavana"/>
    <s v="I10"/>
    <s v="Physiotherapy"/>
    <s v="OPD"/>
    <n v="6281.34"/>
    <s v="Insurance"/>
    <s v="Yes"/>
    <m/>
    <m/>
    <s v="Middle-Aged"/>
    <s v="Medium"/>
    <s v="Short Days"/>
    <m/>
    <m/>
    <m/>
    <m/>
    <m/>
    <m/>
  </r>
  <r>
    <s v="VIS201937"/>
    <d v="2024-03-12T00:00:00"/>
    <s v="PAT6198"/>
    <s v="Aditya Sharma"/>
    <s v="Male"/>
    <n v="29"/>
    <s v="Kolkata"/>
    <s v="West Bengal"/>
    <x v="7"/>
    <s v="Dr. Surya"/>
    <s v="F41"/>
    <s v="Medication"/>
    <s v="OPD"/>
    <n v="9140.4500000000007"/>
    <s v="Insurance"/>
    <s v="Yes"/>
    <m/>
    <n v="90"/>
    <s v="Adult"/>
    <s v="Medium"/>
    <s v="Short Days"/>
    <m/>
    <m/>
    <m/>
    <m/>
    <m/>
    <m/>
  </r>
  <r>
    <s v="VIS201024"/>
    <d v="2024-04-12T00:00:00"/>
    <s v="PAT5173"/>
    <s v="Deepa Iyer"/>
    <s v="Male"/>
    <n v="43"/>
    <s v="Pune"/>
    <s v="Maharashtra"/>
    <x v="7"/>
    <s v="Dr. Surya"/>
    <s v="N39"/>
    <s v="Observation"/>
    <s v="Teleconsultation"/>
    <n v="6255.06"/>
    <s v="Insurance"/>
    <s v="Yes"/>
    <m/>
    <m/>
    <s v="Middle-Aged"/>
    <s v="Medium"/>
    <s v="Short Days"/>
    <m/>
    <m/>
    <m/>
    <m/>
    <m/>
    <m/>
  </r>
  <r>
    <s v="VIS200014"/>
    <d v="2025-01-12T00:00:00"/>
    <s v="PAT5460"/>
    <s v="Shruti Patel"/>
    <s v="Male"/>
    <n v="8"/>
    <s v="Kolkata"/>
    <s v="West Bengal"/>
    <x v="7"/>
    <s v="Dr. Leela"/>
    <s v="M54"/>
    <s v="Observation"/>
    <s v="OPD"/>
    <n v="2828.69"/>
    <s v="Cash"/>
    <s v="No"/>
    <m/>
    <m/>
    <s v="Child"/>
    <s v="Low"/>
    <s v="Short Days"/>
    <m/>
    <m/>
    <m/>
    <m/>
    <m/>
    <m/>
  </r>
  <r>
    <s v="VIS202184"/>
    <d v="2024-08-08T00:00:00"/>
    <s v="PAT6674"/>
    <s v="Anil Khan"/>
    <s v="Male"/>
    <n v="74"/>
    <s v="Ahmedabad"/>
    <s v="Gujarat"/>
    <x v="1"/>
    <s v="Dr. Suri"/>
    <s v="F41"/>
    <s v="Counselling"/>
    <s v="Teleconsultation"/>
    <n v="5782.43"/>
    <s v="UPI"/>
    <s v="No"/>
    <m/>
    <n v="90"/>
    <s v="Senior"/>
    <s v="Medium"/>
    <s v="Short Days"/>
    <m/>
    <m/>
    <m/>
    <m/>
    <m/>
    <m/>
  </r>
  <r>
    <s v="VIS201362"/>
    <d v="2024-02-16T00:00:00"/>
    <s v="PAT6110"/>
    <s v="Ishaan Iyer"/>
    <s v="Female"/>
    <n v="55"/>
    <s v="Bengaluru"/>
    <s v="Karnataka"/>
    <x v="6"/>
    <s v="Dr. Lalitha"/>
    <s v="F41"/>
    <s v="Minor Procedure"/>
    <s v="Teleconsultation"/>
    <n v="6263.31"/>
    <s v="Cash"/>
    <s v="No"/>
    <m/>
    <m/>
    <s v="Middle-Aged"/>
    <s v="Medium"/>
    <s v="Short Days"/>
    <m/>
    <m/>
    <m/>
    <m/>
    <m/>
    <m/>
  </r>
  <r>
    <s v="VIS200365"/>
    <d v="2024-08-15T00:00:00"/>
    <s v="PAT6019"/>
    <s v="Anil Nagar"/>
    <s v="Male"/>
    <n v="27"/>
    <s v="Trichy"/>
    <s v="Tamil Nadu"/>
    <x v="7"/>
    <s v="Dr. Surya"/>
    <s v="J00"/>
    <s v="Counselling"/>
    <s v="OPD"/>
    <n v="7072.76"/>
    <s v="Cash"/>
    <s v="No"/>
    <m/>
    <n v="30"/>
    <s v="Adult"/>
    <s v="Medium"/>
    <s v="Short Days"/>
    <m/>
    <m/>
    <m/>
    <m/>
    <m/>
    <m/>
  </r>
  <r>
    <s v="VIS202004"/>
    <d v="2024-04-25T00:00:00"/>
    <s v="PAT5390"/>
    <s v="Vivaan Jose"/>
    <s v="Male"/>
    <n v="31"/>
    <s v="Mumbai"/>
    <s v="Maharashtra"/>
    <x v="4"/>
    <s v="Dr. Varun"/>
    <s v="E11"/>
    <s v="Observation"/>
    <s v="OPD"/>
    <n v="2010.73"/>
    <s v="UPI"/>
    <s v="No"/>
    <m/>
    <n v="90"/>
    <s v="Adult"/>
    <s v="Low"/>
    <s v="Short Days"/>
    <m/>
    <m/>
    <m/>
    <m/>
    <m/>
    <m/>
  </r>
  <r>
    <s v="VIS201982"/>
    <d v="2025-07-22T00:00:00"/>
    <s v="PAT6883"/>
    <s v="Kavya Iyer"/>
    <s v="Male"/>
    <n v="12"/>
    <s v="Trichy"/>
    <s v="Tamil Nadu"/>
    <x v="1"/>
    <s v="Dr. Suri"/>
    <s v="E11"/>
    <s v="Observation"/>
    <s v="OPD"/>
    <n v="3698.22"/>
    <s v="Insurance"/>
    <s v="Yes"/>
    <m/>
    <n v="7"/>
    <s v="Child"/>
    <s v="Low"/>
    <s v="Short Days"/>
    <m/>
    <m/>
    <m/>
    <m/>
    <m/>
    <m/>
  </r>
  <r>
    <s v="VIS200547"/>
    <d v="2025-07-21T00:00:00"/>
    <s v="PAT6430"/>
    <s v="Priya Kumar"/>
    <s v="Male"/>
    <n v="8"/>
    <s v="Jaipur"/>
    <s v="Rajasthan"/>
    <x v="6"/>
    <s v="Dr. Lalitha"/>
    <s v="J00"/>
    <s v="Surgery"/>
    <s v="OPD"/>
    <n v="4960.6899999999996"/>
    <s v="Insurance"/>
    <s v="Yes"/>
    <m/>
    <n v="7"/>
    <s v="Child"/>
    <s v="Low"/>
    <s v="Short Days"/>
    <m/>
    <m/>
    <m/>
    <m/>
    <m/>
    <m/>
  </r>
  <r>
    <s v="VIS202990"/>
    <d v="2024-08-22T00:00:00"/>
    <s v="PAT6139"/>
    <s v="Karthik Bose"/>
    <s v="Female"/>
    <n v="17"/>
    <s v="Delhi"/>
    <s v="Delhi"/>
    <x v="2"/>
    <s v="Dr. Manoj"/>
    <s v="M54"/>
    <s v="Observation"/>
    <s v="Teleconsultation"/>
    <n v="7521.57"/>
    <s v="Net Banking"/>
    <s v="No"/>
    <m/>
    <n v="7"/>
    <s v="Child"/>
    <s v="Medium"/>
    <s v="Short Days"/>
    <m/>
    <m/>
    <m/>
    <m/>
    <m/>
    <m/>
  </r>
  <r>
    <s v="VIS201427"/>
    <d v="2024-10-11T00:00:00"/>
    <s v="PAT6127"/>
    <s v="Ishaan Nair"/>
    <s v="Female"/>
    <n v="23"/>
    <s v="Mumbai"/>
    <s v="Maharashtra"/>
    <x v="4"/>
    <s v="Dr. Bhavana"/>
    <s v="N39"/>
    <s v="Minor Procedure"/>
    <s v="Teleconsultation"/>
    <n v="13080.8"/>
    <s v="Cash"/>
    <s v="No"/>
    <m/>
    <n v="7"/>
    <s v="Adult"/>
    <s v="High"/>
    <s v="Short Days"/>
    <m/>
    <m/>
    <m/>
    <m/>
    <m/>
    <m/>
  </r>
  <r>
    <s v="VIS201666"/>
    <d v="2024-07-10T00:00:00"/>
    <s v="PAT6133"/>
    <s v="Deepa Patel"/>
    <s v="Female"/>
    <n v="45"/>
    <s v="Hyderabad"/>
    <s v="Telangana"/>
    <x v="8"/>
    <s v="Dr. Kavitha"/>
    <s v="F41"/>
    <s v="Minor Surgery"/>
    <s v="OPD"/>
    <n v="3508.93"/>
    <s v="Insurance"/>
    <s v="Yes"/>
    <m/>
    <m/>
    <s v="Middle-Aged"/>
    <s v="Low"/>
    <s v="Short Days"/>
    <m/>
    <m/>
    <m/>
    <m/>
    <m/>
    <m/>
  </r>
  <r>
    <s v="VIS201971"/>
    <d v="2024-05-21T00:00:00"/>
    <s v="PAT6255"/>
    <s v="Aishwarya Das"/>
    <s v="Male"/>
    <n v="74"/>
    <s v="Kochi"/>
    <s v="Kerala"/>
    <x v="6"/>
    <s v="Dr. Lalitha"/>
    <s v="E11"/>
    <s v="Medication"/>
    <s v="OPD"/>
    <n v="507.96"/>
    <s v="Credit Card"/>
    <s v="No"/>
    <m/>
    <n v="7"/>
    <s v="Senior"/>
    <s v="Low"/>
    <s v="Short Days"/>
    <m/>
    <m/>
    <m/>
    <m/>
    <m/>
    <m/>
  </r>
  <r>
    <s v="VIS200519"/>
    <d v="2024-01-16T00:00:00"/>
    <s v="PAT6989"/>
    <s v="Ishaan Jose"/>
    <s v="Male"/>
    <n v="44"/>
    <s v="Delhi"/>
    <s v="Delhi"/>
    <x v="5"/>
    <s v="Dr. Karthik"/>
    <s v="E11"/>
    <s v="Physiotherapy"/>
    <s v="OPD"/>
    <n v="741.81"/>
    <s v="Insurance"/>
    <s v="Yes"/>
    <m/>
    <n v="30"/>
    <s v="Middle-Aged"/>
    <s v="Low"/>
    <s v="Short Days"/>
    <m/>
    <m/>
    <m/>
    <m/>
    <m/>
    <m/>
  </r>
  <r>
    <s v="VIS200883"/>
    <d v="2024-12-14T00:00:00"/>
    <s v="PAT5515"/>
    <s v="Arjun Singh"/>
    <s v="Female"/>
    <n v="46"/>
    <s v="Hyderabad"/>
    <s v="Telangana"/>
    <x v="0"/>
    <s v="Dr. Shailesh"/>
    <s v="Z111"/>
    <s v="Minor Surgery"/>
    <s v="OPD"/>
    <n v="7710.1"/>
    <s v="Insurance"/>
    <s v="Yes"/>
    <m/>
    <n v="90"/>
    <s v="Middle-Aged"/>
    <s v="Medium"/>
    <s v="Short Days"/>
    <m/>
    <m/>
    <m/>
    <m/>
    <m/>
    <m/>
  </r>
  <r>
    <s v="VIS200161"/>
    <d v="2024-06-17T00:00:00"/>
    <s v="PAT5861"/>
    <s v="Neha Mishra"/>
    <s v="Female"/>
    <n v="43"/>
    <s v="Kochi"/>
    <s v="Kerala"/>
    <x v="3"/>
    <s v="Dr. Pallavi"/>
    <s v="H10"/>
    <s v="Observation"/>
    <s v="Teleconsultation"/>
    <n v="7601.46"/>
    <s v="Insurance"/>
    <s v="Yes"/>
    <m/>
    <m/>
    <s v="Middle-Aged"/>
    <s v="Medium"/>
    <s v="Short Days"/>
    <m/>
    <m/>
    <m/>
    <m/>
    <m/>
    <m/>
  </r>
  <r>
    <s v="VIS200099"/>
    <d v="2024-08-18T00:00:00"/>
    <s v="PAT5732"/>
    <s v="Rahul Jose"/>
    <s v="Female"/>
    <n v="30"/>
    <s v="Trichy"/>
    <s v="Tamil Nadu"/>
    <x v="5"/>
    <s v="Dr. Ravi"/>
    <s v="N39"/>
    <s v="Observation"/>
    <s v="Teleconsultation"/>
    <n v="6322.95"/>
    <s v="Net Banking"/>
    <s v="No"/>
    <m/>
    <n v="90"/>
    <s v="Adult"/>
    <s v="Medium"/>
    <s v="Short Days"/>
    <m/>
    <m/>
    <m/>
    <m/>
    <m/>
    <m/>
  </r>
  <r>
    <s v="VIS200112"/>
    <d v="2024-05-10T00:00:00"/>
    <s v="PAT5284"/>
    <s v="Deepa Singh"/>
    <s v="Male"/>
    <n v="47"/>
    <s v="Trichy"/>
    <s v="Tamil Nadu"/>
    <x v="4"/>
    <s v="Dr. Varun"/>
    <s v="J45"/>
    <s v="Minor Procedure"/>
    <s v="Teleconsultation"/>
    <n v="7259.45"/>
    <s v="Cash"/>
    <s v="No"/>
    <m/>
    <m/>
    <s v="Middle-Aged"/>
    <s v="Medium"/>
    <s v="Short Days"/>
    <m/>
    <m/>
    <m/>
    <m/>
    <m/>
    <m/>
  </r>
  <r>
    <s v="VIS202089"/>
    <d v="2025-03-01T00:00:00"/>
    <s v="PAT6345"/>
    <s v="Aditya Gupta"/>
    <s v="Male"/>
    <n v="53"/>
    <s v="Chennai"/>
    <s v="Tamil Nadu"/>
    <x v="6"/>
    <s v="Dr. Priya"/>
    <s v="M54"/>
    <s v="Prescription Refill"/>
    <s v="Teleconsultation"/>
    <n v="10643.2"/>
    <s v="Cash"/>
    <s v="No"/>
    <m/>
    <n v="7"/>
    <s v="Middle-Aged"/>
    <s v="High"/>
    <s v="Short Days"/>
    <m/>
    <m/>
    <m/>
    <m/>
    <m/>
    <m/>
  </r>
  <r>
    <s v="VIS201075"/>
    <d v="2025-04-16T00:00:00"/>
    <s v="PAT6026"/>
    <s v="Aarav Mishra"/>
    <s v="Male"/>
    <n v="56"/>
    <s v="Madurai"/>
    <s v="Tamil Nadu"/>
    <x v="5"/>
    <s v="Dr. Karthik"/>
    <s v="L40"/>
    <s v="Observation"/>
    <s v="Teleconsultation"/>
    <n v="6115.4"/>
    <s v="Credit Card"/>
    <s v="No"/>
    <m/>
    <n v="90"/>
    <s v="Middle-Aged"/>
    <s v="Medium"/>
    <s v="Short Days"/>
    <m/>
    <m/>
    <m/>
    <m/>
    <m/>
    <m/>
  </r>
  <r>
    <s v="VIS201386"/>
    <d v="2025-08-14T00:00:00"/>
    <s v="PAT5378"/>
    <s v="Siddharth Patel"/>
    <s v="Male"/>
    <n v="64"/>
    <s v="Trichy"/>
    <s v="Tamil Nadu"/>
    <x v="2"/>
    <s v="Dr. Manoj"/>
    <s v="N39"/>
    <s v="Surgery"/>
    <s v="OPD"/>
    <n v="1584.82"/>
    <s v="Net Banking"/>
    <s v="No"/>
    <m/>
    <n v="7"/>
    <s v="Senior"/>
    <s v="Low"/>
    <s v="Short Days"/>
    <m/>
    <m/>
    <m/>
    <m/>
    <m/>
    <m/>
  </r>
  <r>
    <s v="VIS202382"/>
    <d v="2024-05-23T00:00:00"/>
    <s v="PAT5764"/>
    <s v="Siddharth Kumar"/>
    <s v="Male"/>
    <n v="65"/>
    <s v="Coimbatore"/>
    <s v="Tamil Nadu"/>
    <x v="4"/>
    <s v="Dr. Varun"/>
    <s v="J00"/>
    <s v="Minor Surgery"/>
    <s v="Teleconsultation"/>
    <n v="10511.61"/>
    <s v="UPI"/>
    <s v="No"/>
    <m/>
    <n v="7"/>
    <s v="Senior"/>
    <s v="High"/>
    <s v="Short Days"/>
    <m/>
    <m/>
    <m/>
    <m/>
    <m/>
    <m/>
  </r>
  <r>
    <s v="VIS201103"/>
    <d v="2025-10-14T00:00:00"/>
    <s v="PAT6344"/>
    <s v="Manisha Nagar"/>
    <s v="Male"/>
    <n v="67"/>
    <s v="Noida"/>
    <s v="Uttar Pradesh"/>
    <x v="3"/>
    <s v="Dr. Anand"/>
    <s v="J00"/>
    <s v="Surgery"/>
    <s v="OPD"/>
    <n v="1657.89"/>
    <s v="UPI"/>
    <s v="No"/>
    <m/>
    <n v="7"/>
    <s v="Senior"/>
    <s v="Low"/>
    <s v="Short Days"/>
    <m/>
    <m/>
    <m/>
    <m/>
    <m/>
    <m/>
  </r>
  <r>
    <s v="VIS200003"/>
    <d v="2024-12-17T00:00:00"/>
    <s v="PAT6068"/>
    <s v="Deepa Reddy"/>
    <s v="Female"/>
    <n v="69"/>
    <s v="Trichy"/>
    <s v="Tamil Nadu"/>
    <x v="7"/>
    <s v="Dr. Surya"/>
    <s v="J00"/>
    <s v="Minor Surgery"/>
    <s v="Teleconsultation"/>
    <n v="10773.21"/>
    <s v="UPI"/>
    <s v="No"/>
    <m/>
    <m/>
    <s v="Senior"/>
    <s v="High"/>
    <s v="Short Days"/>
    <m/>
    <m/>
    <m/>
    <m/>
    <m/>
    <m/>
  </r>
  <r>
    <s v="VIS200690"/>
    <d v="2024-03-19T00:00:00"/>
    <s v="PAT6653"/>
    <s v="Shruti Mishra"/>
    <s v="Male"/>
    <n v="40"/>
    <s v="Bengaluru"/>
    <s v="Karnataka"/>
    <x v="9"/>
    <s v="Dr. Arvind"/>
    <s v="E11"/>
    <s v="Medication"/>
    <s v="IPD"/>
    <n v="5727.17"/>
    <s v="Insurance"/>
    <s v="Yes"/>
    <n v="4"/>
    <n v="30"/>
    <s v="Adult"/>
    <s v="Medium"/>
    <s v="Short Days"/>
    <m/>
    <m/>
    <m/>
    <m/>
    <m/>
    <m/>
  </r>
  <r>
    <s v="VIS202200"/>
    <d v="2024-01-30T00:00:00"/>
    <s v="PAT6555"/>
    <s v="Shruti Bose"/>
    <s v="Male"/>
    <n v="39"/>
    <s v="Pune"/>
    <s v="Maharashtra"/>
    <x v="1"/>
    <s v="Dr. Anu"/>
    <s v="K21"/>
    <s v="Minor Surgery"/>
    <s v="OPD"/>
    <n v="818.51"/>
    <s v="Insurance"/>
    <s v="Yes"/>
    <m/>
    <m/>
    <s v="Adult"/>
    <s v="Low"/>
    <s v="Short Days"/>
    <m/>
    <m/>
    <m/>
    <m/>
    <m/>
    <m/>
  </r>
  <r>
    <s v="VIS200146"/>
    <d v="2024-11-18T00:00:00"/>
    <s v="PAT5486"/>
    <s v="Kavya Bose"/>
    <s v="Male"/>
    <n v="42"/>
    <s v="Mumbai"/>
    <s v="Maharashtra"/>
    <x v="7"/>
    <s v="Dr. Surya"/>
    <s v="F41"/>
    <s v="Minor Surgery"/>
    <s v="Teleconsultation"/>
    <n v="12411.34"/>
    <s v="UPI"/>
    <s v="No"/>
    <m/>
    <n v="14"/>
    <s v="Middle-Aged"/>
    <s v="High"/>
    <s v="Short Days"/>
    <m/>
    <m/>
    <m/>
    <m/>
    <m/>
    <m/>
  </r>
  <r>
    <s v="VIS201775"/>
    <d v="2025-02-14T00:00:00"/>
    <s v="PAT6218"/>
    <s v="Ananya Bose"/>
    <s v="Male"/>
    <n v="65"/>
    <s v="Lucknow"/>
    <s v="Uttar Pradesh"/>
    <x v="1"/>
    <s v="Dr. Anu"/>
    <s v="K21"/>
    <s v="Surgery"/>
    <s v="OPD"/>
    <n v="4241.83"/>
    <s v="Cash"/>
    <s v="No"/>
    <m/>
    <n v="14"/>
    <s v="Senior"/>
    <s v="Low"/>
    <s v="Short Days"/>
    <m/>
    <m/>
    <m/>
    <m/>
    <m/>
    <m/>
  </r>
  <r>
    <s v="VIS201114"/>
    <d v="2024-08-05T00:00:00"/>
    <s v="PAT5997"/>
    <s v="Rohan Sharma"/>
    <s v="Male"/>
    <n v="34"/>
    <s v="Bengaluru"/>
    <s v="Karnataka"/>
    <x v="7"/>
    <s v="Dr. Surya"/>
    <s v="M54"/>
    <s v="Physiotherapy"/>
    <s v="OPD"/>
    <n v="4703.1899999999996"/>
    <s v="Insurance"/>
    <s v="Yes"/>
    <m/>
    <n v="14"/>
    <s v="Adult"/>
    <s v="Low"/>
    <s v="Short Days"/>
    <m/>
    <m/>
    <m/>
    <m/>
    <m/>
    <m/>
  </r>
  <r>
    <s v="VIS201609"/>
    <d v="2025-05-30T00:00:00"/>
    <s v="PAT5710"/>
    <s v="Karthik Reddy"/>
    <s v="Male"/>
    <n v="66"/>
    <s v="Delhi"/>
    <s v="Delhi"/>
    <x v="0"/>
    <s v="Dr. Nikhil"/>
    <s v="N39"/>
    <s v="Physiotherapy"/>
    <s v="Emergency"/>
    <n v="14271.61"/>
    <s v="UPI"/>
    <s v="No"/>
    <m/>
    <m/>
    <s v="Senior"/>
    <s v="High"/>
    <s v="Short Days"/>
    <m/>
    <m/>
    <m/>
    <m/>
    <m/>
    <m/>
  </r>
  <r>
    <s v="VIS202768"/>
    <d v="2024-03-31T00:00:00"/>
    <s v="PAT6513"/>
    <s v="Vivaan Das"/>
    <s v="Male"/>
    <n v="52"/>
    <s v="Bengaluru"/>
    <s v="Karnataka"/>
    <x v="1"/>
    <s v="Dr. Anu"/>
    <s v="I10"/>
    <s v="Counselling"/>
    <s v="Teleconsultation"/>
    <n v="5361.72"/>
    <s v="UPI"/>
    <s v="No"/>
    <m/>
    <n v="30"/>
    <s v="Middle-Aged"/>
    <s v="Medium"/>
    <s v="Short Days"/>
    <m/>
    <m/>
    <m/>
    <m/>
    <m/>
    <m/>
  </r>
  <r>
    <s v="VIS201559"/>
    <d v="2024-09-03T00:00:00"/>
    <s v="PAT6722"/>
    <s v="Vivaan Gupta"/>
    <s v="Female"/>
    <n v="42"/>
    <s v="Hyderabad"/>
    <s v="Telangana"/>
    <x v="9"/>
    <s v="Dr. Kusum"/>
    <s v="E11"/>
    <s v="Minor Surgery"/>
    <s v="OPD"/>
    <n v="2390.71"/>
    <s v="Credit Card"/>
    <s v="No"/>
    <m/>
    <n v="90"/>
    <s v="Middle-Aged"/>
    <s v="Low"/>
    <s v="Short Days"/>
    <m/>
    <m/>
    <m/>
    <m/>
    <m/>
    <m/>
  </r>
  <r>
    <s v="VIS202152"/>
    <d v="2024-11-11T00:00:00"/>
    <s v="PAT6981"/>
    <s v="Shruti Nagar"/>
    <s v="Female"/>
    <n v="36"/>
    <s v="Lucknow"/>
    <s v="Uttar Pradesh"/>
    <x v="1"/>
    <s v="Dr. Anu"/>
    <s v="K21"/>
    <s v="Medication"/>
    <s v="OPD"/>
    <n v="7249.07"/>
    <s v="Net Banking"/>
    <s v="No"/>
    <m/>
    <n v="7"/>
    <s v="Adult"/>
    <s v="Medium"/>
    <s v="Short Days"/>
    <m/>
    <m/>
    <m/>
    <m/>
    <m/>
    <m/>
  </r>
  <r>
    <s v="VIS200565"/>
    <d v="2025-09-09T00:00:00"/>
    <s v="PAT5688"/>
    <s v="Kavya Reddy"/>
    <s v="Female"/>
    <n v="25"/>
    <s v="Noida"/>
    <s v="Uttar Pradesh"/>
    <x v="2"/>
    <s v="Dr. Ramesh"/>
    <s v="J00"/>
    <s v="Prescription Refill"/>
    <s v="OPD"/>
    <n v="2814.21"/>
    <s v="Cash"/>
    <s v="No"/>
    <m/>
    <n v="14"/>
    <s v="Adult"/>
    <s v="Low"/>
    <s v="Short Days"/>
    <m/>
    <m/>
    <m/>
    <m/>
    <m/>
    <m/>
  </r>
  <r>
    <s v="VIS202614"/>
    <d v="2024-07-28T00:00:00"/>
    <s v="PAT6716"/>
    <s v="Aditya Nagar"/>
    <s v="Female"/>
    <n v="38"/>
    <s v="Kolkata"/>
    <s v="West Bengal"/>
    <x v="8"/>
    <s v="Dr. Sneha"/>
    <s v="J00"/>
    <s v="Minor Surgery"/>
    <s v="Teleconsultation"/>
    <n v="6833.62"/>
    <s v="Cash"/>
    <s v="No"/>
    <m/>
    <n v="90"/>
    <s v="Adult"/>
    <s v="Medium"/>
    <s v="Short Days"/>
    <m/>
    <m/>
    <m/>
    <m/>
    <m/>
    <m/>
  </r>
  <r>
    <s v="VIS202605"/>
    <d v="2025-07-31T00:00:00"/>
    <s v="PAT5556"/>
    <s v="Karthik Nair"/>
    <s v="Female"/>
    <n v="70"/>
    <s v="Noida"/>
    <s v="Uttar Pradesh"/>
    <x v="9"/>
    <s v="Dr. Arvind"/>
    <s v="H10"/>
    <s v="Physiotherapy"/>
    <s v="Emergency"/>
    <n v="6403.68"/>
    <s v="Cash"/>
    <s v="No"/>
    <m/>
    <n v="90"/>
    <s v="Senior"/>
    <s v="Medium"/>
    <s v="Short Days"/>
    <m/>
    <m/>
    <m/>
    <m/>
    <m/>
    <m/>
  </r>
  <r>
    <s v="VIS201806"/>
    <d v="2025-06-15T00:00:00"/>
    <s v="PAT5149"/>
    <s v="Deepa Mishra"/>
    <s v="Male"/>
    <n v="41"/>
    <s v="Ahmedabad"/>
    <s v="Gujarat"/>
    <x v="1"/>
    <s v="Dr. Anu"/>
    <s v="I10"/>
    <s v="Prescription Refill"/>
    <s v="OPD"/>
    <n v="5640.58"/>
    <s v="Cash"/>
    <s v="No"/>
    <m/>
    <n v="30"/>
    <s v="Middle-Aged"/>
    <s v="Medium"/>
    <s v="Short Days"/>
    <m/>
    <m/>
    <m/>
    <m/>
    <m/>
    <m/>
  </r>
  <r>
    <s v="VIS200643"/>
    <d v="2024-08-10T00:00:00"/>
    <s v="PAT6499"/>
    <s v="Aishwarya Das"/>
    <s v="Male"/>
    <n v="9"/>
    <s v="Delhi"/>
    <s v="Delhi"/>
    <x v="3"/>
    <s v="Dr. Pallavi"/>
    <s v="H10"/>
    <s v="Physiotherapy"/>
    <s v="OPD"/>
    <n v="521.57000000000005"/>
    <s v="Debit Card"/>
    <s v="No"/>
    <m/>
    <n v="7"/>
    <s v="Child"/>
    <s v="Low"/>
    <s v="Short Days"/>
    <m/>
    <m/>
    <m/>
    <m/>
    <m/>
    <m/>
  </r>
  <r>
    <s v="VIS200648"/>
    <d v="2024-06-16T00:00:00"/>
    <s v="PAT5534"/>
    <s v="Rahul Nair"/>
    <s v="Female"/>
    <n v="60"/>
    <s v="Madurai"/>
    <s v="Tamil Nadu"/>
    <x v="4"/>
    <s v="Dr. Bhavana"/>
    <s v="L40"/>
    <s v="Physiotherapy"/>
    <s v="OPD"/>
    <n v="478.47"/>
    <s v="Insurance"/>
    <s v="Yes"/>
    <m/>
    <m/>
    <s v="Middle-Aged"/>
    <s v="Low"/>
    <s v="Short Days"/>
    <m/>
    <m/>
    <m/>
    <m/>
    <m/>
    <m/>
  </r>
  <r>
    <s v="VIS202302"/>
    <d v="2025-09-15T00:00:00"/>
    <s v="PAT6772"/>
    <s v="Aishwarya Reddy"/>
    <s v="Female"/>
    <n v="32"/>
    <s v="Madurai"/>
    <s v="Tamil Nadu"/>
    <x v="6"/>
    <s v="Dr. Priya"/>
    <s v="M54"/>
    <s v="Counselling"/>
    <s v="OPD"/>
    <n v="825.05"/>
    <s v="Cash"/>
    <s v="No"/>
    <m/>
    <n v="90"/>
    <s v="Adult"/>
    <s v="Low"/>
    <s v="Short Days"/>
    <m/>
    <m/>
    <m/>
    <m/>
    <m/>
    <m/>
  </r>
  <r>
    <s v="VIS200960"/>
    <d v="2024-04-20T00:00:00"/>
    <s v="PAT5054"/>
    <s v="Sangeetha Reddy"/>
    <s v="Male"/>
    <n v="50"/>
    <s v="Hyderabad"/>
    <s v="Telangana"/>
    <x v="6"/>
    <s v="Dr. Priya"/>
    <s v="N39"/>
    <s v="Prescription Refill"/>
    <s v="OPD"/>
    <n v="3036.91"/>
    <s v="Insurance"/>
    <s v="Yes"/>
    <m/>
    <n v="90"/>
    <s v="Middle-Aged"/>
    <s v="Low"/>
    <s v="Short Days"/>
    <m/>
    <m/>
    <m/>
    <m/>
    <m/>
    <m/>
  </r>
  <r>
    <s v="VIS202707"/>
    <d v="2024-09-06T00:00:00"/>
    <s v="PAT5098"/>
    <s v="Shruti Singh"/>
    <s v="Male"/>
    <n v="62"/>
    <s v="Hyderabad"/>
    <s v="Telangana"/>
    <x v="7"/>
    <s v="Dr. Leela"/>
    <s v="J00"/>
    <s v="Minor Procedure"/>
    <s v="OPD"/>
    <n v="12389.87"/>
    <s v="Debit Card"/>
    <s v="No"/>
    <m/>
    <n v="14"/>
    <s v="Senior"/>
    <s v="High"/>
    <s v="Short Days"/>
    <m/>
    <m/>
    <m/>
    <m/>
    <m/>
    <m/>
  </r>
  <r>
    <s v="VIS202444"/>
    <d v="2025-03-08T00:00:00"/>
    <s v="PAT6589"/>
    <s v="Aarav Jose"/>
    <s v="Female"/>
    <n v="23"/>
    <s v="Delhi"/>
    <s v="Delhi"/>
    <x v="6"/>
    <s v="Dr. Lalitha"/>
    <s v="F41"/>
    <s v="Surgery"/>
    <s v="OPD"/>
    <n v="7454.27"/>
    <s v="UPI"/>
    <s v="No"/>
    <m/>
    <m/>
    <s v="Adult"/>
    <s v="Medium"/>
    <s v="Short Days"/>
    <m/>
    <m/>
    <m/>
    <m/>
    <m/>
    <m/>
  </r>
  <r>
    <s v="VIS200020"/>
    <d v="2024-09-28T00:00:00"/>
    <s v="PAT6029"/>
    <s v="Anil Patel"/>
    <s v="Male"/>
    <n v="46"/>
    <s v="Pune"/>
    <s v="Maharashtra"/>
    <x v="5"/>
    <s v="Dr. Karthik"/>
    <s v="N39"/>
    <s v="Counselling"/>
    <s v="OPD"/>
    <n v="3714.49"/>
    <s v="UPI"/>
    <s v="No"/>
    <m/>
    <n v="90"/>
    <s v="Middle-Aged"/>
    <s v="Low"/>
    <s v="Short Days"/>
    <m/>
    <m/>
    <m/>
    <m/>
    <m/>
    <m/>
  </r>
  <r>
    <s v="VIS202026"/>
    <d v="2025-05-12T00:00:00"/>
    <s v="PAT5897"/>
    <s v="Aditya Patel"/>
    <s v="Female"/>
    <n v="60"/>
    <s v="Madurai"/>
    <s v="Tamil Nadu"/>
    <x v="4"/>
    <s v="Dr. Bhavana"/>
    <s v="K21"/>
    <s v="Minor Procedure"/>
    <s v="Teleconsultation"/>
    <n v="8499.74"/>
    <s v="Cash"/>
    <s v="No"/>
    <m/>
    <n v="30"/>
    <s v="Middle-Aged"/>
    <s v="Medium"/>
    <s v="Short Days"/>
    <m/>
    <m/>
    <m/>
    <m/>
    <m/>
    <m/>
  </r>
  <r>
    <s v="VIS200726"/>
    <d v="2024-03-16T00:00:00"/>
    <s v="PAT5985"/>
    <s v="Manisha Patel"/>
    <s v="Male"/>
    <n v="73"/>
    <s v="Jaipur"/>
    <s v="Rajasthan"/>
    <x v="9"/>
    <s v="Dr. Arvind"/>
    <s v="F41"/>
    <s v="Medication"/>
    <s v="OPD"/>
    <n v="4816.53"/>
    <s v="Net Banking"/>
    <s v="No"/>
    <m/>
    <n v="7"/>
    <s v="Senior"/>
    <s v="Low"/>
    <s v="Short Days"/>
    <m/>
    <m/>
    <m/>
    <m/>
    <m/>
    <m/>
  </r>
  <r>
    <s v="VIS200444"/>
    <d v="2024-02-08T00:00:00"/>
    <s v="PAT5400"/>
    <s v="Rahul Nagar"/>
    <s v="Female"/>
    <n v="28"/>
    <s v="Kolkata"/>
    <s v="West Bengal"/>
    <x v="8"/>
    <s v="Dr. Sneha"/>
    <s v="I10"/>
    <s v="Physiotherapy"/>
    <s v="Teleconsultation"/>
    <n v="5383.57"/>
    <s v="Credit Card"/>
    <s v="No"/>
    <m/>
    <n v="90"/>
    <s v="Adult"/>
    <s v="Medium"/>
    <s v="Short Days"/>
    <m/>
    <m/>
    <m/>
    <m/>
    <m/>
    <m/>
  </r>
  <r>
    <s v="VIS200988"/>
    <d v="2024-06-15T00:00:00"/>
    <s v="PAT6573"/>
    <s v="Shruti Khan"/>
    <s v="Female"/>
    <n v="28"/>
    <s v="Kolkata"/>
    <s v="West Bengal"/>
    <x v="3"/>
    <s v="Dr. Anand"/>
    <s v="F41"/>
    <s v="Surgery"/>
    <s v="Emergency"/>
    <n v="13579.62"/>
    <s v="Credit Card"/>
    <s v="No"/>
    <m/>
    <n v="90"/>
    <s v="Adult"/>
    <s v="High"/>
    <s v="Short Days"/>
    <m/>
    <m/>
    <m/>
    <m/>
    <m/>
    <m/>
  </r>
  <r>
    <s v="VIS200396"/>
    <d v="2024-05-02T00:00:00"/>
    <s v="PAT6006"/>
    <s v="Rohan Khan"/>
    <s v="Other"/>
    <n v="18"/>
    <s v="Delhi"/>
    <s v="Delhi"/>
    <x v="5"/>
    <s v="Dr. Ravi"/>
    <s v="E11"/>
    <s v="Physiotherapy"/>
    <s v="Teleconsultation"/>
    <n v="5230.8999999999996"/>
    <s v="UPI"/>
    <s v="No"/>
    <m/>
    <m/>
    <s v="Adult"/>
    <s v="Medium"/>
    <s v="Short Days"/>
    <m/>
    <m/>
    <m/>
    <m/>
    <m/>
    <m/>
  </r>
  <r>
    <s v="VIS202603"/>
    <d v="2024-09-27T00:00:00"/>
    <s v="PAT6246"/>
    <s v="Arjun Singh"/>
    <s v="Female"/>
    <n v="72"/>
    <s v="Trichy"/>
    <s v="Tamil Nadu"/>
    <x v="7"/>
    <s v="Dr. Leela"/>
    <s v="K21"/>
    <s v="Observation"/>
    <s v="IPD"/>
    <n v="5179.07"/>
    <s v="Insurance"/>
    <s v="Yes"/>
    <n v="4"/>
    <n v="7"/>
    <s v="Senior"/>
    <s v="Medium"/>
    <s v="Short Days"/>
    <m/>
    <m/>
    <m/>
    <m/>
    <m/>
    <m/>
  </r>
  <r>
    <s v="VIS201522"/>
    <d v="2024-02-11T00:00:00"/>
    <s v="PAT6533"/>
    <s v="Aishwarya Bose"/>
    <s v="Male"/>
    <n v="45"/>
    <s v="Lucknow"/>
    <s v="Uttar Pradesh"/>
    <x v="2"/>
    <s v="Dr. Ramesh"/>
    <s v="I10"/>
    <s v="Surgery"/>
    <s v="OPD"/>
    <n v="3649.1"/>
    <s v="Insurance"/>
    <s v="Yes"/>
    <m/>
    <n v="90"/>
    <s v="Middle-Aged"/>
    <s v="Low"/>
    <s v="Short Days"/>
    <m/>
    <m/>
    <m/>
    <m/>
    <m/>
    <m/>
  </r>
  <r>
    <s v="VIS201550"/>
    <d v="2025-03-30T00:00:00"/>
    <s v="PAT5997"/>
    <s v="Vishal Mishra"/>
    <s v="Male"/>
    <n v="19"/>
    <s v="Noida"/>
    <s v="Uttar Pradesh"/>
    <x v="2"/>
    <s v="Dr. Manoj"/>
    <s v="I10"/>
    <s v="Minor Surgery"/>
    <s v="OPD"/>
    <n v="4062.29"/>
    <s v="Cash"/>
    <s v="No"/>
    <m/>
    <n v="14"/>
    <s v="Adult"/>
    <s v="Low"/>
    <s v="Short Days"/>
    <m/>
    <m/>
    <m/>
    <m/>
    <m/>
    <m/>
  </r>
  <r>
    <s v="VIS202996"/>
    <d v="2024-12-18T00:00:00"/>
    <s v="PAT6938"/>
    <s v="Sangeetha Singh"/>
    <s v="Female"/>
    <n v="43"/>
    <s v="Coimbatore"/>
    <s v="Tamil Nadu"/>
    <x v="3"/>
    <s v="Dr. Anand"/>
    <s v="H10"/>
    <s v="Prescription Refill"/>
    <s v="OPD"/>
    <n v="8360.58"/>
    <s v="Cash"/>
    <s v="No"/>
    <m/>
    <m/>
    <s v="Middle-Aged"/>
    <s v="Medium"/>
    <s v="Short Days"/>
    <m/>
    <m/>
    <m/>
    <m/>
    <m/>
    <m/>
  </r>
  <r>
    <s v="VIS200848"/>
    <d v="2025-11-04T00:00:00"/>
    <s v="PAT6768"/>
    <s v="Deepa Mishra"/>
    <s v="Female"/>
    <n v="33"/>
    <s v="Hyderabad"/>
    <s v="Telangana"/>
    <x v="9"/>
    <s v="Dr. Arvind"/>
    <s v="L40"/>
    <s v="Counselling"/>
    <s v="Teleconsultation"/>
    <n v="6680.35"/>
    <s v="UPI"/>
    <s v="No"/>
    <m/>
    <n v="90"/>
    <s v="Adult"/>
    <s v="Medium"/>
    <s v="Short Days"/>
    <m/>
    <m/>
    <m/>
    <m/>
    <m/>
    <m/>
  </r>
  <r>
    <s v="VIS202683"/>
    <d v="2025-07-24T00:00:00"/>
    <s v="PAT5189"/>
    <s v="Aditya Bose"/>
    <s v="Male"/>
    <n v="35"/>
    <s v="Delhi"/>
    <s v="Delhi"/>
    <x v="5"/>
    <s v="Dr. Karthik"/>
    <s v="J00"/>
    <s v="Surgery"/>
    <s v="OPD"/>
    <n v="4846.7"/>
    <s v="Cash"/>
    <s v="No"/>
    <m/>
    <m/>
    <s v="Adult"/>
    <s v="Low"/>
    <s v="Short Days"/>
    <m/>
    <m/>
    <m/>
    <m/>
    <m/>
    <m/>
  </r>
  <r>
    <s v="VIS201276"/>
    <d v="2024-01-10T00:00:00"/>
    <s v="PAT6845"/>
    <s v="Deepa Singh"/>
    <s v="Male"/>
    <n v="72"/>
    <s v="Mumbai"/>
    <s v="Maharashtra"/>
    <x v="1"/>
    <s v="Dr. Anu"/>
    <s v="I10"/>
    <s v="Minor Procedure"/>
    <s v="OPD"/>
    <n v="381.11"/>
    <s v="Credit Card"/>
    <s v="No"/>
    <m/>
    <n v="30"/>
    <s v="Senior"/>
    <s v="Low"/>
    <s v="Short Days"/>
    <m/>
    <m/>
    <m/>
    <m/>
    <m/>
    <m/>
  </r>
  <r>
    <s v="VIS202094"/>
    <d v="2025-03-18T00:00:00"/>
    <s v="PAT6329"/>
    <s v="Aditya Singh"/>
    <s v="Female"/>
    <n v="10"/>
    <s v="Madurai"/>
    <s v="Tamil Nadu"/>
    <x v="3"/>
    <s v="Dr. Pallavi"/>
    <s v="J00"/>
    <s v="Physiotherapy"/>
    <s v="OPD"/>
    <n v="833.35"/>
    <s v="Credit Card"/>
    <s v="No"/>
    <m/>
    <m/>
    <s v="Child"/>
    <s v="Low"/>
    <s v="Short Days"/>
    <m/>
    <m/>
    <m/>
    <m/>
    <m/>
    <m/>
  </r>
  <r>
    <s v="VIS202494"/>
    <d v="2025-04-13T00:00:00"/>
    <s v="PAT5356"/>
    <s v="Vishal Sharma"/>
    <s v="Female"/>
    <n v="69"/>
    <s v="Bengaluru"/>
    <s v="Karnataka"/>
    <x v="7"/>
    <s v="Dr. Surya"/>
    <s v="E11"/>
    <s v="Prescription Refill"/>
    <s v="OPD"/>
    <n v="8942.75"/>
    <s v="Debit Card"/>
    <s v="No"/>
    <m/>
    <n v="14"/>
    <s v="Senior"/>
    <s v="Medium"/>
    <s v="Short Days"/>
    <m/>
    <m/>
    <m/>
    <m/>
    <m/>
    <m/>
  </r>
  <r>
    <s v="VIS202096"/>
    <d v="2025-03-23T00:00:00"/>
    <s v="PAT6519"/>
    <s v="Vivaan Singh"/>
    <s v="Female"/>
    <n v="34"/>
    <s v="Jaipur"/>
    <s v="Rajasthan"/>
    <x v="3"/>
    <s v="Dr. Anand"/>
    <s v="F41"/>
    <s v="Minor Surgery"/>
    <s v="OPD"/>
    <n v="6723.82"/>
    <s v="Insurance"/>
    <s v="Yes"/>
    <m/>
    <n v="30"/>
    <s v="Adult"/>
    <s v="Medium"/>
    <s v="Short Days"/>
    <m/>
    <m/>
    <m/>
    <m/>
    <m/>
    <m/>
  </r>
  <r>
    <s v="VIS202891"/>
    <d v="2025-06-27T00:00:00"/>
    <s v="PAT5212"/>
    <s v="Anil Iyer"/>
    <s v="Female"/>
    <n v="32"/>
    <s v="Lucknow"/>
    <s v="Uttar Pradesh"/>
    <x v="0"/>
    <s v="Dr. Shailesh"/>
    <s v="K21"/>
    <s v="Surgery"/>
    <s v="OPD"/>
    <n v="21349.31"/>
    <s v="Debit Card"/>
    <s v="No"/>
    <m/>
    <n v="14"/>
    <s v="Adult"/>
    <s v="High"/>
    <s v="Short Days"/>
    <m/>
    <m/>
    <m/>
    <m/>
    <m/>
    <m/>
  </r>
  <r>
    <s v="VIS201113"/>
    <d v="2025-01-26T00:00:00"/>
    <s v="PAT5329"/>
    <s v="Vishal Nagar"/>
    <s v="Male"/>
    <n v="53"/>
    <s v="Mumbai"/>
    <s v="Maharashtra"/>
    <x v="1"/>
    <s v="Dr. Suri"/>
    <s v="H10"/>
    <s v="Counselling"/>
    <s v="IPD"/>
    <n v="8999.82"/>
    <s v="Debit Card"/>
    <s v="No"/>
    <n v="6"/>
    <n v="14"/>
    <s v="Middle-Aged"/>
    <s v="Medium"/>
    <s v="Long Days"/>
    <m/>
    <m/>
    <m/>
    <m/>
    <m/>
    <m/>
  </r>
  <r>
    <s v="VIS200127"/>
    <d v="2025-08-11T00:00:00"/>
    <s v="PAT6748"/>
    <s v="Vishal Mishra"/>
    <s v="Male"/>
    <n v="58"/>
    <s v="Jaipur"/>
    <s v="Rajasthan"/>
    <x v="4"/>
    <s v="Dr. Bhavana"/>
    <s v="E11"/>
    <s v="Minor Procedure"/>
    <s v="Emergency"/>
    <n v="6599.94"/>
    <s v="Debit Card"/>
    <s v="No"/>
    <m/>
    <n v="90"/>
    <s v="Middle-Aged"/>
    <s v="Medium"/>
    <s v="Short Days"/>
    <m/>
    <m/>
    <m/>
    <m/>
    <m/>
    <m/>
  </r>
  <r>
    <s v="VIS200275"/>
    <d v="2025-07-06T00:00:00"/>
    <s v="PAT5587"/>
    <s v="Karthik Bose"/>
    <s v="Male"/>
    <n v="49"/>
    <s v="Madurai"/>
    <s v="Tamil Nadu"/>
    <x v="9"/>
    <s v="Dr. Kusum"/>
    <s v="I10"/>
    <s v="Medication"/>
    <s v="OPD"/>
    <n v="4900.9799999999996"/>
    <s v="UPI"/>
    <s v="No"/>
    <m/>
    <n v="90"/>
    <s v="Middle-Aged"/>
    <s v="Low"/>
    <s v="Short Days"/>
    <m/>
    <m/>
    <m/>
    <m/>
    <m/>
    <m/>
  </r>
  <r>
    <s v="VIS201500"/>
    <d v="2024-10-11T00:00:00"/>
    <s v="PAT5107"/>
    <s v="Aishwarya Gupta"/>
    <s v="Male"/>
    <n v="83"/>
    <s v="Jaipur"/>
    <s v="Rajasthan"/>
    <x v="6"/>
    <s v="Dr. Priya"/>
    <s v="J45"/>
    <s v="Observation"/>
    <s v="OPD"/>
    <n v="15145.42"/>
    <s v="Cash"/>
    <s v="No"/>
    <m/>
    <n v="30"/>
    <s v="Senior"/>
    <s v="High"/>
    <s v="Short Days"/>
    <m/>
    <m/>
    <m/>
    <m/>
    <m/>
    <m/>
  </r>
  <r>
    <s v="VIS200287"/>
    <d v="2024-09-27T00:00:00"/>
    <s v="PAT6455"/>
    <s v="Sangeetha Mishra"/>
    <s v="Female"/>
    <n v="52"/>
    <s v="Hyderabad"/>
    <s v="Telangana"/>
    <x v="3"/>
    <s v="Dr. Anand"/>
    <s v="J45"/>
    <s v="Observation"/>
    <s v="OPD"/>
    <n v="3760.43"/>
    <s v="Net Banking"/>
    <s v="No"/>
    <m/>
    <m/>
    <s v="Middle-Aged"/>
    <s v="Low"/>
    <s v="Short Days"/>
    <m/>
    <m/>
    <m/>
    <m/>
    <m/>
    <m/>
  </r>
  <r>
    <s v="VIS200500"/>
    <d v="2025-02-14T00:00:00"/>
    <s v="PAT6270"/>
    <s v="Siddharth Patel"/>
    <s v="Female"/>
    <n v="40"/>
    <s v="Pune"/>
    <s v="Maharashtra"/>
    <x v="4"/>
    <s v="Dr. Bhavana"/>
    <s v="N39"/>
    <s v="Medication"/>
    <s v="OPD"/>
    <n v="5892.11"/>
    <s v="Insurance"/>
    <s v="Yes"/>
    <m/>
    <n v="90"/>
    <s v="Adult"/>
    <s v="Medium"/>
    <s v="Short Days"/>
    <m/>
    <m/>
    <m/>
    <m/>
    <m/>
    <m/>
  </r>
  <r>
    <s v="VIS202758"/>
    <d v="2024-11-07T00:00:00"/>
    <s v="PAT5425"/>
    <s v="Neha Nair"/>
    <s v="Female"/>
    <n v="36"/>
    <s v="Hyderabad"/>
    <s v="Telangana"/>
    <x v="2"/>
    <s v="Dr. Ramesh"/>
    <s v="J45"/>
    <s v="Prescription Refill"/>
    <s v="OPD"/>
    <n v="3864.83"/>
    <s v="Insurance"/>
    <s v="Yes"/>
    <m/>
    <n v="14"/>
    <s v="Adult"/>
    <s v="Low"/>
    <s v="Short Days"/>
    <m/>
    <m/>
    <m/>
    <m/>
    <m/>
    <m/>
  </r>
  <r>
    <s v="VIS200795"/>
    <d v="2025-06-14T00:00:00"/>
    <s v="PAT5605"/>
    <s v="Rahul Iyer"/>
    <s v="Male"/>
    <n v="30"/>
    <s v="Lucknow"/>
    <s v="Uttar Pradesh"/>
    <x v="5"/>
    <s v="Dr. Karthik"/>
    <s v="J45"/>
    <s v="Surgery"/>
    <s v="OPD"/>
    <n v="6640.85"/>
    <s v="UPI"/>
    <s v="No"/>
    <m/>
    <n v="30"/>
    <s v="Adult"/>
    <s v="Medium"/>
    <s v="Short Days"/>
    <m/>
    <m/>
    <m/>
    <m/>
    <m/>
    <m/>
  </r>
  <r>
    <s v="VIS200315"/>
    <d v="2024-07-27T00:00:00"/>
    <s v="PAT6023"/>
    <s v="Sangeetha Das"/>
    <s v="Female"/>
    <n v="60"/>
    <s v="Delhi"/>
    <s v="Delhi"/>
    <x v="5"/>
    <s v="Dr. Ravi"/>
    <s v="I10"/>
    <s v="Minor Procedure"/>
    <s v="Teleconsultation"/>
    <n v="6110.46"/>
    <s v="Insurance"/>
    <s v="Yes"/>
    <m/>
    <m/>
    <s v="Middle-Aged"/>
    <s v="Medium"/>
    <s v="Short Days"/>
    <m/>
    <m/>
    <m/>
    <m/>
    <m/>
    <m/>
  </r>
  <r>
    <s v="VIS202677"/>
    <d v="2024-04-03T00:00:00"/>
    <s v="PAT5992"/>
    <s v="Deepa Kumar"/>
    <s v="Male"/>
    <n v="45"/>
    <s v="Bengaluru"/>
    <s v="Karnataka"/>
    <x v="4"/>
    <s v="Dr. Varun"/>
    <s v="H10"/>
    <s v="Counselling"/>
    <s v="Teleconsultation"/>
    <n v="13408.08"/>
    <s v="Credit Card"/>
    <s v="No"/>
    <m/>
    <m/>
    <s v="Middle-Aged"/>
    <s v="High"/>
    <s v="Short Days"/>
    <m/>
    <m/>
    <m/>
    <m/>
    <m/>
    <m/>
  </r>
  <r>
    <s v="VIS201723"/>
    <d v="2024-11-13T00:00:00"/>
    <s v="PAT5570"/>
    <s v="Deepa Reddy"/>
    <s v="Male"/>
    <n v="51"/>
    <s v="Lucknow"/>
    <s v="Uttar Pradesh"/>
    <x v="1"/>
    <s v="Dr. Suri"/>
    <s v="L40"/>
    <s v="Counselling"/>
    <s v="Teleconsultation"/>
    <n v="6481.5"/>
    <s v="UPI"/>
    <s v="No"/>
    <m/>
    <n v="30"/>
    <s v="Middle-Aged"/>
    <s v="Medium"/>
    <s v="Short Days"/>
    <m/>
    <m/>
    <m/>
    <m/>
    <m/>
    <m/>
  </r>
  <r>
    <s v="VIS202071"/>
    <d v="2025-07-26T00:00:00"/>
    <s v="PAT5815"/>
    <s v="Ishaan Mishra"/>
    <s v="Female"/>
    <n v="6"/>
    <s v="Madurai"/>
    <s v="Tamil Nadu"/>
    <x v="3"/>
    <s v="Dr. Anand"/>
    <s v="H10"/>
    <s v="Minor Surgery"/>
    <s v="IPD"/>
    <n v="11317.95"/>
    <s v="Debit Card"/>
    <s v="No"/>
    <n v="7"/>
    <n v="30"/>
    <s v="Child"/>
    <s v="High"/>
    <s v="Long Days"/>
    <m/>
    <m/>
    <m/>
    <m/>
    <m/>
    <m/>
  </r>
  <r>
    <s v="VIS200011"/>
    <d v="2024-02-28T00:00:00"/>
    <s v="PAT6552"/>
    <s v="Manisha Singh"/>
    <s v="Female"/>
    <n v="46"/>
    <s v="Hyderabad"/>
    <s v="Telangana"/>
    <x v="6"/>
    <s v="Dr. Lalitha"/>
    <s v="K21"/>
    <s v="Minor Procedure"/>
    <s v="OPD"/>
    <n v="5034.47"/>
    <s v="Insurance"/>
    <s v="Yes"/>
    <m/>
    <n v="7"/>
    <s v="Middle-Aged"/>
    <s v="Medium"/>
    <s v="Short Days"/>
    <m/>
    <m/>
    <m/>
    <m/>
    <m/>
    <m/>
  </r>
  <r>
    <s v="VIS200890"/>
    <d v="2025-05-29T00:00:00"/>
    <s v="PAT5459"/>
    <s v="Deepa Gupta"/>
    <s v="Male"/>
    <n v="27"/>
    <s v="Delhi"/>
    <s v="Delhi"/>
    <x v="5"/>
    <s v="Dr. Karthik"/>
    <s v="F41"/>
    <s v="Medication"/>
    <s v="OPD"/>
    <n v="6782.54"/>
    <s v="UPI"/>
    <s v="No"/>
    <m/>
    <n v="7"/>
    <s v="Adult"/>
    <s v="Medium"/>
    <s v="Short Days"/>
    <m/>
    <m/>
    <m/>
    <m/>
    <m/>
    <m/>
  </r>
  <r>
    <s v="VIS202224"/>
    <d v="2024-12-06T00:00:00"/>
    <s v="PAT5209"/>
    <s v="Vishal Patel"/>
    <s v="Female"/>
    <n v="43"/>
    <s v="Lucknow"/>
    <s v="Uttar Pradesh"/>
    <x v="9"/>
    <s v="Dr. Kusum"/>
    <s v="J00"/>
    <s v="Prescription Refill"/>
    <s v="Emergency"/>
    <n v="5950.27"/>
    <s v="Credit Card"/>
    <s v="No"/>
    <m/>
    <m/>
    <s v="Middle-Aged"/>
    <s v="Medium"/>
    <s v="Short Days"/>
    <m/>
    <m/>
    <m/>
    <m/>
    <m/>
    <m/>
  </r>
  <r>
    <s v="VIS201812"/>
    <d v="2025-04-11T00:00:00"/>
    <s v="PAT6550"/>
    <s v="Karthik Khan"/>
    <s v="Other"/>
    <n v="62"/>
    <s v="Hyderabad"/>
    <s v="Telangana"/>
    <x v="7"/>
    <s v="Dr. Leela"/>
    <s v="L40"/>
    <s v="Minor Surgery"/>
    <s v="Teleconsultation"/>
    <n v="6967.72"/>
    <s v="Credit Card"/>
    <s v="No"/>
    <m/>
    <n v="30"/>
    <s v="Senior"/>
    <s v="Medium"/>
    <s v="Short Days"/>
    <m/>
    <m/>
    <m/>
    <m/>
    <m/>
    <m/>
  </r>
  <r>
    <s v="VIS202220"/>
    <d v="2025-01-06T00:00:00"/>
    <s v="PAT5853"/>
    <s v="Shruti Mishra"/>
    <s v="Female"/>
    <n v="48"/>
    <s v="Delhi"/>
    <s v="Delhi"/>
    <x v="4"/>
    <s v="Dr. Varun"/>
    <s v="J00"/>
    <s v="Observation"/>
    <s v="OPD"/>
    <n v="202.07"/>
    <s v="Insurance"/>
    <s v="Yes"/>
    <m/>
    <n v="90"/>
    <s v="Middle-Aged"/>
    <s v="Low"/>
    <s v="Short Days"/>
    <m/>
    <m/>
    <m/>
    <m/>
    <m/>
    <m/>
  </r>
  <r>
    <s v="VIS200070"/>
    <d v="2024-10-24T00:00:00"/>
    <s v="PAT5358"/>
    <s v="Manisha Reddy"/>
    <s v="Female"/>
    <n v="14"/>
    <s v="Pune"/>
    <s v="Maharashtra"/>
    <x v="1"/>
    <s v="Dr. Anu"/>
    <s v="H10"/>
    <s v="Physiotherapy"/>
    <s v="OPD"/>
    <n v="4180.18"/>
    <s v="Credit Card"/>
    <s v="No"/>
    <m/>
    <n v="14"/>
    <s v="Child"/>
    <s v="Low"/>
    <s v="Short Days"/>
    <m/>
    <m/>
    <m/>
    <m/>
    <m/>
    <m/>
  </r>
  <r>
    <s v="VIS201106"/>
    <d v="2024-04-14T00:00:00"/>
    <s v="PAT5665"/>
    <s v="Ananya Mishra"/>
    <s v="Male"/>
    <n v="14"/>
    <s v="Ahmedabad"/>
    <s v="Gujarat"/>
    <x v="1"/>
    <s v="Dr. Anu"/>
    <s v="I10"/>
    <s v="Observation"/>
    <s v="OPD"/>
    <n v="11216.93"/>
    <s v="Debit Card"/>
    <s v="No"/>
    <m/>
    <n v="30"/>
    <s v="Child"/>
    <s v="High"/>
    <s v="Short Days"/>
    <m/>
    <m/>
    <m/>
    <m/>
    <m/>
    <m/>
  </r>
  <r>
    <s v="VIS200174"/>
    <d v="2024-07-27T00:00:00"/>
    <s v="PAT6502"/>
    <s v="Karthik Nagar"/>
    <s v="Male"/>
    <n v="47"/>
    <s v="Kochi"/>
    <s v="Kerala"/>
    <x v="1"/>
    <s v="Dr. Suri"/>
    <s v="K21"/>
    <s v="Prescription Refill"/>
    <s v="Teleconsultation"/>
    <n v="8149.27"/>
    <s v="Cash"/>
    <s v="No"/>
    <m/>
    <n v="14"/>
    <s v="Middle-Aged"/>
    <s v="Medium"/>
    <s v="Short Days"/>
    <m/>
    <m/>
    <m/>
    <m/>
    <m/>
    <m/>
  </r>
  <r>
    <s v="VIS200678"/>
    <d v="2025-07-02T00:00:00"/>
    <s v="PAT6368"/>
    <s v="Vivaan Khan"/>
    <s v="Female"/>
    <n v="44"/>
    <s v="Hyderabad"/>
    <s v="Telangana"/>
    <x v="1"/>
    <s v="Dr. Anu"/>
    <s v="K21"/>
    <s v="Prescription Refill"/>
    <s v="OPD"/>
    <n v="942.34"/>
    <s v="Cash"/>
    <s v="No"/>
    <m/>
    <n v="30"/>
    <s v="Middle-Aged"/>
    <s v="Low"/>
    <s v="Short Days"/>
    <m/>
    <m/>
    <m/>
    <m/>
    <m/>
    <m/>
  </r>
  <r>
    <s v="VIS202554"/>
    <d v="2025-06-10T00:00:00"/>
    <s v="PAT6366"/>
    <s v="Aishwarya Mishra"/>
    <s v="Male"/>
    <n v="34"/>
    <s v="Pune"/>
    <s v="Maharashtra"/>
    <x v="5"/>
    <s v="Dr. Meena"/>
    <s v="L40"/>
    <s v="Counselling"/>
    <s v="OPD"/>
    <n v="9500.31"/>
    <s v="Cash"/>
    <s v="No"/>
    <m/>
    <n v="30"/>
    <s v="Adult"/>
    <s v="Medium"/>
    <s v="Short Days"/>
    <m/>
    <m/>
    <m/>
    <m/>
    <m/>
    <m/>
  </r>
  <r>
    <s v="VIS200169"/>
    <d v="2024-05-27T00:00:00"/>
    <s v="PAT6860"/>
    <s v="Vivaan Mishra"/>
    <s v="Male"/>
    <n v="52"/>
    <s v="Jaipur"/>
    <s v="Rajasthan"/>
    <x v="1"/>
    <s v="Dr. Suri"/>
    <s v="L40"/>
    <s v="Minor Surgery"/>
    <s v="OPD"/>
    <n v="12561.1"/>
    <s v="Cash"/>
    <s v="No"/>
    <m/>
    <m/>
    <s v="Middle-Aged"/>
    <s v="High"/>
    <s v="Short Days"/>
    <m/>
    <m/>
    <m/>
    <m/>
    <m/>
    <m/>
  </r>
  <r>
    <s v="VIS200439"/>
    <d v="2024-08-13T00:00:00"/>
    <s v="PAT5501"/>
    <s v="Kavya Singh"/>
    <s v="Female"/>
    <n v="61"/>
    <s v="Bengaluru"/>
    <s v="Karnataka"/>
    <x v="0"/>
    <s v="Dr. Nikhil"/>
    <s v="N39"/>
    <s v="Minor Surgery"/>
    <s v="Teleconsultation"/>
    <n v="12317.48"/>
    <s v="Insurance"/>
    <s v="Yes"/>
    <m/>
    <n v="7"/>
    <s v="Senior"/>
    <s v="High"/>
    <s v="Short Days"/>
    <m/>
    <m/>
    <m/>
    <m/>
    <m/>
    <m/>
  </r>
  <r>
    <s v="VIS201828"/>
    <d v="2024-12-01T00:00:00"/>
    <s v="PAT6869"/>
    <s v="Kavya Kumar"/>
    <s v="Male"/>
    <n v="3"/>
    <s v="Trichy"/>
    <s v="Tamil Nadu"/>
    <x v="4"/>
    <s v="Dr. Bhavana"/>
    <s v="H10"/>
    <s v="Minor Surgery"/>
    <s v="OPD"/>
    <n v="13120.59"/>
    <s v="UPI"/>
    <s v="No"/>
    <m/>
    <n v="90"/>
    <s v="Child"/>
    <s v="High"/>
    <s v="Short Days"/>
    <m/>
    <m/>
    <m/>
    <m/>
    <m/>
    <m/>
  </r>
  <r>
    <s v="VIS201680"/>
    <d v="2024-09-29T00:00:00"/>
    <s v="PAT5182"/>
    <s v="Kavya Gupta"/>
    <s v="Female"/>
    <n v="63"/>
    <s v="Kolkata"/>
    <s v="West Bengal"/>
    <x v="6"/>
    <s v="Dr. Lalitha"/>
    <s v="H10"/>
    <s v="Observation"/>
    <s v="Emergency"/>
    <n v="15590.09"/>
    <s v="UPI"/>
    <s v="No"/>
    <m/>
    <n v="7"/>
    <s v="Senior"/>
    <s v="High"/>
    <s v="Short Days"/>
    <m/>
    <m/>
    <m/>
    <m/>
    <m/>
    <m/>
  </r>
  <r>
    <s v="VIS202321"/>
    <d v="2025-10-07T00:00:00"/>
    <s v="PAT6686"/>
    <s v="Vishal Reddy"/>
    <s v="Male"/>
    <n v="32"/>
    <s v="Bengaluru"/>
    <s v="Karnataka"/>
    <x v="4"/>
    <s v="Dr. Varun"/>
    <s v="I10"/>
    <s v="Minor Procedure"/>
    <s v="OPD"/>
    <n v="3969.14"/>
    <s v="Debit Card"/>
    <s v="No"/>
    <m/>
    <m/>
    <s v="Adult"/>
    <s v="Low"/>
    <s v="Short Days"/>
    <m/>
    <m/>
    <m/>
    <m/>
    <m/>
    <m/>
  </r>
  <r>
    <s v="VIS201208"/>
    <d v="2024-10-04T00:00:00"/>
    <s v="PAT6538"/>
    <s v="Manisha Patel"/>
    <s v="Female"/>
    <n v="56"/>
    <s v="Noida"/>
    <s v="Uttar Pradesh"/>
    <x v="0"/>
    <s v="Dr. Shailesh"/>
    <s v="H10"/>
    <s v="Medication"/>
    <s v="Emergency"/>
    <n v="7894.16"/>
    <s v="Insurance"/>
    <s v="Yes"/>
    <m/>
    <n v="14"/>
    <s v="Middle-Aged"/>
    <s v="Medium"/>
    <s v="Short Days"/>
    <m/>
    <m/>
    <m/>
    <m/>
    <m/>
    <m/>
  </r>
  <r>
    <s v="VIS202773"/>
    <d v="2024-12-02T00:00:00"/>
    <s v="PAT6907"/>
    <s v="Aarav Reddy"/>
    <s v="Male"/>
    <n v="55"/>
    <s v="Madurai"/>
    <s v="Tamil Nadu"/>
    <x v="7"/>
    <s v="Dr. Surya"/>
    <s v="Z111"/>
    <s v="Observation"/>
    <s v="Teleconsultation"/>
    <n v="7171.78"/>
    <s v="Insurance"/>
    <s v="Yes"/>
    <m/>
    <n v="30"/>
    <s v="Middle-Aged"/>
    <s v="Medium"/>
    <s v="Short Days"/>
    <m/>
    <m/>
    <m/>
    <m/>
    <m/>
    <m/>
  </r>
  <r>
    <s v="VIS202134"/>
    <d v="2025-07-11T00:00:00"/>
    <s v="PAT5104"/>
    <s v="Karthik Patel"/>
    <s v="Female"/>
    <n v="74"/>
    <s v="Madurai"/>
    <s v="Tamil Nadu"/>
    <x v="2"/>
    <s v="Dr. Manoj"/>
    <s v="M54"/>
    <s v="Minor Surgery"/>
    <s v="OPD"/>
    <n v="5377.77"/>
    <s v="Net Banking"/>
    <s v="No"/>
    <m/>
    <n v="90"/>
    <s v="Senior"/>
    <s v="Medium"/>
    <s v="Short Days"/>
    <m/>
    <m/>
    <m/>
    <m/>
    <m/>
    <m/>
  </r>
  <r>
    <s v="VIS201044"/>
    <d v="2025-05-02T00:00:00"/>
    <s v="PAT5262"/>
    <s v="Priya Jose"/>
    <s v="Male"/>
    <n v="48"/>
    <s v="Ahmedabad"/>
    <s v="Gujarat"/>
    <x v="1"/>
    <s v="Dr. Suri"/>
    <s v="K21"/>
    <s v="Minor Surgery"/>
    <s v="Teleconsultation"/>
    <n v="6376.22"/>
    <s v="Cash"/>
    <s v="No"/>
    <m/>
    <n v="90"/>
    <s v="Middle-Aged"/>
    <s v="Medium"/>
    <s v="Short Days"/>
    <m/>
    <m/>
    <m/>
    <m/>
    <m/>
    <m/>
  </r>
  <r>
    <s v="VIS202822"/>
    <d v="2024-03-02T00:00:00"/>
    <s v="PAT5728"/>
    <s v="Kavya Mishra"/>
    <s v="Male"/>
    <n v="33"/>
    <s v="Mumbai"/>
    <s v="Maharashtra"/>
    <x v="0"/>
    <s v="Dr. Shailesh"/>
    <s v="H10"/>
    <s v="Counselling"/>
    <s v="OPD"/>
    <n v="5992.61"/>
    <s v="Net Banking"/>
    <s v="No"/>
    <m/>
    <n v="30"/>
    <s v="Adult"/>
    <s v="Medium"/>
    <s v="Short Days"/>
    <m/>
    <m/>
    <m/>
    <m/>
    <m/>
    <m/>
  </r>
  <r>
    <s v="VIS202041"/>
    <d v="2024-12-29T00:00:00"/>
    <s v="PAT5634"/>
    <s v="Anil Kumar"/>
    <s v="Male"/>
    <n v="22"/>
    <s v="Bengaluru"/>
    <s v="Karnataka"/>
    <x v="0"/>
    <s v="Dr. Nikhil"/>
    <s v="K21"/>
    <s v="Medication"/>
    <s v="OPD"/>
    <n v="6268.41"/>
    <s v="Cash"/>
    <s v="No"/>
    <m/>
    <m/>
    <s v="Adult"/>
    <s v="Medium"/>
    <s v="Short Days"/>
    <m/>
    <m/>
    <m/>
    <m/>
    <m/>
    <m/>
  </r>
  <r>
    <s v="VIS201431"/>
    <d v="2024-10-26T00:00:00"/>
    <s v="PAT5549"/>
    <s v="Siddharth Mishra"/>
    <s v="Female"/>
    <n v="33"/>
    <s v="Delhi"/>
    <s v="Delhi"/>
    <x v="7"/>
    <s v="Dr. Surya"/>
    <s v="H10"/>
    <s v="Medication"/>
    <s v="Teleconsultation"/>
    <n v="5726.37"/>
    <s v="Credit Card"/>
    <s v="No"/>
    <m/>
    <n v="14"/>
    <s v="Adult"/>
    <s v="Medium"/>
    <s v="Short Days"/>
    <m/>
    <m/>
    <m/>
    <m/>
    <m/>
    <m/>
  </r>
  <r>
    <s v="VIS201202"/>
    <d v="2025-08-19T00:00:00"/>
    <s v="PAT5640"/>
    <s v="Siddharth Nair"/>
    <s v="Male"/>
    <n v="49"/>
    <s v="Coimbatore"/>
    <s v="Tamil Nadu"/>
    <x v="1"/>
    <s v="Dr. Anu"/>
    <s v="K21"/>
    <s v="Prescription Refill"/>
    <s v="Teleconsultation"/>
    <n v="14241.69"/>
    <s v="UPI"/>
    <s v="No"/>
    <m/>
    <n v="90"/>
    <s v="Middle-Aged"/>
    <s v="High"/>
    <s v="Short Days"/>
    <m/>
    <m/>
    <m/>
    <m/>
    <m/>
    <m/>
  </r>
  <r>
    <s v="VIS201199"/>
    <d v="2024-02-09T00:00:00"/>
    <s v="PAT5077"/>
    <s v="Neha Nagar"/>
    <s v="Female"/>
    <n v="24"/>
    <s v="Pune"/>
    <s v="Maharashtra"/>
    <x v="5"/>
    <s v="Dr. Ravi"/>
    <s v="J00"/>
    <s v="Minor Surgery"/>
    <s v="OPD"/>
    <n v="2383.61"/>
    <s v="Cash"/>
    <s v="No"/>
    <m/>
    <n v="90"/>
    <s v="Adult"/>
    <s v="Low"/>
    <s v="Short Days"/>
    <m/>
    <m/>
    <m/>
    <m/>
    <m/>
    <m/>
  </r>
  <r>
    <s v="VIS202310"/>
    <d v="2025-07-15T00:00:00"/>
    <s v="PAT5440"/>
    <s v="Manisha Jose"/>
    <s v="Male"/>
    <n v="18"/>
    <s v="Mumbai"/>
    <s v="Maharashtra"/>
    <x v="5"/>
    <s v="Dr. Karthik"/>
    <s v="N39"/>
    <s v="Counselling"/>
    <s v="OPD"/>
    <n v="11491.43"/>
    <s v="UPI"/>
    <s v="No"/>
    <m/>
    <m/>
    <s v="Adult"/>
    <s v="High"/>
    <s v="Short Days"/>
    <m/>
    <m/>
    <m/>
    <m/>
    <m/>
    <m/>
  </r>
  <r>
    <s v="VIS200558"/>
    <d v="2024-02-24T00:00:00"/>
    <s v="PAT6482"/>
    <s v="Aishwarya Nair"/>
    <s v="Female"/>
    <n v="19"/>
    <s v="Madurai"/>
    <s v="Tamil Nadu"/>
    <x v="8"/>
    <s v="Dr. Sneha"/>
    <s v="M54"/>
    <s v="Counselling"/>
    <s v="OPD"/>
    <n v="2329.8200000000002"/>
    <s v="Insurance"/>
    <s v="Yes"/>
    <m/>
    <m/>
    <s v="Adult"/>
    <s v="Low"/>
    <s v="Short Days"/>
    <m/>
    <m/>
    <m/>
    <m/>
    <m/>
    <m/>
  </r>
  <r>
    <s v="VIS200769"/>
    <d v="2025-08-01T00:00:00"/>
    <s v="PAT5720"/>
    <s v="Deepa Sharma"/>
    <s v="Other"/>
    <n v="70"/>
    <s v="Coimbatore"/>
    <s v="Tamil Nadu"/>
    <x v="9"/>
    <s v="Dr. Arvind"/>
    <s v="N39"/>
    <s v="Minor Procedure"/>
    <s v="OPD"/>
    <n v="3848.11"/>
    <s v="Cash"/>
    <s v="No"/>
    <m/>
    <n v="14"/>
    <s v="Senior"/>
    <s v="Low"/>
    <s v="Short Days"/>
    <m/>
    <m/>
    <m/>
    <m/>
    <m/>
    <m/>
  </r>
  <r>
    <s v="VIS201830"/>
    <d v="2024-01-06T00:00:00"/>
    <s v="PAT6003"/>
    <s v="Ishaan Das"/>
    <s v="Female"/>
    <n v="39"/>
    <s v="Mumbai"/>
    <s v="Maharashtra"/>
    <x v="6"/>
    <s v="Dr. Priya"/>
    <s v="I10"/>
    <s v="Surgery"/>
    <s v="Teleconsultation"/>
    <n v="11236.83"/>
    <s v="Credit Card"/>
    <s v="No"/>
    <m/>
    <n v="14"/>
    <s v="Adult"/>
    <s v="High"/>
    <s v="Short Days"/>
    <m/>
    <m/>
    <m/>
    <m/>
    <m/>
    <m/>
  </r>
  <r>
    <s v="VIS201880"/>
    <d v="2024-12-16T00:00:00"/>
    <s v="PAT6394"/>
    <s v="Siddharth Reddy"/>
    <s v="Male"/>
    <n v="47"/>
    <s v="Mumbai"/>
    <s v="Maharashtra"/>
    <x v="6"/>
    <s v="Dr. Priya"/>
    <s v="I10"/>
    <s v="Physiotherapy"/>
    <s v="Teleconsultation"/>
    <n v="13512.94"/>
    <s v="UPI"/>
    <s v="No"/>
    <m/>
    <m/>
    <s v="Middle-Aged"/>
    <s v="High"/>
    <s v="Short Days"/>
    <m/>
    <m/>
    <m/>
    <m/>
    <m/>
    <m/>
  </r>
  <r>
    <s v="VIS202199"/>
    <d v="2025-05-06T00:00:00"/>
    <s v="PAT6429"/>
    <s v="Arjun Kumar"/>
    <s v="Female"/>
    <n v="17"/>
    <s v="Lucknow"/>
    <s v="Uttar Pradesh"/>
    <x v="9"/>
    <s v="Dr. Kusum"/>
    <s v="F41"/>
    <s v="Physiotherapy"/>
    <s v="OPD"/>
    <n v="9424.17"/>
    <s v="Cash"/>
    <s v="No"/>
    <m/>
    <n v="7"/>
    <s v="Child"/>
    <s v="Medium"/>
    <s v="Short Days"/>
    <m/>
    <m/>
    <m/>
    <m/>
    <m/>
    <m/>
  </r>
  <r>
    <s v="VIS200023"/>
    <d v="2025-01-13T00:00:00"/>
    <s v="PAT6825"/>
    <s v="Ananya Mishra"/>
    <s v="Female"/>
    <n v="80"/>
    <s v="Jaipur"/>
    <s v="Rajasthan"/>
    <x v="7"/>
    <s v="Dr. Surya"/>
    <s v="F41"/>
    <s v="Medication"/>
    <s v="OPD"/>
    <n v="1862.9"/>
    <s v="Insurance"/>
    <s v="Yes"/>
    <m/>
    <n v="90"/>
    <s v="Senior"/>
    <s v="Low"/>
    <s v="Short Days"/>
    <m/>
    <m/>
    <m/>
    <m/>
    <m/>
    <m/>
  </r>
  <r>
    <s v="VIS202471"/>
    <d v="2024-07-13T00:00:00"/>
    <s v="PAT6628"/>
    <s v="Rahul Bose"/>
    <s v="Male"/>
    <n v="74"/>
    <s v="Pune"/>
    <s v="Maharashtra"/>
    <x v="0"/>
    <s v="Dr. Shailesh"/>
    <s v="J00"/>
    <s v="Minor Procedure"/>
    <s v="OPD"/>
    <n v="4910"/>
    <s v="Credit Card"/>
    <s v="No"/>
    <m/>
    <n v="14"/>
    <s v="Senior"/>
    <s v="Low"/>
    <s v="Short Days"/>
    <m/>
    <m/>
    <m/>
    <m/>
    <m/>
    <m/>
  </r>
  <r>
    <s v="VIS201855"/>
    <d v="2024-06-15T00:00:00"/>
    <s v="PAT6949"/>
    <s v="Vivaan Sharma"/>
    <s v="Female"/>
    <n v="18"/>
    <s v="Coimbatore"/>
    <s v="Tamil Nadu"/>
    <x v="7"/>
    <s v="Dr. Leela"/>
    <s v="F41"/>
    <s v="Minor Procedure"/>
    <s v="Emergency"/>
    <n v="12785.84"/>
    <s v="Cash"/>
    <s v="No"/>
    <m/>
    <n v="14"/>
    <s v="Adult"/>
    <s v="High"/>
    <s v="Short Days"/>
    <m/>
    <m/>
    <m/>
    <m/>
    <m/>
    <m/>
  </r>
  <r>
    <s v="VIS202119"/>
    <d v="2024-12-21T00:00:00"/>
    <s v="PAT5600"/>
    <s v="Priya Das"/>
    <s v="Other"/>
    <n v="35"/>
    <s v="Lucknow"/>
    <s v="Uttar Pradesh"/>
    <x v="6"/>
    <s v="Dr. Priya"/>
    <s v="L40"/>
    <s v="Minor Procedure"/>
    <s v="OPD"/>
    <n v="2199.38"/>
    <s v="Net Banking"/>
    <s v="No"/>
    <m/>
    <n v="7"/>
    <s v="Adult"/>
    <s v="Low"/>
    <s v="Short Days"/>
    <m/>
    <m/>
    <m/>
    <m/>
    <m/>
    <m/>
  </r>
  <r>
    <s v="VIS201301"/>
    <d v="2024-04-03T00:00:00"/>
    <s v="PAT5152"/>
    <s v="Anil Bose"/>
    <s v="Female"/>
    <n v="38"/>
    <s v="Mumbai"/>
    <s v="Maharashtra"/>
    <x v="0"/>
    <s v="Dr. Nikhil"/>
    <s v="J45"/>
    <s v="Minor Surgery"/>
    <s v="OPD"/>
    <n v="7158.14"/>
    <s v="Cash"/>
    <s v="No"/>
    <m/>
    <n v="30"/>
    <s v="Adult"/>
    <s v="Medium"/>
    <s v="Short Days"/>
    <m/>
    <m/>
    <m/>
    <m/>
    <m/>
    <m/>
  </r>
  <r>
    <s v="VIS202336"/>
    <d v="2024-06-13T00:00:00"/>
    <s v="PAT6045"/>
    <s v="Deepa Das"/>
    <s v="Male"/>
    <n v="30"/>
    <s v="Trichy"/>
    <s v="Tamil Nadu"/>
    <x v="9"/>
    <s v="Dr. Kusum"/>
    <s v="M54"/>
    <s v="Minor Procedure"/>
    <s v="Emergency"/>
    <n v="10874.3"/>
    <s v="UPI"/>
    <s v="No"/>
    <m/>
    <n v="30"/>
    <s v="Adult"/>
    <s v="High"/>
    <s v="Short Days"/>
    <m/>
    <m/>
    <m/>
    <m/>
    <m/>
    <m/>
  </r>
  <r>
    <s v="VIS200912"/>
    <d v="2024-03-02T00:00:00"/>
    <s v="PAT5972"/>
    <s v="Ananya Singh"/>
    <s v="Female"/>
    <n v="37"/>
    <s v="Delhi"/>
    <s v="Delhi"/>
    <x v="4"/>
    <s v="Dr. Varun"/>
    <s v="M54"/>
    <s v="Physiotherapy"/>
    <s v="OPD"/>
    <n v="168.23"/>
    <s v="Insurance"/>
    <s v="Yes"/>
    <m/>
    <n v="14"/>
    <s v="Adult"/>
    <s v="Low"/>
    <s v="Short Days"/>
    <m/>
    <m/>
    <m/>
    <m/>
    <m/>
    <m/>
  </r>
  <r>
    <s v="VIS200466"/>
    <d v="2025-09-11T00:00:00"/>
    <s v="PAT5569"/>
    <s v="Vivaan Gupta"/>
    <s v="Female"/>
    <n v="26"/>
    <s v="Madurai"/>
    <s v="Tamil Nadu"/>
    <x v="4"/>
    <s v="Dr. Bhavana"/>
    <s v="J45"/>
    <s v="Observation"/>
    <s v="OPD"/>
    <n v="6240.17"/>
    <s v="UPI"/>
    <s v="No"/>
    <m/>
    <n v="7"/>
    <s v="Adult"/>
    <s v="Medium"/>
    <s v="Short Days"/>
    <m/>
    <m/>
    <m/>
    <m/>
    <m/>
    <m/>
  </r>
  <r>
    <s v="VIS200839"/>
    <d v="2025-03-06T00:00:00"/>
    <s v="PAT6866"/>
    <s v="Vivaan Kumar"/>
    <s v="Female"/>
    <n v="62"/>
    <s v="Kolkata"/>
    <s v="West Bengal"/>
    <x v="6"/>
    <s v="Dr. Priya"/>
    <s v="N39"/>
    <s v="Medication"/>
    <s v="IPD"/>
    <n v="23002.080000000002"/>
    <s v="UPI"/>
    <s v="No"/>
    <n v="8"/>
    <n v="7"/>
    <s v="Senior"/>
    <s v="High"/>
    <s v="Long Days"/>
    <m/>
    <m/>
    <m/>
    <m/>
    <m/>
    <m/>
  </r>
  <r>
    <s v="VIS201515"/>
    <d v="2025-09-05T00:00:00"/>
    <s v="PAT5561"/>
    <s v="Vivaan Khan"/>
    <s v="Female"/>
    <n v="11"/>
    <s v="Noida"/>
    <s v="Uttar Pradesh"/>
    <x v="4"/>
    <s v="Dr. Varun"/>
    <s v="E11"/>
    <s v="Counselling"/>
    <s v="OPD"/>
    <n v="1071.21"/>
    <s v="Credit Card"/>
    <s v="No"/>
    <m/>
    <m/>
    <s v="Child"/>
    <s v="Low"/>
    <s v="Short Days"/>
    <m/>
    <m/>
    <m/>
    <m/>
    <m/>
    <m/>
  </r>
  <r>
    <s v="VIS201326"/>
    <d v="2025-10-31T00:00:00"/>
    <s v="PAT6832"/>
    <s v="Anil Singh"/>
    <s v="Male"/>
    <n v="61"/>
    <s v="Trichy"/>
    <s v="Tamil Nadu"/>
    <x v="3"/>
    <s v="Dr. Anand"/>
    <s v="N39"/>
    <s v="Minor Surgery"/>
    <s v="Teleconsultation"/>
    <n v="7583.77"/>
    <s v="Debit Card"/>
    <s v="No"/>
    <m/>
    <n v="7"/>
    <s v="Senior"/>
    <s v="Medium"/>
    <s v="Short Days"/>
    <m/>
    <m/>
    <m/>
    <m/>
    <m/>
    <m/>
  </r>
  <r>
    <s v="VIS200416"/>
    <d v="2024-09-22T00:00:00"/>
    <s v="PAT5438"/>
    <s v="Vivaan Khan"/>
    <s v="Male"/>
    <n v="89"/>
    <s v="Kolkata"/>
    <s v="West Bengal"/>
    <x v="2"/>
    <s v="Dr. Manoj"/>
    <s v="E11"/>
    <s v="Minor Surgery"/>
    <s v="OPD"/>
    <n v="1621.38"/>
    <s v="Credit Card"/>
    <s v="No"/>
    <m/>
    <n v="14"/>
    <s v="Senior"/>
    <s v="Low"/>
    <s v="Short Days"/>
    <m/>
    <m/>
    <m/>
    <m/>
    <m/>
    <m/>
  </r>
  <r>
    <s v="VIS202084"/>
    <d v="2024-12-22T00:00:00"/>
    <s v="PAT6738"/>
    <s v="Deepa Gupta"/>
    <s v="Female"/>
    <n v="32"/>
    <s v="Hyderabad"/>
    <s v="Telangana"/>
    <x v="4"/>
    <s v="Dr. Bhavana"/>
    <s v="J45"/>
    <s v="Minor Surgery"/>
    <s v="OPD"/>
    <n v="8376.99"/>
    <s v="Net Banking"/>
    <s v="No"/>
    <m/>
    <n v="7"/>
    <s v="Adult"/>
    <s v="Medium"/>
    <s v="Short Days"/>
    <m/>
    <m/>
    <m/>
    <m/>
    <m/>
    <m/>
  </r>
  <r>
    <s v="VIS200366"/>
    <d v="2025-07-23T00:00:00"/>
    <s v="PAT5979"/>
    <s v="Aarav Bose"/>
    <s v="Male"/>
    <n v="16"/>
    <s v="Noida"/>
    <s v="Uttar Pradesh"/>
    <x v="0"/>
    <s v="Dr. Nikhil"/>
    <s v="E11"/>
    <s v="Minor Procedure"/>
    <s v="OPD"/>
    <n v="8149.35"/>
    <s v="Credit Card"/>
    <s v="No"/>
    <m/>
    <n v="30"/>
    <s v="Child"/>
    <s v="Medium"/>
    <s v="Short Days"/>
    <m/>
    <m/>
    <m/>
    <m/>
    <m/>
    <m/>
  </r>
  <r>
    <s v="VIS200094"/>
    <d v="2025-10-02T00:00:00"/>
    <s v="PAT5635"/>
    <s v="Kavya Mishra"/>
    <s v="Male"/>
    <n v="27"/>
    <s v="Kolkata"/>
    <s v="West Bengal"/>
    <x v="4"/>
    <s v="Dr. Bhavana"/>
    <s v="L40"/>
    <s v="Observation"/>
    <s v="OPD"/>
    <n v="1109.82"/>
    <s v="Insurance"/>
    <s v="Yes"/>
    <m/>
    <m/>
    <s v="Adult"/>
    <s v="Low"/>
    <s v="Short Days"/>
    <m/>
    <m/>
    <m/>
    <m/>
    <m/>
    <m/>
  </r>
  <r>
    <s v="VIS202975"/>
    <d v="2025-01-07T00:00:00"/>
    <s v="PAT5675"/>
    <s v="Ishaan Nair"/>
    <s v="Female"/>
    <n v="68"/>
    <s v="Jaipur"/>
    <s v="Rajasthan"/>
    <x v="4"/>
    <s v="Dr. Varun"/>
    <s v="N39"/>
    <s v="Physiotherapy"/>
    <s v="OPD"/>
    <n v="11160.18"/>
    <s v="Cash"/>
    <s v="No"/>
    <m/>
    <n v="30"/>
    <s v="Senior"/>
    <s v="High"/>
    <s v="Short Days"/>
    <m/>
    <m/>
    <m/>
    <m/>
    <m/>
    <m/>
  </r>
  <r>
    <s v="VIS202630"/>
    <d v="2024-12-14T00:00:00"/>
    <s v="PAT5009"/>
    <s v="Priya Iyer"/>
    <s v="Male"/>
    <n v="57"/>
    <s v="Mumbai"/>
    <s v="Maharashtra"/>
    <x v="6"/>
    <s v="Dr. Lalitha"/>
    <s v="E11"/>
    <s v="Minor Procedure"/>
    <s v="OPD"/>
    <n v="11022.05"/>
    <s v="Debit Card"/>
    <s v="No"/>
    <m/>
    <n v="7"/>
    <s v="Middle-Aged"/>
    <s v="High"/>
    <s v="Short Days"/>
    <m/>
    <m/>
    <m/>
    <m/>
    <m/>
    <m/>
  </r>
  <r>
    <s v="VIS202143"/>
    <d v="2024-11-30T00:00:00"/>
    <s v="PAT6436"/>
    <s v="Aarav Reddy"/>
    <s v="Male"/>
    <n v="65"/>
    <s v="Kochi"/>
    <s v="Kerala"/>
    <x v="7"/>
    <s v="Dr. Surya"/>
    <s v="E11"/>
    <s v="Observation"/>
    <s v="OPD"/>
    <n v="22044.21"/>
    <s v="Debit Card"/>
    <s v="No"/>
    <m/>
    <n v="90"/>
    <s v="Senior"/>
    <s v="High"/>
    <s v="Short Days"/>
    <m/>
    <m/>
    <m/>
    <m/>
    <m/>
    <m/>
  </r>
  <r>
    <s v="VIS202027"/>
    <d v="2025-05-24T00:00:00"/>
    <s v="PAT6753"/>
    <s v="Priya Nair"/>
    <s v="Other"/>
    <n v="33"/>
    <s v="Trichy"/>
    <s v="Tamil Nadu"/>
    <x v="7"/>
    <s v="Dr. Leela"/>
    <s v="N39"/>
    <s v="Minor Surgery"/>
    <s v="Teleconsultation"/>
    <n v="10309.75"/>
    <s v="Cash"/>
    <s v="No"/>
    <m/>
    <n v="14"/>
    <s v="Adult"/>
    <s v="High"/>
    <s v="Short Days"/>
    <m/>
    <m/>
    <m/>
    <m/>
    <m/>
    <m/>
  </r>
  <r>
    <s v="VIS201001"/>
    <d v="2025-05-15T00:00:00"/>
    <s v="PAT6814"/>
    <s v="Shruti Nagar"/>
    <s v="Male"/>
    <n v="31"/>
    <s v="Noida"/>
    <s v="Uttar Pradesh"/>
    <x v="4"/>
    <s v="Dr. Bhavana"/>
    <s v="I10"/>
    <s v="Minor Surgery"/>
    <s v="OPD"/>
    <n v="7047.4"/>
    <s v="Cash"/>
    <s v="No"/>
    <m/>
    <n v="14"/>
    <s v="Adult"/>
    <s v="Medium"/>
    <s v="Short Days"/>
    <m/>
    <m/>
    <m/>
    <m/>
    <m/>
    <m/>
  </r>
  <r>
    <s v="VIS202477"/>
    <d v="2025-09-04T00:00:00"/>
    <s v="PAT5270"/>
    <s v="Vivaan Das"/>
    <s v="Female"/>
    <n v="36"/>
    <s v="Madurai"/>
    <s v="Tamil Nadu"/>
    <x v="4"/>
    <s v="Dr. Varun"/>
    <s v="J45"/>
    <s v="Observation"/>
    <s v="Teleconsultation"/>
    <n v="9149.2099999999991"/>
    <s v="Debit Card"/>
    <s v="No"/>
    <m/>
    <n v="14"/>
    <s v="Adult"/>
    <s v="Medium"/>
    <s v="Short Days"/>
    <m/>
    <m/>
    <m/>
    <m/>
    <m/>
    <m/>
  </r>
  <r>
    <s v="VIS202114"/>
    <d v="2024-12-04T00:00:00"/>
    <s v="PAT5381"/>
    <s v="Aishwarya Nagar"/>
    <s v="Female"/>
    <n v="35"/>
    <s v="Lucknow"/>
    <s v="Uttar Pradesh"/>
    <x v="3"/>
    <s v="Dr. Pallavi"/>
    <s v="L40"/>
    <s v="Medication"/>
    <s v="OPD"/>
    <n v="3153.72"/>
    <s v="Cash"/>
    <s v="No"/>
    <m/>
    <n v="90"/>
    <s v="Adult"/>
    <s v="Low"/>
    <s v="Short Days"/>
    <m/>
    <m/>
    <m/>
    <m/>
    <m/>
    <m/>
  </r>
  <r>
    <s v="VIS202007"/>
    <d v="2024-11-30T00:00:00"/>
    <s v="PAT5358"/>
    <s v="Rahul Nagar"/>
    <s v="Male"/>
    <n v="20"/>
    <s v="Kochi"/>
    <s v="Kerala"/>
    <x v="4"/>
    <s v="Dr. Bhavana"/>
    <s v="J00"/>
    <s v="Prescription Refill"/>
    <s v="Teleconsultation"/>
    <n v="6041.47"/>
    <s v="UPI"/>
    <s v="No"/>
    <m/>
    <n v="90"/>
    <s v="Adult"/>
    <s v="Medium"/>
    <s v="Short Days"/>
    <m/>
    <m/>
    <m/>
    <m/>
    <m/>
    <m/>
  </r>
  <r>
    <s v="VIS200819"/>
    <d v="2025-03-17T00:00:00"/>
    <s v="PAT6831"/>
    <s v="Neha Iyer"/>
    <s v="Male"/>
    <n v="28"/>
    <s v="Noida"/>
    <s v="Uttar Pradesh"/>
    <x v="5"/>
    <s v="Dr. Meena"/>
    <s v="J00"/>
    <s v="Prescription Refill"/>
    <s v="OPD"/>
    <n v="1637.59"/>
    <s v="Cash"/>
    <s v="No"/>
    <m/>
    <n v="90"/>
    <s v="Adult"/>
    <s v="Low"/>
    <s v="Short Days"/>
    <m/>
    <m/>
    <m/>
    <m/>
    <m/>
    <m/>
  </r>
  <r>
    <s v="VIS201864"/>
    <d v="2025-08-28T00:00:00"/>
    <s v="PAT6075"/>
    <s v="Siddharth Khan"/>
    <s v="Male"/>
    <n v="43"/>
    <s v="Pune"/>
    <s v="Maharashtra"/>
    <x v="5"/>
    <s v="Dr. Karthik"/>
    <s v="J00"/>
    <s v="Prescription Refill"/>
    <s v="OPD"/>
    <n v="2495.73"/>
    <s v="UPI"/>
    <s v="No"/>
    <m/>
    <m/>
    <s v="Middle-Aged"/>
    <s v="Low"/>
    <s v="Short Days"/>
    <m/>
    <m/>
    <m/>
    <m/>
    <m/>
    <m/>
  </r>
  <r>
    <s v="VIS201648"/>
    <d v="2024-09-16T00:00:00"/>
    <s v="PAT6855"/>
    <s v="Vishal Kumar"/>
    <s v="Female"/>
    <n v="60"/>
    <s v="Pune"/>
    <s v="Maharashtra"/>
    <x v="2"/>
    <s v="Dr. Ramesh"/>
    <s v="K21"/>
    <s v="Prescription Refill"/>
    <s v="Teleconsultation"/>
    <n v="12133.81"/>
    <s v="Insurance"/>
    <s v="Yes"/>
    <m/>
    <m/>
    <s v="Middle-Aged"/>
    <s v="High"/>
    <s v="Short Days"/>
    <m/>
    <m/>
    <m/>
    <m/>
    <m/>
    <m/>
  </r>
  <r>
    <s v="VIS200320"/>
    <d v="2024-10-05T00:00:00"/>
    <s v="PAT6137"/>
    <s v="Deepa Sharma"/>
    <s v="Female"/>
    <n v="29"/>
    <s v="Coimbatore"/>
    <s v="Tamil Nadu"/>
    <x v="0"/>
    <s v="Dr. Shailesh"/>
    <s v="I10"/>
    <s v="Prescription Refill"/>
    <s v="Teleconsultation"/>
    <n v="11427.1"/>
    <s v="Cash"/>
    <s v="No"/>
    <m/>
    <n v="7"/>
    <s v="Adult"/>
    <s v="High"/>
    <s v="Short Days"/>
    <m/>
    <m/>
    <m/>
    <m/>
    <m/>
    <m/>
  </r>
  <r>
    <s v="VIS201087"/>
    <d v="2024-03-12T00:00:00"/>
    <s v="PAT6814"/>
    <s v="Ananya Bose"/>
    <s v="Male"/>
    <n v="58"/>
    <s v="Hyderabad"/>
    <s v="Telangana"/>
    <x v="2"/>
    <s v="Dr. Manoj"/>
    <s v="J00"/>
    <s v="Surgery"/>
    <s v="Emergency"/>
    <n v="7768.84"/>
    <s v="Insurance"/>
    <s v="Yes"/>
    <m/>
    <n v="90"/>
    <s v="Middle-Aged"/>
    <s v="Medium"/>
    <s v="Short Days"/>
    <m/>
    <m/>
    <m/>
    <m/>
    <m/>
    <m/>
  </r>
  <r>
    <s v="VIS202828"/>
    <d v="2025-09-25T00:00:00"/>
    <s v="PAT6049"/>
    <s v="Aishwarya Patel"/>
    <s v="Male"/>
    <n v="32"/>
    <s v="Hyderabad"/>
    <s v="Telangana"/>
    <x v="6"/>
    <s v="Dr. Lalitha"/>
    <s v="I10"/>
    <s v="Minor Surgery"/>
    <s v="OPD"/>
    <n v="1238.27"/>
    <s v="Cash"/>
    <s v="No"/>
    <m/>
    <n v="14"/>
    <s v="Adult"/>
    <s v="Low"/>
    <s v="Short Days"/>
    <m/>
    <m/>
    <m/>
    <m/>
    <m/>
    <m/>
  </r>
  <r>
    <s v="VIS201731"/>
    <d v="2024-07-04T00:00:00"/>
    <s v="PAT5578"/>
    <s v="Shruti Nair"/>
    <s v="Female"/>
    <n v="65"/>
    <s v="Mumbai"/>
    <s v="Maharashtra"/>
    <x v="2"/>
    <s v="Dr. Manoj"/>
    <s v="J00"/>
    <s v="Surgery"/>
    <s v="Teleconsultation"/>
    <n v="5085.63"/>
    <s v="UPI"/>
    <s v="No"/>
    <m/>
    <n v="30"/>
    <s v="Senior"/>
    <s v="Medium"/>
    <s v="Short Days"/>
    <m/>
    <m/>
    <m/>
    <m/>
    <m/>
    <m/>
  </r>
  <r>
    <s v="VIS202780"/>
    <d v="2024-11-26T00:00:00"/>
    <s v="PAT5176"/>
    <s v="Karthik Nagar"/>
    <s v="Female"/>
    <n v="54"/>
    <s v="Noida"/>
    <s v="Uttar Pradesh"/>
    <x v="9"/>
    <s v="Dr. Kusum"/>
    <s v="K21"/>
    <s v="Minor Surgery"/>
    <s v="OPD"/>
    <n v="1800.26"/>
    <s v="Cash"/>
    <s v="No"/>
    <m/>
    <n v="90"/>
    <s v="Middle-Aged"/>
    <s v="Low"/>
    <s v="Short Days"/>
    <m/>
    <m/>
    <m/>
    <m/>
    <m/>
    <m/>
  </r>
  <r>
    <s v="VIS200931"/>
    <d v="2024-02-16T00:00:00"/>
    <s v="PAT5726"/>
    <s v="Deepa Reddy"/>
    <s v="Female"/>
    <n v="74"/>
    <s v="Delhi"/>
    <s v="Delhi"/>
    <x v="7"/>
    <s v="Dr. Surya"/>
    <s v="J00"/>
    <s v="Physiotherapy"/>
    <s v="OPD"/>
    <n v="1320.4"/>
    <s v="Cash"/>
    <s v="No"/>
    <m/>
    <n v="30"/>
    <s v="Senior"/>
    <s v="Low"/>
    <s v="Short Days"/>
    <m/>
    <m/>
    <m/>
    <m/>
    <m/>
    <m/>
  </r>
  <r>
    <s v="VIS201139"/>
    <d v="2024-01-26T00:00:00"/>
    <s v="PAT6515"/>
    <s v="Shruti Patel"/>
    <s v="Male"/>
    <n v="43"/>
    <s v="Delhi"/>
    <s v="Delhi"/>
    <x v="8"/>
    <s v="Dr. Kavitha"/>
    <s v="I10"/>
    <s v="Minor Procedure"/>
    <s v="OPD"/>
    <n v="1243.1400000000001"/>
    <s v="Credit Card"/>
    <s v="No"/>
    <m/>
    <n v="30"/>
    <s v="Middle-Aged"/>
    <s v="Low"/>
    <s v="Short Days"/>
    <m/>
    <m/>
    <m/>
    <m/>
    <m/>
    <m/>
  </r>
  <r>
    <s v="VIS202245"/>
    <d v="2024-12-26T00:00:00"/>
    <s v="PAT6169"/>
    <s v="Neha Das"/>
    <s v="Female"/>
    <n v="55"/>
    <s v="Madurai"/>
    <s v="Tamil Nadu"/>
    <x v="4"/>
    <s v="Dr. Bhavana"/>
    <s v="N39"/>
    <s v="Surgery"/>
    <s v="IPD"/>
    <n v="6443.1"/>
    <s v="Credit Card"/>
    <s v="No"/>
    <n v="8"/>
    <m/>
    <s v="Middle-Aged"/>
    <s v="Medium"/>
    <s v="Long Days"/>
    <m/>
    <m/>
    <m/>
    <m/>
    <m/>
    <m/>
  </r>
  <r>
    <s v="VIS202186"/>
    <d v="2024-09-21T00:00:00"/>
    <s v="PAT5925"/>
    <s v="Karthik Gupta"/>
    <s v="Female"/>
    <n v="45"/>
    <s v="Delhi"/>
    <s v="Delhi"/>
    <x v="8"/>
    <s v="Dr. Kavitha"/>
    <s v="F41"/>
    <s v="Minor Procedure"/>
    <s v="OPD"/>
    <n v="2124.4899999999998"/>
    <s v="Cash"/>
    <s v="No"/>
    <m/>
    <n v="30"/>
    <s v="Middle-Aged"/>
    <s v="Low"/>
    <s v="Short Days"/>
    <m/>
    <m/>
    <m/>
    <m/>
    <m/>
    <m/>
  </r>
  <r>
    <s v="VIS202292"/>
    <d v="2025-01-11T00:00:00"/>
    <s v="PAT5034"/>
    <s v="Aishwarya Reddy"/>
    <s v="Female"/>
    <n v="26"/>
    <s v="Pune"/>
    <s v="Maharashtra"/>
    <x v="1"/>
    <s v="Dr. Suri"/>
    <s v="K21"/>
    <s v="Minor Procedure"/>
    <s v="OPD"/>
    <n v="2147.9"/>
    <s v="UPI"/>
    <s v="No"/>
    <m/>
    <m/>
    <s v="Adult"/>
    <s v="Low"/>
    <s v="Short Days"/>
    <m/>
    <m/>
    <m/>
    <m/>
    <m/>
    <m/>
  </r>
  <r>
    <s v="VIS202171"/>
    <d v="2024-08-28T00:00:00"/>
    <s v="PAT5435"/>
    <s v="Vishal Sharma"/>
    <s v="Female"/>
    <n v="67"/>
    <s v="Madurai"/>
    <s v="Tamil Nadu"/>
    <x v="7"/>
    <s v="Dr. Leela"/>
    <s v="Z111"/>
    <s v="Physiotherapy"/>
    <s v="OPD"/>
    <n v="2150.77"/>
    <s v="Insurance"/>
    <s v="Yes"/>
    <m/>
    <n v="90"/>
    <s v="Senior"/>
    <s v="Low"/>
    <s v="Short Days"/>
    <m/>
    <m/>
    <m/>
    <m/>
    <m/>
    <m/>
  </r>
  <r>
    <s v="VIS201289"/>
    <d v="2024-02-21T00:00:00"/>
    <s v="PAT5920"/>
    <s v="Rohan Nair"/>
    <s v="Female"/>
    <n v="59"/>
    <s v="Ahmedabad"/>
    <s v="Gujarat"/>
    <x v="8"/>
    <s v="Dr. Kavitha"/>
    <s v="F41"/>
    <s v="Observation"/>
    <s v="OPD"/>
    <n v="4118.12"/>
    <s v="Insurance"/>
    <s v="Yes"/>
    <m/>
    <m/>
    <s v="Middle-Aged"/>
    <s v="Low"/>
    <s v="Short Days"/>
    <m/>
    <m/>
    <m/>
    <m/>
    <m/>
    <m/>
  </r>
  <r>
    <s v="VIS200652"/>
    <d v="2024-04-09T00:00:00"/>
    <s v="PAT5032"/>
    <s v="Ananya Nair"/>
    <s v="Female"/>
    <n v="12"/>
    <s v="Kochi"/>
    <s v="Kerala"/>
    <x v="1"/>
    <s v="Dr. Suri"/>
    <s v="M54"/>
    <s v="Minor Surgery"/>
    <s v="OPD"/>
    <n v="3870.28"/>
    <s v="Cash"/>
    <s v="No"/>
    <m/>
    <m/>
    <s v="Child"/>
    <s v="Low"/>
    <s v="Short Days"/>
    <m/>
    <m/>
    <m/>
    <m/>
    <m/>
    <m/>
  </r>
  <r>
    <s v="VIS200373"/>
    <d v="2024-02-18T00:00:00"/>
    <s v="PAT5834"/>
    <s v="Siddharth Singh"/>
    <s v="Female"/>
    <n v="17"/>
    <s v="Trichy"/>
    <s v="Tamil Nadu"/>
    <x v="3"/>
    <s v="Dr. Anand"/>
    <s v="E11"/>
    <s v="Minor Surgery"/>
    <s v="Teleconsultation"/>
    <n v="5064.1000000000004"/>
    <s v="Credit Card"/>
    <s v="No"/>
    <m/>
    <n v="30"/>
    <s v="Child"/>
    <s v="Medium"/>
    <s v="Short Days"/>
    <m/>
    <m/>
    <m/>
    <m/>
    <m/>
    <m/>
  </r>
  <r>
    <s v="VIS201298"/>
    <d v="2024-11-14T00:00:00"/>
    <s v="PAT6464"/>
    <s v="Anil Sharma"/>
    <s v="Male"/>
    <n v="65"/>
    <s v="Madurai"/>
    <s v="Tamil Nadu"/>
    <x v="8"/>
    <s v="Dr. Kavitha"/>
    <s v="J00"/>
    <s v="Observation"/>
    <s v="OPD"/>
    <n v="24936.3"/>
    <s v="Net Banking"/>
    <s v="No"/>
    <m/>
    <n v="14"/>
    <s v="Senior"/>
    <s v="High"/>
    <s v="Short Days"/>
    <m/>
    <m/>
    <m/>
    <m/>
    <m/>
    <m/>
  </r>
  <r>
    <s v="VIS201578"/>
    <d v="2024-11-28T00:00:00"/>
    <s v="PAT6390"/>
    <s v="Neha Das"/>
    <s v="Male"/>
    <n v="32"/>
    <s v="Delhi"/>
    <s v="Delhi"/>
    <x v="3"/>
    <s v="Dr. Anand"/>
    <s v="N39"/>
    <s v="Medication"/>
    <s v="Teleconsultation"/>
    <n v="14725.69"/>
    <s v="Cash"/>
    <s v="No"/>
    <m/>
    <n v="90"/>
    <s v="Adult"/>
    <s v="High"/>
    <s v="Short Days"/>
    <m/>
    <m/>
    <m/>
    <m/>
    <m/>
    <m/>
  </r>
  <r>
    <s v="VIS201825"/>
    <d v="2024-09-18T00:00:00"/>
    <s v="PAT5109"/>
    <s v="Aditya Das"/>
    <s v="Female"/>
    <n v="54"/>
    <s v="Chennai"/>
    <s v="Tamil Nadu"/>
    <x v="1"/>
    <s v="Dr. Suri"/>
    <s v="I10"/>
    <s v="Minor Procedure"/>
    <s v="Emergency"/>
    <n v="20041.509999999998"/>
    <s v="UPI"/>
    <s v="No"/>
    <m/>
    <n v="14"/>
    <s v="Middle-Aged"/>
    <s v="High"/>
    <s v="Short Days"/>
    <m/>
    <m/>
    <m/>
    <m/>
    <m/>
    <m/>
  </r>
  <r>
    <s v="VIS200048"/>
    <d v="2024-11-14T00:00:00"/>
    <s v="PAT6436"/>
    <s v="Aarav Reddy"/>
    <s v="Female"/>
    <n v="52"/>
    <s v="Hyderabad"/>
    <s v="Telangana"/>
    <x v="7"/>
    <s v="Dr. Leela"/>
    <s v="J00"/>
    <s v="Minor Surgery"/>
    <s v="Teleconsultation"/>
    <n v="5013.46"/>
    <s v="Debit Card"/>
    <s v="No"/>
    <m/>
    <m/>
    <s v="Middle-Aged"/>
    <s v="Medium"/>
    <s v="Short Days"/>
    <m/>
    <m/>
    <m/>
    <m/>
    <m/>
    <m/>
  </r>
  <r>
    <s v="VIS201851"/>
    <d v="2025-02-02T00:00:00"/>
    <s v="PAT6285"/>
    <s v="Arjun Kumar"/>
    <s v="Male"/>
    <n v="53"/>
    <s v="Trichy"/>
    <s v="Tamil Nadu"/>
    <x v="1"/>
    <s v="Dr. Suri"/>
    <s v="J45"/>
    <s v="Observation"/>
    <s v="Emergency"/>
    <n v="6319.08"/>
    <s v="UPI"/>
    <s v="No"/>
    <m/>
    <n v="30"/>
    <s v="Middle-Aged"/>
    <s v="Medium"/>
    <s v="Short Days"/>
    <m/>
    <m/>
    <m/>
    <m/>
    <m/>
    <m/>
  </r>
  <r>
    <s v="VIS201947"/>
    <d v="2025-01-31T00:00:00"/>
    <s v="PAT6651"/>
    <s v="Ishaan Nagar"/>
    <s v="Male"/>
    <n v="51"/>
    <s v="Noida"/>
    <s v="Uttar Pradesh"/>
    <x v="7"/>
    <s v="Dr. Surya"/>
    <s v="N39"/>
    <s v="Observation"/>
    <s v="OPD"/>
    <n v="4053.67"/>
    <s v="Debit Card"/>
    <s v="No"/>
    <m/>
    <n v="90"/>
    <s v="Middle-Aged"/>
    <s v="Low"/>
    <s v="Short Days"/>
    <m/>
    <m/>
    <m/>
    <m/>
    <m/>
    <m/>
  </r>
  <r>
    <s v="VIS202613"/>
    <d v="2025-05-06T00:00:00"/>
    <s v="PAT5512"/>
    <s v="Aditya Gupta"/>
    <s v="Male"/>
    <n v="50"/>
    <s v="Noida"/>
    <s v="Uttar Pradesh"/>
    <x v="3"/>
    <s v="Dr. Pallavi"/>
    <s v="H10"/>
    <s v="Minor Procedure"/>
    <s v="OPD"/>
    <n v="2235.19"/>
    <s v="UPI"/>
    <s v="No"/>
    <m/>
    <m/>
    <s v="Middle-Aged"/>
    <s v="Low"/>
    <s v="Short Days"/>
    <m/>
    <m/>
    <m/>
    <m/>
    <m/>
    <m/>
  </r>
  <r>
    <s v="VIS200600"/>
    <d v="2025-04-22T00:00:00"/>
    <s v="PAT5768"/>
    <s v="Karthik Nair"/>
    <s v="Male"/>
    <n v="22"/>
    <s v="Noida"/>
    <s v="Uttar Pradesh"/>
    <x v="6"/>
    <s v="Dr. Priya"/>
    <s v="K21"/>
    <s v="Medication"/>
    <s v="OPD"/>
    <n v="2223.66"/>
    <s v="Insurance"/>
    <s v="Yes"/>
    <m/>
    <n v="30"/>
    <s v="Adult"/>
    <s v="Low"/>
    <s v="Short Days"/>
    <m/>
    <m/>
    <m/>
    <m/>
    <m/>
    <m/>
  </r>
  <r>
    <s v="VIS202188"/>
    <d v="2025-04-17T00:00:00"/>
    <s v="PAT6720"/>
    <s v="Aarav Nagar"/>
    <s v="Female"/>
    <n v="25"/>
    <s v="Madurai"/>
    <s v="Tamil Nadu"/>
    <x v="5"/>
    <s v="Dr. Ravi"/>
    <s v="F41"/>
    <s v="Physiotherapy"/>
    <s v="OPD"/>
    <n v="5433.09"/>
    <s v="Insurance"/>
    <s v="Yes"/>
    <m/>
    <m/>
    <s v="Adult"/>
    <s v="Medium"/>
    <s v="Short Days"/>
    <m/>
    <m/>
    <m/>
    <m/>
    <m/>
    <m/>
  </r>
  <r>
    <s v="VIS200042"/>
    <d v="2024-10-20T00:00:00"/>
    <s v="PAT6636"/>
    <s v="Priya Das"/>
    <s v="Female"/>
    <n v="60"/>
    <s v="Chennai"/>
    <s v="Tamil Nadu"/>
    <x v="1"/>
    <s v="Dr. Suri"/>
    <s v="F41"/>
    <s v="Physiotherapy"/>
    <s v="Emergency"/>
    <n v="14370.48"/>
    <s v="Insurance"/>
    <s v="Yes"/>
    <m/>
    <m/>
    <s v="Middle-Aged"/>
    <s v="High"/>
    <s v="Short Days"/>
    <m/>
    <m/>
    <m/>
    <m/>
    <m/>
    <m/>
  </r>
  <r>
    <s v="VIS200173"/>
    <d v="2024-09-24T00:00:00"/>
    <s v="PAT5075"/>
    <s v="Vivaan Kumar"/>
    <s v="Female"/>
    <n v="22"/>
    <s v="Bengaluru"/>
    <s v="Karnataka"/>
    <x v="6"/>
    <s v="Dr. Priya"/>
    <s v="M54"/>
    <s v="Physiotherapy"/>
    <s v="OPD"/>
    <n v="1456.05"/>
    <s v="Debit Card"/>
    <s v="No"/>
    <m/>
    <n v="7"/>
    <s v="Adult"/>
    <s v="Low"/>
    <s v="Short Days"/>
    <m/>
    <m/>
    <m/>
    <m/>
    <m/>
    <m/>
  </r>
  <r>
    <s v="VIS201131"/>
    <d v="2024-09-06T00:00:00"/>
    <s v="PAT6250"/>
    <s v="Rahul Jose"/>
    <s v="Female"/>
    <n v="40"/>
    <s v="Coimbatore"/>
    <s v="Tamil Nadu"/>
    <x v="2"/>
    <s v="Dr. Manoj"/>
    <s v="E11"/>
    <s v="Prescription Refill"/>
    <s v="OPD"/>
    <n v="4914.13"/>
    <s v="Credit Card"/>
    <s v="No"/>
    <m/>
    <n v="14"/>
    <s v="Adult"/>
    <s v="Low"/>
    <s v="Short Days"/>
    <m/>
    <m/>
    <m/>
    <m/>
    <m/>
    <m/>
  </r>
  <r>
    <s v="VIS202300"/>
    <d v="2024-10-16T00:00:00"/>
    <s v="PAT5441"/>
    <s v="Aarav Iyer"/>
    <s v="Male"/>
    <n v="45"/>
    <s v="Kochi"/>
    <s v="Kerala"/>
    <x v="3"/>
    <s v="Dr. Anand"/>
    <s v="J00"/>
    <s v="Surgery"/>
    <s v="OPD"/>
    <n v="175.15"/>
    <s v="Cash"/>
    <s v="No"/>
    <m/>
    <m/>
    <s v="Middle-Aged"/>
    <s v="Low"/>
    <s v="Short Days"/>
    <m/>
    <m/>
    <m/>
    <m/>
    <m/>
    <m/>
  </r>
  <r>
    <s v="VIS201895"/>
    <d v="2025-08-22T00:00:00"/>
    <s v="PAT5270"/>
    <s v="Vivaan Bose"/>
    <s v="Male"/>
    <n v="36"/>
    <s v="Pune"/>
    <s v="Maharashtra"/>
    <x v="8"/>
    <s v="Dr. Kavitha"/>
    <s v="F41"/>
    <s v="Surgery"/>
    <s v="Emergency"/>
    <n v="12733.63"/>
    <s v="Cash"/>
    <s v="No"/>
    <m/>
    <n v="30"/>
    <s v="Adult"/>
    <s v="High"/>
    <s v="Short Days"/>
    <m/>
    <m/>
    <m/>
    <m/>
    <m/>
    <m/>
  </r>
  <r>
    <s v="VIS201257"/>
    <d v="2024-11-11T00:00:00"/>
    <s v="PAT6223"/>
    <s v="Priya Nair"/>
    <s v="Male"/>
    <n v="40"/>
    <s v="Hyderabad"/>
    <s v="Telangana"/>
    <x v="8"/>
    <s v="Dr. Sneha"/>
    <s v="H10"/>
    <s v="Medication"/>
    <s v="OPD"/>
    <n v="3093.39"/>
    <s v="Debit Card"/>
    <s v="No"/>
    <m/>
    <n v="90"/>
    <s v="Adult"/>
    <s v="Low"/>
    <s v="Short Days"/>
    <m/>
    <m/>
    <m/>
    <m/>
    <m/>
    <m/>
  </r>
  <r>
    <s v="VIS202316"/>
    <d v="2025-05-28T00:00:00"/>
    <s v="PAT5328"/>
    <s v="Neha Singh"/>
    <s v="Male"/>
    <n v="36"/>
    <s v="Coimbatore"/>
    <s v="Tamil Nadu"/>
    <x v="3"/>
    <s v="Dr. Anand"/>
    <s v="J00"/>
    <s v="Counselling"/>
    <s v="IPD"/>
    <n v="6010.81"/>
    <s v="Credit Card"/>
    <s v="No"/>
    <n v="7"/>
    <n v="30"/>
    <s v="Adult"/>
    <s v="Medium"/>
    <s v="Long Days"/>
    <m/>
    <m/>
    <m/>
    <m/>
    <m/>
    <m/>
  </r>
  <r>
    <s v="VIS201409"/>
    <d v="2024-10-11T00:00:00"/>
    <s v="PAT6898"/>
    <s v="Aarav Patel"/>
    <s v="Male"/>
    <n v="45"/>
    <s v="Jaipur"/>
    <s v="Rajasthan"/>
    <x v="7"/>
    <s v="Dr. Leela"/>
    <s v="L40"/>
    <s v="Observation"/>
    <s v="OPD"/>
    <n v="2188.21"/>
    <s v="Cash"/>
    <s v="No"/>
    <m/>
    <m/>
    <s v="Middle-Aged"/>
    <s v="Low"/>
    <s v="Short Days"/>
    <m/>
    <m/>
    <m/>
    <m/>
    <m/>
    <m/>
  </r>
  <r>
    <s v="VIS200548"/>
    <d v="2024-04-27T00:00:00"/>
    <s v="PAT6515"/>
    <s v="Aditya Kumar"/>
    <s v="Female"/>
    <n v="52"/>
    <s v="Delhi"/>
    <s v="Delhi"/>
    <x v="0"/>
    <s v="Dr. Shailesh"/>
    <s v="H10"/>
    <s v="Minor Surgery"/>
    <s v="OPD"/>
    <n v="321.95999999999998"/>
    <s v="Cash"/>
    <s v="No"/>
    <m/>
    <n v="90"/>
    <s v="Middle-Aged"/>
    <s v="Low"/>
    <s v="Short Days"/>
    <m/>
    <m/>
    <m/>
    <m/>
    <m/>
    <m/>
  </r>
  <r>
    <s v="VIS200397"/>
    <d v="2024-09-15T00:00:00"/>
    <s v="PAT5066"/>
    <s v="Manisha Das"/>
    <s v="Female"/>
    <n v="31"/>
    <s v="Mumbai"/>
    <s v="Maharashtra"/>
    <x v="2"/>
    <s v="Dr. Ramesh"/>
    <s v="K21"/>
    <s v="Counselling"/>
    <s v="Teleconsultation"/>
    <n v="5937.49"/>
    <s v="Net Banking"/>
    <s v="No"/>
    <m/>
    <n v="30"/>
    <s v="Adult"/>
    <s v="Medium"/>
    <s v="Short Days"/>
    <m/>
    <m/>
    <m/>
    <m/>
    <m/>
    <m/>
  </r>
  <r>
    <s v="VIS202856"/>
    <d v="2024-07-10T00:00:00"/>
    <s v="PAT5924"/>
    <s v="Aditya Singh"/>
    <s v="Male"/>
    <n v="52"/>
    <s v="Ahmedabad"/>
    <s v="Gujarat"/>
    <x v="1"/>
    <s v="Dr. Suri"/>
    <s v="J00"/>
    <s v="Minor Surgery"/>
    <s v="OPD"/>
    <n v="1691.79"/>
    <s v="Cash"/>
    <s v="No"/>
    <m/>
    <n v="30"/>
    <s v="Middle-Aged"/>
    <s v="Low"/>
    <s v="Short Days"/>
    <m/>
    <m/>
    <m/>
    <m/>
    <m/>
    <m/>
  </r>
  <r>
    <s v="VIS202763"/>
    <d v="2025-03-24T00:00:00"/>
    <s v="PAT6959"/>
    <s v="Deepa Patel"/>
    <s v="Female"/>
    <n v="50"/>
    <s v="Noida"/>
    <s v="Uttar Pradesh"/>
    <x v="5"/>
    <s v="Dr. Ravi"/>
    <s v="H10"/>
    <s v="Minor Surgery"/>
    <s v="OPD"/>
    <n v="255.29"/>
    <s v="UPI"/>
    <s v="No"/>
    <m/>
    <n v="7"/>
    <s v="Middle-Aged"/>
    <s v="Low"/>
    <s v="Short Days"/>
    <m/>
    <m/>
    <m/>
    <m/>
    <m/>
    <m/>
  </r>
  <r>
    <s v="VIS201110"/>
    <d v="2025-05-23T00:00:00"/>
    <s v="PAT5536"/>
    <s v="Manisha Jose"/>
    <s v="Female"/>
    <n v="35"/>
    <s v="Jaipur"/>
    <s v="Rajasthan"/>
    <x v="2"/>
    <s v="Dr. Manoj"/>
    <s v="J45"/>
    <s v="Minor Procedure"/>
    <s v="OPD"/>
    <n v="3732.3"/>
    <s v="Credit Card"/>
    <s v="No"/>
    <m/>
    <n v="14"/>
    <s v="Adult"/>
    <s v="Low"/>
    <s v="Short Days"/>
    <m/>
    <m/>
    <m/>
    <m/>
    <m/>
    <m/>
  </r>
  <r>
    <s v="VIS202017"/>
    <d v="2024-05-07T00:00:00"/>
    <s v="PAT6065"/>
    <s v="Karthik Gupta"/>
    <s v="Male"/>
    <n v="9"/>
    <s v="Trichy"/>
    <s v="Tamil Nadu"/>
    <x v="1"/>
    <s v="Dr. Suri"/>
    <s v="L40"/>
    <s v="Medication"/>
    <s v="OPD"/>
    <n v="1226.54"/>
    <s v="Cash"/>
    <s v="No"/>
    <m/>
    <m/>
    <s v="Child"/>
    <s v="Low"/>
    <s v="Short Days"/>
    <m/>
    <m/>
    <m/>
    <m/>
    <m/>
    <m/>
  </r>
  <r>
    <s v="VIS201877"/>
    <d v="2025-10-06T00:00:00"/>
    <s v="PAT6503"/>
    <s v="Anil Singh"/>
    <s v="Female"/>
    <n v="34"/>
    <s v="Lucknow"/>
    <s v="Uttar Pradesh"/>
    <x v="7"/>
    <s v="Dr. Surya"/>
    <s v="M54"/>
    <s v="Surgery"/>
    <s v="OPD"/>
    <n v="2313.0100000000002"/>
    <s v="Debit Card"/>
    <s v="No"/>
    <m/>
    <n v="30"/>
    <s v="Adult"/>
    <s v="Low"/>
    <s v="Short Days"/>
    <m/>
    <m/>
    <m/>
    <m/>
    <m/>
    <m/>
  </r>
  <r>
    <s v="VIS201185"/>
    <d v="2025-07-15T00:00:00"/>
    <s v="PAT5809"/>
    <s v="Aishwarya Das"/>
    <s v="Male"/>
    <n v="12"/>
    <s v="Lucknow"/>
    <s v="Uttar Pradesh"/>
    <x v="7"/>
    <s v="Dr. Leela"/>
    <s v="L40"/>
    <s v="Surgery"/>
    <s v="Emergency"/>
    <n v="13553.52"/>
    <s v="UPI"/>
    <s v="No"/>
    <m/>
    <m/>
    <s v="Child"/>
    <s v="High"/>
    <s v="Short Days"/>
    <m/>
    <m/>
    <m/>
    <m/>
    <m/>
    <m/>
  </r>
  <r>
    <s v="VIS201082"/>
    <d v="2025-03-31T00:00:00"/>
    <s v="PAT6919"/>
    <s v="Ananya Reddy"/>
    <s v="Female"/>
    <n v="14"/>
    <s v="Madurai"/>
    <s v="Tamil Nadu"/>
    <x v="8"/>
    <s v="Dr. Kavitha"/>
    <s v="I10"/>
    <s v="Surgery"/>
    <s v="Teleconsultation"/>
    <n v="8066.17"/>
    <s v="Net Banking"/>
    <s v="No"/>
    <m/>
    <n v="30"/>
    <s v="Child"/>
    <s v="Medium"/>
    <s v="Short Days"/>
    <m/>
    <m/>
    <m/>
    <m/>
    <m/>
    <m/>
  </r>
  <r>
    <s v="VIS202040"/>
    <d v="2025-08-10T00:00:00"/>
    <s v="PAT5370"/>
    <s v="Priya Nagar"/>
    <s v="Female"/>
    <n v="41"/>
    <s v="Jaipur"/>
    <s v="Rajasthan"/>
    <x v="7"/>
    <s v="Dr. Surya"/>
    <s v="I10"/>
    <s v="Prescription Refill"/>
    <s v="IPD"/>
    <n v="12567.79"/>
    <s v="UPI"/>
    <s v="No"/>
    <n v="6"/>
    <n v="14"/>
    <s v="Middle-Aged"/>
    <s v="High"/>
    <s v="Long Days"/>
    <m/>
    <m/>
    <m/>
    <m/>
    <m/>
    <m/>
  </r>
  <r>
    <s v="VIS202462"/>
    <d v="2025-01-10T00:00:00"/>
    <s v="PAT5568"/>
    <s v="Priya Nagar"/>
    <s v="Male"/>
    <n v="41"/>
    <s v="Delhi"/>
    <s v="Delhi"/>
    <x v="0"/>
    <s v="Dr. Nikhil"/>
    <s v="K21"/>
    <s v="Minor Procedure"/>
    <s v="OPD"/>
    <n v="2318.79"/>
    <s v="UPI"/>
    <s v="No"/>
    <m/>
    <n v="7"/>
    <s v="Middle-Aged"/>
    <s v="Low"/>
    <s v="Short Days"/>
    <m/>
    <m/>
    <m/>
    <m/>
    <m/>
    <m/>
  </r>
  <r>
    <s v="VIS200482"/>
    <d v="2025-04-29T00:00:00"/>
    <s v="PAT5651"/>
    <s v="Rohan Iyer"/>
    <s v="Male"/>
    <n v="41"/>
    <s v="Kochi"/>
    <s v="Kerala"/>
    <x v="6"/>
    <s v="Dr. Priya"/>
    <s v="I10"/>
    <s v="Medication"/>
    <s v="OPD"/>
    <n v="4767.9799999999996"/>
    <s v="Net Banking"/>
    <s v="No"/>
    <m/>
    <n v="30"/>
    <s v="Middle-Aged"/>
    <s v="Low"/>
    <s v="Short Days"/>
    <m/>
    <m/>
    <m/>
    <m/>
    <m/>
    <m/>
  </r>
  <r>
    <s v="VIS202636"/>
    <d v="2024-10-10T00:00:00"/>
    <s v="PAT6603"/>
    <s v="Shruti Kumar"/>
    <s v="Male"/>
    <n v="28"/>
    <s v="Lucknow"/>
    <s v="Uttar Pradesh"/>
    <x v="8"/>
    <s v="Dr. Kavitha"/>
    <s v="M54"/>
    <s v="Minor Surgery"/>
    <s v="OPD"/>
    <n v="6603.44"/>
    <s v="UPI"/>
    <s v="No"/>
    <m/>
    <n v="14"/>
    <s v="Adult"/>
    <s v="Medium"/>
    <s v="Short Days"/>
    <m/>
    <m/>
    <m/>
    <m/>
    <m/>
    <m/>
  </r>
  <r>
    <s v="VIS201378"/>
    <d v="2025-01-23T00:00:00"/>
    <s v="PAT6380"/>
    <s v="Karthik Kumar"/>
    <s v="Female"/>
    <n v="13"/>
    <s v="Chennai"/>
    <s v="Tamil Nadu"/>
    <x v="6"/>
    <s v="Dr. Priya"/>
    <s v="L40"/>
    <s v="Prescription Refill"/>
    <s v="Teleconsultation"/>
    <n v="6477.31"/>
    <s v="Insurance"/>
    <s v="Yes"/>
    <m/>
    <n v="90"/>
    <s v="Child"/>
    <s v="Medium"/>
    <s v="Short Days"/>
    <m/>
    <m/>
    <m/>
    <m/>
    <m/>
    <m/>
  </r>
  <r>
    <s v="VIS200692"/>
    <d v="2024-12-23T00:00:00"/>
    <s v="PAT6685"/>
    <s v="Neha Nair"/>
    <s v="Female"/>
    <n v="34"/>
    <s v="Chennai"/>
    <s v="Tamil Nadu"/>
    <x v="9"/>
    <s v="Dr. Kusum"/>
    <s v="M54"/>
    <s v="Prescription Refill"/>
    <s v="OPD"/>
    <n v="11339.14"/>
    <s v="Debit Card"/>
    <s v="No"/>
    <m/>
    <n v="7"/>
    <s v="Adult"/>
    <s v="High"/>
    <s v="Short Days"/>
    <m/>
    <m/>
    <m/>
    <m/>
    <m/>
    <m/>
  </r>
  <r>
    <s v="VIS201389"/>
    <d v="2025-03-01T00:00:00"/>
    <s v="PAT5768"/>
    <s v="Sangeetha Reddy"/>
    <s v="Female"/>
    <n v="24"/>
    <s v="Delhi"/>
    <s v="Kerala"/>
    <x v="2"/>
    <s v="Dr. Ramesh"/>
    <s v="Z111"/>
    <s v="Medication"/>
    <s v="OPD"/>
    <n v="4432.3"/>
    <s v="Insurance"/>
    <s v="Yes"/>
    <m/>
    <n v="90"/>
    <s v="Adult"/>
    <s v="Low"/>
    <s v="Short Days"/>
    <m/>
    <m/>
    <m/>
    <m/>
    <m/>
    <m/>
  </r>
  <r>
    <s v="VIS200302"/>
    <d v="2025-08-28T00:00:00"/>
    <s v="PAT5912"/>
    <s v="Karthik Mishra"/>
    <s v="Male"/>
    <n v="21"/>
    <s v="Lucknow"/>
    <s v="Uttar Pradesh"/>
    <x v="3"/>
    <s v="Dr. Pallavi"/>
    <s v="E11"/>
    <s v="Medication"/>
    <s v="Teleconsultation"/>
    <n v="5270.07"/>
    <s v="Debit Card"/>
    <s v="No"/>
    <m/>
    <n v="90"/>
    <s v="Adult"/>
    <s v="Medium"/>
    <s v="Short Days"/>
    <m/>
    <m/>
    <m/>
    <m/>
    <m/>
    <m/>
  </r>
  <r>
    <s v="VIS202991"/>
    <d v="2025-09-21T00:00:00"/>
    <s v="PAT5646"/>
    <s v="Sangeetha Singh"/>
    <s v="Female"/>
    <n v="32"/>
    <s v="Trichy"/>
    <s v="Tamil Nadu"/>
    <x v="3"/>
    <s v="Dr. Anand"/>
    <s v="I10"/>
    <s v="Minor Surgery"/>
    <s v="Teleconsultation"/>
    <n v="6546.42"/>
    <s v="Cash"/>
    <s v="No"/>
    <m/>
    <n v="30"/>
    <s v="Adult"/>
    <s v="Medium"/>
    <s v="Short Days"/>
    <m/>
    <m/>
    <m/>
    <m/>
    <m/>
    <m/>
  </r>
  <r>
    <s v="VIS201913"/>
    <d v="2024-03-16T00:00:00"/>
    <s v="PAT6543"/>
    <s v="Karthik Bose"/>
    <s v="Female"/>
    <n v="33"/>
    <s v="Trichy"/>
    <s v="Tamil Nadu"/>
    <x v="1"/>
    <s v="Dr. Anu"/>
    <s v="L40"/>
    <s v="Surgery"/>
    <s v="OPD"/>
    <n v="6750.86"/>
    <s v="Cash"/>
    <s v="No"/>
    <m/>
    <m/>
    <s v="Adult"/>
    <s v="Medium"/>
    <s v="Short Days"/>
    <m/>
    <m/>
    <m/>
    <m/>
    <m/>
    <m/>
  </r>
  <r>
    <s v="VIS202387"/>
    <d v="2024-05-12T00:00:00"/>
    <s v="PAT5587"/>
    <s v="Ishaan Singh"/>
    <s v="Female"/>
    <n v="63"/>
    <s v="Chennai"/>
    <s v="Tamil Nadu"/>
    <x v="5"/>
    <s v="Dr. Meena"/>
    <s v="F41"/>
    <s v="Minor Procedure"/>
    <s v="Teleconsultation"/>
    <n v="13805.7"/>
    <s v="Insurance"/>
    <s v="Yes"/>
    <m/>
    <n v="30"/>
    <s v="Senior"/>
    <s v="High"/>
    <s v="Short Days"/>
    <m/>
    <m/>
    <m/>
    <m/>
    <m/>
    <m/>
  </r>
  <r>
    <s v="VIS200608"/>
    <d v="2024-06-02T00:00:00"/>
    <s v="PAT6564"/>
    <s v="Sangeetha Jose"/>
    <s v="Female"/>
    <n v="31"/>
    <s v="Kolkata"/>
    <s v="West Bengal"/>
    <x v="8"/>
    <s v="Dr. Sneha"/>
    <s v="L40"/>
    <s v="Medication"/>
    <s v="Emergency"/>
    <n v="5669.21"/>
    <s v="Net Banking"/>
    <s v="No"/>
    <m/>
    <n v="90"/>
    <s v="Adult"/>
    <s v="Medium"/>
    <s v="Short Days"/>
    <m/>
    <m/>
    <m/>
    <m/>
    <m/>
    <m/>
  </r>
  <r>
    <s v="VIS201792"/>
    <d v="2024-12-22T00:00:00"/>
    <s v="PAT6876"/>
    <s v="Karthik Singh"/>
    <s v="Female"/>
    <n v="33"/>
    <s v="Trichy"/>
    <s v="Tamil Nadu"/>
    <x v="7"/>
    <s v="Dr. Surya"/>
    <s v="E11"/>
    <s v="Counselling"/>
    <s v="Teleconsultation"/>
    <n v="5769.86"/>
    <s v="Insurance"/>
    <s v="Yes"/>
    <m/>
    <n v="30"/>
    <s v="Adult"/>
    <s v="Medium"/>
    <s v="Short Days"/>
    <m/>
    <m/>
    <m/>
    <m/>
    <m/>
    <m/>
  </r>
  <r>
    <s v="VIS200012"/>
    <d v="2025-10-06T00:00:00"/>
    <s v="PAT5341"/>
    <s v="Shruti Singh"/>
    <s v="Male"/>
    <n v="37"/>
    <s v="Madurai"/>
    <s v="Tamil Nadu"/>
    <x v="2"/>
    <s v="Dr. Ramesh"/>
    <s v="J00"/>
    <s v="Observation"/>
    <s v="OPD"/>
    <n v="2868.17"/>
    <s v="Credit Card"/>
    <s v="No"/>
    <m/>
    <n v="90"/>
    <s v="Adult"/>
    <s v="Low"/>
    <s v="Short Days"/>
    <m/>
    <m/>
    <m/>
    <m/>
    <m/>
    <m/>
  </r>
  <r>
    <s v="VIS202916"/>
    <d v="2024-06-24T00:00:00"/>
    <s v="PAT5924"/>
    <s v="Priya Mishra"/>
    <s v="Male"/>
    <n v="22"/>
    <s v="Kochi"/>
    <s v="Kerala"/>
    <x v="3"/>
    <s v="Dr. Pallavi"/>
    <s v="L40"/>
    <s v="Minor Surgery"/>
    <s v="OPD"/>
    <n v="470.69"/>
    <s v="Net Banking"/>
    <s v="No"/>
    <m/>
    <n v="30"/>
    <s v="Adult"/>
    <s v="Low"/>
    <s v="Short Days"/>
    <m/>
    <m/>
    <m/>
    <m/>
    <m/>
    <m/>
  </r>
  <r>
    <s v="VIS202562"/>
    <d v="2025-05-19T00:00:00"/>
    <s v="PAT6688"/>
    <s v="Ananya Nagar"/>
    <s v="Female"/>
    <n v="42"/>
    <s v="Delhi"/>
    <s v="Delhi"/>
    <x v="2"/>
    <s v="Dr. Manoj"/>
    <s v="J45"/>
    <s v="Minor Surgery"/>
    <s v="OPD"/>
    <n v="2069.71"/>
    <s v="Insurance"/>
    <s v="Yes"/>
    <m/>
    <n v="7"/>
    <s v="Middle-Aged"/>
    <s v="Low"/>
    <s v="Short Days"/>
    <m/>
    <m/>
    <m/>
    <m/>
    <m/>
    <m/>
  </r>
  <r>
    <s v="VIS200873"/>
    <d v="2025-03-26T00:00:00"/>
    <s v="PAT6932"/>
    <s v="Rohan Khan"/>
    <s v="Male"/>
    <n v="63"/>
    <s v="Kolkata"/>
    <s v="West Bengal"/>
    <x v="7"/>
    <s v="Dr. Surya"/>
    <s v="E11"/>
    <s v="Physiotherapy"/>
    <s v="OPD"/>
    <n v="374.58"/>
    <s v="Credit Card"/>
    <s v="No"/>
    <m/>
    <n v="30"/>
    <s v="Senior"/>
    <s v="Low"/>
    <s v="Short Days"/>
    <m/>
    <m/>
    <m/>
    <m/>
    <m/>
    <m/>
  </r>
  <r>
    <s v="VIS201705"/>
    <d v="2025-03-16T00:00:00"/>
    <s v="PAT5825"/>
    <s v="Ananya Mishra"/>
    <s v="Male"/>
    <n v="28"/>
    <s v="Pune"/>
    <s v="Maharashtra"/>
    <x v="6"/>
    <s v="Dr. Priya"/>
    <s v="L40"/>
    <s v="Surgery"/>
    <s v="OPD"/>
    <n v="5154.1400000000003"/>
    <s v="UPI"/>
    <s v="No"/>
    <m/>
    <n v="14"/>
    <s v="Adult"/>
    <s v="Medium"/>
    <s v="Short Days"/>
    <m/>
    <m/>
    <m/>
    <m/>
    <m/>
    <m/>
  </r>
  <r>
    <s v="VIS200647"/>
    <d v="2024-08-29T00:00:00"/>
    <s v="PAT6106"/>
    <s v="Aditya Kumar"/>
    <s v="Male"/>
    <n v="14"/>
    <s v="Chennai"/>
    <s v="Tamil Nadu"/>
    <x v="9"/>
    <s v="Dr. Kusum"/>
    <s v="K21"/>
    <s v="Physiotherapy"/>
    <s v="OPD"/>
    <n v="4955.26"/>
    <s v="Net Banking"/>
    <s v="No"/>
    <m/>
    <n v="90"/>
    <s v="Child"/>
    <s v="Low"/>
    <s v="Short Days"/>
    <m/>
    <m/>
    <m/>
    <m/>
    <m/>
    <m/>
  </r>
  <r>
    <s v="VIS201097"/>
    <d v="2024-05-28T00:00:00"/>
    <s v="PAT5311"/>
    <s v="Rahul Kumar"/>
    <s v="Male"/>
    <n v="59"/>
    <s v="Mumbai"/>
    <s v="Maharashtra"/>
    <x v="2"/>
    <s v="Dr. Ramesh"/>
    <s v="K21"/>
    <s v="Physiotherapy"/>
    <s v="OPD"/>
    <n v="274.26"/>
    <s v="UPI"/>
    <s v="No"/>
    <m/>
    <n v="90"/>
    <s v="Middle-Aged"/>
    <s v="Low"/>
    <s v="Short Days"/>
    <m/>
    <m/>
    <m/>
    <m/>
    <m/>
    <m/>
  </r>
  <r>
    <s v="VIS200250"/>
    <d v="2024-08-13T00:00:00"/>
    <s v="PAT6478"/>
    <s v="Anil Jose"/>
    <s v="Male"/>
    <n v="45"/>
    <s v="Mumbai"/>
    <s v="Maharashtra"/>
    <x v="8"/>
    <s v="Dr. Kavitha"/>
    <s v="I10"/>
    <s v="Surgery"/>
    <s v="OPD"/>
    <n v="3075.59"/>
    <s v="Credit Card"/>
    <s v="No"/>
    <m/>
    <n v="90"/>
    <s v="Middle-Aged"/>
    <s v="Low"/>
    <s v="Short Days"/>
    <m/>
    <m/>
    <m/>
    <m/>
    <m/>
    <m/>
  </r>
  <r>
    <s v="VIS200627"/>
    <d v="2025-04-15T00:00:00"/>
    <s v="PAT5921"/>
    <s v="Sangeetha Khan"/>
    <s v="Female"/>
    <n v="42"/>
    <s v="Jaipur"/>
    <s v="Rajasthan"/>
    <x v="8"/>
    <s v="Dr. Sneha"/>
    <s v="E11"/>
    <s v="Surgery"/>
    <s v="Emergency"/>
    <n v="9533.9699999999993"/>
    <s v="UPI"/>
    <s v="No"/>
    <m/>
    <m/>
    <s v="Middle-Aged"/>
    <s v="Medium"/>
    <s v="Short Days"/>
    <m/>
    <m/>
    <m/>
    <m/>
    <m/>
    <m/>
  </r>
  <r>
    <s v="VIS201595"/>
    <d v="2025-04-29T00:00:00"/>
    <s v="PAT5425"/>
    <s v="Karthik Nagar"/>
    <s v="Female"/>
    <n v="43"/>
    <s v="Bengaluru"/>
    <s v="Karnataka"/>
    <x v="5"/>
    <s v="Dr. Karthik"/>
    <s v="J45"/>
    <s v="Prescription Refill"/>
    <s v="OPD"/>
    <n v="10431.02"/>
    <s v="UPI"/>
    <s v="No"/>
    <m/>
    <n v="90"/>
    <s v="Middle-Aged"/>
    <s v="High"/>
    <s v="Short Days"/>
    <m/>
    <m/>
    <m/>
    <m/>
    <m/>
    <m/>
  </r>
  <r>
    <s v="VIS200262"/>
    <d v="2025-09-17T00:00:00"/>
    <s v="PAT6127"/>
    <s v="Aarav Sharma"/>
    <s v="Male"/>
    <n v="39"/>
    <s v="Kochi"/>
    <s v="Kerala"/>
    <x v="4"/>
    <s v="Dr. Bhavana"/>
    <s v="L40"/>
    <s v="Surgery"/>
    <s v="Teleconsultation"/>
    <n v="6989.98"/>
    <s v="Cash"/>
    <s v="No"/>
    <m/>
    <n v="30"/>
    <s v="Adult"/>
    <s v="Medium"/>
    <s v="Short Days"/>
    <m/>
    <m/>
    <m/>
    <m/>
    <m/>
    <m/>
  </r>
  <r>
    <s v="VIS201037"/>
    <d v="2024-05-16T00:00:00"/>
    <s v="PAT6878"/>
    <s v="Aishwarya Jose"/>
    <s v="Female"/>
    <n v="49"/>
    <s v="Madurai"/>
    <s v="Tamil Nadu"/>
    <x v="8"/>
    <s v="Dr. Sneha"/>
    <s v="I10"/>
    <s v="Counselling"/>
    <s v="OPD"/>
    <n v="3255.56"/>
    <s v="Net Banking"/>
    <s v="No"/>
    <m/>
    <n v="7"/>
    <s v="Middle-Aged"/>
    <s v="Low"/>
    <s v="Short Days"/>
    <m/>
    <m/>
    <m/>
    <m/>
    <m/>
    <m/>
  </r>
  <r>
    <s v="VIS202963"/>
    <d v="2024-06-14T00:00:00"/>
    <s v="PAT6469"/>
    <s v="Neha Mishra"/>
    <s v="Female"/>
    <n v="58"/>
    <s v="Delhi"/>
    <s v="Delhi"/>
    <x v="9"/>
    <s v="Dr. Arvind"/>
    <s v="I10"/>
    <s v="Minor Surgery"/>
    <s v="Teleconsultation"/>
    <n v="11249.26"/>
    <s v="Debit Card"/>
    <s v="No"/>
    <m/>
    <n v="30"/>
    <s v="Middle-Aged"/>
    <s v="High"/>
    <s v="Short Days"/>
    <m/>
    <m/>
    <m/>
    <m/>
    <m/>
    <m/>
  </r>
  <r>
    <s v="VIS201646"/>
    <d v="2025-10-29T00:00:00"/>
    <s v="PAT5845"/>
    <s v="Shruti Jose"/>
    <s v="Female"/>
    <n v="55"/>
    <s v="Kolkata"/>
    <s v="West Bengal"/>
    <x v="9"/>
    <s v="Dr. Kusum"/>
    <s v="J45"/>
    <s v="Medication"/>
    <s v="Teleconsultation"/>
    <n v="5554.03"/>
    <s v="UPI"/>
    <s v="No"/>
    <m/>
    <n v="30"/>
    <s v="Middle-Aged"/>
    <s v="Medium"/>
    <s v="Short Days"/>
    <m/>
    <m/>
    <m/>
    <m/>
    <m/>
    <m/>
  </r>
  <r>
    <s v="VIS202557"/>
    <d v="2024-08-14T00:00:00"/>
    <s v="PAT5184"/>
    <s v="Karthik Mishra"/>
    <s v="Female"/>
    <n v="28"/>
    <s v="Coimbatore"/>
    <s v="Tamil Nadu"/>
    <x v="5"/>
    <s v="Dr. Karthik"/>
    <s v="J00"/>
    <s v="Physiotherapy"/>
    <s v="OPD"/>
    <n v="2190.27"/>
    <s v="Debit Card"/>
    <s v="No"/>
    <m/>
    <n v="30"/>
    <s v="Adult"/>
    <s v="Low"/>
    <s v="Short Days"/>
    <m/>
    <m/>
    <m/>
    <m/>
    <m/>
    <m/>
  </r>
  <r>
    <s v="VIS200802"/>
    <d v="2025-09-19T00:00:00"/>
    <s v="PAT5037"/>
    <s v="Vishal Nagar"/>
    <s v="Male"/>
    <n v="33"/>
    <s v="Pune"/>
    <s v="Maharashtra"/>
    <x v="3"/>
    <s v="Dr. Anand"/>
    <s v="M54"/>
    <s v="Minor Surgery"/>
    <s v="OPD"/>
    <n v="137.4"/>
    <s v="Insurance"/>
    <s v="Yes"/>
    <m/>
    <m/>
    <s v="Adult"/>
    <s v="Low"/>
    <s v="Short Days"/>
    <m/>
    <m/>
    <m/>
    <m/>
    <m/>
    <m/>
  </r>
  <r>
    <s v="VIS202786"/>
    <d v="2025-04-01T00:00:00"/>
    <s v="PAT6324"/>
    <s v="Siddharth Sharma"/>
    <s v="Male"/>
    <n v="50"/>
    <s v="Noida"/>
    <s v="Uttar Pradesh"/>
    <x v="3"/>
    <s v="Dr. Pallavi"/>
    <s v="J00"/>
    <s v="Minor Procedure"/>
    <s v="Emergency"/>
    <n v="5312.08"/>
    <s v="Net Banking"/>
    <s v="No"/>
    <m/>
    <n v="14"/>
    <s v="Middle-Aged"/>
    <s v="Medium"/>
    <s v="Short Days"/>
    <m/>
    <m/>
    <m/>
    <m/>
    <m/>
    <m/>
  </r>
  <r>
    <s v="VIS201976"/>
    <d v="2025-02-21T00:00:00"/>
    <s v="PAT6093"/>
    <s v="Kavya Sharma"/>
    <s v="Male"/>
    <n v="26"/>
    <s v="Hyderabad"/>
    <s v="Telangana"/>
    <x v="7"/>
    <s v="Dr. Leela"/>
    <s v="L40"/>
    <s v="Minor Procedure"/>
    <s v="OPD"/>
    <n v="247.23"/>
    <s v="Cash"/>
    <s v="No"/>
    <m/>
    <n v="7"/>
    <s v="Adult"/>
    <s v="Low"/>
    <s v="Short Days"/>
    <m/>
    <m/>
    <m/>
    <m/>
    <m/>
    <m/>
  </r>
  <r>
    <s v="VIS202384"/>
    <d v="2025-07-05T00:00:00"/>
    <s v="PAT6497"/>
    <s v="Ananya Khan"/>
    <s v="Female"/>
    <n v="28"/>
    <s v="Lucknow"/>
    <s v="Uttar Pradesh"/>
    <x v="9"/>
    <s v="Dr. Kusum"/>
    <s v="J45"/>
    <s v="Minor Surgery"/>
    <s v="OPD"/>
    <n v="5419.71"/>
    <s v="Debit Card"/>
    <s v="No"/>
    <m/>
    <n v="30"/>
    <s v="Adult"/>
    <s v="Medium"/>
    <s v="Short Days"/>
    <m/>
    <m/>
    <m/>
    <m/>
    <m/>
    <m/>
  </r>
  <r>
    <s v="VIS200095"/>
    <d v="2025-05-23T00:00:00"/>
    <s v="PAT6073"/>
    <s v="Arjun Nagar"/>
    <s v="Male"/>
    <n v="69"/>
    <s v="Trichy"/>
    <s v="Tamil Nadu"/>
    <x v="8"/>
    <s v="Dr. Sneha"/>
    <s v="K21"/>
    <s v="Minor Surgery"/>
    <s v="IPD"/>
    <n v="22131.7"/>
    <s v="UPI"/>
    <s v="No"/>
    <n v="4"/>
    <n v="14"/>
    <s v="Senior"/>
    <s v="High"/>
    <s v="Short Days"/>
    <m/>
    <m/>
    <m/>
    <m/>
    <m/>
    <m/>
  </r>
  <r>
    <s v="VIS201332"/>
    <d v="2025-09-24T00:00:00"/>
    <s v="PAT5937"/>
    <s v="Rahul Mishra"/>
    <s v="Male"/>
    <n v="60"/>
    <s v="Trichy"/>
    <s v="Tamil Nadu"/>
    <x v="8"/>
    <s v="Dr. Kavitha"/>
    <s v="M54"/>
    <s v="Observation"/>
    <s v="OPD"/>
    <n v="2028.9"/>
    <s v="Debit Card"/>
    <s v="No"/>
    <m/>
    <n v="90"/>
    <s v="Middle-Aged"/>
    <s v="Low"/>
    <s v="Short Days"/>
    <m/>
    <m/>
    <m/>
    <m/>
    <m/>
    <m/>
  </r>
  <r>
    <s v="VIS202796"/>
    <d v="2024-07-20T00:00:00"/>
    <s v="PAT6275"/>
    <s v="Shruti Singh"/>
    <s v="Male"/>
    <n v="57"/>
    <s v="Kolkata"/>
    <s v="West Bengal"/>
    <x v="2"/>
    <s v="Dr. Manoj"/>
    <s v="K21"/>
    <s v="Minor Procedure"/>
    <s v="OPD"/>
    <n v="33895.879999999997"/>
    <s v="Debit Card"/>
    <s v="No"/>
    <m/>
    <n v="90"/>
    <s v="Middle-Aged"/>
    <s v="High"/>
    <s v="Short Days"/>
    <m/>
    <m/>
    <m/>
    <m/>
    <m/>
    <m/>
  </r>
  <r>
    <s v="VIS200650"/>
    <d v="2024-10-02T00:00:00"/>
    <s v="PAT6461"/>
    <s v="Arjun Kumar"/>
    <s v="Female"/>
    <n v="30"/>
    <s v="Lucknow"/>
    <s v="Uttar Pradesh"/>
    <x v="2"/>
    <s v="Dr. Manoj"/>
    <s v="K21"/>
    <s v="Observation"/>
    <s v="OPD"/>
    <n v="5611.2"/>
    <s v="Insurance"/>
    <s v="Yes"/>
    <m/>
    <n v="30"/>
    <s v="Adult"/>
    <s v="Medium"/>
    <s v="Short Days"/>
    <m/>
    <m/>
    <m/>
    <m/>
    <m/>
    <m/>
  </r>
  <r>
    <s v="VIS201603"/>
    <d v="2025-04-13T00:00:00"/>
    <s v="PAT5884"/>
    <s v="Neha Das"/>
    <s v="Male"/>
    <n v="55"/>
    <s v="Jaipur"/>
    <s v="Rajasthan"/>
    <x v="8"/>
    <s v="Dr. Sneha"/>
    <s v="L40"/>
    <s v="Prescription Refill"/>
    <s v="Teleconsultation"/>
    <n v="6717.5"/>
    <s v="Credit Card"/>
    <s v="No"/>
    <m/>
    <n v="30"/>
    <s v="Middle-Aged"/>
    <s v="Medium"/>
    <s v="Short Days"/>
    <m/>
    <m/>
    <m/>
    <m/>
    <m/>
    <m/>
  </r>
  <r>
    <s v="VIS201599"/>
    <d v="2025-09-26T00:00:00"/>
    <s v="PAT6028"/>
    <s v="Ananya Iyer"/>
    <s v="Female"/>
    <n v="41"/>
    <s v="Pune"/>
    <s v="Maharashtra"/>
    <x v="7"/>
    <s v="Dr. Surya"/>
    <s v="H10"/>
    <s v="Prescription Refill"/>
    <s v="OPD"/>
    <n v="12804.69"/>
    <s v="Cash"/>
    <s v="No"/>
    <m/>
    <n v="30"/>
    <s v="Middle-Aged"/>
    <s v="High"/>
    <s v="Short Days"/>
    <m/>
    <m/>
    <m/>
    <m/>
    <m/>
    <m/>
  </r>
  <r>
    <s v="VIS202783"/>
    <d v="2025-06-23T00:00:00"/>
    <s v="PAT6133"/>
    <s v="Arjun Das"/>
    <s v="Male"/>
    <n v="34.5"/>
    <s v="Delhi"/>
    <s v="Telangana"/>
    <x v="6"/>
    <s v="Dr. Priya"/>
    <s v="Z111"/>
    <s v="Observation"/>
    <s v="Emergency"/>
    <n v="7393.5"/>
    <s v="Credit Card"/>
    <s v="No"/>
    <m/>
    <m/>
    <s v="Adult"/>
    <s v="Medium"/>
    <s v="Short Days"/>
    <m/>
    <m/>
    <m/>
    <m/>
    <m/>
    <m/>
  </r>
  <r>
    <s v="VIS200149"/>
    <d v="2025-01-23T00:00:00"/>
    <s v="PAT6734"/>
    <s v="Deepa Nair"/>
    <s v="Female"/>
    <n v="14"/>
    <s v="Ahmedabad"/>
    <s v="Gujarat"/>
    <x v="1"/>
    <s v="Dr. Anu"/>
    <s v="J45"/>
    <s v="Minor Procedure"/>
    <s v="Teleconsultation"/>
    <n v="10620.19"/>
    <s v="Insurance"/>
    <s v="Yes"/>
    <m/>
    <m/>
    <s v="Child"/>
    <s v="High"/>
    <s v="Short Days"/>
    <m/>
    <m/>
    <m/>
    <m/>
    <m/>
    <m/>
  </r>
  <r>
    <s v="VIS200084"/>
    <d v="2025-05-01T00:00:00"/>
    <s v="PAT5461"/>
    <s v="Anil Reddy"/>
    <s v="Male"/>
    <n v="38"/>
    <s v="Coimbatore"/>
    <s v="Tamil Nadu"/>
    <x v="9"/>
    <s v="Dr. Kusum"/>
    <s v="F41"/>
    <s v="Observation"/>
    <s v="Emergency"/>
    <n v="8487.9500000000007"/>
    <s v="Cash"/>
    <s v="No"/>
    <m/>
    <m/>
    <s v="Adult"/>
    <s v="Medium"/>
    <s v="Short Days"/>
    <m/>
    <m/>
    <m/>
    <m/>
    <m/>
    <m/>
  </r>
  <r>
    <s v="VIS201958"/>
    <d v="2025-08-11T00:00:00"/>
    <s v="PAT5964"/>
    <s v="Aarav Nagar"/>
    <s v="Male"/>
    <n v="44"/>
    <s v="Bengaluru"/>
    <s v="Karnataka"/>
    <x v="7"/>
    <s v="Dr. Surya"/>
    <s v="E11"/>
    <s v="Observation"/>
    <s v="OPD"/>
    <n v="386.8"/>
    <s v="Net Banking"/>
    <s v="No"/>
    <m/>
    <n v="90"/>
    <s v="Middle-Aged"/>
    <s v="Low"/>
    <s v="Short Days"/>
    <m/>
    <m/>
    <m/>
    <m/>
    <m/>
    <m/>
  </r>
  <r>
    <s v="VIS202195"/>
    <d v="2024-10-30T00:00:00"/>
    <s v="PAT5412"/>
    <s v="Manisha Mishra"/>
    <s v="Female"/>
    <n v="48"/>
    <s v="Chennai"/>
    <s v="Tamil Nadu"/>
    <x v="1"/>
    <s v="Dr. Anu"/>
    <s v="F41"/>
    <s v="Minor Surgery"/>
    <s v="OPD"/>
    <n v="1953.66"/>
    <s v="Net Banking"/>
    <s v="No"/>
    <m/>
    <m/>
    <s v="Middle-Aged"/>
    <s v="Low"/>
    <s v="Short Days"/>
    <m/>
    <m/>
    <m/>
    <m/>
    <m/>
    <m/>
  </r>
  <r>
    <s v="VIS200754"/>
    <d v="2025-05-27T00:00:00"/>
    <s v="PAT5091"/>
    <s v="Aishwarya Bose"/>
    <s v="Male"/>
    <n v="34"/>
    <s v="Kolkata"/>
    <s v="West Bengal"/>
    <x v="7"/>
    <s v="Dr. Surya"/>
    <s v="J45"/>
    <s v="Minor Procedure"/>
    <s v="OPD"/>
    <n v="2055.09"/>
    <s v="UPI"/>
    <s v="No"/>
    <m/>
    <n v="7"/>
    <s v="Adult"/>
    <s v="Low"/>
    <s v="Short Days"/>
    <m/>
    <m/>
    <m/>
    <m/>
    <m/>
    <m/>
  </r>
  <r>
    <s v="VIS202994"/>
    <d v="2025-10-25T00:00:00"/>
    <s v="PAT5982"/>
    <s v="Arjun Mishra"/>
    <s v="Male"/>
    <n v="34"/>
    <s v="Madurai"/>
    <s v="Tamil Nadu"/>
    <x v="4"/>
    <s v="Dr. Bhavana"/>
    <s v="I10"/>
    <s v="Physiotherapy"/>
    <s v="OPD"/>
    <n v="2470.5700000000002"/>
    <s v="Credit Card"/>
    <s v="No"/>
    <m/>
    <n v="14"/>
    <s v="Adult"/>
    <s v="Low"/>
    <s v="Short Days"/>
    <m/>
    <m/>
    <m/>
    <m/>
    <m/>
    <m/>
  </r>
  <r>
    <s v="VIS200999"/>
    <d v="2024-09-20T00:00:00"/>
    <s v="PAT6301"/>
    <s v="Aishwarya Singh"/>
    <s v="Female"/>
    <n v="18"/>
    <s v="Madurai"/>
    <s v="Tamil Nadu"/>
    <x v="9"/>
    <s v="Dr. Arvind"/>
    <s v="F41"/>
    <s v="Observation"/>
    <s v="OPD"/>
    <n v="6822.21"/>
    <s v="Cash"/>
    <s v="No"/>
    <m/>
    <m/>
    <s v="Adult"/>
    <s v="Medium"/>
    <s v="Short Days"/>
    <m/>
    <m/>
    <m/>
    <m/>
    <m/>
    <m/>
  </r>
  <r>
    <s v="VIS201412"/>
    <d v="2025-08-07T00:00:00"/>
    <s v="PAT5498"/>
    <s v="Karthik Jose"/>
    <s v="Male"/>
    <n v="38"/>
    <s v="Bengaluru"/>
    <s v="Karnataka"/>
    <x v="7"/>
    <s v="Dr. Leela"/>
    <s v="H10"/>
    <s v="Minor Procedure"/>
    <s v="Teleconsultation"/>
    <n v="7049.74"/>
    <s v="Debit Card"/>
    <s v="No"/>
    <m/>
    <n v="7"/>
    <s v="Adult"/>
    <s v="Medium"/>
    <s v="Short Days"/>
    <m/>
    <m/>
    <m/>
    <m/>
    <m/>
    <m/>
  </r>
  <r>
    <s v="VIS202409"/>
    <d v="2024-12-28T00:00:00"/>
    <s v="PAT5517"/>
    <s v="Shruti Jose"/>
    <s v="Male"/>
    <n v="38"/>
    <s v="Jaipur"/>
    <s v="Rajasthan"/>
    <x v="2"/>
    <s v="Dr. Manoj"/>
    <s v="F41"/>
    <s v="Counselling"/>
    <s v="Teleconsultation"/>
    <n v="6521.82"/>
    <s v="UPI"/>
    <s v="No"/>
    <m/>
    <n v="30"/>
    <s v="Adult"/>
    <s v="Medium"/>
    <s v="Short Days"/>
    <m/>
    <m/>
    <m/>
    <m/>
    <m/>
    <m/>
  </r>
  <r>
    <s v="VIS201016"/>
    <d v="2024-08-22T00:00:00"/>
    <s v="PAT6891"/>
    <s v="Karthik Das"/>
    <s v="Female"/>
    <n v="25"/>
    <s v="Noida"/>
    <s v="Uttar Pradesh"/>
    <x v="2"/>
    <s v="Dr. Ramesh"/>
    <s v="J45"/>
    <s v="Counselling"/>
    <s v="Teleconsultation"/>
    <n v="7606.86"/>
    <s v="Insurance"/>
    <s v="Yes"/>
    <m/>
    <n v="14"/>
    <s v="Adult"/>
    <s v="Medium"/>
    <s v="Short Days"/>
    <m/>
    <m/>
    <m/>
    <m/>
    <m/>
    <m/>
  </r>
  <r>
    <s v="VIS201430"/>
    <d v="2024-04-09T00:00:00"/>
    <s v="PAT5157"/>
    <s v="Aishwarya Gupta"/>
    <s v="Male"/>
    <n v="49"/>
    <s v="Kochi"/>
    <s v="Kerala"/>
    <x v="4"/>
    <s v="Dr. Bhavana"/>
    <s v="I10"/>
    <s v="Physiotherapy"/>
    <s v="OPD"/>
    <n v="3375.2"/>
    <s v="Credit Card"/>
    <s v="No"/>
    <m/>
    <n v="14"/>
    <s v="Middle-Aged"/>
    <s v="Low"/>
    <s v="Short Days"/>
    <m/>
    <m/>
    <m/>
    <m/>
    <m/>
    <m/>
  </r>
  <r>
    <s v="VIS200651"/>
    <d v="2024-08-13T00:00:00"/>
    <s v="PAT5802"/>
    <s v="Rohan Das"/>
    <s v="Male"/>
    <n v="25"/>
    <s v="Bengaluru"/>
    <s v="Karnataka"/>
    <x v="0"/>
    <s v="Dr. Shailesh"/>
    <s v="J45"/>
    <s v="Prescription Refill"/>
    <s v="OPD"/>
    <n v="1901.31"/>
    <s v="Debit Card"/>
    <s v="No"/>
    <m/>
    <m/>
    <s v="Adult"/>
    <s v="Low"/>
    <s v="Short Days"/>
    <m/>
    <m/>
    <m/>
    <m/>
    <m/>
    <m/>
  </r>
  <r>
    <s v="VIS200586"/>
    <d v="2024-12-06T00:00:00"/>
    <s v="PAT5796"/>
    <s v="Vishal Khan"/>
    <s v="Male"/>
    <n v="22"/>
    <s v="Lucknow"/>
    <s v="Uttar Pradesh"/>
    <x v="7"/>
    <s v="Dr. Surya"/>
    <s v="F41"/>
    <s v="Surgery"/>
    <s v="OPD"/>
    <n v="464.48"/>
    <s v="UPI"/>
    <s v="No"/>
    <m/>
    <m/>
    <s v="Adult"/>
    <s v="Low"/>
    <s v="Short Days"/>
    <m/>
    <m/>
    <m/>
    <m/>
    <m/>
    <m/>
  </r>
  <r>
    <s v="VIS201702"/>
    <d v="2025-07-20T00:00:00"/>
    <s v="PAT6027"/>
    <s v="Vishal Nagar"/>
    <s v="Male"/>
    <n v="56"/>
    <s v="Kochi"/>
    <s v="Kerala"/>
    <x v="2"/>
    <s v="Dr. Ramesh"/>
    <s v="F41"/>
    <s v="Observation"/>
    <s v="OPD"/>
    <n v="901.22"/>
    <s v="Net Banking"/>
    <s v="No"/>
    <m/>
    <m/>
    <s v="Middle-Aged"/>
    <s v="Low"/>
    <s v="Short Days"/>
    <m/>
    <m/>
    <m/>
    <m/>
    <m/>
    <m/>
  </r>
  <r>
    <s v="VIS201511"/>
    <d v="2025-08-04T00:00:00"/>
    <s v="PAT6414"/>
    <s v="Aarav Kumar"/>
    <s v="Female"/>
    <n v="29"/>
    <s v="Jaipur"/>
    <s v="Rajasthan"/>
    <x v="1"/>
    <s v="Dr. Suri"/>
    <s v="F41"/>
    <s v="Counselling"/>
    <s v="OPD"/>
    <n v="492.45"/>
    <s v="Debit Card"/>
    <s v="No"/>
    <m/>
    <m/>
    <s v="Adult"/>
    <s v="Low"/>
    <s v="Short Days"/>
    <m/>
    <m/>
    <m/>
    <m/>
    <m/>
    <m/>
  </r>
  <r>
    <s v="VIS202716"/>
    <d v="2024-01-28T00:00:00"/>
    <s v="PAT5238"/>
    <s v="Aarav Jose"/>
    <s v="Other"/>
    <n v="61"/>
    <s v="Noida"/>
    <s v="Uttar Pradesh"/>
    <x v="5"/>
    <s v="Dr. Karthik"/>
    <s v="K21"/>
    <s v="Minor Procedure"/>
    <s v="OPD"/>
    <n v="148.94999999999999"/>
    <s v="Cash"/>
    <s v="No"/>
    <m/>
    <m/>
    <s v="Senior"/>
    <s v="Low"/>
    <s v="Short Days"/>
    <m/>
    <m/>
    <m/>
    <m/>
    <m/>
    <m/>
  </r>
  <r>
    <s v="VIS201926"/>
    <d v="2024-04-12T00:00:00"/>
    <s v="PAT6263"/>
    <s v="Manisha Das"/>
    <s v="Male"/>
    <n v="20"/>
    <s v="Trichy"/>
    <s v="Tamil Nadu"/>
    <x v="0"/>
    <s v="Dr. Shailesh"/>
    <s v="F41"/>
    <s v="Minor Surgery"/>
    <s v="OPD"/>
    <n v="11346.49"/>
    <s v="Insurance"/>
    <s v="Yes"/>
    <m/>
    <n v="90"/>
    <s v="Adult"/>
    <s v="High"/>
    <s v="Short Days"/>
    <m/>
    <m/>
    <m/>
    <m/>
    <m/>
    <m/>
  </r>
  <r>
    <s v="VIS200739"/>
    <d v="2025-04-12T00:00:00"/>
    <s v="PAT5573"/>
    <s v="Kavya Patel"/>
    <s v="Male"/>
    <n v="39"/>
    <s v="Madurai"/>
    <s v="Tamil Nadu"/>
    <x v="6"/>
    <s v="Dr. Lalitha"/>
    <s v="K21"/>
    <s v="Minor Surgery"/>
    <s v="Teleconsultation"/>
    <n v="9086.9699999999993"/>
    <s v="Debit Card"/>
    <s v="No"/>
    <m/>
    <m/>
    <s v="Adult"/>
    <s v="Medium"/>
    <s v="Short Days"/>
    <m/>
    <m/>
    <m/>
    <m/>
    <m/>
    <m/>
  </r>
  <r>
    <s v="VIS201179"/>
    <d v="2024-10-25T00:00:00"/>
    <s v="PAT6349"/>
    <s v="Arjun Das"/>
    <s v="Male"/>
    <n v="41"/>
    <s v="Kolkata"/>
    <s v="West Bengal"/>
    <x v="1"/>
    <s v="Dr. Suri"/>
    <s v="E11"/>
    <s v="Counselling"/>
    <s v="OPD"/>
    <n v="10765.52"/>
    <s v="Debit Card"/>
    <s v="No"/>
    <m/>
    <m/>
    <s v="Middle-Aged"/>
    <s v="High"/>
    <s v="Short Days"/>
    <m/>
    <m/>
    <m/>
    <m/>
    <m/>
    <m/>
  </r>
  <r>
    <s v="VIS201637"/>
    <d v="2025-06-16T00:00:00"/>
    <s v="PAT6579"/>
    <s v="Rohan Kumar"/>
    <s v="Female"/>
    <n v="27"/>
    <s v="Lucknow"/>
    <s v="Uttar Pradesh"/>
    <x v="3"/>
    <s v="Dr. Anand"/>
    <s v="E11"/>
    <s v="Observation"/>
    <s v="OPD"/>
    <n v="9232.07"/>
    <s v="Credit Card"/>
    <s v="No"/>
    <m/>
    <m/>
    <s v="Adult"/>
    <s v="Medium"/>
    <s v="Short Days"/>
    <m/>
    <m/>
    <m/>
    <m/>
    <m/>
    <m/>
  </r>
  <r>
    <s v="VIS201321"/>
    <d v="2025-08-02T00:00:00"/>
    <s v="PAT5822"/>
    <s v="Manisha Nair"/>
    <s v="Female"/>
    <n v="13"/>
    <s v="Coimbatore"/>
    <s v="Tamil Nadu"/>
    <x v="0"/>
    <s v="Dr. Nikhil"/>
    <s v="M54"/>
    <s v="Surgery"/>
    <s v="OPD"/>
    <n v="1962.65"/>
    <s v="UPI"/>
    <s v="No"/>
    <m/>
    <m/>
    <s v="Child"/>
    <s v="Low"/>
    <s v="Short Days"/>
    <m/>
    <m/>
    <m/>
    <m/>
    <m/>
    <m/>
  </r>
  <r>
    <s v="VIS200573"/>
    <d v="2025-11-05T00:00:00"/>
    <s v="PAT5828"/>
    <s v="Priya Reddy"/>
    <s v="Male"/>
    <n v="51"/>
    <s v="Madurai"/>
    <s v="Tamil Nadu"/>
    <x v="7"/>
    <s v="Dr. Surya"/>
    <s v="F41"/>
    <s v="Minor Surgery"/>
    <s v="OPD"/>
    <n v="2871.71"/>
    <s v="Credit Card"/>
    <s v="No"/>
    <m/>
    <n v="14"/>
    <s v="Middle-Aged"/>
    <s v="Low"/>
    <s v="Short Days"/>
    <m/>
    <m/>
    <m/>
    <m/>
    <m/>
    <m/>
  </r>
  <r>
    <s v="VIS202280"/>
    <d v="2025-10-23T00:00:00"/>
    <s v="PAT5517"/>
    <s v="Deepa Patel"/>
    <s v="Female"/>
    <n v="72"/>
    <s v="Chennai"/>
    <s v="Tamil Nadu"/>
    <x v="4"/>
    <s v="Dr. Varun"/>
    <s v="J00"/>
    <s v="Medication"/>
    <s v="OPD"/>
    <n v="1016.72"/>
    <s v="Debit Card"/>
    <s v="No"/>
    <m/>
    <n v="14"/>
    <s v="Senior"/>
    <s v="Low"/>
    <s v="Short Days"/>
    <m/>
    <m/>
    <m/>
    <m/>
    <m/>
    <m/>
  </r>
  <r>
    <s v="VIS200378"/>
    <d v="2025-03-17T00:00:00"/>
    <s v="PAT5245"/>
    <s v="Neha Bose"/>
    <s v="Female"/>
    <n v="48"/>
    <s v="Trichy"/>
    <s v="Tamil Nadu"/>
    <x v="0"/>
    <s v="Dr. Nikhil"/>
    <s v="L40"/>
    <s v="Prescription Refill"/>
    <s v="Teleconsultation"/>
    <n v="9881.1200000000008"/>
    <s v="Cash"/>
    <s v="No"/>
    <m/>
    <n v="7"/>
    <s v="Middle-Aged"/>
    <s v="Medium"/>
    <s v="Short Days"/>
    <m/>
    <m/>
    <m/>
    <m/>
    <m/>
    <m/>
  </r>
  <r>
    <s v="VIS201341"/>
    <d v="2025-06-29T00:00:00"/>
    <s v="PAT5227"/>
    <s v="Shruti Gupta"/>
    <s v="Male"/>
    <n v="72"/>
    <s v="Mumbai"/>
    <s v="Maharashtra"/>
    <x v="5"/>
    <s v="Dr. Karthik"/>
    <s v="E11"/>
    <s v="Observation"/>
    <s v="Teleconsultation"/>
    <n v="13653.02"/>
    <s v="Cash"/>
    <s v="No"/>
    <m/>
    <m/>
    <s v="Senior"/>
    <s v="High"/>
    <s v="Short Days"/>
    <m/>
    <m/>
    <m/>
    <m/>
    <m/>
    <m/>
  </r>
  <r>
    <s v="VIS200569"/>
    <d v="2025-04-04T00:00:00"/>
    <s v="PAT6584"/>
    <s v="Siddharth Mishra"/>
    <s v="Female"/>
    <n v="65"/>
    <s v="Mumbai"/>
    <s v="Maharashtra"/>
    <x v="5"/>
    <s v="Dr. Karthik"/>
    <s v="E11"/>
    <s v="Medication"/>
    <s v="OPD"/>
    <n v="762.98"/>
    <s v="Insurance"/>
    <s v="Yes"/>
    <m/>
    <m/>
    <s v="Senior"/>
    <s v="Low"/>
    <s v="Short Days"/>
    <m/>
    <m/>
    <m/>
    <m/>
    <m/>
    <m/>
  </r>
  <r>
    <s v="VIS200276"/>
    <d v="2025-01-22T00:00:00"/>
    <s v="PAT5866"/>
    <s v="Vivaan Reddy"/>
    <s v="Female"/>
    <n v="41"/>
    <s v="Kochi"/>
    <s v="Kerala"/>
    <x v="5"/>
    <s v="Dr. Meena"/>
    <s v="F41"/>
    <s v="Observation"/>
    <s v="OPD"/>
    <n v="1141.3"/>
    <s v="Debit Card"/>
    <s v="No"/>
    <m/>
    <n v="30"/>
    <s v="Middle-Aged"/>
    <s v="Low"/>
    <s v="Short Days"/>
    <m/>
    <m/>
    <m/>
    <m/>
    <m/>
    <m/>
  </r>
  <r>
    <s v="VIS200067"/>
    <d v="2024-12-04T00:00:00"/>
    <s v="PAT5493"/>
    <s v="Deepa Khan"/>
    <s v="Male"/>
    <n v="25"/>
    <s v="Delhi"/>
    <s v="Delhi"/>
    <x v="2"/>
    <s v="Dr. Manoj"/>
    <s v="L40"/>
    <s v="Prescription Refill"/>
    <s v="Teleconsultation"/>
    <n v="7055.4"/>
    <s v="UPI"/>
    <s v="No"/>
    <m/>
    <m/>
    <s v="Adult"/>
    <s v="Medium"/>
    <s v="Short Days"/>
    <m/>
    <m/>
    <m/>
    <m/>
    <m/>
    <m/>
  </r>
  <r>
    <s v="VIS202599"/>
    <d v="2025-02-05T00:00:00"/>
    <s v="PAT5196"/>
    <s v="Karthik Mishra"/>
    <s v="Male"/>
    <n v="32"/>
    <s v="Mumbai"/>
    <s v="Maharashtra"/>
    <x v="7"/>
    <s v="Dr. Surya"/>
    <s v="J45"/>
    <s v="Counselling"/>
    <s v="IPD"/>
    <n v="6866.74"/>
    <s v="Insurance"/>
    <s v="Yes"/>
    <n v="6"/>
    <m/>
    <s v="Adult"/>
    <s v="Medium"/>
    <s v="Long Days"/>
    <m/>
    <m/>
    <m/>
    <m/>
    <m/>
    <m/>
  </r>
  <r>
    <s v="VIS200978"/>
    <d v="2024-08-09T00:00:00"/>
    <s v="PAT6043"/>
    <s v="Karthik Reddy"/>
    <s v="Male"/>
    <n v="36"/>
    <s v="Chennai"/>
    <s v="Tamil Nadu"/>
    <x v="7"/>
    <s v="Dr. Leela"/>
    <s v="K21"/>
    <s v="Counselling"/>
    <s v="OPD"/>
    <n v="10142.9"/>
    <s v="Cash"/>
    <s v="No"/>
    <m/>
    <n v="90"/>
    <s v="Adult"/>
    <s v="High"/>
    <s v="Short Days"/>
    <m/>
    <m/>
    <m/>
    <m/>
    <m/>
    <m/>
  </r>
  <r>
    <s v="VIS200026"/>
    <d v="2025-03-29T00:00:00"/>
    <s v="PAT6255"/>
    <s v="Rahul Khan"/>
    <s v="Male"/>
    <n v="56"/>
    <s v="Mumbai"/>
    <s v="Maharashtra"/>
    <x v="7"/>
    <s v="Dr. Leela"/>
    <s v="N39"/>
    <s v="Minor Surgery"/>
    <s v="Teleconsultation"/>
    <n v="9902.86"/>
    <s v="Insurance"/>
    <s v="Yes"/>
    <m/>
    <n v="7"/>
    <s v="Middle-Aged"/>
    <s v="Medium"/>
    <s v="Short Days"/>
    <m/>
    <m/>
    <m/>
    <m/>
    <m/>
    <m/>
  </r>
  <r>
    <s v="VIS201138"/>
    <d v="2025-05-10T00:00:00"/>
    <s v="PAT6850"/>
    <s v="Ishaan Gupta"/>
    <s v="Female"/>
    <n v="42"/>
    <s v="Coimbatore"/>
    <s v="Tamil Nadu"/>
    <x v="2"/>
    <s v="Dr. Ramesh"/>
    <s v="K21"/>
    <s v="Surgery"/>
    <s v="OPD"/>
    <n v="777.01"/>
    <s v="UPI"/>
    <s v="No"/>
    <m/>
    <n v="7"/>
    <s v="Middle-Aged"/>
    <s v="Low"/>
    <s v="Short Days"/>
    <m/>
    <m/>
    <m/>
    <m/>
    <m/>
    <m/>
  </r>
  <r>
    <s v="VIS201834"/>
    <d v="2024-04-23T00:00:00"/>
    <s v="PAT5531"/>
    <s v="Vivaan Khan"/>
    <s v="Female"/>
    <n v="84"/>
    <s v="Mumbai"/>
    <s v="Maharashtra"/>
    <x v="0"/>
    <s v="Dr. Nikhil"/>
    <s v="M54"/>
    <s v="Observation"/>
    <s v="OPD"/>
    <n v="10056.209999999999"/>
    <s v="Debit Card"/>
    <s v="No"/>
    <m/>
    <n v="7"/>
    <s v="Senior"/>
    <s v="High"/>
    <s v="Short Days"/>
    <m/>
    <m/>
    <m/>
    <m/>
    <m/>
    <m/>
  </r>
  <r>
    <s v="VIS202251"/>
    <d v="2024-12-08T00:00:00"/>
    <s v="PAT5082"/>
    <s v="Vivaan Sharma"/>
    <s v="Female"/>
    <n v="50"/>
    <s v="Delhi"/>
    <s v="Delhi"/>
    <x v="7"/>
    <s v="Dr. Surya"/>
    <s v="J00"/>
    <s v="Prescription Refill"/>
    <s v="Teleconsultation"/>
    <n v="13443.58"/>
    <s v="Cash"/>
    <s v="No"/>
    <m/>
    <n v="7"/>
    <s v="Middle-Aged"/>
    <s v="High"/>
    <s v="Short Days"/>
    <m/>
    <m/>
    <m/>
    <m/>
    <m/>
    <m/>
  </r>
  <r>
    <s v="VIS202130"/>
    <d v="2025-09-30T00:00:00"/>
    <s v="PAT6791"/>
    <s v="Rahul Nagar"/>
    <s v="Male"/>
    <n v="26"/>
    <s v="Madurai"/>
    <s v="Tamil Nadu"/>
    <x v="0"/>
    <s v="Dr. Shailesh"/>
    <s v="I10"/>
    <s v="Physiotherapy"/>
    <s v="OPD"/>
    <n v="5034.53"/>
    <s v="Debit Card"/>
    <s v="No"/>
    <m/>
    <n v="14"/>
    <s v="Adult"/>
    <s v="Medium"/>
    <s v="Short Days"/>
    <m/>
    <m/>
    <m/>
    <m/>
    <m/>
    <m/>
  </r>
  <r>
    <s v="VIS200545"/>
    <d v="2025-08-29T00:00:00"/>
    <s v="PAT6460"/>
    <s v="Kavya Singh"/>
    <s v="Female"/>
    <n v="80"/>
    <s v="Ahmedabad"/>
    <s v="Gujarat"/>
    <x v="1"/>
    <s v="Dr. Suri"/>
    <s v="E11"/>
    <s v="Counselling"/>
    <s v="OPD"/>
    <n v="3420.34"/>
    <s v="Cash"/>
    <s v="No"/>
    <m/>
    <n v="14"/>
    <s v="Senior"/>
    <s v="Low"/>
    <s v="Short Days"/>
    <m/>
    <m/>
    <m/>
    <m/>
    <m/>
    <m/>
  </r>
  <r>
    <s v="VIS201373"/>
    <d v="2024-05-02T00:00:00"/>
    <s v="PAT6623"/>
    <s v="Aishwarya Gupta"/>
    <s v="Female"/>
    <n v="12"/>
    <s v="Jaipur"/>
    <s v="Rajasthan"/>
    <x v="7"/>
    <s v="Dr. Leela"/>
    <s v="N39"/>
    <s v="Prescription Refill"/>
    <s v="Teleconsultation"/>
    <n v="6023.74"/>
    <s v="Debit Card"/>
    <s v="No"/>
    <m/>
    <n v="7"/>
    <s v="Child"/>
    <s v="Medium"/>
    <s v="Short Days"/>
    <m/>
    <m/>
    <m/>
    <m/>
    <m/>
    <m/>
  </r>
  <r>
    <s v="VIS201239"/>
    <d v="2024-11-17T00:00:00"/>
    <s v="PAT6895"/>
    <s v="Vishal Gupta"/>
    <s v="Male"/>
    <n v="50"/>
    <s v="Chennai"/>
    <s v="Tamil Nadu"/>
    <x v="9"/>
    <s v="Dr. Kusum"/>
    <s v="L40"/>
    <s v="Medication"/>
    <s v="OPD"/>
    <n v="15277.85"/>
    <s v="Credit Card"/>
    <s v="No"/>
    <m/>
    <n v="7"/>
    <s v="Middle-Aged"/>
    <s v="High"/>
    <s v="Short Days"/>
    <m/>
    <m/>
    <m/>
    <m/>
    <m/>
    <m/>
  </r>
  <r>
    <s v="VIS202611"/>
    <d v="2025-05-29T00:00:00"/>
    <s v="PAT5165"/>
    <s v="Anil Iyer"/>
    <s v="Female"/>
    <n v="49"/>
    <s v="Mumbai"/>
    <s v="Maharashtra"/>
    <x v="6"/>
    <s v="Dr. Lalitha"/>
    <s v="H10"/>
    <s v="Medication"/>
    <s v="OPD"/>
    <n v="5128.63"/>
    <s v="Credit Card"/>
    <s v="No"/>
    <m/>
    <n v="7"/>
    <s v="Middle-Aged"/>
    <s v="Medium"/>
    <s v="Short Days"/>
    <m/>
    <m/>
    <m/>
    <m/>
    <m/>
    <m/>
  </r>
  <r>
    <s v="VIS201821"/>
    <d v="2025-05-28T00:00:00"/>
    <s v="PAT6703"/>
    <s v="Rahul Khan"/>
    <s v="Male"/>
    <n v="31"/>
    <s v="Jaipur"/>
    <s v="Rajasthan"/>
    <x v="5"/>
    <s v="Dr. Ravi"/>
    <s v="I10"/>
    <s v="Surgery"/>
    <s v="OPD"/>
    <n v="5115.04"/>
    <s v="Debit Card"/>
    <s v="No"/>
    <m/>
    <m/>
    <s v="Adult"/>
    <s v="Medium"/>
    <s v="Short Days"/>
    <m/>
    <m/>
    <m/>
    <m/>
    <m/>
    <m/>
  </r>
  <r>
    <s v="VIS201994"/>
    <d v="2025-05-10T00:00:00"/>
    <s v="PAT6113"/>
    <s v="Manisha Gupta"/>
    <s v="Female"/>
    <n v="70"/>
    <s v="Pune"/>
    <s v="Maharashtra"/>
    <x v="5"/>
    <s v="Dr. Karthik"/>
    <s v="M54"/>
    <s v="Observation"/>
    <s v="IPD"/>
    <n v="13442.95"/>
    <s v="UPI"/>
    <s v="No"/>
    <n v="5"/>
    <n v="30"/>
    <s v="Senior"/>
    <s v="High"/>
    <s v="Short Days"/>
    <m/>
    <m/>
    <m/>
    <m/>
    <m/>
    <m/>
  </r>
  <r>
    <s v="VIS201203"/>
    <d v="2024-02-04T00:00:00"/>
    <s v="PAT6522"/>
    <s v="Neha Gupta"/>
    <s v="Female"/>
    <n v="82"/>
    <s v="Ahmedabad"/>
    <s v="Gujarat"/>
    <x v="7"/>
    <s v="Dr. Leela"/>
    <s v="I10"/>
    <s v="Minor Surgery"/>
    <s v="OPD"/>
    <n v="17161.05"/>
    <s v="UPI"/>
    <s v="No"/>
    <m/>
    <m/>
    <s v="Senior"/>
    <s v="High"/>
    <s v="Short Days"/>
    <m/>
    <m/>
    <m/>
    <m/>
    <m/>
    <m/>
  </r>
  <r>
    <s v="VIS200593"/>
    <d v="2025-10-04T00:00:00"/>
    <s v="PAT5268"/>
    <s v="Rohan Das"/>
    <s v="Male"/>
    <n v="17"/>
    <s v="Noida"/>
    <s v="Uttar Pradesh"/>
    <x v="5"/>
    <s v="Dr. Ravi"/>
    <s v="M54"/>
    <s v="Minor Procedure"/>
    <s v="OPD"/>
    <n v="6316.29"/>
    <s v="Credit Card"/>
    <s v="No"/>
    <m/>
    <n v="14"/>
    <s v="Child"/>
    <s v="Medium"/>
    <s v="Short Days"/>
    <m/>
    <m/>
    <m/>
    <m/>
    <m/>
    <m/>
  </r>
  <r>
    <s v="VIS201117"/>
    <d v="2025-11-03T00:00:00"/>
    <s v="PAT5227"/>
    <s v="Manisha Nair"/>
    <s v="Female"/>
    <n v="40"/>
    <s v="Delhi"/>
    <s v="Delhi"/>
    <x v="3"/>
    <s v="Dr. Pallavi"/>
    <s v="E11"/>
    <s v="Surgery"/>
    <s v="OPD"/>
    <n v="1630.78"/>
    <s v="Insurance"/>
    <s v="Yes"/>
    <m/>
    <n v="7"/>
    <s v="Adult"/>
    <s v="Low"/>
    <s v="Short Days"/>
    <m/>
    <m/>
    <m/>
    <m/>
    <m/>
    <m/>
  </r>
  <r>
    <s v="VIS200513"/>
    <d v="2025-10-24T00:00:00"/>
    <s v="PAT6294"/>
    <s v="Aditya Nagar"/>
    <s v="Female"/>
    <n v="52"/>
    <s v="Chennai"/>
    <s v="Tamil Nadu"/>
    <x v="3"/>
    <s v="Dr. Pallavi"/>
    <s v="H10"/>
    <s v="Minor Procedure"/>
    <s v="OPD"/>
    <n v="8519.32"/>
    <s v="Net Banking"/>
    <s v="No"/>
    <m/>
    <n v="30"/>
    <s v="Middle-Aged"/>
    <s v="Medium"/>
    <s v="Short Days"/>
    <m/>
    <m/>
    <m/>
    <m/>
    <m/>
    <m/>
  </r>
  <r>
    <s v="VIS200028"/>
    <d v="2024-03-16T00:00:00"/>
    <s v="PAT5826"/>
    <s v="Aarav Kumar"/>
    <s v="Male"/>
    <n v="26"/>
    <s v="Kochi"/>
    <s v="Kerala"/>
    <x v="7"/>
    <s v="Dr. Leela"/>
    <s v="J00"/>
    <s v="Surgery"/>
    <s v="Teleconsultation"/>
    <n v="6079.74"/>
    <s v="Debit Card"/>
    <s v="No"/>
    <m/>
    <m/>
    <s v="Adult"/>
    <s v="Medium"/>
    <s v="Short Days"/>
    <m/>
    <m/>
    <m/>
    <m/>
    <m/>
    <m/>
  </r>
  <r>
    <s v="VIS200387"/>
    <d v="2025-09-22T00:00:00"/>
    <s v="PAT6759"/>
    <s v="Vivaan Bose"/>
    <s v="Female"/>
    <n v="20"/>
    <s v="Noida"/>
    <s v="Uttar Pradesh"/>
    <x v="9"/>
    <s v="Dr. Kusum"/>
    <s v="N39"/>
    <s v="Counselling"/>
    <s v="Emergency"/>
    <n v="5020.8900000000003"/>
    <s v="UPI"/>
    <s v="No"/>
    <m/>
    <m/>
    <s v="Adult"/>
    <s v="Medium"/>
    <s v="Short Days"/>
    <m/>
    <m/>
    <m/>
    <m/>
    <m/>
    <m/>
  </r>
  <r>
    <s v="VIS201355"/>
    <d v="2024-06-12T00:00:00"/>
    <s v="PAT5362"/>
    <s v="Anil Mishra"/>
    <s v="Male"/>
    <n v="29"/>
    <s v="Trichy"/>
    <s v="Tamil Nadu"/>
    <x v="8"/>
    <s v="Dr. Sneha"/>
    <s v="H10"/>
    <s v="Medication"/>
    <s v="OPD"/>
    <n v="7070.27"/>
    <s v="UPI"/>
    <s v="No"/>
    <m/>
    <m/>
    <s v="Adult"/>
    <s v="Medium"/>
    <s v="Short Days"/>
    <m/>
    <m/>
    <m/>
    <m/>
    <m/>
    <m/>
  </r>
  <r>
    <s v="VIS201316"/>
    <d v="2025-09-15T00:00:00"/>
    <s v="PAT6204"/>
    <s v="Aarav Khan"/>
    <s v="Male"/>
    <n v="51"/>
    <s v="Hyderabad"/>
    <s v="Telangana"/>
    <x v="2"/>
    <s v="Dr. Manoj"/>
    <s v="F41"/>
    <s v="Physiotherapy"/>
    <s v="OPD"/>
    <n v="3783.39"/>
    <s v="Net Banking"/>
    <s v="No"/>
    <m/>
    <m/>
    <s v="Middle-Aged"/>
    <s v="Low"/>
    <s v="Short Days"/>
    <m/>
    <m/>
    <m/>
    <m/>
    <m/>
    <m/>
  </r>
  <r>
    <s v="VIS202290"/>
    <d v="2025-01-13T00:00:00"/>
    <s v="PAT6758"/>
    <s v="Arjun Nagar"/>
    <s v="Female"/>
    <n v="54"/>
    <s v="Trichy"/>
    <s v="Tamil Nadu"/>
    <x v="6"/>
    <s v="Dr. Priya"/>
    <s v="J00"/>
    <s v="Prescription Refill"/>
    <s v="IPD"/>
    <n v="11429.58"/>
    <s v="Debit Card"/>
    <s v="No"/>
    <n v="6"/>
    <n v="30"/>
    <s v="Middle-Aged"/>
    <s v="High"/>
    <s v="Long Days"/>
    <m/>
    <m/>
    <m/>
    <m/>
    <m/>
    <m/>
  </r>
  <r>
    <s v="VIS200530"/>
    <d v="2024-11-09T00:00:00"/>
    <s v="PAT5170"/>
    <s v="Aditya Sharma"/>
    <s v="Male"/>
    <n v="46"/>
    <s v="Lucknow"/>
    <s v="Uttar Pradesh"/>
    <x v="6"/>
    <s v="Dr. Lalitha"/>
    <s v="L40"/>
    <s v="Medication"/>
    <s v="OPD"/>
    <n v="12413.61"/>
    <s v="Cash"/>
    <s v="No"/>
    <m/>
    <m/>
    <s v="Middle-Aged"/>
    <s v="High"/>
    <s v="Short Days"/>
    <m/>
    <m/>
    <m/>
    <m/>
    <m/>
    <m/>
  </r>
  <r>
    <s v="VIS202641"/>
    <d v="2025-03-09T00:00:00"/>
    <s v="PAT6489"/>
    <s v="Sangeetha Kumar"/>
    <s v="Female"/>
    <n v="50"/>
    <s v="Noida"/>
    <s v="Uttar Pradesh"/>
    <x v="2"/>
    <s v="Dr. Manoj"/>
    <s v="J00"/>
    <s v="Minor Procedure"/>
    <s v="IPD"/>
    <n v="8348.69"/>
    <s v="Cash"/>
    <s v="No"/>
    <n v="7"/>
    <n v="7"/>
    <s v="Middle-Aged"/>
    <s v="Medium"/>
    <s v="Long Days"/>
    <m/>
    <m/>
    <m/>
    <m/>
    <m/>
    <m/>
  </r>
  <r>
    <s v="VIS202131"/>
    <d v="2025-09-18T00:00:00"/>
    <s v="PAT5213"/>
    <s v="Kavya Kumar"/>
    <s v="Male"/>
    <n v="37"/>
    <s v="Jaipur"/>
    <s v="Rajasthan"/>
    <x v="4"/>
    <s v="Dr. Bhavana"/>
    <s v="M54"/>
    <s v="Medication"/>
    <s v="OPD"/>
    <n v="7477.2"/>
    <s v="Insurance"/>
    <s v="Yes"/>
    <m/>
    <n v="14"/>
    <s v="Adult"/>
    <s v="Medium"/>
    <s v="Short Days"/>
    <m/>
    <m/>
    <m/>
    <m/>
    <m/>
    <m/>
  </r>
  <r>
    <s v="VIS201628"/>
    <d v="2024-11-01T00:00:00"/>
    <s v="PAT5558"/>
    <s v="Manisha Das"/>
    <s v="Female"/>
    <n v="44"/>
    <s v="Lucknow"/>
    <s v="Uttar Pradesh"/>
    <x v="9"/>
    <s v="Dr. Arvind"/>
    <s v="L40"/>
    <s v="Medication"/>
    <s v="Emergency"/>
    <n v="12391.4"/>
    <s v="UPI"/>
    <s v="No"/>
    <m/>
    <n v="7"/>
    <s v="Middle-Aged"/>
    <s v="High"/>
    <s v="Short Days"/>
    <m/>
    <m/>
    <m/>
    <m/>
    <m/>
    <m/>
  </r>
  <r>
    <s v="VIS202522"/>
    <d v="2024-07-30T00:00:00"/>
    <s v="PAT6511"/>
    <s v="Priya Khan"/>
    <s v="Female"/>
    <n v="38"/>
    <s v="Bengaluru"/>
    <s v="Karnataka"/>
    <x v="5"/>
    <s v="Dr. Karthik"/>
    <s v="I10"/>
    <s v="Counselling"/>
    <s v="IPD"/>
    <n v="17791.43"/>
    <s v="Cash"/>
    <s v="No"/>
    <n v="5"/>
    <m/>
    <s v="Adult"/>
    <s v="High"/>
    <s v="Short Days"/>
    <m/>
    <m/>
    <m/>
    <m/>
    <m/>
    <m/>
  </r>
  <r>
    <s v="VIS201928"/>
    <d v="2024-03-21T00:00:00"/>
    <s v="PAT6068"/>
    <s v="Priya Singh"/>
    <s v="Male"/>
    <n v="21"/>
    <s v="Delhi"/>
    <s v="Delhi"/>
    <x v="9"/>
    <s v="Dr. Kusum"/>
    <s v="N39"/>
    <s v="Counselling"/>
    <s v="OPD"/>
    <n v="9740.23"/>
    <s v="Cash"/>
    <s v="No"/>
    <m/>
    <n v="7"/>
    <s v="Adult"/>
    <s v="Medium"/>
    <s v="Short Days"/>
    <m/>
    <m/>
    <m/>
    <m/>
    <m/>
    <m/>
  </r>
  <r>
    <s v="VIS200985"/>
    <d v="2024-07-12T00:00:00"/>
    <s v="PAT5351"/>
    <s v="Aishwarya Gupta"/>
    <s v="Male"/>
    <n v="68"/>
    <s v="Mumbai"/>
    <s v="Maharashtra"/>
    <x v="1"/>
    <s v="Dr. Anu"/>
    <s v="J00"/>
    <s v="Surgery"/>
    <s v="Emergency"/>
    <n v="5728.71"/>
    <s v="UPI"/>
    <s v="No"/>
    <m/>
    <n v="14"/>
    <s v="Senior"/>
    <s v="Medium"/>
    <s v="Short Days"/>
    <m/>
    <m/>
    <m/>
    <m/>
    <m/>
    <m/>
  </r>
  <r>
    <s v="VIS200546"/>
    <d v="2024-10-04T00:00:00"/>
    <s v="PAT6358"/>
    <s v="Vivaan Jose"/>
    <s v="Male"/>
    <n v="33"/>
    <s v="Noida"/>
    <s v="Uttar Pradesh"/>
    <x v="5"/>
    <s v="Dr. Ravi"/>
    <s v="H10"/>
    <s v="Minor Procedure"/>
    <s v="Teleconsultation"/>
    <n v="12322.73"/>
    <s v="UPI"/>
    <s v="No"/>
    <m/>
    <m/>
    <s v="Adult"/>
    <s v="High"/>
    <s v="Short Days"/>
    <m/>
    <m/>
    <m/>
    <m/>
    <m/>
    <m/>
  </r>
  <r>
    <s v="VIS202508"/>
    <d v="2024-04-29T00:00:00"/>
    <s v="PAT6014"/>
    <s v="Rahul Kumar"/>
    <s v="Female"/>
    <n v="22"/>
    <s v="Bengaluru"/>
    <s v="Karnataka"/>
    <x v="2"/>
    <s v="Dr. Ramesh"/>
    <s v="K21"/>
    <s v="Surgery"/>
    <s v="OPD"/>
    <n v="4912.33"/>
    <s v="Cash"/>
    <s v="No"/>
    <m/>
    <n v="30"/>
    <s v="Adult"/>
    <s v="Low"/>
    <s v="Short Days"/>
    <m/>
    <m/>
    <m/>
    <m/>
    <m/>
    <m/>
  </r>
  <r>
    <s v="VIS201119"/>
    <d v="2025-07-15T00:00:00"/>
    <s v="PAT6398"/>
    <s v="Siddharth Nair"/>
    <s v="Male"/>
    <n v="39"/>
    <s v="Trichy"/>
    <s v="Tamil Nadu"/>
    <x v="0"/>
    <s v="Dr. Shailesh"/>
    <s v="E11"/>
    <s v="Medication"/>
    <s v="OPD"/>
    <n v="5841.24"/>
    <s v="Cash"/>
    <s v="No"/>
    <m/>
    <m/>
    <s v="Adult"/>
    <s v="Medium"/>
    <s v="Short Days"/>
    <m/>
    <m/>
    <m/>
    <m/>
    <m/>
    <m/>
  </r>
  <r>
    <s v="VIS200212"/>
    <d v="2025-01-25T00:00:00"/>
    <s v="PAT6905"/>
    <s v="Anil Patel"/>
    <s v="Female"/>
    <n v="60"/>
    <s v="Kochi"/>
    <s v="Kerala"/>
    <x v="8"/>
    <s v="Dr. Sneha"/>
    <s v="H10"/>
    <s v="Surgery"/>
    <s v="Teleconsultation"/>
    <n v="9191.7199999999993"/>
    <s v="Cash"/>
    <s v="No"/>
    <m/>
    <n v="7"/>
    <s v="Middle-Aged"/>
    <s v="Medium"/>
    <s v="Short Days"/>
    <m/>
    <m/>
    <m/>
    <m/>
    <m/>
    <m/>
  </r>
  <r>
    <s v="VIS200428"/>
    <d v="2025-02-09T00:00:00"/>
    <s v="PAT5851"/>
    <s v="Priya Khan"/>
    <s v="Male"/>
    <n v="73"/>
    <s v="Jaipur"/>
    <s v="Rajasthan"/>
    <x v="6"/>
    <s v="Dr. Lalitha"/>
    <s v="N39"/>
    <s v="Minor Surgery"/>
    <s v="OPD"/>
    <n v="4263.43"/>
    <s v="Cash"/>
    <s v="No"/>
    <m/>
    <n v="7"/>
    <s v="Senior"/>
    <s v="Low"/>
    <s v="Short Days"/>
    <m/>
    <m/>
    <m/>
    <m/>
    <m/>
    <m/>
  </r>
  <r>
    <s v="VIS202650"/>
    <d v="2024-09-27T00:00:00"/>
    <s v="PAT5750"/>
    <s v="Kavya Nair"/>
    <s v="Male"/>
    <n v="41"/>
    <s v="Hyderabad"/>
    <s v="Telangana"/>
    <x v="8"/>
    <s v="Dr. Sneha"/>
    <s v="F41"/>
    <s v="Counselling"/>
    <s v="OPD"/>
    <n v="4503.34"/>
    <s v="UPI"/>
    <s v="No"/>
    <m/>
    <n v="7"/>
    <s v="Middle-Aged"/>
    <s v="Low"/>
    <s v="Short Days"/>
    <m/>
    <m/>
    <m/>
    <m/>
    <m/>
    <m/>
  </r>
  <r>
    <s v="VIS200015"/>
    <d v="2024-03-23T00:00:00"/>
    <s v="PAT6958"/>
    <s v="Kavya Khan"/>
    <s v="Male"/>
    <n v="27"/>
    <s v="Kolkata"/>
    <s v="West Bengal"/>
    <x v="5"/>
    <s v="Dr. Ravi"/>
    <s v="J45"/>
    <s v="Surgery"/>
    <s v="OPD"/>
    <n v="11242.85"/>
    <s v="Insurance"/>
    <s v="Yes"/>
    <m/>
    <n v="30"/>
    <s v="Adult"/>
    <s v="High"/>
    <s v="Short Days"/>
    <m/>
    <m/>
    <m/>
    <m/>
    <m/>
    <m/>
  </r>
  <r>
    <s v="VIS200864"/>
    <d v="2024-12-16T00:00:00"/>
    <s v="PAT5458"/>
    <s v="Ishaan Patel"/>
    <s v="Male"/>
    <n v="51"/>
    <s v="Kolkata"/>
    <s v="West Bengal"/>
    <x v="8"/>
    <s v="Dr. Sneha"/>
    <s v="J00"/>
    <s v="Minor Procedure"/>
    <s v="Emergency"/>
    <n v="11999.63"/>
    <s v="UPI"/>
    <s v="No"/>
    <m/>
    <m/>
    <s v="Middle-Aged"/>
    <s v="High"/>
    <s v="Short Days"/>
    <m/>
    <m/>
    <m/>
    <m/>
    <m/>
    <m/>
  </r>
  <r>
    <s v="VIS202049"/>
    <d v="2024-03-25T00:00:00"/>
    <s v="PAT6214"/>
    <s v="Deepa Sharma"/>
    <s v="Female"/>
    <n v="32"/>
    <s v="Noida"/>
    <s v="Uttar Pradesh"/>
    <x v="3"/>
    <s v="Dr. Anand"/>
    <s v="K21"/>
    <s v="Surgery"/>
    <s v="Teleconsultation"/>
    <n v="5097.76"/>
    <s v="Cash"/>
    <s v="No"/>
    <m/>
    <n v="7"/>
    <s v="Adult"/>
    <s v="Medium"/>
    <s v="Short Days"/>
    <m/>
    <m/>
    <m/>
    <m/>
    <m/>
    <m/>
  </r>
  <r>
    <s v="VIS201611"/>
    <d v="2025-06-09T00:00:00"/>
    <s v="PAT5303"/>
    <s v="Arjun Bose"/>
    <s v="Male"/>
    <n v="48"/>
    <s v="Kolkata"/>
    <s v="West Bengal"/>
    <x v="4"/>
    <s v="Dr. Varun"/>
    <s v="J00"/>
    <s v="Observation"/>
    <s v="OPD"/>
    <n v="14565.65"/>
    <s v="Cash"/>
    <s v="No"/>
    <m/>
    <n v="7"/>
    <s v="Middle-Aged"/>
    <s v="High"/>
    <s v="Short Days"/>
    <m/>
    <m/>
    <m/>
    <m/>
    <m/>
    <m/>
  </r>
  <r>
    <s v="VIS202219"/>
    <d v="2025-08-07T00:00:00"/>
    <s v="PAT5103"/>
    <s v="Neha Mishra"/>
    <s v="Female"/>
    <n v="67"/>
    <s v="Delhi"/>
    <s v="Delhi"/>
    <x v="2"/>
    <s v="Dr. Manoj"/>
    <s v="F41"/>
    <s v="Surgery"/>
    <s v="IPD"/>
    <n v="8369.5"/>
    <s v="Cash"/>
    <s v="No"/>
    <n v="5"/>
    <n v="30"/>
    <s v="Senior"/>
    <s v="Medium"/>
    <s v="Short Days"/>
    <m/>
    <m/>
    <m/>
    <m/>
    <m/>
    <m/>
  </r>
  <r>
    <s v="VIS202709"/>
    <d v="2025-01-30T00:00:00"/>
    <s v="PAT6582"/>
    <s v="Ananya Reddy"/>
    <s v="Female"/>
    <n v="32"/>
    <s v="Delhi"/>
    <s v="Delhi"/>
    <x v="5"/>
    <s v="Dr. Ravi"/>
    <s v="I10"/>
    <s v="Minor Procedure"/>
    <s v="OPD"/>
    <n v="6851.82"/>
    <s v="Cash"/>
    <s v="No"/>
    <m/>
    <n v="90"/>
    <s v="Adult"/>
    <s v="Medium"/>
    <s v="Short Days"/>
    <m/>
    <m/>
    <m/>
    <m/>
    <m/>
    <m/>
  </r>
  <r>
    <s v="VIS200424"/>
    <d v="2025-02-07T00:00:00"/>
    <s v="PAT5872"/>
    <s v="Anil Nagar"/>
    <s v="Male"/>
    <n v="33"/>
    <s v="Kochi"/>
    <s v="Kerala"/>
    <x v="4"/>
    <s v="Dr. Varun"/>
    <s v="L40"/>
    <s v="Physiotherapy"/>
    <s v="Teleconsultation"/>
    <n v="11353.16"/>
    <s v="UPI"/>
    <s v="No"/>
    <m/>
    <n v="30"/>
    <s v="Adult"/>
    <s v="High"/>
    <s v="Short Days"/>
    <m/>
    <m/>
    <m/>
    <m/>
    <m/>
    <m/>
  </r>
  <r>
    <s v="VIS200465"/>
    <d v="2024-02-09T00:00:00"/>
    <s v="PAT5964"/>
    <s v="Vishal Mishra"/>
    <s v="Female"/>
    <n v="17"/>
    <s v="Pune"/>
    <s v="Maharashtra"/>
    <x v="8"/>
    <s v="Dr. Kavitha"/>
    <s v="F41"/>
    <s v="Counselling"/>
    <s v="OPD"/>
    <n v="7043.27"/>
    <s v="Debit Card"/>
    <s v="No"/>
    <m/>
    <n v="7"/>
    <s v="Child"/>
    <s v="Medium"/>
    <s v="Short Days"/>
    <m/>
    <m/>
    <m/>
    <m/>
    <m/>
    <m/>
  </r>
  <r>
    <s v="VIS202204"/>
    <d v="2024-12-23T00:00:00"/>
    <s v="PAT5853"/>
    <s v="Vivaan Singh"/>
    <s v="Male"/>
    <n v="58"/>
    <s v="Coimbatore"/>
    <s v="Tamil Nadu"/>
    <x v="8"/>
    <s v="Dr. Sneha"/>
    <s v="I10"/>
    <s v="Prescription Refill"/>
    <s v="OPD"/>
    <n v="1704.02"/>
    <s v="Insurance"/>
    <s v="Yes"/>
    <m/>
    <n v="90"/>
    <s v="Middle-Aged"/>
    <s v="Low"/>
    <s v="Short Days"/>
    <m/>
    <m/>
    <m/>
    <m/>
    <m/>
    <m/>
  </r>
  <r>
    <s v="VIS200167"/>
    <d v="2024-11-28T00:00:00"/>
    <s v="PAT6893"/>
    <s v="Ananya Patel"/>
    <s v="Male"/>
    <n v="77"/>
    <s v="Kolkata"/>
    <s v="West Bengal"/>
    <x v="6"/>
    <s v="Dr. Lalitha"/>
    <s v="N39"/>
    <s v="Surgery"/>
    <s v="OPD"/>
    <n v="2376.0100000000002"/>
    <s v="Cash"/>
    <s v="No"/>
    <m/>
    <n v="30"/>
    <s v="Senior"/>
    <s v="Low"/>
    <s v="Short Days"/>
    <m/>
    <m/>
    <m/>
    <m/>
    <m/>
    <m/>
  </r>
  <r>
    <s v="VIS200420"/>
    <d v="2025-02-07T00:00:00"/>
    <s v="PAT5802"/>
    <s v="Anil Jose"/>
    <s v="Male"/>
    <n v="45"/>
    <s v="Hyderabad"/>
    <s v="Telangana"/>
    <x v="6"/>
    <s v="Dr. Priya"/>
    <s v="M54"/>
    <s v="Counselling"/>
    <s v="OPD"/>
    <n v="1808.18"/>
    <s v="Credit Card"/>
    <s v="No"/>
    <m/>
    <n v="14"/>
    <s v="Middle-Aged"/>
    <s v="Low"/>
    <s v="Short Days"/>
    <m/>
    <m/>
    <m/>
    <m/>
    <m/>
    <m/>
  </r>
  <r>
    <s v="VIS200729"/>
    <d v="2024-07-09T00:00:00"/>
    <s v="PAT5113"/>
    <s v="Vishal Reddy"/>
    <s v="Female"/>
    <n v="67"/>
    <s v="Pune"/>
    <s v="Maharashtra"/>
    <x v="5"/>
    <s v="Dr. Ravi"/>
    <s v="J00"/>
    <s v="Prescription Refill"/>
    <s v="OPD"/>
    <n v="11669.78"/>
    <s v="Debit Card"/>
    <s v="No"/>
    <m/>
    <n v="7"/>
    <s v="Senior"/>
    <s v="High"/>
    <s v="Short Days"/>
    <m/>
    <m/>
    <m/>
    <m/>
    <m/>
    <m/>
  </r>
  <r>
    <s v="VIS201512"/>
    <d v="2025-04-02T00:00:00"/>
    <s v="PAT5957"/>
    <s v="Karthik Reddy"/>
    <s v="Male"/>
    <n v="4"/>
    <s v="Hyderabad"/>
    <s v="Telangana"/>
    <x v="9"/>
    <s v="Dr. Kusum"/>
    <s v="F41"/>
    <s v="Minor Surgery"/>
    <s v="Teleconsultation"/>
    <n v="23439.94"/>
    <s v="Credit Card"/>
    <s v="No"/>
    <m/>
    <n v="90"/>
    <s v="Child"/>
    <s v="High"/>
    <s v="Short Days"/>
    <m/>
    <m/>
    <m/>
    <m/>
    <m/>
    <m/>
  </r>
  <r>
    <s v="VIS202025"/>
    <d v="2025-03-28T00:00:00"/>
    <s v="PAT5544"/>
    <s v="Siddharth Jose"/>
    <s v="Other"/>
    <n v="35"/>
    <s v="Kochi"/>
    <s v="Kerala"/>
    <x v="6"/>
    <s v="Dr. Lalitha"/>
    <s v="K21"/>
    <s v="Surgery"/>
    <s v="Emergency"/>
    <n v="6001.16"/>
    <s v="Net Banking"/>
    <s v="No"/>
    <m/>
    <n v="90"/>
    <s v="Adult"/>
    <s v="Medium"/>
    <s v="Short Days"/>
    <m/>
    <m/>
    <m/>
    <m/>
    <m/>
    <m/>
  </r>
  <r>
    <s v="VIS200270"/>
    <d v="2025-04-19T00:00:00"/>
    <s v="PAT6610"/>
    <s v="Aishwarya Sharma"/>
    <s v="Female"/>
    <n v="59"/>
    <s v="Delhi"/>
    <s v="Delhi"/>
    <x v="3"/>
    <s v="Dr. Pallavi"/>
    <s v="E11"/>
    <s v="Minor Procedure"/>
    <s v="Teleconsultation"/>
    <n v="19523.669999999998"/>
    <s v="Cash"/>
    <s v="No"/>
    <m/>
    <m/>
    <s v="Middle-Aged"/>
    <s v="High"/>
    <s v="Short Days"/>
    <m/>
    <m/>
    <m/>
    <m/>
    <m/>
    <m/>
  </r>
  <r>
    <s v="VIS202829"/>
    <d v="2024-06-20T00:00:00"/>
    <s v="PAT6215"/>
    <s v="Siddharth Jose"/>
    <s v="Male"/>
    <n v="14"/>
    <s v="Pune"/>
    <s v="Maharashtra"/>
    <x v="0"/>
    <s v="Dr. Nikhil"/>
    <s v="N39"/>
    <s v="Surgery"/>
    <s v="OPD"/>
    <n v="714.93"/>
    <s v="Cash"/>
    <s v="No"/>
    <m/>
    <n v="7"/>
    <s v="Child"/>
    <s v="Low"/>
    <s v="Short Days"/>
    <m/>
    <m/>
    <m/>
    <m/>
    <m/>
    <m/>
  </r>
  <r>
    <s v="VIS202954"/>
    <d v="2024-11-21T00:00:00"/>
    <s v="PAT5678"/>
    <s v="Karthik Singh"/>
    <s v="Male"/>
    <n v="47"/>
    <s v="Coimbatore"/>
    <s v="Tamil Nadu"/>
    <x v="1"/>
    <s v="Dr. Anu"/>
    <s v="H10"/>
    <s v="Physiotherapy"/>
    <s v="OPD"/>
    <n v="966.08"/>
    <s v="Cash"/>
    <s v="No"/>
    <m/>
    <m/>
    <s v="Middle-Aged"/>
    <s v="Low"/>
    <s v="Short Days"/>
    <m/>
    <m/>
    <m/>
    <m/>
    <m/>
    <m/>
  </r>
  <r>
    <s v="VIS200467"/>
    <d v="2025-05-15T00:00:00"/>
    <s v="PAT6614"/>
    <s v="Karthik Nair"/>
    <s v="Female"/>
    <n v="61"/>
    <s v="Coimbatore"/>
    <s v="Tamil Nadu"/>
    <x v="9"/>
    <s v="Dr. Arvind"/>
    <s v="K21"/>
    <s v="Surgery"/>
    <s v="OPD"/>
    <n v="18040.53"/>
    <s v="UPI"/>
    <s v="No"/>
    <m/>
    <m/>
    <s v="Senior"/>
    <s v="High"/>
    <s v="Short Days"/>
    <m/>
    <m/>
    <m/>
    <m/>
    <m/>
    <m/>
  </r>
  <r>
    <s v="VIS201863"/>
    <d v="2024-01-09T00:00:00"/>
    <s v="PAT5226"/>
    <s v="Sangeetha Mishra"/>
    <s v="Female"/>
    <n v="58"/>
    <s v="Madurai"/>
    <s v="Tamil Nadu"/>
    <x v="2"/>
    <s v="Dr. Ramesh"/>
    <s v="E11"/>
    <s v="Prescription Refill"/>
    <s v="OPD"/>
    <n v="1147.6400000000001"/>
    <s v="Credit Card"/>
    <s v="No"/>
    <m/>
    <n v="90"/>
    <s v="Middle-Aged"/>
    <s v="Low"/>
    <s v="Short Days"/>
    <m/>
    <m/>
    <m/>
    <m/>
    <m/>
    <m/>
  </r>
  <r>
    <s v="VIS201222"/>
    <d v="2025-06-26T00:00:00"/>
    <s v="PAT6917"/>
    <s v="Karthik Iyer"/>
    <s v="Female"/>
    <n v="29"/>
    <s v="Lucknow"/>
    <s v="Uttar Pradesh"/>
    <x v="7"/>
    <s v="Dr. Surya"/>
    <s v="M54"/>
    <s v="Minor Procedure"/>
    <s v="OPD"/>
    <n v="173.67"/>
    <s v="Insurance"/>
    <s v="Yes"/>
    <m/>
    <m/>
    <s v="Adult"/>
    <s v="Low"/>
    <s v="Short Days"/>
    <m/>
    <m/>
    <m/>
    <m/>
    <m/>
    <m/>
  </r>
  <r>
    <s v="VIS202761"/>
    <d v="2025-02-20T00:00:00"/>
    <s v="PAT5701"/>
    <s v="Manisha Mishra"/>
    <s v="Male"/>
    <n v="32"/>
    <s v="Coimbatore"/>
    <s v="Tamil Nadu"/>
    <x v="7"/>
    <s v="Dr. Surya"/>
    <s v="M54"/>
    <s v="Minor Procedure"/>
    <s v="OPD"/>
    <n v="4352.26"/>
    <s v="Debit Card"/>
    <s v="No"/>
    <m/>
    <n v="7"/>
    <s v="Adult"/>
    <s v="Low"/>
    <s v="Short Days"/>
    <m/>
    <m/>
    <m/>
    <m/>
    <m/>
    <m/>
  </r>
  <r>
    <s v="VIS201845"/>
    <d v="2024-01-05T00:00:00"/>
    <s v="PAT5490"/>
    <s v="Vivaan Kumar"/>
    <s v="Male"/>
    <n v="60"/>
    <s v="Jaipur"/>
    <s v="Rajasthan"/>
    <x v="8"/>
    <s v="Dr. Kavitha"/>
    <s v="L40"/>
    <s v="Minor Procedure"/>
    <s v="OPD"/>
    <n v="394.94"/>
    <s v="Insurance"/>
    <s v="Yes"/>
    <m/>
    <n v="14"/>
    <s v="Middle-Aged"/>
    <s v="Low"/>
    <s v="Short Days"/>
    <m/>
    <m/>
    <m/>
    <m/>
    <m/>
    <m/>
  </r>
  <r>
    <s v="VIS200915"/>
    <d v="2025-06-10T00:00:00"/>
    <s v="PAT6044"/>
    <s v="Vivaan Singh"/>
    <s v="Female"/>
    <n v="49"/>
    <s v="Madurai"/>
    <s v="Tamil Nadu"/>
    <x v="3"/>
    <s v="Dr. Pallavi"/>
    <s v="K21"/>
    <s v="Surgery"/>
    <s v="Teleconsultation"/>
    <n v="7217.47"/>
    <s v="Insurance"/>
    <s v="Yes"/>
    <m/>
    <n v="90"/>
    <s v="Middle-Aged"/>
    <s v="Medium"/>
    <s v="Short Days"/>
    <m/>
    <m/>
    <m/>
    <m/>
    <m/>
    <m/>
  </r>
  <r>
    <s v="VIS200076"/>
    <d v="2024-11-02T00:00:00"/>
    <s v="PAT6523"/>
    <s v="Karthik Khan"/>
    <s v="Male"/>
    <n v="21"/>
    <s v="Trichy"/>
    <s v="Tamil Nadu"/>
    <x v="3"/>
    <s v="Dr. Anand"/>
    <s v="E11"/>
    <s v="Minor Procedure"/>
    <s v="OPD"/>
    <n v="3961.38"/>
    <s v="Debit Card"/>
    <s v="No"/>
    <m/>
    <n v="7"/>
    <s v="Adult"/>
    <s v="Low"/>
    <s v="Short Days"/>
    <m/>
    <m/>
    <m/>
    <m/>
    <m/>
    <m/>
  </r>
  <r>
    <s v="VIS202461"/>
    <d v="2024-09-17T00:00:00"/>
    <s v="PAT5573"/>
    <s v="Rohan Nagar"/>
    <s v="Male"/>
    <n v="39"/>
    <s v="Kochi"/>
    <s v="Kerala"/>
    <x v="7"/>
    <s v="Dr. Leela"/>
    <s v="J45"/>
    <s v="Physiotherapy"/>
    <s v="OPD"/>
    <n v="656.09"/>
    <s v="Debit Card"/>
    <s v="No"/>
    <m/>
    <m/>
    <s v="Adult"/>
    <s v="Low"/>
    <s v="Short Days"/>
    <m/>
    <m/>
    <m/>
    <m/>
    <m/>
    <m/>
  </r>
  <r>
    <s v="VIS201820"/>
    <d v="2024-08-21T00:00:00"/>
    <s v="PAT5391"/>
    <s v="Deepa Singh"/>
    <s v="Male"/>
    <n v="45"/>
    <s v="Kolkata"/>
    <s v="West Bengal"/>
    <x v="4"/>
    <s v="Dr. Varun"/>
    <s v="J00"/>
    <s v="Physiotherapy"/>
    <s v="Emergency"/>
    <n v="11188.33"/>
    <s v="UPI"/>
    <s v="No"/>
    <m/>
    <n v="14"/>
    <s v="Middle-Aged"/>
    <s v="High"/>
    <s v="Short Days"/>
    <m/>
    <m/>
    <m/>
    <m/>
    <m/>
    <m/>
  </r>
  <r>
    <s v="VIS201873"/>
    <d v="2025-07-10T00:00:00"/>
    <s v="PAT5890"/>
    <s v="Vivaan Singh"/>
    <s v="Female"/>
    <n v="45"/>
    <s v="Chennai"/>
    <s v="Tamil Nadu"/>
    <x v="5"/>
    <s v="Dr. Meena"/>
    <s v="H10"/>
    <s v="Minor Procedure"/>
    <s v="Teleconsultation"/>
    <n v="21095.84"/>
    <s v="UPI"/>
    <s v="No"/>
    <m/>
    <n v="30"/>
    <s v="Middle-Aged"/>
    <s v="High"/>
    <s v="Short Days"/>
    <m/>
    <m/>
    <m/>
    <m/>
    <m/>
    <m/>
  </r>
  <r>
    <s v="VIS200638"/>
    <d v="2025-11-05T00:00:00"/>
    <s v="PAT5407"/>
    <s v="Rohan Singh"/>
    <s v="Female"/>
    <n v="30"/>
    <s v="Kolkata"/>
    <s v="West Bengal"/>
    <x v="4"/>
    <s v="Dr. Bhavana"/>
    <s v="I10"/>
    <s v="Medication"/>
    <s v="OPD"/>
    <n v="1512.18"/>
    <s v="Insurance"/>
    <s v="Yes"/>
    <m/>
    <m/>
    <s v="Adult"/>
    <s v="Low"/>
    <s v="Short Days"/>
    <m/>
    <m/>
    <m/>
    <m/>
    <m/>
    <m/>
  </r>
  <r>
    <s v="VIS201989"/>
    <d v="2024-05-28T00:00:00"/>
    <s v="PAT6985"/>
    <s v="Vishal Patel"/>
    <s v="Female"/>
    <n v="50"/>
    <s v="Pune"/>
    <s v="Maharashtra"/>
    <x v="4"/>
    <s v="Dr. Varun"/>
    <s v="N39"/>
    <s v="Surgery"/>
    <s v="OPD"/>
    <n v="7650.69"/>
    <s v="Debit Card"/>
    <s v="No"/>
    <m/>
    <n v="90"/>
    <s v="Middle-Aged"/>
    <s v="Medium"/>
    <s v="Short Days"/>
    <m/>
    <m/>
    <m/>
    <m/>
    <m/>
    <m/>
  </r>
  <r>
    <s v="VIS202692"/>
    <d v="2025-04-14T00:00:00"/>
    <s v="PAT6791"/>
    <s v="Neha Patel"/>
    <s v="Other"/>
    <n v="44"/>
    <s v="Madurai"/>
    <s v="Tamil Nadu"/>
    <x v="2"/>
    <s v="Dr. Manoj"/>
    <s v="E11"/>
    <s v="Prescription Refill"/>
    <s v="OPD"/>
    <n v="6869.7"/>
    <s v="Debit Card"/>
    <s v="No"/>
    <m/>
    <n v="90"/>
    <s v="Middle-Aged"/>
    <s v="Medium"/>
    <s v="Short Days"/>
    <m/>
    <m/>
    <m/>
    <m/>
    <m/>
    <m/>
  </r>
  <r>
    <s v="VIS201773"/>
    <d v="2024-07-09T00:00:00"/>
    <s v="PAT5719"/>
    <s v="Rohan Mishra"/>
    <s v="Female"/>
    <n v="58"/>
    <s v="Ahmedabad"/>
    <s v="Gujarat"/>
    <x v="0"/>
    <s v="Dr. Nikhil"/>
    <s v="I10"/>
    <s v="Minor Surgery"/>
    <s v="OPD"/>
    <n v="10197.49"/>
    <s v="Insurance"/>
    <s v="Yes"/>
    <m/>
    <n v="7"/>
    <s v="Middle-Aged"/>
    <s v="High"/>
    <s v="Short Days"/>
    <m/>
    <m/>
    <m/>
    <m/>
    <m/>
    <m/>
  </r>
  <r>
    <s v="VIS201013"/>
    <d v="2024-07-08T00:00:00"/>
    <s v="PAT5003"/>
    <s v="Aarav Bose"/>
    <s v="Female"/>
    <n v="32"/>
    <s v="Lucknow"/>
    <s v="Uttar Pradesh"/>
    <x v="0"/>
    <s v="Dr. Nikhil"/>
    <s v="F41"/>
    <s v="Counselling"/>
    <s v="OPD"/>
    <n v="942.5"/>
    <s v="UPI"/>
    <s v="No"/>
    <m/>
    <n v="30"/>
    <s v="Adult"/>
    <s v="Low"/>
    <s v="Short Days"/>
    <m/>
    <m/>
    <m/>
    <m/>
    <m/>
    <m/>
  </r>
  <r>
    <s v="VIS202140"/>
    <d v="2025-10-14T00:00:00"/>
    <s v="PAT5163"/>
    <s v="Manisha Sharma"/>
    <s v="Male"/>
    <n v="23"/>
    <s v="Trichy"/>
    <s v="Tamil Nadu"/>
    <x v="3"/>
    <s v="Dr. Anand"/>
    <s v="H10"/>
    <s v="Counselling"/>
    <s v="OPD"/>
    <n v="6419.76"/>
    <s v="Insurance"/>
    <s v="Yes"/>
    <m/>
    <n v="30"/>
    <s v="Adult"/>
    <s v="Medium"/>
    <s v="Short Days"/>
    <m/>
    <m/>
    <m/>
    <m/>
    <m/>
    <m/>
  </r>
  <r>
    <s v="VIS202659"/>
    <d v="2024-08-14T00:00:00"/>
    <s v="PAT5197"/>
    <s v="Deepa Mishra"/>
    <s v="Female"/>
    <n v="45"/>
    <s v="Delhi"/>
    <s v="Delhi"/>
    <x v="3"/>
    <s v="Dr. Pallavi"/>
    <s v="E11"/>
    <s v="Prescription Refill"/>
    <s v="OPD"/>
    <n v="2793.5"/>
    <s v="Credit Card"/>
    <s v="No"/>
    <m/>
    <n v="30"/>
    <s v="Middle-Aged"/>
    <s v="Low"/>
    <s v="Short Days"/>
    <m/>
    <m/>
    <m/>
    <m/>
    <m/>
    <m/>
  </r>
  <r>
    <s v="VIS201861"/>
    <d v="2024-04-02T00:00:00"/>
    <s v="PAT6108"/>
    <s v="Rohan Patel"/>
    <s v="Male"/>
    <n v="11"/>
    <s v="Ahmedabad"/>
    <s v="Gujarat"/>
    <x v="0"/>
    <s v="Dr. Shailesh"/>
    <s v="N39"/>
    <s v="Physiotherapy"/>
    <s v="OPD"/>
    <n v="8537.7999999999993"/>
    <s v="UPI"/>
    <s v="No"/>
    <m/>
    <n v="90"/>
    <s v="Child"/>
    <s v="Medium"/>
    <s v="Short Days"/>
    <m/>
    <m/>
    <m/>
    <m/>
    <m/>
    <m/>
  </r>
  <r>
    <s v="VIS202158"/>
    <d v="2025-09-22T00:00:00"/>
    <s v="PAT5358"/>
    <s v="Rohan Patel"/>
    <s v="Male"/>
    <n v="57"/>
    <s v="Ahmedabad"/>
    <s v="Gujarat"/>
    <x v="7"/>
    <s v="Dr. Leela"/>
    <s v="E11"/>
    <s v="Minor Surgery"/>
    <s v="IPD"/>
    <n v="5406.33"/>
    <s v="UPI"/>
    <s v="No"/>
    <n v="3"/>
    <m/>
    <s v="Middle-Aged"/>
    <s v="Medium"/>
    <s v="Short Days"/>
    <m/>
    <m/>
    <m/>
    <m/>
    <m/>
    <m/>
  </r>
  <r>
    <s v="VIS200235"/>
    <d v="2024-10-28T00:00:00"/>
    <s v="PAT5959"/>
    <s v="Sangeetha Nair"/>
    <s v="Male"/>
    <n v="39"/>
    <s v="Chennai"/>
    <s v="Tamil Nadu"/>
    <x v="5"/>
    <s v="Dr. Ravi"/>
    <s v="H10"/>
    <s v="Physiotherapy"/>
    <s v="OPD"/>
    <n v="872.78"/>
    <s v="Net Banking"/>
    <s v="No"/>
    <m/>
    <n v="14"/>
    <s v="Adult"/>
    <s v="Low"/>
    <s v="Short Days"/>
    <m/>
    <m/>
    <m/>
    <m/>
    <m/>
    <m/>
  </r>
  <r>
    <s v="VIS201856"/>
    <d v="2025-03-01T00:00:00"/>
    <s v="PAT6858"/>
    <s v="Arjun Sharma"/>
    <s v="Male"/>
    <n v="19"/>
    <s v="Hyderabad"/>
    <s v="Telangana"/>
    <x v="9"/>
    <s v="Dr. Arvind"/>
    <s v="M54"/>
    <s v="Observation"/>
    <s v="Teleconsultation"/>
    <n v="13290.55"/>
    <s v="Debit Card"/>
    <s v="No"/>
    <m/>
    <n v="7"/>
    <s v="Adult"/>
    <s v="High"/>
    <s v="Short Days"/>
    <m/>
    <m/>
    <m/>
    <m/>
    <m/>
    <m/>
  </r>
  <r>
    <s v="VIS202648"/>
    <d v="2024-12-14T00:00:00"/>
    <s v="PAT5916"/>
    <s v="Vishal Mishra"/>
    <s v="Male"/>
    <n v="32"/>
    <s v="Lucknow"/>
    <s v="Uttar Pradesh"/>
    <x v="9"/>
    <s v="Dr. Arvind"/>
    <s v="N39"/>
    <s v="Surgery"/>
    <s v="Teleconsultation"/>
    <n v="6764.95"/>
    <s v="Credit Card"/>
    <s v="No"/>
    <m/>
    <n v="90"/>
    <s v="Adult"/>
    <s v="Medium"/>
    <s v="Short Days"/>
    <m/>
    <m/>
    <m/>
    <m/>
    <m/>
    <m/>
  </r>
  <r>
    <s v="VIS201878"/>
    <d v="2024-07-02T00:00:00"/>
    <s v="PAT5827"/>
    <s v="Aarav Singh"/>
    <s v="Male"/>
    <n v="20"/>
    <s v="Kochi"/>
    <s v="Kerala"/>
    <x v="4"/>
    <s v="Dr. Bhavana"/>
    <s v="F41"/>
    <s v="Surgery"/>
    <s v="OPD"/>
    <n v="6910.41"/>
    <s v="Credit Card"/>
    <s v="No"/>
    <m/>
    <n v="90"/>
    <s v="Adult"/>
    <s v="Medium"/>
    <s v="Short Days"/>
    <m/>
    <m/>
    <m/>
    <m/>
    <m/>
    <m/>
  </r>
  <r>
    <s v="VIS200307"/>
    <d v="2024-06-30T00:00:00"/>
    <s v="PAT6930"/>
    <s v="Rohan Kumar"/>
    <s v="Female"/>
    <n v="21"/>
    <s v="Lucknow"/>
    <s v="Uttar Pradesh"/>
    <x v="1"/>
    <s v="Dr. Suri"/>
    <s v="L40"/>
    <s v="Minor Procedure"/>
    <s v="OPD"/>
    <n v="2014.54"/>
    <s v="Insurance"/>
    <s v="Yes"/>
    <m/>
    <m/>
    <s v="Adult"/>
    <s v="Low"/>
    <s v="Short Days"/>
    <m/>
    <m/>
    <m/>
    <m/>
    <m/>
    <m/>
  </r>
  <r>
    <s v="VIS201823"/>
    <d v="2025-03-26T00:00:00"/>
    <s v="PAT6478"/>
    <s v="Vivaan Patel"/>
    <s v="Male"/>
    <n v="64"/>
    <s v="Trichy"/>
    <s v="Tamil Nadu"/>
    <x v="5"/>
    <s v="Dr. Meena"/>
    <s v="M54"/>
    <s v="Observation"/>
    <s v="OPD"/>
    <n v="2063.35"/>
    <s v="Debit Card"/>
    <s v="No"/>
    <m/>
    <n v="7"/>
    <s v="Senior"/>
    <s v="Low"/>
    <s v="Short Days"/>
    <m/>
    <m/>
    <m/>
    <m/>
    <m/>
    <m/>
  </r>
  <r>
    <s v="VIS201402"/>
    <d v="2024-06-07T00:00:00"/>
    <s v="PAT5071"/>
    <s v="Anil Iyer"/>
    <s v="Other"/>
    <n v="40"/>
    <s v="Ahmedabad"/>
    <s v="Gujarat"/>
    <x v="3"/>
    <s v="Dr. Anand"/>
    <s v="N39"/>
    <s v="Surgery"/>
    <s v="OPD"/>
    <n v="14599.67"/>
    <s v="Credit Card"/>
    <s v="No"/>
    <m/>
    <n v="30"/>
    <s v="Adult"/>
    <s v="High"/>
    <s v="Short Days"/>
    <m/>
    <m/>
    <m/>
    <m/>
    <m/>
    <m/>
  </r>
  <r>
    <s v="VIS200961"/>
    <d v="2025-10-19T00:00:00"/>
    <s v="PAT6347"/>
    <s v="Ishaan Nair"/>
    <s v="Female"/>
    <n v="48"/>
    <s v="Mumbai"/>
    <s v="Maharashtra"/>
    <x v="7"/>
    <s v="Dr. Leela"/>
    <s v="E11"/>
    <s v="Minor Procedure"/>
    <s v="OPD"/>
    <n v="4093.79"/>
    <s v="Cash"/>
    <s v="No"/>
    <m/>
    <n v="14"/>
    <s v="Middle-Aged"/>
    <s v="Low"/>
    <s v="Short Days"/>
    <m/>
    <m/>
    <m/>
    <m/>
    <m/>
    <m/>
  </r>
  <r>
    <s v="VIS201619"/>
    <d v="2024-12-25T00:00:00"/>
    <s v="PAT6982"/>
    <s v="Deepa Kumar"/>
    <s v="Male"/>
    <n v="53"/>
    <s v="Noida"/>
    <s v="Uttar Pradesh"/>
    <x v="3"/>
    <s v="Dr. Anand"/>
    <s v="I10"/>
    <s v="Surgery"/>
    <s v="OPD"/>
    <n v="646.09"/>
    <s v="Cash"/>
    <s v="No"/>
    <m/>
    <n v="30"/>
    <s v="Middle-Aged"/>
    <s v="Low"/>
    <s v="Short Days"/>
    <m/>
    <m/>
    <m/>
    <m/>
    <m/>
    <m/>
  </r>
  <r>
    <s v="VIS201687"/>
    <d v="2024-08-16T00:00:00"/>
    <s v="PAT6166"/>
    <s v="Karthik Gupta"/>
    <s v="Male"/>
    <n v="45"/>
    <s v="Kolkata"/>
    <s v="West Bengal"/>
    <x v="9"/>
    <s v="Dr. Kusum"/>
    <s v="F41"/>
    <s v="Observation"/>
    <s v="OPD"/>
    <n v="457.57"/>
    <s v="Debit Card"/>
    <s v="No"/>
    <m/>
    <n v="7"/>
    <s v="Middle-Aged"/>
    <s v="Low"/>
    <s v="Short Days"/>
    <m/>
    <m/>
    <m/>
    <m/>
    <m/>
    <m/>
  </r>
  <r>
    <s v="VIS201871"/>
    <d v="2025-10-16T00:00:00"/>
    <s v="PAT5627"/>
    <s v="Rahul Patel"/>
    <s v="Male"/>
    <n v="32"/>
    <s v="Jaipur"/>
    <s v="Rajasthan"/>
    <x v="5"/>
    <s v="Dr. Ravi"/>
    <s v="F41"/>
    <s v="Medication"/>
    <s v="Teleconsultation"/>
    <n v="7210.86"/>
    <s v="UPI"/>
    <s v="No"/>
    <m/>
    <m/>
    <s v="Adult"/>
    <s v="Medium"/>
    <s v="Short Days"/>
    <m/>
    <m/>
    <m/>
    <m/>
    <m/>
    <m/>
  </r>
  <r>
    <s v="VIS202868"/>
    <d v="2024-01-08T00:00:00"/>
    <s v="PAT6351"/>
    <s v="Neha Kumar"/>
    <s v="Female"/>
    <n v="39"/>
    <s v="Trichy"/>
    <s v="Tamil Nadu"/>
    <x v="7"/>
    <s v="Dr. Surya"/>
    <s v="M54"/>
    <s v="Minor Surgery"/>
    <s v="OPD"/>
    <n v="6655.08"/>
    <s v="Credit Card"/>
    <s v="No"/>
    <m/>
    <m/>
    <s v="Adult"/>
    <s v="Medium"/>
    <s v="Short Days"/>
    <m/>
    <m/>
    <m/>
    <m/>
    <m/>
    <m/>
  </r>
  <r>
    <s v="VIS202595"/>
    <d v="2025-08-12T00:00:00"/>
    <s v="PAT5036"/>
    <s v="Manisha Patel"/>
    <s v="Female"/>
    <n v="54"/>
    <s v="Bengaluru"/>
    <s v="Karnataka"/>
    <x v="8"/>
    <s v="Dr. Sneha"/>
    <s v="J00"/>
    <s v="Observation"/>
    <s v="OPD"/>
    <n v="994.25"/>
    <s v="Insurance"/>
    <s v="Yes"/>
    <m/>
    <n v="7"/>
    <s v="Middle-Aged"/>
    <s v="Low"/>
    <s v="Short Days"/>
    <m/>
    <m/>
    <m/>
    <m/>
    <m/>
    <m/>
  </r>
  <r>
    <s v="VIS202021"/>
    <d v="2025-01-25T00:00:00"/>
    <s v="PAT5490"/>
    <s v="Rahul Reddy"/>
    <s v="Female"/>
    <n v="36"/>
    <s v="Jaipur"/>
    <s v="Rajasthan"/>
    <x v="8"/>
    <s v="Dr. Kavitha"/>
    <s v="I10"/>
    <s v="Prescription Refill"/>
    <s v="Emergency"/>
    <n v="5677.24"/>
    <s v="UPI"/>
    <s v="No"/>
    <m/>
    <n v="30"/>
    <s v="Adult"/>
    <s v="Medium"/>
    <s v="Short Days"/>
    <m/>
    <m/>
    <m/>
    <m/>
    <m/>
    <m/>
  </r>
  <r>
    <s v="VIS201055"/>
    <d v="2024-04-13T00:00:00"/>
    <s v="PAT5510"/>
    <s v="Kavya Sharma"/>
    <s v="Female"/>
    <n v="29"/>
    <s v="Chennai"/>
    <s v="Tamil Nadu"/>
    <x v="8"/>
    <s v="Dr. Kavitha"/>
    <s v="L40"/>
    <s v="Prescription Refill"/>
    <s v="OPD"/>
    <n v="5833.04"/>
    <s v="Debit Card"/>
    <s v="No"/>
    <m/>
    <m/>
    <s v="Adult"/>
    <s v="Medium"/>
    <s v="Short Days"/>
    <m/>
    <m/>
    <m/>
    <m/>
    <m/>
    <m/>
  </r>
  <r>
    <s v="VIS202412"/>
    <d v="2024-09-03T00:00:00"/>
    <s v="PAT6188"/>
    <s v="Priya Reddy"/>
    <s v="Male"/>
    <n v="50"/>
    <s v="Lucknow"/>
    <s v="Uttar Pradesh"/>
    <x v="3"/>
    <s v="Dr. Anand"/>
    <s v="J00"/>
    <s v="Surgery"/>
    <s v="OPD"/>
    <n v="1442.56"/>
    <s v="Insurance"/>
    <s v="Yes"/>
    <m/>
    <n v="7"/>
    <s v="Middle-Aged"/>
    <s v="Low"/>
    <s v="Short Days"/>
    <m/>
    <m/>
    <m/>
    <m/>
    <m/>
    <m/>
  </r>
  <r>
    <s v="VIS200377"/>
    <d v="2025-09-25T00:00:00"/>
    <s v="PAT6670"/>
    <s v="Rohan Jose"/>
    <s v="Female"/>
    <n v="0"/>
    <s v="Hyderabad"/>
    <s v="Telangana"/>
    <x v="7"/>
    <s v="Dr. Surya"/>
    <s v="F41"/>
    <s v="Observation"/>
    <s v="OPD"/>
    <n v="3069.7"/>
    <s v="Credit Card"/>
    <s v="No"/>
    <m/>
    <m/>
    <s v="Child"/>
    <s v="Low"/>
    <s v="Short Days"/>
    <m/>
    <m/>
    <m/>
    <m/>
    <m/>
    <m/>
  </r>
  <r>
    <s v="VIS202793"/>
    <d v="2025-02-28T00:00:00"/>
    <s v="PAT5022"/>
    <s v="Sangeetha Nagar"/>
    <s v="Male"/>
    <n v="22"/>
    <s v="Kochi"/>
    <s v="Kerala"/>
    <x v="4"/>
    <s v="Dr. Varun"/>
    <s v="M54"/>
    <s v="Minor Surgery"/>
    <s v="OPD"/>
    <n v="2728.18"/>
    <s v="Debit Card"/>
    <s v="No"/>
    <m/>
    <n v="90"/>
    <s v="Adult"/>
    <s v="Low"/>
    <s v="Short Days"/>
    <m/>
    <m/>
    <m/>
    <m/>
    <m/>
    <m/>
  </r>
  <r>
    <s v="VIS201965"/>
    <d v="2024-04-15T00:00:00"/>
    <s v="PAT6376"/>
    <s v="Aditya Sharma"/>
    <s v="Female"/>
    <n v="27"/>
    <s v="Trichy"/>
    <s v="Tamil Nadu"/>
    <x v="3"/>
    <s v="Dr. Pallavi"/>
    <s v="E11"/>
    <s v="Counselling"/>
    <s v="OPD"/>
    <n v="4405.59"/>
    <s v="Credit Card"/>
    <s v="No"/>
    <m/>
    <n v="14"/>
    <s v="Adult"/>
    <s v="Low"/>
    <s v="Short Days"/>
    <m/>
    <m/>
    <m/>
    <m/>
    <m/>
    <m/>
  </r>
  <r>
    <s v="VIS201151"/>
    <d v="2025-05-28T00:00:00"/>
    <s v="PAT6885"/>
    <s v="Shruti Patel"/>
    <s v="Male"/>
    <n v="47"/>
    <s v="Hyderabad"/>
    <s v="Telangana"/>
    <x v="8"/>
    <s v="Dr. Kavitha"/>
    <s v="K21"/>
    <s v="Minor Procedure"/>
    <s v="Teleconsultation"/>
    <n v="5475.4"/>
    <s v="UPI"/>
    <s v="No"/>
    <m/>
    <n v="7"/>
    <s v="Middle-Aged"/>
    <s v="Medium"/>
    <s v="Short Days"/>
    <m/>
    <m/>
    <m/>
    <m/>
    <m/>
    <m/>
  </r>
  <r>
    <s v="VIS201875"/>
    <d v="2025-06-19T00:00:00"/>
    <s v="PAT6286"/>
    <s v="Shruti Bose"/>
    <s v="Female"/>
    <n v="61"/>
    <s v="Noida"/>
    <s v="Uttar Pradesh"/>
    <x v="6"/>
    <s v="Dr. Priya"/>
    <s v="M54"/>
    <s v="Counselling"/>
    <s v="Emergency"/>
    <n v="8629"/>
    <s v="UPI"/>
    <s v="No"/>
    <m/>
    <n v="30"/>
    <s v="Senior"/>
    <s v="Medium"/>
    <s v="Short Days"/>
    <m/>
    <m/>
    <m/>
    <m/>
    <m/>
    <m/>
  </r>
  <r>
    <s v="VIS202853"/>
    <d v="2024-02-02T00:00:00"/>
    <s v="PAT6609"/>
    <s v="Karthik Jose"/>
    <s v="Male"/>
    <n v="35"/>
    <s v="Hyderabad"/>
    <s v="Telangana"/>
    <x v="2"/>
    <s v="Dr. Manoj"/>
    <s v="E11"/>
    <s v="Minor Surgery"/>
    <s v="OPD"/>
    <n v="2980.91"/>
    <s v="Insurance"/>
    <s v="Yes"/>
    <m/>
    <n v="30"/>
    <s v="Adult"/>
    <s v="Low"/>
    <s v="Short Days"/>
    <m/>
    <m/>
    <m/>
    <m/>
    <m/>
    <m/>
  </r>
  <r>
    <s v="VIS202673"/>
    <d v="2024-05-18T00:00:00"/>
    <s v="PAT6689"/>
    <s v="Ishaan Khan"/>
    <s v="Male"/>
    <n v="29"/>
    <s v="Kolkata"/>
    <s v="West Bengal"/>
    <x v="5"/>
    <s v="Dr. Karthik"/>
    <s v="K21"/>
    <s v="Medication"/>
    <s v="Emergency"/>
    <n v="7473.13"/>
    <s v="UPI"/>
    <s v="No"/>
    <m/>
    <n v="30"/>
    <s v="Adult"/>
    <s v="Medium"/>
    <s v="Short Days"/>
    <m/>
    <m/>
    <m/>
    <m/>
    <m/>
    <m/>
  </r>
  <r>
    <s v="VIS200703"/>
    <d v="2025-05-17T00:00:00"/>
    <s v="PAT5098"/>
    <s v="Ananya Nair"/>
    <s v="Male"/>
    <n v="53"/>
    <s v="Jaipur"/>
    <s v="Rajasthan"/>
    <x v="2"/>
    <s v="Dr. Manoj"/>
    <s v="L40"/>
    <s v="Surgery"/>
    <s v="OPD"/>
    <n v="3979.58"/>
    <s v="Insurance"/>
    <s v="Yes"/>
    <m/>
    <m/>
    <s v="Middle-Aged"/>
    <s v="Low"/>
    <s v="Short Days"/>
    <m/>
    <m/>
    <m/>
    <m/>
    <m/>
    <m/>
  </r>
  <r>
    <s v="VIS202149"/>
    <d v="2025-08-01T00:00:00"/>
    <s v="PAT6725"/>
    <s v="Vishal Gupta"/>
    <s v="Female"/>
    <n v="50"/>
    <s v="Bengaluru"/>
    <s v="Karnataka"/>
    <x v="0"/>
    <s v="Dr. Nikhil"/>
    <s v="H10"/>
    <s v="Counselling"/>
    <s v="OPD"/>
    <n v="5045.28"/>
    <s v="Debit Card"/>
    <s v="No"/>
    <m/>
    <n v="30"/>
    <s v="Middle-Aged"/>
    <s v="Medium"/>
    <s v="Short Days"/>
    <m/>
    <m/>
    <m/>
    <m/>
    <m/>
    <m/>
  </r>
  <r>
    <s v="VIS201841"/>
    <d v="2025-05-08T00:00:00"/>
    <s v="PAT6775"/>
    <s v="Arjun Bose"/>
    <s v="Female"/>
    <n v="58"/>
    <s v="Delhi"/>
    <s v="Delhi"/>
    <x v="9"/>
    <s v="Dr. Kusum"/>
    <s v="F41"/>
    <s v="Prescription Refill"/>
    <s v="IPD"/>
    <n v="21009.439999999999"/>
    <s v="Net Banking"/>
    <s v="No"/>
    <n v="6"/>
    <m/>
    <s v="Middle-Aged"/>
    <s v="High"/>
    <s v="Long Days"/>
    <m/>
    <m/>
    <m/>
    <m/>
    <m/>
    <m/>
  </r>
  <r>
    <s v="VIS202569"/>
    <d v="2024-10-21T00:00:00"/>
    <s v="PAT5028"/>
    <s v="Rohan Das"/>
    <s v="Female"/>
    <n v="51"/>
    <s v="Bengaluru"/>
    <s v="Karnataka"/>
    <x v="3"/>
    <s v="Dr. Anand"/>
    <s v="F41"/>
    <s v="Medication"/>
    <s v="Emergency"/>
    <n v="13030.65"/>
    <s v="Cash"/>
    <s v="No"/>
    <m/>
    <n v="14"/>
    <s v="Middle-Aged"/>
    <s v="High"/>
    <s v="Short Days"/>
    <m/>
    <m/>
    <m/>
    <m/>
    <m/>
    <m/>
  </r>
  <r>
    <s v="VIS202268"/>
    <d v="2025-03-26T00:00:00"/>
    <s v="PAT5755"/>
    <s v="Siddharth Sharma"/>
    <s v="Female"/>
    <n v="57"/>
    <s v="Noida"/>
    <s v="Uttar Pradesh"/>
    <x v="9"/>
    <s v="Dr. Arvind"/>
    <s v="E11"/>
    <s v="Minor Procedure"/>
    <s v="Teleconsultation"/>
    <n v="5402.39"/>
    <s v="Cash"/>
    <s v="No"/>
    <m/>
    <n v="14"/>
    <s v="Middle-Aged"/>
    <s v="Medium"/>
    <s v="Short Days"/>
    <m/>
    <m/>
    <m/>
    <m/>
    <m/>
    <m/>
  </r>
  <r>
    <s v="VIS200668"/>
    <d v="2025-09-26T00:00:00"/>
    <s v="PAT5449"/>
    <s v="Rohan Patel"/>
    <s v="Male"/>
    <n v="60"/>
    <s v="Trichy"/>
    <s v="Tamil Nadu"/>
    <x v="8"/>
    <s v="Dr. Kavitha"/>
    <s v="L40"/>
    <s v="Minor Surgery"/>
    <s v="OPD"/>
    <n v="8602.67"/>
    <s v="Insurance"/>
    <s v="Yes"/>
    <m/>
    <n v="14"/>
    <s v="Middle-Aged"/>
    <s v="Medium"/>
    <s v="Short Days"/>
    <m/>
    <m/>
    <m/>
    <m/>
    <m/>
    <m/>
  </r>
  <r>
    <s v="VIS200932"/>
    <d v="2025-01-23T00:00:00"/>
    <s v="PAT6071"/>
    <s v="Priya Kumar"/>
    <s v="Male"/>
    <n v="44"/>
    <s v="Trichy"/>
    <s v="Tamil Nadu"/>
    <x v="2"/>
    <s v="Dr. Manoj"/>
    <s v="J00"/>
    <s v="Prescription Refill"/>
    <s v="Emergency"/>
    <n v="19098.05"/>
    <s v="Net Banking"/>
    <s v="No"/>
    <m/>
    <n v="30"/>
    <s v="Middle-Aged"/>
    <s v="High"/>
    <s v="Short Days"/>
    <m/>
    <m/>
    <m/>
    <m/>
    <m/>
    <m/>
  </r>
  <r>
    <s v="VIS202644"/>
    <d v="2025-08-30T00:00:00"/>
    <s v="PAT6595"/>
    <s v="Anil Jose"/>
    <s v="Male"/>
    <n v="46"/>
    <s v="Ahmedabad"/>
    <s v="Gujarat"/>
    <x v="5"/>
    <s v="Dr. Meena"/>
    <s v="N39"/>
    <s v="Prescription Refill"/>
    <s v="OPD"/>
    <n v="2485.54"/>
    <s v="Net Banking"/>
    <s v="No"/>
    <m/>
    <n v="30"/>
    <s v="Middle-Aged"/>
    <s v="Low"/>
    <s v="Short Days"/>
    <m/>
    <m/>
    <m/>
    <m/>
    <m/>
    <m/>
  </r>
  <r>
    <s v="VIS202117"/>
    <d v="2025-06-12T00:00:00"/>
    <s v="PAT6232"/>
    <s v="Neha Nair"/>
    <s v="Female"/>
    <n v="19"/>
    <s v="Pune"/>
    <s v="Maharashtra"/>
    <x v="7"/>
    <s v="Dr. Leela"/>
    <s v="J45"/>
    <s v="Surgery"/>
    <s v="OPD"/>
    <n v="5234.83"/>
    <s v="Insurance"/>
    <s v="Yes"/>
    <m/>
    <n v="14"/>
    <s v="Adult"/>
    <s v="Medium"/>
    <s v="Short Days"/>
    <m/>
    <m/>
    <m/>
    <m/>
    <m/>
    <m/>
  </r>
  <r>
    <s v="VIS202717"/>
    <d v="2024-11-10T00:00:00"/>
    <s v="PAT6173"/>
    <s v="Rohan Jose"/>
    <s v="Male"/>
    <n v="25"/>
    <s v="Bengaluru"/>
    <s v="Karnataka"/>
    <x v="6"/>
    <s v="Dr. Lalitha"/>
    <s v="F41"/>
    <s v="Counselling"/>
    <s v="Teleconsultation"/>
    <n v="13278.48"/>
    <s v="Net Banking"/>
    <s v="No"/>
    <m/>
    <n v="90"/>
    <s v="Adult"/>
    <s v="High"/>
    <s v="Short Days"/>
    <m/>
    <m/>
    <m/>
    <m/>
    <m/>
    <m/>
  </r>
  <r>
    <s v="VIS200172"/>
    <d v="2024-11-02T00:00:00"/>
    <s v="PAT6826"/>
    <s v="Aarav Das"/>
    <s v="Female"/>
    <n v="71"/>
    <s v="Ahmedabad"/>
    <s v="Gujarat"/>
    <x v="6"/>
    <s v="Dr. Lalitha"/>
    <s v="F41"/>
    <s v="Physiotherapy"/>
    <s v="OPD"/>
    <n v="14391.14"/>
    <s v="Cash"/>
    <s v="No"/>
    <m/>
    <m/>
    <s v="Senior"/>
    <s v="High"/>
    <s v="Short Days"/>
    <m/>
    <m/>
    <m/>
    <m/>
    <m/>
    <m/>
  </r>
  <r>
    <s v="VIS202480"/>
    <d v="2025-02-23T00:00:00"/>
    <s v="PAT5139"/>
    <s v="Arjun Nair"/>
    <s v="Male"/>
    <n v="21"/>
    <s v="Chennai"/>
    <s v="Tamil Nadu"/>
    <x v="4"/>
    <s v="Dr. Bhavana"/>
    <s v="J45"/>
    <s v="Surgery"/>
    <s v="OPD"/>
    <n v="687.9"/>
    <s v="Debit Card"/>
    <s v="No"/>
    <m/>
    <m/>
    <s v="Adult"/>
    <s v="Low"/>
    <s v="Short Days"/>
    <m/>
    <m/>
    <m/>
    <m/>
    <m/>
    <m/>
  </r>
  <r>
    <s v="VIS202731"/>
    <d v="2024-11-08T00:00:00"/>
    <s v="PAT5122"/>
    <s v="Aishwarya Patel"/>
    <s v="Male"/>
    <n v="60"/>
    <s v="Jaipur"/>
    <s v="Rajasthan"/>
    <x v="2"/>
    <s v="Dr. Manoj"/>
    <s v="E11"/>
    <s v="Medication"/>
    <s v="OPD"/>
    <n v="1386.22"/>
    <s v="Insurance"/>
    <s v="Yes"/>
    <m/>
    <n v="14"/>
    <s v="Middle-Aged"/>
    <s v="Low"/>
    <s v="Short Days"/>
    <m/>
    <m/>
    <m/>
    <m/>
    <m/>
    <m/>
  </r>
  <r>
    <s v="VIS202197"/>
    <d v="2025-03-30T00:00:00"/>
    <s v="PAT5451"/>
    <s v="Aarav Singh"/>
    <s v="Male"/>
    <n v="18"/>
    <s v="Pune"/>
    <s v="Maharashtra"/>
    <x v="1"/>
    <s v="Dr. Suri"/>
    <s v="H10"/>
    <s v="Counselling"/>
    <s v="Emergency"/>
    <n v="10571.71"/>
    <s v="Credit Card"/>
    <s v="No"/>
    <m/>
    <m/>
    <s v="Adult"/>
    <s v="High"/>
    <s v="Short Days"/>
    <m/>
    <m/>
    <m/>
    <m/>
    <m/>
    <m/>
  </r>
  <r>
    <s v="VIS201260"/>
    <d v="2025-04-19T00:00:00"/>
    <s v="PAT5936"/>
    <s v="Kavya Bose"/>
    <s v="Male"/>
    <n v="50"/>
    <s v="Trichy"/>
    <s v="Tamil Nadu"/>
    <x v="5"/>
    <s v="Dr. Meena"/>
    <s v="M54"/>
    <s v="Counselling"/>
    <s v="Emergency"/>
    <n v="14492.13"/>
    <s v="Net Banking"/>
    <s v="No"/>
    <m/>
    <m/>
    <s v="Middle-Aged"/>
    <s v="High"/>
    <s v="Short Days"/>
    <m/>
    <m/>
    <m/>
    <m/>
    <m/>
    <m/>
  </r>
  <r>
    <s v="VIS200481"/>
    <d v="2024-02-14T00:00:00"/>
    <s v="PAT6245"/>
    <s v="Karthik Bose"/>
    <s v="Female"/>
    <n v="19"/>
    <s v="Madurai"/>
    <s v="Tamil Nadu"/>
    <x v="4"/>
    <s v="Dr. Bhavana"/>
    <s v="E11"/>
    <s v="Physiotherapy"/>
    <s v="Teleconsultation"/>
    <n v="7790.64"/>
    <s v="UPI"/>
    <s v="No"/>
    <m/>
    <n v="7"/>
    <s v="Adult"/>
    <s v="Medium"/>
    <s v="Short Days"/>
    <m/>
    <m/>
    <m/>
    <m/>
    <m/>
    <m/>
  </r>
  <r>
    <s v="VIS202330"/>
    <d v="2025-02-12T00:00:00"/>
    <s v="PAT6959"/>
    <s v="Deepa Kumar"/>
    <s v="Female"/>
    <n v="19"/>
    <s v="Pune"/>
    <s v="Maharashtra"/>
    <x v="3"/>
    <s v="Dr. Anand"/>
    <s v="F41"/>
    <s v="Prescription Refill"/>
    <s v="Teleconsultation"/>
    <n v="11474.62"/>
    <s v="UPI"/>
    <s v="No"/>
    <m/>
    <n v="14"/>
    <s v="Adult"/>
    <s v="High"/>
    <s v="Short Days"/>
    <m/>
    <m/>
    <m/>
    <m/>
    <m/>
    <m/>
  </r>
  <r>
    <s v="VIS201866"/>
    <d v="2024-01-14T00:00:00"/>
    <s v="PAT6502"/>
    <s v="Aditya Singh"/>
    <s v="Female"/>
    <n v="34"/>
    <s v="Coimbatore"/>
    <s v="Tamil Nadu"/>
    <x v="4"/>
    <s v="Dr. Varun"/>
    <s v="F41"/>
    <s v="Counselling"/>
    <s v="IPD"/>
    <n v="5302.76"/>
    <s v="UPI"/>
    <s v="No"/>
    <n v="6"/>
    <m/>
    <s v="Adult"/>
    <s v="Medium"/>
    <s v="Long Days"/>
    <m/>
    <m/>
    <m/>
    <m/>
    <m/>
    <m/>
  </r>
  <r>
    <s v="VIS200385"/>
    <d v="2025-01-03T00:00:00"/>
    <s v="PAT5986"/>
    <s v="Anil Jose"/>
    <s v="Male"/>
    <n v="27"/>
    <s v="Chennai"/>
    <s v="Tamil Nadu"/>
    <x v="7"/>
    <s v="Dr. Surya"/>
    <s v="L40"/>
    <s v="Counselling"/>
    <s v="OPD"/>
    <n v="5076.7700000000004"/>
    <s v="Insurance"/>
    <s v="Yes"/>
    <m/>
    <n v="30"/>
    <s v="Adult"/>
    <s v="Medium"/>
    <s v="Short Days"/>
    <m/>
    <m/>
    <m/>
    <m/>
    <m/>
    <m/>
  </r>
  <r>
    <s v="VIS202995"/>
    <d v="2024-02-17T00:00:00"/>
    <s v="PAT5394"/>
    <s v="Rohan Das"/>
    <s v="Female"/>
    <n v="25"/>
    <s v="Kochi"/>
    <s v="Kerala"/>
    <x v="4"/>
    <s v="Dr. Varun"/>
    <s v="E11"/>
    <s v="Prescription Refill"/>
    <s v="OPD"/>
    <n v="8262.02"/>
    <s v="Insurance"/>
    <s v="Yes"/>
    <m/>
    <m/>
    <s v="Adult"/>
    <s v="Medium"/>
    <s v="Short Days"/>
    <m/>
    <m/>
    <m/>
    <m/>
    <m/>
    <m/>
  </r>
  <r>
    <s v="VIS202257"/>
    <d v="2025-03-28T00:00:00"/>
    <s v="PAT6561"/>
    <s v="Rahul Kumar"/>
    <s v="Male"/>
    <n v="62"/>
    <s v="Lucknow"/>
    <s v="Uttar Pradesh"/>
    <x v="8"/>
    <s v="Dr. Sneha"/>
    <s v="J45"/>
    <s v="Prescription Refill"/>
    <s v="OPD"/>
    <n v="1053.48"/>
    <s v="Cash"/>
    <s v="No"/>
    <m/>
    <n v="14"/>
    <s v="Senior"/>
    <s v="Low"/>
    <s v="Short Days"/>
    <m/>
    <m/>
    <m/>
    <m/>
    <m/>
    <m/>
  </r>
  <r>
    <s v="VIS200340"/>
    <d v="2024-09-06T00:00:00"/>
    <s v="PAT5792"/>
    <s v="Priya Gupta"/>
    <s v="Female"/>
    <n v="59"/>
    <s v="Trichy"/>
    <s v="Tamil Nadu"/>
    <x v="6"/>
    <s v="Dr. Lalitha"/>
    <s v="L40"/>
    <s v="Surgery"/>
    <s v="Emergency"/>
    <n v="12107.01"/>
    <s v="Net Banking"/>
    <s v="No"/>
    <m/>
    <n v="90"/>
    <s v="Middle-Aged"/>
    <s v="High"/>
    <s v="Short Days"/>
    <m/>
    <m/>
    <m/>
    <m/>
    <m/>
    <m/>
  </r>
  <r>
    <s v="VIS201636"/>
    <d v="2025-01-31T00:00:00"/>
    <s v="PAT5604"/>
    <s v="Karthik Mishra"/>
    <s v="Male"/>
    <n v="70"/>
    <s v="Lucknow"/>
    <s v="Uttar Pradesh"/>
    <x v="6"/>
    <s v="Dr. Priya"/>
    <s v="M54"/>
    <s v="Counselling"/>
    <s v="OPD"/>
    <n v="3064.55"/>
    <s v="UPI"/>
    <s v="No"/>
    <m/>
    <n v="7"/>
    <s v="Senior"/>
    <s v="Low"/>
    <s v="Short Days"/>
    <m/>
    <m/>
    <m/>
    <m/>
    <m/>
    <m/>
  </r>
  <r>
    <s v="VIS202646"/>
    <d v="2025-06-11T00:00:00"/>
    <s v="PAT5513"/>
    <s v="Aishwarya Bose"/>
    <s v="Female"/>
    <n v="50"/>
    <s v="Noida"/>
    <s v="Uttar Pradesh"/>
    <x v="1"/>
    <s v="Dr. Anu"/>
    <s v="M54"/>
    <s v="Surgery"/>
    <s v="OPD"/>
    <n v="539.51"/>
    <s v="UPI"/>
    <s v="No"/>
    <m/>
    <n v="7"/>
    <s v="Middle-Aged"/>
    <s v="Low"/>
    <s v="Short Days"/>
    <m/>
    <m/>
    <m/>
    <m/>
    <m/>
    <m/>
  </r>
  <r>
    <s v="VIS202847"/>
    <d v="2024-10-21T00:00:00"/>
    <s v="PAT6701"/>
    <s v="Aishwarya Gupta"/>
    <s v="Male"/>
    <n v="60"/>
    <s v="Chennai"/>
    <s v="Tamil Nadu"/>
    <x v="6"/>
    <s v="Dr. Priya"/>
    <s v="L40"/>
    <s v="Physiotherapy"/>
    <s v="Teleconsultation"/>
    <n v="7555.17"/>
    <s v="Insurance"/>
    <s v="Yes"/>
    <m/>
    <n v="14"/>
    <s v="Middle-Aged"/>
    <s v="Medium"/>
    <s v="Short Days"/>
    <m/>
    <m/>
    <m/>
    <m/>
    <m/>
    <m/>
  </r>
  <r>
    <s v="VIS202386"/>
    <d v="2024-11-18T00:00:00"/>
    <s v="PAT6904"/>
    <s v="Rahul Iyer"/>
    <s v="Male"/>
    <n v="52"/>
    <s v="Mumbai"/>
    <s v="Maharashtra"/>
    <x v="9"/>
    <s v="Dr. Arvind"/>
    <s v="M54"/>
    <s v="Physiotherapy"/>
    <s v="OPD"/>
    <n v="4064.46"/>
    <s v="Debit Card"/>
    <s v="No"/>
    <m/>
    <n v="90"/>
    <s v="Middle-Aged"/>
    <s v="Low"/>
    <s v="Short Days"/>
    <m/>
    <m/>
    <m/>
    <m/>
    <m/>
    <m/>
  </r>
  <r>
    <s v="VIS201090"/>
    <d v="2025-09-19T00:00:00"/>
    <s v="PAT5884"/>
    <s v="Rohan Reddy"/>
    <s v="Female"/>
    <n v="38"/>
    <s v="Mumbai"/>
    <s v="Maharashtra"/>
    <x v="2"/>
    <s v="Dr. Manoj"/>
    <s v="N39"/>
    <s v="Counselling"/>
    <s v="Emergency"/>
    <n v="5071.1400000000003"/>
    <s v="Insurance"/>
    <s v="Yes"/>
    <m/>
    <n v="30"/>
    <s v="Adult"/>
    <s v="Medium"/>
    <s v="Short Days"/>
    <m/>
    <m/>
    <m/>
    <m/>
    <m/>
    <m/>
  </r>
  <r>
    <s v="VIS201932"/>
    <d v="2024-10-31T00:00:00"/>
    <s v="PAT6868"/>
    <s v="Ananya Patel"/>
    <s v="Female"/>
    <n v="39"/>
    <s v="Lucknow"/>
    <s v="Uttar Pradesh"/>
    <x v="7"/>
    <s v="Dr. Leela"/>
    <s v="J45"/>
    <s v="Surgery"/>
    <s v="Teleconsultation"/>
    <n v="23123.24"/>
    <s v="Cash"/>
    <s v="No"/>
    <m/>
    <n v="7"/>
    <s v="Adult"/>
    <s v="High"/>
    <s v="Short Days"/>
    <m/>
    <m/>
    <m/>
    <m/>
    <m/>
    <m/>
  </r>
  <r>
    <s v="VIS200521"/>
    <d v="2025-05-10T00:00:00"/>
    <s v="PAT6910"/>
    <s v="Manisha Singh"/>
    <s v="Female"/>
    <n v="54"/>
    <s v="Noida"/>
    <s v="Uttar Pradesh"/>
    <x v="7"/>
    <s v="Dr. Surya"/>
    <s v="J45"/>
    <s v="Observation"/>
    <s v="Emergency"/>
    <n v="5788.45"/>
    <s v="Insurance"/>
    <s v="Yes"/>
    <m/>
    <n v="30"/>
    <s v="Middle-Aged"/>
    <s v="Medium"/>
    <s v="Short Days"/>
    <m/>
    <m/>
    <m/>
    <m/>
    <m/>
    <m/>
  </r>
  <r>
    <s v="VIS201860"/>
    <d v="2024-10-25T00:00:00"/>
    <s v="PAT6544"/>
    <s v="Rohan Kumar"/>
    <s v="Female"/>
    <n v="7"/>
    <s v="Madurai"/>
    <s v="Tamil Nadu"/>
    <x v="8"/>
    <s v="Dr. Sneha"/>
    <s v="E11"/>
    <s v="Surgery"/>
    <s v="OPD"/>
    <n v="9566.25"/>
    <s v="Credit Card"/>
    <s v="No"/>
    <m/>
    <n v="90"/>
    <s v="Child"/>
    <s v="Medium"/>
    <s v="Short Days"/>
    <m/>
    <m/>
    <m/>
    <m/>
    <m/>
    <m/>
  </r>
  <r>
    <s v="VIS201963"/>
    <d v="2024-09-20T00:00:00"/>
    <s v="PAT6943"/>
    <s v="Ishaan Nagar"/>
    <s v="Female"/>
    <n v="33"/>
    <s v="Noida"/>
    <s v="Uttar Pradesh"/>
    <x v="9"/>
    <s v="Dr. Kusum"/>
    <s v="L40"/>
    <s v="Physiotherapy"/>
    <s v="Teleconsultation"/>
    <n v="9731.0499999999993"/>
    <s v="Cash"/>
    <s v="No"/>
    <m/>
    <n v="7"/>
    <s v="Adult"/>
    <s v="Medium"/>
    <s v="Short Days"/>
    <m/>
    <m/>
    <m/>
    <m/>
    <m/>
    <m/>
  </r>
  <r>
    <s v="VIS201656"/>
    <d v="2025-07-26T00:00:00"/>
    <s v="PAT5968"/>
    <s v="Aditya Bose"/>
    <s v="Male"/>
    <n v="21"/>
    <s v="Trichy"/>
    <s v="Tamil Nadu"/>
    <x v="8"/>
    <s v="Dr. Kavitha"/>
    <s v="J45"/>
    <s v="Medication"/>
    <s v="Teleconsultation"/>
    <n v="9219.4500000000007"/>
    <s v="Net Banking"/>
    <s v="No"/>
    <m/>
    <n v="7"/>
    <s v="Adult"/>
    <s v="Medium"/>
    <s v="Short Days"/>
    <m/>
    <m/>
    <m/>
    <m/>
    <m/>
    <m/>
  </r>
  <r>
    <s v="VIS201612"/>
    <d v="2024-08-11T00:00:00"/>
    <s v="PAT6188"/>
    <s v="Ishaan Reddy"/>
    <s v="Female"/>
    <n v="25"/>
    <s v="Trichy"/>
    <s v="Tamil Nadu"/>
    <x v="4"/>
    <s v="Dr. Varun"/>
    <s v="J00"/>
    <s v="Observation"/>
    <s v="Teleconsultation"/>
    <n v="5901.12"/>
    <s v="Cash"/>
    <s v="No"/>
    <m/>
    <n v="90"/>
    <s v="Adult"/>
    <s v="Medium"/>
    <s v="Short Days"/>
    <m/>
    <m/>
    <m/>
    <m/>
    <m/>
    <m/>
  </r>
  <r>
    <s v="VIS200389"/>
    <d v="2025-06-20T00:00:00"/>
    <s v="PAT6635"/>
    <s v="Manisha Mishra"/>
    <s v="Female"/>
    <n v="35"/>
    <s v="Chennai"/>
    <s v="Tamil Nadu"/>
    <x v="3"/>
    <s v="Dr. Pallavi"/>
    <s v="I10"/>
    <s v="Medication"/>
    <s v="OPD"/>
    <n v="1754.64"/>
    <s v="Credit Card"/>
    <s v="No"/>
    <m/>
    <m/>
    <s v="Adult"/>
    <s v="Low"/>
    <s v="Short Days"/>
    <m/>
    <m/>
    <m/>
    <m/>
    <m/>
    <m/>
  </r>
  <r>
    <s v="VIS201077"/>
    <d v="2024-04-28T00:00:00"/>
    <s v="PAT6448"/>
    <s v="Neha Sharma"/>
    <s v="Male"/>
    <n v="40"/>
    <s v="Trichy"/>
    <s v="Tamil Nadu"/>
    <x v="7"/>
    <s v="Dr. Surya"/>
    <s v="N39"/>
    <s v="Minor Procedure"/>
    <s v="OPD"/>
    <n v="604.32000000000005"/>
    <s v="UPI"/>
    <s v="No"/>
    <m/>
    <m/>
    <s v="Adult"/>
    <s v="Low"/>
    <s v="Short Days"/>
    <m/>
    <m/>
    <m/>
    <m/>
    <m/>
    <m/>
  </r>
  <r>
    <s v="VIS201253"/>
    <d v="2024-07-17T00:00:00"/>
    <s v="PAT6871"/>
    <s v="Priya Nair"/>
    <s v="Male"/>
    <n v="48"/>
    <s v="Madurai"/>
    <s v="Tamil Nadu"/>
    <x v="5"/>
    <s v="Dr. Meena"/>
    <s v="N39"/>
    <s v="Observation"/>
    <s v="Teleconsultation"/>
    <n v="6710.33"/>
    <s v="UPI"/>
    <s v="No"/>
    <m/>
    <m/>
    <s v="Middle-Aged"/>
    <s v="Medium"/>
    <s v="Short Days"/>
    <m/>
    <m/>
    <m/>
    <m/>
    <m/>
    <m/>
  </r>
  <r>
    <s v="VIS200035"/>
    <d v="2024-07-30T00:00:00"/>
    <s v="PAT6673"/>
    <s v="Ananya Reddy"/>
    <s v="Female"/>
    <n v="20"/>
    <s v="Kochi"/>
    <s v="Kerala"/>
    <x v="2"/>
    <s v="Dr. Manoj"/>
    <s v="J00"/>
    <s v="Counselling"/>
    <s v="OPD"/>
    <n v="2512.89"/>
    <s v="Insurance"/>
    <s v="Yes"/>
    <m/>
    <n v="14"/>
    <s v="Adult"/>
    <s v="Low"/>
    <s v="Short Days"/>
    <m/>
    <m/>
    <m/>
    <m/>
    <m/>
    <m/>
  </r>
  <r>
    <s v="VIS202334"/>
    <d v="2024-02-07T00:00:00"/>
    <s v="PAT5460"/>
    <s v="Ishaan Mishra"/>
    <s v="Female"/>
    <n v="43"/>
    <s v="Chennai"/>
    <s v="Tamil Nadu"/>
    <x v="2"/>
    <s v="Dr. Manoj"/>
    <s v="F41"/>
    <s v="Counselling"/>
    <s v="OPD"/>
    <n v="7041.68"/>
    <s v="Insurance"/>
    <s v="Yes"/>
    <m/>
    <n v="14"/>
    <s v="Middle-Aged"/>
    <s v="Medium"/>
    <s v="Short Days"/>
    <m/>
    <m/>
    <m/>
    <m/>
    <m/>
    <m/>
  </r>
  <r>
    <s v="VIS200622"/>
    <d v="2025-01-06T00:00:00"/>
    <s v="PAT5247"/>
    <s v="Neha Kumar"/>
    <s v="Male"/>
    <n v="10"/>
    <s v="Lucknow"/>
    <s v="Uttar Pradesh"/>
    <x v="3"/>
    <s v="Dr. Anand"/>
    <s v="J45"/>
    <s v="Counselling"/>
    <s v="OPD"/>
    <n v="1309.6500000000001"/>
    <s v="Insurance"/>
    <s v="Yes"/>
    <m/>
    <n v="30"/>
    <s v="Child"/>
    <s v="Low"/>
    <s v="Short Days"/>
    <m/>
    <m/>
    <m/>
    <m/>
    <m/>
    <m/>
  </r>
  <r>
    <s v="VIS200314"/>
    <d v="2025-10-31T00:00:00"/>
    <s v="PAT6962"/>
    <s v="Vivaan Kumar"/>
    <s v="Male"/>
    <n v="59"/>
    <s v="Kolkata"/>
    <s v="West Bengal"/>
    <x v="1"/>
    <s v="Dr. Suri"/>
    <s v="M54"/>
    <s v="Prescription Refill"/>
    <s v="Teleconsultation"/>
    <n v="7848.54"/>
    <s v="Debit Card"/>
    <s v="No"/>
    <m/>
    <m/>
    <s v="Middle-Aged"/>
    <s v="Medium"/>
    <s v="Short Days"/>
    <m/>
    <m/>
    <m/>
    <m/>
    <m/>
    <m/>
  </r>
  <r>
    <s v="VIS201031"/>
    <d v="2024-06-22T00:00:00"/>
    <s v="PAT6313"/>
    <s v="Ananya Reddy"/>
    <s v="Male"/>
    <n v="27"/>
    <s v="Jaipur"/>
    <s v="Rajasthan"/>
    <x v="1"/>
    <s v="Dr. Suri"/>
    <s v="N39"/>
    <s v="Surgery"/>
    <s v="OPD"/>
    <n v="17965.900000000001"/>
    <s v="Debit Card"/>
    <s v="No"/>
    <m/>
    <m/>
    <s v="Adult"/>
    <s v="High"/>
    <s v="Short Days"/>
    <m/>
    <m/>
    <m/>
    <m/>
    <m/>
    <m/>
  </r>
  <r>
    <s v="VIS201137"/>
    <d v="2024-02-25T00:00:00"/>
    <s v="PAT6280"/>
    <s v="Rohan Iyer"/>
    <s v="Male"/>
    <n v="45"/>
    <s v="Madurai"/>
    <s v="Tamil Nadu"/>
    <x v="5"/>
    <s v="Dr. Ravi"/>
    <s v="K21"/>
    <s v="Prescription Refill"/>
    <s v="OPD"/>
    <n v="1380.66"/>
    <s v="UPI"/>
    <s v="No"/>
    <m/>
    <m/>
    <s v="Middle-Aged"/>
    <s v="Low"/>
    <s v="Short Days"/>
    <m/>
    <m/>
    <m/>
    <m/>
    <m/>
    <m/>
  </r>
  <r>
    <s v="VIS202366"/>
    <d v="2025-11-05T00:00:00"/>
    <s v="PAT5682"/>
    <s v="Neha Sharma"/>
    <s v="Female"/>
    <n v="50"/>
    <s v="Noida"/>
    <s v="Uttar Pradesh"/>
    <x v="2"/>
    <s v="Dr. Manoj"/>
    <s v="M54"/>
    <s v="Prescription Refill"/>
    <s v="Teleconsultation"/>
    <n v="7240.96"/>
    <s v="Credit Card"/>
    <s v="No"/>
    <m/>
    <m/>
    <s v="Middle-Aged"/>
    <s v="Medium"/>
    <s v="Short Days"/>
    <m/>
    <m/>
    <m/>
    <m/>
    <m/>
    <m/>
  </r>
  <r>
    <s v="VIS201334"/>
    <d v="2024-05-28T00:00:00"/>
    <s v="PAT5782"/>
    <s v="Sangeetha Kumar"/>
    <s v="Female"/>
    <n v="61"/>
    <s v="Mumbai"/>
    <s v="Maharashtra"/>
    <x v="7"/>
    <s v="Dr. Surya"/>
    <s v="J00"/>
    <s v="Prescription Refill"/>
    <s v="Teleconsultation"/>
    <n v="10075.32"/>
    <s v="Cash"/>
    <s v="No"/>
    <m/>
    <n v="7"/>
    <s v="Senior"/>
    <s v="High"/>
    <s v="Short Days"/>
    <m/>
    <m/>
    <m/>
    <m/>
    <m/>
    <m/>
  </r>
  <r>
    <s v="VIS202809"/>
    <d v="2025-07-25T00:00:00"/>
    <s v="PAT6592"/>
    <s v="Vishal Jose"/>
    <s v="Male"/>
    <n v="32"/>
    <s v="Pune"/>
    <s v="Maharashtra"/>
    <x v="5"/>
    <s v="Dr. Ravi"/>
    <s v="F41"/>
    <s v="Counselling"/>
    <s v="OPD"/>
    <n v="3124.7"/>
    <s v="Debit Card"/>
    <s v="No"/>
    <m/>
    <n v="7"/>
    <s v="Adult"/>
    <s v="Low"/>
    <s v="Short Days"/>
    <m/>
    <m/>
    <m/>
    <m/>
    <m/>
    <m/>
  </r>
  <r>
    <s v="VIS201325"/>
    <d v="2024-03-04T00:00:00"/>
    <s v="PAT6989"/>
    <s v="Sangeetha Mishra"/>
    <s v="Female"/>
    <n v="56"/>
    <s v="Jaipur"/>
    <s v="Rajasthan"/>
    <x v="7"/>
    <s v="Dr. Surya"/>
    <s v="J45"/>
    <s v="Surgery"/>
    <s v="OPD"/>
    <n v="11396.73"/>
    <s v="Credit Card"/>
    <s v="No"/>
    <m/>
    <m/>
    <s v="Middle-Aged"/>
    <s v="High"/>
    <s v="Short Days"/>
    <m/>
    <m/>
    <m/>
    <m/>
    <m/>
    <m/>
  </r>
  <r>
    <s v="VIS202227"/>
    <d v="2024-01-15T00:00:00"/>
    <s v="PAT6534"/>
    <s v="Sangeetha Mishra"/>
    <s v="Female"/>
    <n v="22"/>
    <s v="Pune"/>
    <s v="Maharashtra"/>
    <x v="8"/>
    <s v="Dr. Sneha"/>
    <s v="E11"/>
    <s v="Prescription Refill"/>
    <s v="OPD"/>
    <n v="4184.6000000000004"/>
    <s v="Cash"/>
    <s v="No"/>
    <m/>
    <n v="30"/>
    <s v="Adult"/>
    <s v="Low"/>
    <s v="Short Days"/>
    <m/>
    <m/>
    <m/>
    <m/>
    <m/>
    <m/>
  </r>
  <r>
    <s v="VIS201556"/>
    <d v="2024-06-24T00:00:00"/>
    <s v="PAT5172"/>
    <s v="Ananya Bose"/>
    <s v="Male"/>
    <n v="32"/>
    <s v="Kolkata"/>
    <s v="West Bengal"/>
    <x v="2"/>
    <s v="Dr. Manoj"/>
    <s v="J45"/>
    <s v="Counselling"/>
    <s v="IPD"/>
    <n v="9138.5400000000009"/>
    <s v="Insurance"/>
    <s v="Yes"/>
    <n v="4"/>
    <n v="14"/>
    <s v="Adult"/>
    <s v="Medium"/>
    <s v="Short Days"/>
    <m/>
    <m/>
    <m/>
    <m/>
    <m/>
    <m/>
  </r>
  <r>
    <s v="VIS200715"/>
    <d v="2024-01-24T00:00:00"/>
    <s v="PAT6217"/>
    <s v="Aditya Jose"/>
    <s v="Female"/>
    <n v="37"/>
    <s v="Lucknow"/>
    <s v="Uttar Pradesh"/>
    <x v="4"/>
    <s v="Dr. Bhavana"/>
    <s v="J45"/>
    <s v="Minor Procedure"/>
    <s v="OPD"/>
    <n v="2205.1799999999998"/>
    <s v="Debit Card"/>
    <s v="No"/>
    <m/>
    <m/>
    <s v="Adult"/>
    <s v="Low"/>
    <s v="Short Days"/>
    <m/>
    <m/>
    <m/>
    <m/>
    <m/>
    <m/>
  </r>
  <r>
    <s v="VIS202988"/>
    <d v="2024-08-03T00:00:00"/>
    <s v="PAT6177"/>
    <s v="Ishaan Bose"/>
    <s v="Female"/>
    <n v="22"/>
    <s v="Hyderabad"/>
    <s v="Telangana"/>
    <x v="8"/>
    <s v="Dr. Sneha"/>
    <s v="N39"/>
    <s v="Counselling"/>
    <s v="IPD"/>
    <n v="11059.83"/>
    <s v="Cash"/>
    <s v="No"/>
    <n v="6"/>
    <n v="30"/>
    <s v="Adult"/>
    <s v="High"/>
    <s v="Long Days"/>
    <m/>
    <m/>
    <m/>
    <m/>
    <m/>
    <m/>
  </r>
  <r>
    <s v="VIS201886"/>
    <d v="2024-12-11T00:00:00"/>
    <s v="PAT5040"/>
    <s v="Arjun Khan"/>
    <s v="Female"/>
    <n v="41"/>
    <s v="Kolkata"/>
    <s v="West Bengal"/>
    <x v="7"/>
    <s v="Dr. Leela"/>
    <s v="F41"/>
    <s v="Medication"/>
    <s v="Teleconsultation"/>
    <n v="8159.97"/>
    <s v="Insurance"/>
    <s v="Yes"/>
    <m/>
    <n v="90"/>
    <s v="Middle-Aged"/>
    <s v="Medium"/>
    <s v="Short Days"/>
    <m/>
    <m/>
    <m/>
    <m/>
    <m/>
    <m/>
  </r>
  <r>
    <s v="VIS202109"/>
    <d v="2024-10-17T00:00:00"/>
    <s v="PAT5798"/>
    <s v="Anil Bose"/>
    <s v="Male"/>
    <n v="35"/>
    <s v="Mumbai"/>
    <s v="Maharashtra"/>
    <x v="0"/>
    <s v="Dr. Shailesh"/>
    <s v="M54"/>
    <s v="Prescription Refill"/>
    <s v="Emergency"/>
    <n v="5098.09"/>
    <s v="UPI"/>
    <s v="No"/>
    <m/>
    <n v="30"/>
    <s v="Adult"/>
    <s v="Medium"/>
    <s v="Short Days"/>
    <m/>
    <m/>
    <m/>
    <m/>
    <m/>
    <m/>
  </r>
  <r>
    <s v="VIS200452"/>
    <d v="2024-03-20T00:00:00"/>
    <s v="PAT6867"/>
    <s v="Vishal Nagar"/>
    <s v="Male"/>
    <n v="47"/>
    <s v="Noida"/>
    <s v="Uttar Pradesh"/>
    <x v="6"/>
    <s v="Dr. Priya"/>
    <s v="F41"/>
    <s v="Counselling"/>
    <s v="OPD"/>
    <n v="2435.69"/>
    <s v="UPI"/>
    <s v="No"/>
    <m/>
    <n v="30"/>
    <s v="Middle-Aged"/>
    <s v="Low"/>
    <s v="Short Days"/>
    <m/>
    <m/>
    <m/>
    <m/>
    <m/>
    <m/>
  </r>
  <r>
    <s v="VIS201676"/>
    <d v="2024-10-15T00:00:00"/>
    <s v="PAT5568"/>
    <s v="Shruti Patel"/>
    <s v="Female"/>
    <n v="41"/>
    <s v="Ahmedabad"/>
    <s v="Gujarat"/>
    <x v="9"/>
    <s v="Dr. Arvind"/>
    <s v="I10"/>
    <s v="Counselling"/>
    <s v="Teleconsultation"/>
    <n v="11617.04"/>
    <s v="Insurance"/>
    <s v="Yes"/>
    <m/>
    <m/>
    <s v="Middle-Aged"/>
    <s v="High"/>
    <s v="Short Days"/>
    <m/>
    <m/>
    <m/>
    <m/>
    <m/>
    <m/>
  </r>
  <r>
    <s v="VIS201535"/>
    <d v="2024-07-05T00:00:00"/>
    <s v="PAT6938"/>
    <s v="Neha Sharma"/>
    <s v="Female"/>
    <n v="45"/>
    <s v="Coimbatore"/>
    <s v="Tamil Nadu"/>
    <x v="3"/>
    <s v="Dr. Pallavi"/>
    <s v="K21"/>
    <s v="Prescription Refill"/>
    <s v="OPD"/>
    <n v="12985.41"/>
    <s v="UPI"/>
    <s v="No"/>
    <m/>
    <m/>
    <s v="Middle-Aged"/>
    <s v="High"/>
    <s v="Short Days"/>
    <m/>
    <m/>
    <m/>
    <m/>
    <m/>
    <m/>
  </r>
  <r>
    <s v="VIS202678"/>
    <d v="2025-04-21T00:00:00"/>
    <s v="PAT6371"/>
    <s v="Vivaan Das"/>
    <s v="Female"/>
    <n v="4"/>
    <s v="Chennai"/>
    <s v="Tamil Nadu"/>
    <x v="9"/>
    <s v="Dr. Kusum"/>
    <s v="K21"/>
    <s v="Minor Surgery"/>
    <s v="OPD"/>
    <n v="13611.09"/>
    <s v="Insurance"/>
    <s v="Yes"/>
    <m/>
    <n v="90"/>
    <s v="Child"/>
    <s v="High"/>
    <s v="Short Days"/>
    <m/>
    <m/>
    <m/>
    <m/>
    <m/>
    <m/>
  </r>
  <r>
    <s v="VIS201212"/>
    <d v="2024-07-08T00:00:00"/>
    <s v="PAT6332"/>
    <s v="Aarav Das"/>
    <s v="Male"/>
    <n v="73"/>
    <s v="Coimbatore"/>
    <s v="Tamil Nadu"/>
    <x v="9"/>
    <s v="Dr. Arvind"/>
    <s v="I10"/>
    <s v="Observation"/>
    <s v="Teleconsultation"/>
    <n v="5284.87"/>
    <s v="Insurance"/>
    <s v="Yes"/>
    <m/>
    <n v="7"/>
    <s v="Senior"/>
    <s v="Medium"/>
    <s v="Short Days"/>
    <m/>
    <m/>
    <m/>
    <m/>
    <m/>
    <m/>
  </r>
  <r>
    <s v="VIS200162"/>
    <d v="2024-10-28T00:00:00"/>
    <s v="PAT6811"/>
    <s v="Manisha Patel"/>
    <s v="Female"/>
    <n v="34"/>
    <s v="Ahmedabad"/>
    <s v="Gujarat"/>
    <x v="6"/>
    <s v="Dr. Lalitha"/>
    <s v="M54"/>
    <s v="Minor Procedure"/>
    <s v="OPD"/>
    <n v="1579.98"/>
    <s v="Cash"/>
    <s v="No"/>
    <m/>
    <n v="14"/>
    <s v="Adult"/>
    <s v="Low"/>
    <s v="Short Days"/>
    <m/>
    <m/>
    <m/>
    <m/>
    <m/>
    <m/>
  </r>
  <r>
    <s v="VIS201168"/>
    <d v="2024-05-29T00:00:00"/>
    <s v="PAT6029"/>
    <s v="Vishal Mishra"/>
    <s v="Male"/>
    <n v="53"/>
    <s v="Delhi"/>
    <s v="Delhi"/>
    <x v="5"/>
    <s v="Dr. Karthik"/>
    <s v="E11"/>
    <s v="Minor Procedure"/>
    <s v="OPD"/>
    <n v="2915.46"/>
    <s v="Net Banking"/>
    <s v="No"/>
    <m/>
    <n v="7"/>
    <s v="Middle-Aged"/>
    <s v="Low"/>
    <s v="Short Days"/>
    <m/>
    <m/>
    <m/>
    <m/>
    <m/>
    <m/>
  </r>
  <r>
    <s v="VIS200728"/>
    <d v="2025-06-05T00:00:00"/>
    <s v="PAT5265"/>
    <s v="Rohan Das"/>
    <s v="Female"/>
    <n v="60"/>
    <s v="Jaipur"/>
    <s v="Rajasthan"/>
    <x v="0"/>
    <s v="Dr. Nikhil"/>
    <s v="N39"/>
    <s v="Surgery"/>
    <s v="OPD"/>
    <n v="13090.75"/>
    <s v="Cash"/>
    <s v="No"/>
    <m/>
    <n v="90"/>
    <s v="Middle-Aged"/>
    <s v="High"/>
    <s v="Short Days"/>
    <m/>
    <m/>
    <m/>
    <m/>
    <m/>
    <m/>
  </r>
  <r>
    <s v="VIS201555"/>
    <d v="2025-03-21T00:00:00"/>
    <s v="PAT6331"/>
    <s v="Kavya Gupta"/>
    <s v="Male"/>
    <n v="46"/>
    <s v="Madurai"/>
    <s v="Tamil Nadu"/>
    <x v="2"/>
    <s v="Dr. Manoj"/>
    <s v="K21"/>
    <s v="Observation"/>
    <s v="OPD"/>
    <n v="8202.1200000000008"/>
    <s v="Debit Card"/>
    <s v="No"/>
    <m/>
    <n v="14"/>
    <s v="Middle-Aged"/>
    <s v="Medium"/>
    <s v="Short Days"/>
    <m/>
    <m/>
    <m/>
    <m/>
    <m/>
    <m/>
  </r>
  <r>
    <s v="VIS201395"/>
    <d v="2024-09-05T00:00:00"/>
    <s v="PAT6285"/>
    <s v="Neha Mishra"/>
    <s v="Male"/>
    <n v="29"/>
    <s v="Jaipur"/>
    <s v="Rajasthan"/>
    <x v="9"/>
    <s v="Dr. Arvind"/>
    <s v="H10"/>
    <s v="Observation"/>
    <s v="Emergency"/>
    <n v="6798.8"/>
    <s v="Credit Card"/>
    <s v="No"/>
    <m/>
    <n v="90"/>
    <s v="Adult"/>
    <s v="Medium"/>
    <s v="Short Days"/>
    <m/>
    <m/>
    <m/>
    <m/>
    <m/>
    <m/>
  </r>
  <r>
    <s v="VIS202405"/>
    <d v="2025-01-05T00:00:00"/>
    <s v="PAT6291"/>
    <s v="Arjun Reddy"/>
    <s v="Female"/>
    <n v="47"/>
    <s v="Coimbatore"/>
    <s v="Tamil Nadu"/>
    <x v="7"/>
    <s v="Dr. Leela"/>
    <s v="J00"/>
    <s v="Minor Surgery"/>
    <s v="OPD"/>
    <n v="5415.06"/>
    <s v="Insurance"/>
    <s v="Yes"/>
    <m/>
    <n v="7"/>
    <s v="Middle-Aged"/>
    <s v="Medium"/>
    <s v="Short Days"/>
    <m/>
    <m/>
    <m/>
    <m/>
    <m/>
    <m/>
  </r>
  <r>
    <s v="VIS202301"/>
    <d v="2025-02-10T00:00:00"/>
    <s v="PAT5674"/>
    <s v="Ananya Reddy"/>
    <s v="Male"/>
    <n v="26"/>
    <s v="Kochi"/>
    <s v="Kerala"/>
    <x v="5"/>
    <s v="Dr. Meena"/>
    <s v="J45"/>
    <s v="Physiotherapy"/>
    <s v="OPD"/>
    <n v="4065.52"/>
    <s v="Cash"/>
    <s v="No"/>
    <m/>
    <n v="30"/>
    <s v="Adult"/>
    <s v="Low"/>
    <s v="Short Days"/>
    <m/>
    <m/>
    <m/>
    <m/>
    <m/>
    <m/>
  </r>
  <r>
    <s v="VIS201399"/>
    <d v="2025-09-20T00:00:00"/>
    <s v="PAT5526"/>
    <s v="Aarav Nair"/>
    <s v="Male"/>
    <n v="37"/>
    <s v="Mumbai"/>
    <s v="Maharashtra"/>
    <x v="7"/>
    <s v="Dr. Surya"/>
    <s v="J00"/>
    <s v="Medication"/>
    <s v="Teleconsultation"/>
    <n v="5054.76"/>
    <s v="UPI"/>
    <s v="No"/>
    <m/>
    <n v="7"/>
    <s v="Adult"/>
    <s v="Medium"/>
    <s v="Short Days"/>
    <m/>
    <m/>
    <m/>
    <m/>
    <m/>
    <m/>
  </r>
  <r>
    <s v="VIS200096"/>
    <d v="2024-12-02T00:00:00"/>
    <s v="PAT5051"/>
    <s v="Kavya Nagar"/>
    <s v="Male"/>
    <n v="26"/>
    <s v="Lucknow"/>
    <s v="Uttar Pradesh"/>
    <x v="3"/>
    <s v="Dr. Anand"/>
    <s v="J45"/>
    <s v="Surgery"/>
    <s v="OPD"/>
    <n v="24883.040000000001"/>
    <s v="Debit Card"/>
    <s v="No"/>
    <m/>
    <m/>
    <s v="Adult"/>
    <s v="High"/>
    <s v="Short Days"/>
    <m/>
    <m/>
    <m/>
    <m/>
    <m/>
    <m/>
  </r>
  <r>
    <s v="VIS200244"/>
    <d v="2024-03-06T00:00:00"/>
    <s v="PAT5242"/>
    <s v="Neha Jose"/>
    <s v="Female"/>
    <n v="74"/>
    <s v="Mumbai"/>
    <s v="Maharashtra"/>
    <x v="8"/>
    <s v="Dr. Sneha"/>
    <s v="I10"/>
    <s v="Medication"/>
    <s v="OPD"/>
    <n v="2099.1"/>
    <s v="UPI"/>
    <s v="No"/>
    <m/>
    <n v="14"/>
    <s v="Senior"/>
    <s v="Low"/>
    <s v="Short Days"/>
    <m/>
    <m/>
    <m/>
    <m/>
    <m/>
    <m/>
  </r>
  <r>
    <s v="VIS202805"/>
    <d v="2025-07-07T00:00:00"/>
    <s v="PAT5074"/>
    <s v="Aishwarya Gupta"/>
    <s v="Female"/>
    <n v="35"/>
    <s v="Hyderabad"/>
    <s v="Telangana"/>
    <x v="3"/>
    <s v="Dr. Pallavi"/>
    <s v="L40"/>
    <s v="Minor Procedure"/>
    <s v="Emergency"/>
    <n v="6468.94"/>
    <s v="Credit Card"/>
    <s v="No"/>
    <m/>
    <m/>
    <s v="Adult"/>
    <s v="Medium"/>
    <s v="Short Days"/>
    <m/>
    <m/>
    <m/>
    <m/>
    <m/>
    <m/>
  </r>
  <r>
    <s v="VIS202161"/>
    <d v="2025-04-12T00:00:00"/>
    <s v="PAT6045"/>
    <s v="Shruti Nair"/>
    <s v="Female"/>
    <n v="40"/>
    <s v="Kolkata"/>
    <s v="West Bengal"/>
    <x v="2"/>
    <s v="Dr. Manoj"/>
    <s v="F41"/>
    <s v="Prescription Refill"/>
    <s v="OPD"/>
    <n v="1299.3399999999999"/>
    <s v="Debit Card"/>
    <s v="No"/>
    <m/>
    <n v="14"/>
    <s v="Adult"/>
    <s v="Low"/>
    <s v="Short Days"/>
    <m/>
    <m/>
    <m/>
    <m/>
    <m/>
    <m/>
  </r>
  <r>
    <s v="VIS200526"/>
    <d v="2025-01-26T00:00:00"/>
    <s v="PAT6324"/>
    <s v="Shruti Kumar"/>
    <s v="Male"/>
    <n v="43"/>
    <s v="Lucknow"/>
    <s v="Uttar Pradesh"/>
    <x v="5"/>
    <s v="Dr. Ravi"/>
    <s v="K21"/>
    <s v="Counselling"/>
    <s v="OPD"/>
    <n v="12566.45"/>
    <s v="UPI"/>
    <s v="No"/>
    <m/>
    <n v="14"/>
    <s v="Middle-Aged"/>
    <s v="High"/>
    <s v="Short Days"/>
    <m/>
    <m/>
    <m/>
    <m/>
    <m/>
    <m/>
  </r>
  <r>
    <s v="VIS201778"/>
    <d v="2024-09-13T00:00:00"/>
    <s v="PAT5670"/>
    <s v="Arjun Nagar"/>
    <s v="Male"/>
    <n v="3"/>
    <s v="Ahmedabad"/>
    <s v="Gujarat"/>
    <x v="7"/>
    <s v="Dr. Surya"/>
    <s v="I10"/>
    <s v="Surgery"/>
    <s v="Emergency"/>
    <n v="19235.88"/>
    <s v="Cash"/>
    <s v="No"/>
    <m/>
    <m/>
    <s v="Child"/>
    <s v="High"/>
    <s v="Short Days"/>
    <m/>
    <m/>
    <m/>
    <m/>
    <m/>
    <m/>
  </r>
  <r>
    <s v="VIS201450"/>
    <d v="2025-02-01T00:00:00"/>
    <s v="PAT6285"/>
    <s v="Aarav Nagar"/>
    <s v="Female"/>
    <n v="49"/>
    <s v="Mumbai"/>
    <s v="Maharashtra"/>
    <x v="9"/>
    <s v="Dr. Kusum"/>
    <s v="F41"/>
    <s v="Prescription Refill"/>
    <s v="OPD"/>
    <n v="92.57"/>
    <s v="UPI"/>
    <s v="No"/>
    <m/>
    <n v="90"/>
    <s v="Middle-Aged"/>
    <s v="Low"/>
    <s v="Short Days"/>
    <m/>
    <m/>
    <m/>
    <m/>
    <m/>
    <m/>
  </r>
  <r>
    <s v="VIS201109"/>
    <d v="2025-07-19T00:00:00"/>
    <s v="PAT5783"/>
    <s v="Aditya Das"/>
    <s v="Male"/>
    <n v="65"/>
    <s v="Kolkata"/>
    <s v="West Bengal"/>
    <x v="3"/>
    <s v="Dr. Pallavi"/>
    <s v="J00"/>
    <s v="Minor Procedure"/>
    <s v="IPD"/>
    <n v="5592.92"/>
    <s v="Cash"/>
    <s v="No"/>
    <n v="7"/>
    <m/>
    <s v="Senior"/>
    <s v="Medium"/>
    <s v="Long Days"/>
    <m/>
    <m/>
    <m/>
    <m/>
    <m/>
    <m/>
  </r>
  <r>
    <s v="VIS200136"/>
    <d v="2024-10-25T00:00:00"/>
    <s v="PAT6960"/>
    <s v="Deepa Sharma"/>
    <s v="Male"/>
    <n v="50"/>
    <s v="Bengaluru"/>
    <s v="Karnataka"/>
    <x v="1"/>
    <s v="Dr. Suri"/>
    <s v="L40"/>
    <s v="Observation"/>
    <s v="OPD"/>
    <n v="1263.58"/>
    <s v="Credit Card"/>
    <s v="No"/>
    <m/>
    <n v="30"/>
    <s v="Middle-Aged"/>
    <s v="Low"/>
    <s v="Short Days"/>
    <m/>
    <m/>
    <m/>
    <m/>
    <m/>
    <m/>
  </r>
  <r>
    <s v="VIS201440"/>
    <d v="2024-09-17T00:00:00"/>
    <s v="PAT6044"/>
    <s v="Priya Patel"/>
    <s v="Female"/>
    <n v="48"/>
    <s v="Ahmedabad"/>
    <s v="Gujarat"/>
    <x v="5"/>
    <s v="Dr. Meena"/>
    <s v="H10"/>
    <s v="Observation"/>
    <s v="Emergency"/>
    <n v="17423.150000000001"/>
    <s v="UPI"/>
    <s v="No"/>
    <m/>
    <n v="30"/>
    <s v="Middle-Aged"/>
    <s v="High"/>
    <s v="Short Days"/>
    <m/>
    <m/>
    <m/>
    <m/>
    <m/>
    <m/>
  </r>
  <r>
    <s v="VIS202060"/>
    <d v="2024-04-11T00:00:00"/>
    <s v="PAT5757"/>
    <s v="Manisha Nair"/>
    <s v="Female"/>
    <n v="46"/>
    <s v="Coimbatore"/>
    <s v="Tamil Nadu"/>
    <x v="2"/>
    <s v="Dr. Ramesh"/>
    <s v="L40"/>
    <s v="Physiotherapy"/>
    <s v="OPD"/>
    <n v="364.41"/>
    <s v="Debit Card"/>
    <s v="No"/>
    <m/>
    <n v="7"/>
    <s v="Middle-Aged"/>
    <s v="Low"/>
    <s v="Short Days"/>
    <m/>
    <m/>
    <m/>
    <m/>
    <m/>
    <m/>
  </r>
  <r>
    <s v="VIS202439"/>
    <d v="2024-03-23T00:00:00"/>
    <s v="PAT6439"/>
    <s v="Aarav Khan"/>
    <s v="Male"/>
    <n v="17"/>
    <s v="Coimbatore"/>
    <s v="Tamil Nadu"/>
    <x v="4"/>
    <s v="Dr. Varun"/>
    <s v="M54"/>
    <s v="Prescription Refill"/>
    <s v="OPD"/>
    <n v="1765.81"/>
    <s v="UPI"/>
    <s v="No"/>
    <m/>
    <n v="90"/>
    <s v="Child"/>
    <s v="Low"/>
    <s v="Short Days"/>
    <m/>
    <m/>
    <m/>
    <m/>
    <m/>
    <m/>
  </r>
  <r>
    <s v="VIS201874"/>
    <d v="2025-07-26T00:00:00"/>
    <s v="PAT5133"/>
    <s v="Vishal Iyer"/>
    <s v="Male"/>
    <n v="28"/>
    <s v="Noida"/>
    <s v="Uttar Pradesh"/>
    <x v="3"/>
    <s v="Dr. Anand"/>
    <s v="L40"/>
    <s v="Prescription Refill"/>
    <s v="Teleconsultation"/>
    <n v="8136.85"/>
    <s v="Cash"/>
    <s v="No"/>
    <m/>
    <m/>
    <s v="Adult"/>
    <s v="Medium"/>
    <s v="Short Days"/>
    <m/>
    <m/>
    <m/>
    <m/>
    <m/>
    <m/>
  </r>
  <r>
    <s v="VIS201908"/>
    <d v="2024-11-05T00:00:00"/>
    <s v="PAT6285"/>
    <s v="Arjun Singh"/>
    <s v="Female"/>
    <n v="42"/>
    <s v="Madurai"/>
    <s v="Tamil Nadu"/>
    <x v="0"/>
    <s v="Dr. Nikhil"/>
    <s v="J00"/>
    <s v="Physiotherapy"/>
    <s v="OPD"/>
    <n v="11575.15"/>
    <s v="Insurance"/>
    <s v="Yes"/>
    <m/>
    <n v="30"/>
    <s v="Middle-Aged"/>
    <s v="High"/>
    <s v="Short Days"/>
    <m/>
    <m/>
    <m/>
    <m/>
    <m/>
    <m/>
  </r>
  <r>
    <s v="VIS201187"/>
    <d v="2025-09-20T00:00:00"/>
    <s v="PAT5224"/>
    <s v="Ananya Sharma"/>
    <s v="Male"/>
    <n v="21"/>
    <s v="Bengaluru"/>
    <s v="Karnataka"/>
    <x v="0"/>
    <s v="Dr. Shailesh"/>
    <s v="E11"/>
    <s v="Physiotherapy"/>
    <s v="OPD"/>
    <n v="1902.3"/>
    <s v="Net Banking"/>
    <s v="No"/>
    <m/>
    <m/>
    <s v="Adult"/>
    <s v="Low"/>
    <s v="Short Days"/>
    <m/>
    <m/>
    <m/>
    <m/>
    <m/>
    <m/>
  </r>
  <r>
    <s v="VIS201415"/>
    <d v="2025-08-17T00:00:00"/>
    <s v="PAT6341"/>
    <s v="Aditya Kumar"/>
    <s v="Male"/>
    <n v="18"/>
    <s v="Lucknow"/>
    <s v="Uttar Pradesh"/>
    <x v="6"/>
    <s v="Dr. Priya"/>
    <s v="J00"/>
    <s v="Prescription Refill"/>
    <s v="OPD"/>
    <n v="1767.94"/>
    <s v="Credit Card"/>
    <s v="No"/>
    <m/>
    <n v="90"/>
    <s v="Adult"/>
    <s v="Low"/>
    <s v="Short Days"/>
    <m/>
    <m/>
    <m/>
    <m/>
    <m/>
    <m/>
  </r>
  <r>
    <s v="VIS202864"/>
    <d v="2025-04-03T00:00:00"/>
    <s v="PAT6671"/>
    <s v="Vishal Jose"/>
    <s v="Male"/>
    <n v="48"/>
    <s v="Jaipur"/>
    <s v="Rajasthan"/>
    <x v="3"/>
    <s v="Dr. Anand"/>
    <s v="M54"/>
    <s v="Observation"/>
    <s v="Teleconsultation"/>
    <n v="13138.2"/>
    <s v="UPI"/>
    <s v="No"/>
    <m/>
    <n v="90"/>
    <s v="Middle-Aged"/>
    <s v="High"/>
    <s v="Short Days"/>
    <m/>
    <m/>
    <m/>
    <m/>
    <m/>
    <m/>
  </r>
  <r>
    <s v="VIS200505"/>
    <d v="2025-04-19T00:00:00"/>
    <s v="PAT6073"/>
    <s v="Neha Jose"/>
    <s v="Male"/>
    <n v="61"/>
    <s v="Hyderabad"/>
    <s v="Telangana"/>
    <x v="3"/>
    <s v="Dr. Pallavi"/>
    <s v="E11"/>
    <s v="Observation"/>
    <s v="Teleconsultation"/>
    <n v="5986.37"/>
    <s v="Insurance"/>
    <s v="Yes"/>
    <m/>
    <n v="30"/>
    <s v="Senior"/>
    <s v="Medium"/>
    <s v="Short Days"/>
    <m/>
    <m/>
    <m/>
    <m/>
    <m/>
    <m/>
  </r>
  <r>
    <s v="VIS202038"/>
    <d v="2025-03-06T00:00:00"/>
    <s v="PAT6294"/>
    <s v="Priya Jose"/>
    <s v="Male"/>
    <n v="28"/>
    <s v="Bengaluru"/>
    <s v="Karnataka"/>
    <x v="8"/>
    <s v="Dr. Sneha"/>
    <s v="J45"/>
    <s v="Prescription Refill"/>
    <s v="OPD"/>
    <n v="5134.79"/>
    <s v="Credit Card"/>
    <s v="No"/>
    <m/>
    <m/>
    <s v="Adult"/>
    <s v="Medium"/>
    <s v="Short Days"/>
    <m/>
    <m/>
    <m/>
    <m/>
    <m/>
    <m/>
  </r>
  <r>
    <s v="VIS201306"/>
    <d v="2025-05-30T00:00:00"/>
    <s v="PAT6374"/>
    <s v="Aarav Reddy"/>
    <s v="Female"/>
    <n v="28"/>
    <s v="Delhi"/>
    <s v="Tamil Nadu"/>
    <x v="2"/>
    <s v="Dr. Ramesh"/>
    <s v="Z111"/>
    <s v="Counselling"/>
    <s v="OPD"/>
    <n v="578.83000000000004"/>
    <s v="UPI"/>
    <s v="No"/>
    <m/>
    <n v="7"/>
    <s v="Adult"/>
    <s v="Low"/>
    <s v="Short Days"/>
    <m/>
    <m/>
    <m/>
    <m/>
    <m/>
    <m/>
  </r>
  <r>
    <s v="VIS202540"/>
    <d v="2025-04-30T00:00:00"/>
    <s v="PAT5526"/>
    <s v="Ishaan Das"/>
    <s v="Female"/>
    <n v="47"/>
    <s v="Bengaluru"/>
    <s v="Karnataka"/>
    <x v="8"/>
    <s v="Dr. Kavitha"/>
    <s v="N39"/>
    <s v="Medication"/>
    <s v="Teleconsultation"/>
    <n v="23834.14"/>
    <s v="Debit Card"/>
    <s v="No"/>
    <m/>
    <m/>
    <s v="Middle-Aged"/>
    <s v="High"/>
    <s v="Short Days"/>
    <m/>
    <m/>
    <m/>
    <m/>
    <m/>
    <m/>
  </r>
  <r>
    <s v="VIS200293"/>
    <d v="2024-05-23T00:00:00"/>
    <s v="PAT5446"/>
    <s v="Deepa Reddy"/>
    <s v="Female"/>
    <n v="44"/>
    <s v="Kochi"/>
    <s v="Kerala"/>
    <x v="6"/>
    <s v="Dr. Priya"/>
    <s v="N39"/>
    <s v="Physiotherapy"/>
    <s v="Emergency"/>
    <n v="7432.87"/>
    <s v="Cash"/>
    <s v="No"/>
    <m/>
    <n v="90"/>
    <s v="Middle-Aged"/>
    <s v="Medium"/>
    <s v="Short Days"/>
    <m/>
    <m/>
    <m/>
    <m/>
    <m/>
    <m/>
  </r>
  <r>
    <s v="VIS200206"/>
    <d v="2025-07-22T00:00:00"/>
    <s v="PAT5315"/>
    <s v="Karthik Singh"/>
    <s v="Female"/>
    <n v="43"/>
    <s v="Kochi"/>
    <s v="Kerala"/>
    <x v="9"/>
    <s v="Dr. Arvind"/>
    <s v="I10"/>
    <s v="Surgery"/>
    <s v="OPD"/>
    <n v="6542.88"/>
    <s v="Debit Card"/>
    <s v="No"/>
    <m/>
    <n v="14"/>
    <s v="Middle-Aged"/>
    <s v="Medium"/>
    <s v="Short Days"/>
    <m/>
    <m/>
    <m/>
    <m/>
    <m/>
    <m/>
  </r>
  <r>
    <s v="VIS200806"/>
    <d v="2024-06-15T00:00:00"/>
    <s v="PAT6444"/>
    <s v="Ananya Singh"/>
    <s v="Male"/>
    <n v="46"/>
    <s v="Lucknow"/>
    <s v="Uttar Pradesh"/>
    <x v="6"/>
    <s v="Dr. Priya"/>
    <s v="K21"/>
    <s v="Minor Surgery"/>
    <s v="Teleconsultation"/>
    <n v="5030.74"/>
    <s v="Cash"/>
    <s v="No"/>
    <m/>
    <n v="90"/>
    <s v="Middle-Aged"/>
    <s v="Medium"/>
    <s v="Short Days"/>
    <m/>
    <m/>
    <m/>
    <m/>
    <m/>
    <m/>
  </r>
  <r>
    <s v="VIS201256"/>
    <d v="2025-01-04T00:00:00"/>
    <s v="PAT5629"/>
    <s v="Manisha Singh"/>
    <s v="Female"/>
    <n v="46"/>
    <s v="Chennai"/>
    <s v="Tamil Nadu"/>
    <x v="7"/>
    <s v="Dr. Surya"/>
    <s v="J00"/>
    <s v="Physiotherapy"/>
    <s v="OPD"/>
    <n v="1372.01"/>
    <s v="Insurance"/>
    <s v="Yes"/>
    <m/>
    <m/>
    <s v="Middle-Aged"/>
    <s v="Low"/>
    <s v="Short Days"/>
    <m/>
    <m/>
    <m/>
    <m/>
    <m/>
    <m/>
  </r>
  <r>
    <s v="VIS202288"/>
    <d v="2025-11-01T00:00:00"/>
    <s v="PAT5105"/>
    <s v="Rohan Sharma"/>
    <s v="Female"/>
    <n v="30"/>
    <s v="Coimbatore"/>
    <s v="Tamil Nadu"/>
    <x v="0"/>
    <s v="Dr. Nikhil"/>
    <s v="K21"/>
    <s v="Medication"/>
    <s v="OPD"/>
    <n v="2355.4499999999998"/>
    <s v="UPI"/>
    <s v="No"/>
    <m/>
    <n v="7"/>
    <s v="Adult"/>
    <s v="Low"/>
    <s v="Short Days"/>
    <m/>
    <m/>
    <m/>
    <m/>
    <m/>
    <m/>
  </r>
  <r>
    <s v="VIS201981"/>
    <d v="2024-06-03T00:00:00"/>
    <s v="PAT6146"/>
    <s v="Arjun Khan"/>
    <s v="Male"/>
    <n v="31"/>
    <s v="Madurai"/>
    <s v="Tamil Nadu"/>
    <x v="6"/>
    <s v="Dr. Lalitha"/>
    <s v="L40"/>
    <s v="Physiotherapy"/>
    <s v="OPD"/>
    <n v="4316.78"/>
    <s v="Debit Card"/>
    <s v="No"/>
    <m/>
    <n v="90"/>
    <s v="Adult"/>
    <s v="Low"/>
    <s v="Short Days"/>
    <m/>
    <m/>
    <m/>
    <m/>
    <m/>
    <m/>
  </r>
  <r>
    <s v="VIS200713"/>
    <d v="2025-09-26T00:00:00"/>
    <s v="PAT5686"/>
    <s v="Vishal Bose"/>
    <s v="Male"/>
    <n v="34"/>
    <s v="Mumbai"/>
    <s v="Maharashtra"/>
    <x v="2"/>
    <s v="Dr. Manoj"/>
    <s v="H10"/>
    <s v="Observation"/>
    <s v="OPD"/>
    <n v="148.63999999999999"/>
    <s v="Cash"/>
    <s v="No"/>
    <m/>
    <n v="14"/>
    <s v="Adult"/>
    <s v="Low"/>
    <s v="Short Days"/>
    <m/>
    <m/>
    <m/>
    <m/>
    <m/>
    <m/>
  </r>
  <r>
    <s v="VIS201915"/>
    <d v="2024-10-09T00:00:00"/>
    <s v="PAT5157"/>
    <s v="Aditya Iyer"/>
    <s v="Female"/>
    <n v="34"/>
    <s v="Ahmedabad"/>
    <s v="Gujarat"/>
    <x v="4"/>
    <s v="Dr. Varun"/>
    <s v="J45"/>
    <s v="Medication"/>
    <s v="OPD"/>
    <n v="1225.49"/>
    <s v="Cash"/>
    <s v="No"/>
    <m/>
    <n v="30"/>
    <s v="Adult"/>
    <s v="Low"/>
    <s v="Short Days"/>
    <m/>
    <m/>
    <m/>
    <m/>
    <m/>
    <m/>
  </r>
  <r>
    <s v="VIS202127"/>
    <d v="2024-01-17T00:00:00"/>
    <s v="PAT5983"/>
    <s v="Aishwarya Patel"/>
    <s v="Male"/>
    <n v="28"/>
    <s v="Ahmedabad"/>
    <s v="Gujarat"/>
    <x v="4"/>
    <s v="Dr. Varun"/>
    <s v="M54"/>
    <s v="Medication"/>
    <s v="OPD"/>
    <n v="56.99"/>
    <s v="Insurance"/>
    <s v="Yes"/>
    <m/>
    <n v="14"/>
    <s v="Adult"/>
    <s v="Low"/>
    <s v="Short Days"/>
    <m/>
    <m/>
    <m/>
    <m/>
    <m/>
    <m/>
  </r>
  <r>
    <s v="VIS200882"/>
    <d v="2025-05-05T00:00:00"/>
    <s v="PAT6687"/>
    <s v="Priya Nagar"/>
    <s v="Female"/>
    <n v="47"/>
    <s v="Bengaluru"/>
    <s v="Karnataka"/>
    <x v="2"/>
    <s v="Dr. Manoj"/>
    <s v="J00"/>
    <s v="Counselling"/>
    <s v="OPD"/>
    <n v="78.489999999999995"/>
    <s v="Debit Card"/>
    <s v="No"/>
    <m/>
    <n v="14"/>
    <s v="Middle-Aged"/>
    <s v="Low"/>
    <s v="Short Days"/>
    <m/>
    <m/>
    <m/>
    <m/>
    <m/>
    <m/>
  </r>
  <r>
    <s v="VIS201935"/>
    <d v="2024-02-11T00:00:00"/>
    <s v="PAT5195"/>
    <s v="Rohan Reddy"/>
    <s v="Female"/>
    <n v="40"/>
    <s v="Trichy"/>
    <s v="Tamil Nadu"/>
    <x v="9"/>
    <s v="Dr. Kusum"/>
    <s v="F41"/>
    <s v="Minor Procedure"/>
    <s v="Teleconsultation"/>
    <n v="19298.13"/>
    <s v="UPI"/>
    <s v="No"/>
    <m/>
    <n v="30"/>
    <s v="Adult"/>
    <s v="High"/>
    <s v="Short Days"/>
    <m/>
    <m/>
    <m/>
    <m/>
    <m/>
    <m/>
  </r>
  <r>
    <s v="VIS200400"/>
    <d v="2024-07-30T00:00:00"/>
    <s v="PAT6201"/>
    <s v="Siddharth Mishra"/>
    <s v="Male"/>
    <n v="41"/>
    <s v="Delhi"/>
    <s v="Delhi"/>
    <x v="5"/>
    <s v="Dr. Meena"/>
    <s v="K21"/>
    <s v="Counselling"/>
    <s v="Emergency"/>
    <n v="10659.59"/>
    <s v="Debit Card"/>
    <s v="No"/>
    <m/>
    <n v="30"/>
    <s v="Middle-Aged"/>
    <s v="High"/>
    <s v="Short Days"/>
    <m/>
    <m/>
    <m/>
    <m/>
    <m/>
    <m/>
  </r>
  <r>
    <s v="VIS200157"/>
    <d v="2025-08-29T00:00:00"/>
    <s v="PAT5454"/>
    <s v="Anil Reddy"/>
    <s v="Female"/>
    <n v="11"/>
    <s v="Lucknow"/>
    <s v="Uttar Pradesh"/>
    <x v="5"/>
    <s v="Dr. Ravi"/>
    <s v="L40"/>
    <s v="Observation"/>
    <s v="Teleconsultation"/>
    <n v="5902.02"/>
    <s v="Net Banking"/>
    <s v="No"/>
    <m/>
    <n v="90"/>
    <s v="Child"/>
    <s v="Medium"/>
    <s v="Short Days"/>
    <m/>
    <m/>
    <m/>
    <m/>
    <m/>
    <m/>
  </r>
  <r>
    <s v="VIS201532"/>
    <d v="2024-10-17T00:00:00"/>
    <s v="PAT6172"/>
    <s v="Kavya Singh"/>
    <s v="Male"/>
    <n v="53"/>
    <s v="Chennai"/>
    <s v="Tamil Nadu"/>
    <x v="2"/>
    <s v="Dr. Ramesh"/>
    <s v="J45"/>
    <s v="Medication"/>
    <s v="Teleconsultation"/>
    <n v="6274.28"/>
    <s v="Credit Card"/>
    <s v="No"/>
    <m/>
    <n v="90"/>
    <s v="Middle-Aged"/>
    <s v="Medium"/>
    <s v="Short Days"/>
    <m/>
    <m/>
    <m/>
    <m/>
    <m/>
    <m/>
  </r>
  <r>
    <s v="VIS200491"/>
    <d v="2025-08-09T00:00:00"/>
    <s v="PAT6719"/>
    <s v="Rahul Mishra"/>
    <s v="Female"/>
    <n v="37"/>
    <s v="Noida"/>
    <s v="Uttar Pradesh"/>
    <x v="3"/>
    <s v="Dr. Anand"/>
    <s v="F41"/>
    <s v="Minor Surgery"/>
    <s v="IPD"/>
    <n v="7131.38"/>
    <s v="Debit Card"/>
    <s v="No"/>
    <n v="2"/>
    <n v="14"/>
    <s v="Adult"/>
    <s v="Medium"/>
    <s v="Short Days"/>
    <m/>
    <m/>
    <m/>
    <m/>
    <m/>
    <m/>
  </r>
  <r>
    <s v="VIS200291"/>
    <d v="2024-04-21T00:00:00"/>
    <s v="PAT5396"/>
    <s v="Neha Reddy"/>
    <s v="Male"/>
    <n v="68"/>
    <s v="Pune"/>
    <s v="Maharashtra"/>
    <x v="7"/>
    <s v="Dr. Surya"/>
    <s v="L40"/>
    <s v="Observation"/>
    <s v="OPD"/>
    <n v="14743.69"/>
    <s v="UPI"/>
    <s v="No"/>
    <m/>
    <m/>
    <s v="Senior"/>
    <s v="High"/>
    <s v="Short Days"/>
    <m/>
    <m/>
    <m/>
    <m/>
    <m/>
    <m/>
  </r>
  <r>
    <s v="VIS201883"/>
    <d v="2024-11-20T00:00:00"/>
    <s v="PAT5342"/>
    <s v="Vishal Singh"/>
    <s v="Female"/>
    <n v="40"/>
    <s v="Chennai"/>
    <s v="Tamil Nadu"/>
    <x v="2"/>
    <s v="Dr. Manoj"/>
    <s v="E11"/>
    <s v="Observation"/>
    <s v="Teleconsultation"/>
    <n v="8721.56"/>
    <s v="Cash"/>
    <s v="No"/>
    <m/>
    <n v="30"/>
    <s v="Adult"/>
    <s v="Medium"/>
    <s v="Short Days"/>
    <m/>
    <m/>
    <m/>
    <m/>
    <m/>
    <m/>
  </r>
  <r>
    <s v="VIS201363"/>
    <d v="2025-04-20T00:00:00"/>
    <s v="PAT5019"/>
    <s v="Sangeetha Patel"/>
    <s v="Male"/>
    <n v="61"/>
    <s v="Mumbai"/>
    <s v="Maharashtra"/>
    <x v="2"/>
    <s v="Dr. Manoj"/>
    <s v="E11"/>
    <s v="Surgery"/>
    <s v="OPD"/>
    <n v="4966.18"/>
    <s v="Debit Card"/>
    <s v="No"/>
    <m/>
    <n v="30"/>
    <s v="Senior"/>
    <s v="Low"/>
    <s v="Short Days"/>
    <m/>
    <m/>
    <m/>
    <m/>
    <m/>
    <m/>
  </r>
  <r>
    <s v="VIS202728"/>
    <d v="2025-10-01T00:00:00"/>
    <s v="PAT5457"/>
    <s v="Vivaan Mishra"/>
    <s v="Male"/>
    <n v="45"/>
    <s v="Jaipur"/>
    <s v="Rajasthan"/>
    <x v="8"/>
    <s v="Dr. Kavitha"/>
    <s v="M54"/>
    <s v="Physiotherapy"/>
    <s v="OPD"/>
    <n v="3978.45"/>
    <s v="Insurance"/>
    <s v="Yes"/>
    <m/>
    <m/>
    <s v="Middle-Aged"/>
    <s v="Low"/>
    <s v="Short Days"/>
    <m/>
    <m/>
    <m/>
    <m/>
    <m/>
    <m/>
  </r>
  <r>
    <s v="VIS201734"/>
    <d v="2024-11-26T00:00:00"/>
    <s v="PAT6534"/>
    <s v="Siddharth Reddy"/>
    <s v="Male"/>
    <n v="42"/>
    <s v="Trichy"/>
    <s v="Tamil Nadu"/>
    <x v="7"/>
    <s v="Dr. Surya"/>
    <s v="J00"/>
    <s v="Prescription Refill"/>
    <s v="OPD"/>
    <n v="15940.65"/>
    <s v="UPI"/>
    <s v="No"/>
    <m/>
    <m/>
    <s v="Middle-Aged"/>
    <s v="High"/>
    <s v="Short Days"/>
    <m/>
    <m/>
    <m/>
    <m/>
    <m/>
    <m/>
  </r>
  <r>
    <s v="VIS200401"/>
    <d v="2025-06-03T00:00:00"/>
    <s v="PAT6656"/>
    <s v="Aditya Gupta"/>
    <s v="Female"/>
    <n v="18"/>
    <s v="Chennai"/>
    <s v="Tamil Nadu"/>
    <x v="1"/>
    <s v="Dr. Suri"/>
    <s v="F41"/>
    <s v="Surgery"/>
    <s v="IPD"/>
    <n v="6835.45"/>
    <s v="Cash"/>
    <s v="No"/>
    <n v="6"/>
    <n v="30"/>
    <s v="Adult"/>
    <s v="Medium"/>
    <s v="Long Days"/>
    <m/>
    <m/>
    <m/>
    <m/>
    <m/>
    <m/>
  </r>
  <r>
    <s v="VIS201180"/>
    <d v="2024-12-19T00:00:00"/>
    <s v="PAT6642"/>
    <s v="Neha Das"/>
    <s v="Female"/>
    <n v="49"/>
    <s v="Bengaluru"/>
    <s v="Karnataka"/>
    <x v="8"/>
    <s v="Dr. Sneha"/>
    <s v="I10"/>
    <s v="Physiotherapy"/>
    <s v="Emergency"/>
    <n v="14821.68"/>
    <s v="Credit Card"/>
    <s v="No"/>
    <m/>
    <n v="30"/>
    <s v="Middle-Aged"/>
    <s v="High"/>
    <s v="Short Days"/>
    <m/>
    <m/>
    <m/>
    <m/>
    <m/>
    <m/>
  </r>
  <r>
    <s v="VIS201410"/>
    <d v="2024-11-16T00:00:00"/>
    <s v="PAT5710"/>
    <s v="Ananya Iyer"/>
    <s v="Male"/>
    <n v="36"/>
    <s v="Hyderabad"/>
    <s v="Telangana"/>
    <x v="4"/>
    <s v="Dr. Varun"/>
    <s v="E11"/>
    <s v="Observation"/>
    <s v="OPD"/>
    <n v="5075.47"/>
    <s v="UPI"/>
    <s v="No"/>
    <m/>
    <n v="30"/>
    <s v="Adult"/>
    <s v="Medium"/>
    <s v="Short Days"/>
    <m/>
    <m/>
    <m/>
    <m/>
    <m/>
    <m/>
  </r>
  <r>
    <s v="VIS200179"/>
    <d v="2025-08-29T00:00:00"/>
    <s v="PAT5557"/>
    <s v="Sangeetha Singh"/>
    <s v="Female"/>
    <n v="46"/>
    <s v="Ahmedabad"/>
    <s v="Gujarat"/>
    <x v="2"/>
    <s v="Dr. Manoj"/>
    <s v="I10"/>
    <s v="Minor Surgery"/>
    <s v="Teleconsultation"/>
    <n v="9742.5499999999993"/>
    <s v="Cash"/>
    <s v="No"/>
    <m/>
    <n v="14"/>
    <s v="Middle-Aged"/>
    <s v="Medium"/>
    <s v="Short Days"/>
    <m/>
    <m/>
    <m/>
    <m/>
    <m/>
    <m/>
  </r>
  <r>
    <s v="VIS200921"/>
    <d v="2025-01-26T00:00:00"/>
    <s v="PAT5779"/>
    <s v="Neha Nagar"/>
    <s v="Male"/>
    <n v="35"/>
    <s v="Pune"/>
    <s v="Maharashtra"/>
    <x v="2"/>
    <s v="Dr. Manoj"/>
    <s v="N39"/>
    <s v="Observation"/>
    <s v="OPD"/>
    <n v="190.97"/>
    <s v="Debit Card"/>
    <s v="No"/>
    <m/>
    <n v="90"/>
    <s v="Adult"/>
    <s v="Low"/>
    <s v="Short Days"/>
    <m/>
    <m/>
    <m/>
    <m/>
    <m/>
    <m/>
  </r>
  <r>
    <s v="VIS201688"/>
    <d v="2024-05-08T00:00:00"/>
    <s v="PAT5758"/>
    <s v="Deepa Kumar"/>
    <s v="Female"/>
    <n v="38"/>
    <s v="Bengaluru"/>
    <s v="Karnataka"/>
    <x v="4"/>
    <s v="Dr. Bhavana"/>
    <s v="F41"/>
    <s v="Physiotherapy"/>
    <s v="OPD"/>
    <n v="9326.48"/>
    <s v="Cash"/>
    <s v="No"/>
    <m/>
    <m/>
    <s v="Adult"/>
    <s v="Medium"/>
    <s v="Short Days"/>
    <m/>
    <m/>
    <m/>
    <m/>
    <m/>
    <m/>
  </r>
  <r>
    <s v="VIS200078"/>
    <d v="2024-03-20T00:00:00"/>
    <s v="PAT6619"/>
    <s v="Sangeetha Nair"/>
    <s v="Female"/>
    <n v="47"/>
    <s v="Delhi"/>
    <s v="Delhi"/>
    <x v="0"/>
    <s v="Dr. Shailesh"/>
    <s v="F41"/>
    <s v="Surgery"/>
    <s v="Emergency"/>
    <n v="5541.46"/>
    <s v="Cash"/>
    <s v="No"/>
    <m/>
    <n v="90"/>
    <s v="Middle-Aged"/>
    <s v="Medium"/>
    <s v="Short Days"/>
    <m/>
    <m/>
    <m/>
    <m/>
    <m/>
    <m/>
  </r>
  <r>
    <s v="VIS202947"/>
    <d v="2024-05-31T00:00:00"/>
    <s v="PAT6829"/>
    <s v="Karthik Jose"/>
    <s v="Male"/>
    <n v="34"/>
    <s v="Delhi"/>
    <s v="Delhi"/>
    <x v="3"/>
    <s v="Dr. Anand"/>
    <s v="M54"/>
    <s v="Minor Procedure"/>
    <s v="Teleconsultation"/>
    <n v="6118.26"/>
    <s v="UPI"/>
    <s v="No"/>
    <m/>
    <n v="30"/>
    <s v="Adult"/>
    <s v="Medium"/>
    <s v="Short Days"/>
    <m/>
    <m/>
    <m/>
    <m/>
    <m/>
    <m/>
  </r>
  <r>
    <s v="VIS201116"/>
    <d v="2024-05-24T00:00:00"/>
    <s v="PAT6910"/>
    <s v="Ananya Khan"/>
    <s v="Female"/>
    <n v="11"/>
    <s v="Bengaluru"/>
    <s v="Karnataka"/>
    <x v="2"/>
    <s v="Dr. Ramesh"/>
    <s v="H10"/>
    <s v="Surgery"/>
    <s v="Emergency"/>
    <n v="13077.96"/>
    <s v="Debit Card"/>
    <s v="No"/>
    <m/>
    <m/>
    <s v="Child"/>
    <s v="High"/>
    <s v="Short Days"/>
    <m/>
    <m/>
    <m/>
    <m/>
    <m/>
    <m/>
  </r>
  <r>
    <s v="VIS200694"/>
    <d v="2024-12-06T00:00:00"/>
    <s v="PAT5340"/>
    <s v="Aishwarya Singh"/>
    <s v="Male"/>
    <n v="36"/>
    <s v="Chennai"/>
    <s v="Tamil Nadu"/>
    <x v="1"/>
    <s v="Dr. Suri"/>
    <s v="K21"/>
    <s v="Prescription Refill"/>
    <s v="OPD"/>
    <n v="34935.19"/>
    <s v="Cash"/>
    <s v="No"/>
    <m/>
    <m/>
    <s v="Adult"/>
    <s v="High"/>
    <s v="Short Days"/>
    <m/>
    <m/>
    <m/>
    <m/>
    <m/>
    <m/>
  </r>
  <r>
    <s v="VIS202367"/>
    <d v="2024-11-27T00:00:00"/>
    <s v="PAT5951"/>
    <s v="Sangeetha Gupta"/>
    <s v="Female"/>
    <n v="21"/>
    <s v="Chennai"/>
    <s v="Tamil Nadu"/>
    <x v="1"/>
    <s v="Dr. Anu"/>
    <s v="F41"/>
    <s v="Observation"/>
    <s v="OPD"/>
    <n v="2090.66"/>
    <s v="Cash"/>
    <s v="No"/>
    <m/>
    <n v="7"/>
    <s v="Adult"/>
    <s v="Low"/>
    <s v="Short Days"/>
    <m/>
    <m/>
    <m/>
    <m/>
    <m/>
    <m/>
  </r>
  <r>
    <s v="VIS202532"/>
    <d v="2024-10-14T00:00:00"/>
    <s v="PAT5113"/>
    <s v="Vivaan Iyer"/>
    <s v="Male"/>
    <n v="49"/>
    <s v="Jaipur"/>
    <s v="Rajasthan"/>
    <x v="7"/>
    <s v="Dr. Leela"/>
    <s v="I10"/>
    <s v="Minor Procedure"/>
    <s v="OPD"/>
    <n v="21265.17"/>
    <s v="UPI"/>
    <s v="No"/>
    <m/>
    <n v="7"/>
    <s v="Middle-Aged"/>
    <s v="High"/>
    <s v="Short Days"/>
    <m/>
    <m/>
    <m/>
    <m/>
    <m/>
    <m/>
  </r>
  <r>
    <s v="VIS202246"/>
    <d v="2025-10-10T00:00:00"/>
    <s v="PAT5417"/>
    <s v="Siddharth Iyer"/>
    <s v="Female"/>
    <n v="46"/>
    <s v="Bengaluru"/>
    <s v="Karnataka"/>
    <x v="6"/>
    <s v="Dr. Lalitha"/>
    <s v="H10"/>
    <s v="Minor Procedure"/>
    <s v="OPD"/>
    <n v="4182.83"/>
    <s v="Credit Card"/>
    <s v="No"/>
    <m/>
    <n v="30"/>
    <s v="Middle-Aged"/>
    <s v="Low"/>
    <s v="Short Days"/>
    <m/>
    <m/>
    <m/>
    <m/>
    <m/>
    <m/>
  </r>
  <r>
    <s v="VIS200817"/>
    <d v="2024-07-30T00:00:00"/>
    <s v="PAT6743"/>
    <s v="Siddharth Mishra"/>
    <s v="Male"/>
    <n v="16"/>
    <s v="Jaipur"/>
    <s v="Rajasthan"/>
    <x v="4"/>
    <s v="Dr. Varun"/>
    <s v="E11"/>
    <s v="Prescription Refill"/>
    <s v="OPD"/>
    <n v="10277.219999999999"/>
    <s v="UPI"/>
    <s v="No"/>
    <m/>
    <n v="7"/>
    <s v="Child"/>
    <s v="High"/>
    <s v="Short Days"/>
    <m/>
    <m/>
    <m/>
    <m/>
    <m/>
    <m/>
  </r>
  <r>
    <s v="VIS200711"/>
    <d v="2025-05-16T00:00:00"/>
    <s v="PAT5201"/>
    <s v="Aarav Jose"/>
    <s v="Male"/>
    <n v="58"/>
    <s v="Kolkata"/>
    <s v="West Bengal"/>
    <x v="9"/>
    <s v="Dr. Kusum"/>
    <s v="J00"/>
    <s v="Minor Procedure"/>
    <s v="Emergency"/>
    <n v="16297.98"/>
    <s v="UPI"/>
    <s v="No"/>
    <m/>
    <n v="30"/>
    <s v="Middle-Aged"/>
    <s v="High"/>
    <s v="Short Days"/>
    <m/>
    <m/>
    <m/>
    <m/>
    <m/>
    <m/>
  </r>
  <r>
    <s v="VIS202668"/>
    <d v="2025-09-21T00:00:00"/>
    <s v="PAT6501"/>
    <s v="Aishwarya Kumar"/>
    <s v="Female"/>
    <n v="16"/>
    <s v="Pune"/>
    <s v="Maharashtra"/>
    <x v="0"/>
    <s v="Dr. Nikhil"/>
    <s v="I10"/>
    <s v="Counselling"/>
    <s v="Teleconsultation"/>
    <n v="6234.77"/>
    <s v="Insurance"/>
    <s v="Yes"/>
    <m/>
    <n v="90"/>
    <s v="Child"/>
    <s v="Medium"/>
    <s v="Short Days"/>
    <m/>
    <m/>
    <m/>
    <m/>
    <m/>
    <m/>
  </r>
  <r>
    <s v="VIS201046"/>
    <d v="2025-06-23T00:00:00"/>
    <s v="PAT6155"/>
    <s v="Aarav Patel"/>
    <s v="Male"/>
    <n v="59"/>
    <s v="Coimbatore"/>
    <s v="Tamil Nadu"/>
    <x v="2"/>
    <s v="Dr. Ramesh"/>
    <s v="K21"/>
    <s v="Minor Surgery"/>
    <s v="Teleconsultation"/>
    <n v="9072.1"/>
    <s v="UPI"/>
    <s v="No"/>
    <m/>
    <n v="14"/>
    <s v="Middle-Aged"/>
    <s v="Medium"/>
    <s v="Short Days"/>
    <m/>
    <m/>
    <m/>
    <m/>
    <m/>
    <m/>
  </r>
  <r>
    <s v="VIS202486"/>
    <d v="2024-11-16T00:00:00"/>
    <s v="PAT5606"/>
    <s v="Neha Sharma"/>
    <s v="Female"/>
    <n v="23"/>
    <s v="Kolkata"/>
    <s v="West Bengal"/>
    <x v="7"/>
    <s v="Dr. Surya"/>
    <s v="K21"/>
    <s v="Counselling"/>
    <s v="OPD"/>
    <n v="2406.2800000000002"/>
    <s v="Debit Card"/>
    <s v="No"/>
    <m/>
    <n v="90"/>
    <s v="Adult"/>
    <s v="Low"/>
    <s v="Short Days"/>
    <m/>
    <m/>
    <m/>
    <m/>
    <m/>
    <m/>
  </r>
  <r>
    <s v="VIS202984"/>
    <d v="2024-01-07T00:00:00"/>
    <s v="PAT5933"/>
    <s v="Sangeetha Patel"/>
    <s v="Female"/>
    <n v="47"/>
    <s v="Hyderabad"/>
    <s v="Telangana"/>
    <x v="1"/>
    <s v="Dr. Suri"/>
    <s v="L40"/>
    <s v="Physiotherapy"/>
    <s v="OPD"/>
    <n v="896.32"/>
    <s v="UPI"/>
    <s v="No"/>
    <m/>
    <n v="90"/>
    <s v="Middle-Aged"/>
    <s v="Low"/>
    <s v="Short Days"/>
    <m/>
    <m/>
    <m/>
    <m/>
    <m/>
    <m/>
  </r>
  <r>
    <s v="VIS200133"/>
    <d v="2024-12-30T00:00:00"/>
    <s v="PAT5759"/>
    <s v="Rohan Gupta"/>
    <s v="Female"/>
    <n v="34"/>
    <s v="Kochi"/>
    <s v="Kerala"/>
    <x v="3"/>
    <s v="Dr. Anand"/>
    <s v="I10"/>
    <s v="Minor Procedure"/>
    <s v="Teleconsultation"/>
    <n v="5784.81"/>
    <s v="Insurance"/>
    <s v="Yes"/>
    <m/>
    <n v="14"/>
    <s v="Adult"/>
    <s v="Medium"/>
    <s v="Short Days"/>
    <m/>
    <m/>
    <m/>
    <m/>
    <m/>
    <m/>
  </r>
  <r>
    <s v="VIS200814"/>
    <d v="2025-01-15T00:00:00"/>
    <s v="PAT5643"/>
    <s v="Shruti Kumar"/>
    <s v="Male"/>
    <n v="24"/>
    <s v="Noida"/>
    <s v="Uttar Pradesh"/>
    <x v="2"/>
    <s v="Dr. Ramesh"/>
    <s v="N39"/>
    <s v="Minor Surgery"/>
    <s v="OPD"/>
    <n v="2336.46"/>
    <s v="Cash"/>
    <s v="No"/>
    <m/>
    <n v="7"/>
    <s v="Adult"/>
    <s v="Low"/>
    <s v="Short Days"/>
    <m/>
    <m/>
    <m/>
    <m/>
    <m/>
    <m/>
  </r>
  <r>
    <s v="VIS202694"/>
    <d v="2025-03-05T00:00:00"/>
    <s v="PAT6939"/>
    <s v="Siddharth Gupta"/>
    <s v="Male"/>
    <n v="15"/>
    <s v="Ahmedabad"/>
    <s v="Gujarat"/>
    <x v="8"/>
    <s v="Dr. Sneha"/>
    <s v="M54"/>
    <s v="Physiotherapy"/>
    <s v="OPD"/>
    <n v="744.71"/>
    <s v="UPI"/>
    <s v="No"/>
    <m/>
    <n v="90"/>
    <s v="Child"/>
    <s v="Low"/>
    <s v="Short Days"/>
    <m/>
    <m/>
    <m/>
    <m/>
    <m/>
    <m/>
  </r>
  <r>
    <s v="VIS201770"/>
    <d v="2025-08-12T00:00:00"/>
    <s v="PAT5595"/>
    <s v="Aditya Jose"/>
    <s v="Male"/>
    <n v="63"/>
    <s v="Kochi"/>
    <s v="Kerala"/>
    <x v="6"/>
    <s v="Dr. Lalitha"/>
    <s v="E11"/>
    <s v="Counselling"/>
    <s v="OPD"/>
    <n v="4136.01"/>
    <s v="Cash"/>
    <s v="No"/>
    <m/>
    <n v="90"/>
    <s v="Senior"/>
    <s v="Low"/>
    <s v="Short Days"/>
    <m/>
    <m/>
    <m/>
    <m/>
    <m/>
    <m/>
  </r>
  <r>
    <s v="VIS201565"/>
    <d v="2024-12-17T00:00:00"/>
    <s v="PAT5005"/>
    <s v="Rahul Jose"/>
    <s v="Male"/>
    <n v="46"/>
    <s v="Noida"/>
    <s v="Uttar Pradesh"/>
    <x v="1"/>
    <s v="Dr. Anu"/>
    <s v="H10"/>
    <s v="Minor Procedure"/>
    <s v="Teleconsultation"/>
    <n v="7790.86"/>
    <s v="Net Banking"/>
    <s v="No"/>
    <m/>
    <n v="90"/>
    <s v="Middle-Aged"/>
    <s v="Medium"/>
    <s v="Short Days"/>
    <m/>
    <m/>
    <m/>
    <m/>
    <m/>
    <m/>
  </r>
  <r>
    <s v="VIS200899"/>
    <d v="2024-05-21T00:00:00"/>
    <s v="PAT5194"/>
    <s v="Aarav Das"/>
    <s v="Female"/>
    <n v="43"/>
    <s v="Mumbai"/>
    <s v="Maharashtra"/>
    <x v="7"/>
    <s v="Dr. Surya"/>
    <s v="M54"/>
    <s v="Surgery"/>
    <s v="OPD"/>
    <n v="7650.43"/>
    <s v="Cash"/>
    <s v="No"/>
    <m/>
    <n v="14"/>
    <s v="Middle-Aged"/>
    <s v="Medium"/>
    <s v="Short Days"/>
    <m/>
    <m/>
    <m/>
    <m/>
    <m/>
    <m/>
  </r>
  <r>
    <s v="VIS202455"/>
    <d v="2025-01-11T00:00:00"/>
    <s v="PAT5999"/>
    <s v="Ishaan Nagar"/>
    <s v="Male"/>
    <n v="46"/>
    <s v="Noida"/>
    <s v="Uttar Pradesh"/>
    <x v="1"/>
    <s v="Dr. Anu"/>
    <s v="I10"/>
    <s v="Minor Procedure"/>
    <s v="OPD"/>
    <n v="2469.0300000000002"/>
    <s v="UPI"/>
    <s v="No"/>
    <m/>
    <m/>
    <s v="Middle-Aged"/>
    <s v="Low"/>
    <s v="Short Days"/>
    <m/>
    <m/>
    <m/>
    <m/>
    <m/>
    <m/>
  </r>
  <r>
    <s v="VIS202202"/>
    <d v="2024-08-18T00:00:00"/>
    <s v="PAT6567"/>
    <s v="Vishal Reddy"/>
    <s v="Female"/>
    <n v="35"/>
    <s v="Ahmedabad"/>
    <s v="Gujarat"/>
    <x v="1"/>
    <s v="Dr. Anu"/>
    <s v="J00"/>
    <s v="Prescription Refill"/>
    <s v="Emergency"/>
    <n v="11195.48"/>
    <s v="Insurance"/>
    <s v="Yes"/>
    <m/>
    <m/>
    <s v="Adult"/>
    <s v="High"/>
    <s v="Short Days"/>
    <m/>
    <m/>
    <m/>
    <m/>
    <m/>
    <m/>
  </r>
  <r>
    <s v="VIS201029"/>
    <d v="2024-05-11T00:00:00"/>
    <s v="PAT6854"/>
    <s v="Anil Jose"/>
    <s v="Male"/>
    <n v="51"/>
    <s v="Pune"/>
    <s v="Maharashtra"/>
    <x v="6"/>
    <s v="Dr. Priya"/>
    <s v="F41"/>
    <s v="Minor Procedure"/>
    <s v="Teleconsultation"/>
    <n v="8257.27"/>
    <s v="UPI"/>
    <s v="No"/>
    <m/>
    <n v="30"/>
    <s v="Middle-Aged"/>
    <s v="Medium"/>
    <s v="Short Days"/>
    <m/>
    <m/>
    <m/>
    <m/>
    <m/>
    <m/>
  </r>
  <r>
    <s v="VIS202326"/>
    <d v="2025-10-02T00:00:00"/>
    <s v="PAT6976"/>
    <s v="Shruti Mishra"/>
    <s v="Female"/>
    <n v="40"/>
    <s v="Bengaluru"/>
    <s v="Karnataka"/>
    <x v="6"/>
    <s v="Dr. Lalitha"/>
    <s v="N39"/>
    <s v="Counselling"/>
    <s v="OPD"/>
    <n v="3992.15"/>
    <s v="Insurance"/>
    <s v="Yes"/>
    <m/>
    <n v="14"/>
    <s v="Adult"/>
    <s v="Low"/>
    <s v="Short Days"/>
    <m/>
    <m/>
    <m/>
    <m/>
    <m/>
    <m/>
  </r>
  <r>
    <s v="VIS201339"/>
    <d v="2025-10-18T00:00:00"/>
    <s v="PAT6595"/>
    <s v="Neha Bose"/>
    <s v="Female"/>
    <n v="40"/>
    <s v="Noida"/>
    <s v="Uttar Pradesh"/>
    <x v="1"/>
    <s v="Dr. Suri"/>
    <s v="N39"/>
    <s v="Physiotherapy"/>
    <s v="OPD"/>
    <n v="4254.22"/>
    <s v="Cash"/>
    <s v="No"/>
    <m/>
    <n v="30"/>
    <s v="Adult"/>
    <s v="Low"/>
    <s v="Short Days"/>
    <m/>
    <m/>
    <m/>
    <m/>
    <m/>
    <m/>
  </r>
  <r>
    <s v="VIS200115"/>
    <d v="2024-03-13T00:00:00"/>
    <s v="PAT5429"/>
    <s v="Kavya Gupta"/>
    <s v="Female"/>
    <n v="46"/>
    <s v="Ahmedabad"/>
    <s v="Gujarat"/>
    <x v="6"/>
    <s v="Dr. Priya"/>
    <s v="K21"/>
    <s v="Minor Procedure"/>
    <s v="OPD"/>
    <n v="5458.06"/>
    <s v="Insurance"/>
    <s v="Yes"/>
    <m/>
    <n v="14"/>
    <s v="Middle-Aged"/>
    <s v="Medium"/>
    <s v="Short Days"/>
    <m/>
    <m/>
    <m/>
    <m/>
    <m/>
    <m/>
  </r>
  <r>
    <s v="VIS201232"/>
    <d v="2024-07-18T00:00:00"/>
    <s v="PAT6247"/>
    <s v="Aishwarya Jose"/>
    <s v="Female"/>
    <n v="34"/>
    <s v="Chennai"/>
    <s v="Tamil Nadu"/>
    <x v="9"/>
    <s v="Dr. Kusum"/>
    <s v="N39"/>
    <s v="Minor Surgery"/>
    <s v="Teleconsultation"/>
    <n v="5731.25"/>
    <s v="Cash"/>
    <s v="No"/>
    <m/>
    <n v="7"/>
    <s v="Adult"/>
    <s v="Medium"/>
    <s v="Short Days"/>
    <m/>
    <m/>
    <m/>
    <m/>
    <m/>
    <m/>
  </r>
  <r>
    <s v="VIS200596"/>
    <d v="2024-02-16T00:00:00"/>
    <s v="PAT5630"/>
    <s v="Deepa Mishra"/>
    <s v="Male"/>
    <n v="19"/>
    <s v="Noida"/>
    <s v="Uttar Pradesh"/>
    <x v="5"/>
    <s v="Dr. Ravi"/>
    <s v="J45"/>
    <s v="Counselling"/>
    <s v="OPD"/>
    <n v="10177.76"/>
    <s v="Cash"/>
    <s v="No"/>
    <m/>
    <m/>
    <s v="Adult"/>
    <s v="High"/>
    <s v="Short Days"/>
    <m/>
    <m/>
    <m/>
    <m/>
    <m/>
    <m/>
  </r>
  <r>
    <s v="VIS202023"/>
    <d v="2025-10-31T00:00:00"/>
    <s v="PAT5817"/>
    <s v="Rohan Khan"/>
    <s v="Male"/>
    <n v="33"/>
    <s v="Jaipur"/>
    <s v="Rajasthan"/>
    <x v="7"/>
    <s v="Dr. Surya"/>
    <s v="L40"/>
    <s v="Minor Surgery"/>
    <s v="IPD"/>
    <n v="6899.86"/>
    <s v="Cash"/>
    <s v="No"/>
    <n v="11"/>
    <m/>
    <s v="Adult"/>
    <s v="Medium"/>
    <s v="Long Days"/>
    <m/>
    <m/>
    <m/>
    <m/>
    <m/>
    <m/>
  </r>
  <r>
    <s v="VIS201929"/>
    <d v="2025-10-26T00:00:00"/>
    <s v="PAT6513"/>
    <s v="Arjun Gupta"/>
    <s v="Male"/>
    <n v="65"/>
    <s v="Lucknow"/>
    <s v="Uttar Pradesh"/>
    <x v="0"/>
    <s v="Dr. Nikhil"/>
    <s v="K21"/>
    <s v="Minor Procedure"/>
    <s v="OPD"/>
    <n v="4913.71"/>
    <s v="Cash"/>
    <s v="No"/>
    <m/>
    <n v="14"/>
    <s v="Senior"/>
    <s v="Low"/>
    <s v="Short Days"/>
    <m/>
    <m/>
    <m/>
    <m/>
    <m/>
    <m/>
  </r>
  <r>
    <s v="VIS201357"/>
    <d v="2025-01-02T00:00:00"/>
    <s v="PAT6372"/>
    <s v="Arjun Kumar"/>
    <s v="Male"/>
    <n v="20"/>
    <s v="Hyderabad"/>
    <s v="Telangana"/>
    <x v="6"/>
    <s v="Dr. Priya"/>
    <s v="N39"/>
    <s v="Minor Surgery"/>
    <s v="OPD"/>
    <n v="2200.48"/>
    <s v="Insurance"/>
    <s v="Yes"/>
    <m/>
    <n v="90"/>
    <s v="Adult"/>
    <s v="Low"/>
    <s v="Short Days"/>
    <m/>
    <m/>
    <m/>
    <m/>
    <m/>
    <m/>
  </r>
  <r>
    <s v="VIS200208"/>
    <d v="2024-02-20T00:00:00"/>
    <s v="PAT6710"/>
    <s v="Ishaan Jose"/>
    <s v="Male"/>
    <n v="42"/>
    <s v="Kochi"/>
    <s v="Kerala"/>
    <x v="1"/>
    <s v="Dr. Suri"/>
    <s v="H10"/>
    <s v="Physiotherapy"/>
    <s v="OPD"/>
    <n v="3907.31"/>
    <s v="Debit Card"/>
    <s v="No"/>
    <m/>
    <n v="7"/>
    <s v="Middle-Aged"/>
    <s v="Low"/>
    <s v="Short Days"/>
    <m/>
    <m/>
    <m/>
    <m/>
    <m/>
    <m/>
  </r>
  <r>
    <s v="VIS202766"/>
    <d v="2024-05-22T00:00:00"/>
    <s v="PAT5267"/>
    <s v="Ananya Singh"/>
    <s v="Male"/>
    <n v="53"/>
    <s v="Delhi"/>
    <s v="Delhi"/>
    <x v="8"/>
    <s v="Dr. Sneha"/>
    <s v="N39"/>
    <s v="Observation"/>
    <s v="IPD"/>
    <n v="21734.36"/>
    <s v="Credit Card"/>
    <s v="No"/>
    <n v="5"/>
    <n v="90"/>
    <s v="Middle-Aged"/>
    <s v="High"/>
    <s v="Short Days"/>
    <m/>
    <m/>
    <m/>
    <m/>
    <m/>
    <m/>
  </r>
  <r>
    <s v="VIS202633"/>
    <d v="2024-03-28T00:00:00"/>
    <s v="PAT5505"/>
    <s v="Shruti Iyer"/>
    <s v="Male"/>
    <n v="61"/>
    <s v="Delhi"/>
    <s v="Delhi"/>
    <x v="5"/>
    <s v="Dr. Karthik"/>
    <s v="H10"/>
    <s v="Minor Procedure"/>
    <s v="IPD"/>
    <n v="11533.49"/>
    <s v="Insurance"/>
    <s v="Yes"/>
    <n v="8"/>
    <n v="90"/>
    <s v="Senior"/>
    <s v="High"/>
    <s v="Long Days"/>
    <m/>
    <m/>
    <m/>
    <m/>
    <m/>
    <m/>
  </r>
  <r>
    <s v="VIS201032"/>
    <d v="2025-02-02T00:00:00"/>
    <s v="PAT6298"/>
    <s v="Anil Reddy"/>
    <s v="Female"/>
    <n v="70"/>
    <s v="Bengaluru"/>
    <s v="Karnataka"/>
    <x v="5"/>
    <s v="Dr. Meena"/>
    <s v="N39"/>
    <s v="Prescription Refill"/>
    <s v="Teleconsultation"/>
    <n v="10842"/>
    <s v="Credit Card"/>
    <s v="No"/>
    <m/>
    <n v="7"/>
    <s v="Senior"/>
    <s v="High"/>
    <s v="Short Days"/>
    <m/>
    <m/>
    <m/>
    <m/>
    <m/>
    <m/>
  </r>
  <r>
    <s v="VIS201246"/>
    <d v="2024-02-28T00:00:00"/>
    <s v="PAT6173"/>
    <s v="Sangeetha Singh"/>
    <s v="Female"/>
    <n v="37"/>
    <s v="Kochi"/>
    <s v="Kerala"/>
    <x v="8"/>
    <s v="Dr. Sneha"/>
    <s v="F41"/>
    <s v="Physiotherapy"/>
    <s v="Emergency"/>
    <n v="8656.32"/>
    <s v="Debit Card"/>
    <s v="No"/>
    <m/>
    <n v="30"/>
    <s v="Adult"/>
    <s v="Medium"/>
    <s v="Short Days"/>
    <m/>
    <m/>
    <m/>
    <m/>
    <m/>
    <m/>
  </r>
  <r>
    <s v="VIS200468"/>
    <d v="2025-08-10T00:00:00"/>
    <s v="PAT5377"/>
    <s v="Rohan Khan"/>
    <s v="Female"/>
    <n v="41"/>
    <s v="Coimbatore"/>
    <s v="Tamil Nadu"/>
    <x v="3"/>
    <s v="Dr. Anand"/>
    <s v="H10"/>
    <s v="Medication"/>
    <s v="OPD"/>
    <n v="1262.54"/>
    <s v="Debit Card"/>
    <s v="No"/>
    <m/>
    <n v="7"/>
    <s v="Middle-Aged"/>
    <s v="Low"/>
    <s v="Short Days"/>
    <m/>
    <m/>
    <m/>
    <m/>
    <m/>
    <m/>
  </r>
  <r>
    <s v="VIS200539"/>
    <d v="2025-05-11T00:00:00"/>
    <s v="PAT6504"/>
    <s v="Vivaan Sharma"/>
    <s v="Male"/>
    <n v="36"/>
    <s v="Coimbatore"/>
    <s v="Tamil Nadu"/>
    <x v="4"/>
    <s v="Dr. Bhavana"/>
    <s v="L40"/>
    <s v="Minor Procedure"/>
    <s v="OPD"/>
    <n v="240.35"/>
    <s v="Cash"/>
    <s v="No"/>
    <m/>
    <n v="30"/>
    <s v="Adult"/>
    <s v="Low"/>
    <s v="Short Days"/>
    <m/>
    <m/>
    <m/>
    <m/>
    <m/>
    <m/>
  </r>
  <r>
    <s v="VIS201539"/>
    <d v="2024-12-18T00:00:00"/>
    <s v="PAT6853"/>
    <s v="Sangeetha Jose"/>
    <s v="Male"/>
    <n v="16"/>
    <s v="Delhi"/>
    <s v="Delhi"/>
    <x v="3"/>
    <s v="Dr. Pallavi"/>
    <s v="J00"/>
    <s v="Minor Surgery"/>
    <s v="OPD"/>
    <n v="968.47"/>
    <s v="Insurance"/>
    <s v="Yes"/>
    <m/>
    <n v="14"/>
    <s v="Child"/>
    <s v="Low"/>
    <s v="Short Days"/>
    <m/>
    <m/>
    <m/>
    <m/>
    <m/>
    <m/>
  </r>
  <r>
    <s v="VIS200835"/>
    <d v="2024-04-19T00:00:00"/>
    <s v="PAT5442"/>
    <s v="Neha Khan"/>
    <s v="Other"/>
    <n v="31"/>
    <s v="Pune"/>
    <s v="Maharashtra"/>
    <x v="4"/>
    <s v="Dr. Bhavana"/>
    <s v="L40"/>
    <s v="Minor Surgery"/>
    <s v="OPD"/>
    <n v="1501.42"/>
    <s v="UPI"/>
    <s v="No"/>
    <m/>
    <m/>
    <s v="Adult"/>
    <s v="Low"/>
    <s v="Short Days"/>
    <m/>
    <m/>
    <m/>
    <m/>
    <m/>
    <m/>
  </r>
  <r>
    <s v="VIS202576"/>
    <d v="2024-06-27T00:00:00"/>
    <s v="PAT5727"/>
    <s v="Aarav Nagar"/>
    <s v="Male"/>
    <n v="34"/>
    <s v="Coimbatore"/>
    <s v="Tamil Nadu"/>
    <x v="7"/>
    <s v="Dr. Surya"/>
    <s v="I10"/>
    <s v="Medication"/>
    <s v="OPD"/>
    <n v="65.89"/>
    <s v="Insurance"/>
    <s v="Yes"/>
    <m/>
    <n v="14"/>
    <s v="Adult"/>
    <s v="Low"/>
    <s v="Short Days"/>
    <m/>
    <m/>
    <m/>
    <m/>
    <m/>
    <m/>
  </r>
  <r>
    <s v="VIS201940"/>
    <d v="2025-09-21T00:00:00"/>
    <s v="PAT5161"/>
    <s v="Aditya Iyer"/>
    <s v="Male"/>
    <n v="46"/>
    <s v="Ahmedabad"/>
    <s v="Gujarat"/>
    <x v="1"/>
    <s v="Dr. Suri"/>
    <s v="J00"/>
    <s v="Minor Surgery"/>
    <s v="OPD"/>
    <n v="9506.09"/>
    <s v="Net Banking"/>
    <s v="No"/>
    <m/>
    <n v="90"/>
    <s v="Middle-Aged"/>
    <s v="Medium"/>
    <s v="Short Days"/>
    <m/>
    <m/>
    <m/>
    <m/>
    <m/>
    <m/>
  </r>
  <r>
    <s v="VIS200239"/>
    <d v="2024-03-23T00:00:00"/>
    <s v="PAT6030"/>
    <s v="Ishaan Iyer"/>
    <s v="Other"/>
    <n v="41"/>
    <s v="Pune"/>
    <s v="Maharashtra"/>
    <x v="1"/>
    <s v="Dr. Anu"/>
    <s v="E11"/>
    <s v="Prescription Refill"/>
    <s v="OPD"/>
    <n v="2532.2800000000002"/>
    <s v="Credit Card"/>
    <s v="No"/>
    <m/>
    <m/>
    <s v="Middle-Aged"/>
    <s v="Low"/>
    <s v="Short Days"/>
    <m/>
    <m/>
    <m/>
    <m/>
    <m/>
    <m/>
  </r>
  <r>
    <s v="VIS201577"/>
    <d v="2024-11-22T00:00:00"/>
    <s v="PAT5404"/>
    <s v="Deepa Patel"/>
    <s v="Female"/>
    <n v="41"/>
    <s v="Lucknow"/>
    <s v="Uttar Pradesh"/>
    <x v="0"/>
    <s v="Dr. Nikhil"/>
    <s v="M54"/>
    <s v="Physiotherapy"/>
    <s v="Teleconsultation"/>
    <n v="9331.94"/>
    <s v="Cash"/>
    <s v="No"/>
    <m/>
    <n v="30"/>
    <s v="Middle-Aged"/>
    <s v="Medium"/>
    <s v="Short Days"/>
    <m/>
    <m/>
    <m/>
    <m/>
    <m/>
    <m/>
  </r>
  <r>
    <s v="VIS200688"/>
    <d v="2024-01-20T00:00:00"/>
    <s v="PAT6449"/>
    <s v="Rohan Gupta"/>
    <s v="Female"/>
    <n v="30"/>
    <s v="Kochi"/>
    <s v="Kerala"/>
    <x v="6"/>
    <s v="Dr. Priya"/>
    <s v="J00"/>
    <s v="Counselling"/>
    <s v="Emergency"/>
    <n v="6406.86"/>
    <s v="Cash"/>
    <s v="No"/>
    <m/>
    <m/>
    <s v="Adult"/>
    <s v="Medium"/>
    <s v="Short Days"/>
    <m/>
    <m/>
    <m/>
    <m/>
    <m/>
    <m/>
  </r>
  <r>
    <s v="VIS200241"/>
    <d v="2024-07-24T00:00:00"/>
    <s v="PAT6993"/>
    <s v="Deepa Nair"/>
    <s v="Male"/>
    <n v="64"/>
    <s v="Kolkata"/>
    <s v="West Bengal"/>
    <x v="4"/>
    <s v="Dr. Varun"/>
    <s v="F41"/>
    <s v="Prescription Refill"/>
    <s v="OPD"/>
    <n v="1038.54"/>
    <s v="Net Banking"/>
    <s v="No"/>
    <m/>
    <n v="30"/>
    <s v="Senior"/>
    <s v="Low"/>
    <s v="Short Days"/>
    <m/>
    <m/>
    <m/>
    <m/>
    <m/>
    <m/>
  </r>
  <r>
    <s v="VIS202505"/>
    <d v="2025-04-13T00:00:00"/>
    <s v="PAT5813"/>
    <s v="Manisha Iyer"/>
    <s v="Female"/>
    <n v="11"/>
    <s v="Pune"/>
    <s v="Maharashtra"/>
    <x v="8"/>
    <s v="Dr. Sneha"/>
    <s v="M54"/>
    <s v="Minor Procedure"/>
    <s v="OPD"/>
    <n v="2805.92"/>
    <s v="Debit Card"/>
    <s v="No"/>
    <m/>
    <n v="90"/>
    <s v="Child"/>
    <s v="Low"/>
    <s v="Short Days"/>
    <m/>
    <m/>
    <m/>
    <m/>
    <m/>
    <m/>
  </r>
  <r>
    <s v="VIS202467"/>
    <d v="2024-03-03T00:00:00"/>
    <s v="PAT5206"/>
    <s v="Siddharth Patel"/>
    <s v="Female"/>
    <n v="8"/>
    <s v="Coimbatore"/>
    <s v="Tamil Nadu"/>
    <x v="4"/>
    <s v="Dr. Varun"/>
    <s v="K21"/>
    <s v="Minor Procedure"/>
    <s v="OPD"/>
    <n v="1992.81"/>
    <s v="Insurance"/>
    <s v="Yes"/>
    <m/>
    <n v="7"/>
    <s v="Child"/>
    <s v="Low"/>
    <s v="Short Days"/>
    <m/>
    <m/>
    <m/>
    <m/>
    <m/>
    <m/>
  </r>
  <r>
    <s v="VIS200263"/>
    <d v="2024-06-21T00:00:00"/>
    <s v="PAT5909"/>
    <s v="Ishaan Iyer"/>
    <s v="Male"/>
    <n v="51"/>
    <s v="Noida"/>
    <s v="Uttar Pradesh"/>
    <x v="2"/>
    <s v="Dr. Manoj"/>
    <s v="F41"/>
    <s v="Prescription Refill"/>
    <s v="OPD"/>
    <n v="2344.75"/>
    <s v="Insurance"/>
    <s v="Yes"/>
    <m/>
    <n v="30"/>
    <s v="Middle-Aged"/>
    <s v="Low"/>
    <s v="Short Days"/>
    <m/>
    <m/>
    <m/>
    <m/>
    <m/>
    <m/>
  </r>
  <r>
    <s v="VIS201938"/>
    <d v="2024-09-18T00:00:00"/>
    <s v="PAT6782"/>
    <s v="Kavya Khan"/>
    <s v="Male"/>
    <n v="35"/>
    <s v="Kolkata"/>
    <s v="West Bengal"/>
    <x v="0"/>
    <s v="Dr. Shailesh"/>
    <s v="E11"/>
    <s v="Surgery"/>
    <s v="OPD"/>
    <n v="4703.68"/>
    <s v="Credit Card"/>
    <s v="No"/>
    <m/>
    <m/>
    <s v="Adult"/>
    <s v="Low"/>
    <s v="Short Days"/>
    <m/>
    <m/>
    <m/>
    <m/>
    <m/>
    <m/>
  </r>
  <r>
    <s v="VIS201961"/>
    <d v="2024-07-06T00:00:00"/>
    <s v="PAT5648"/>
    <s v="Rohan Singh"/>
    <s v="Male"/>
    <n v="9"/>
    <s v="Bengaluru"/>
    <s v="Karnataka"/>
    <x v="9"/>
    <s v="Dr. Arvind"/>
    <s v="H10"/>
    <s v="Medication"/>
    <s v="OPD"/>
    <n v="1270.6099999999999"/>
    <s v="Credit Card"/>
    <s v="No"/>
    <m/>
    <n v="14"/>
    <s v="Child"/>
    <s v="Low"/>
    <s v="Short Days"/>
    <m/>
    <m/>
    <m/>
    <m/>
    <m/>
    <m/>
  </r>
  <r>
    <s v="VIS202478"/>
    <d v="2024-04-07T00:00:00"/>
    <s v="PAT6021"/>
    <s v="Deepa Reddy"/>
    <s v="Female"/>
    <n v="61"/>
    <s v="Lucknow"/>
    <s v="Uttar Pradesh"/>
    <x v="3"/>
    <s v="Dr. Anand"/>
    <s v="M54"/>
    <s v="Prescription Refill"/>
    <s v="OPD"/>
    <n v="2756.81"/>
    <s v="Cash"/>
    <s v="No"/>
    <m/>
    <n v="90"/>
    <s v="Senior"/>
    <s v="Low"/>
    <s v="Short Days"/>
    <m/>
    <m/>
    <m/>
    <m/>
    <m/>
    <m/>
  </r>
  <r>
    <s v="VIS202250"/>
    <d v="2024-01-06T00:00:00"/>
    <s v="PAT5340"/>
    <s v="Aditya Nair"/>
    <s v="Female"/>
    <n v="51"/>
    <s v="Coimbatore"/>
    <s v="Tamil Nadu"/>
    <x v="7"/>
    <s v="Dr. Leela"/>
    <s v="K21"/>
    <s v="Minor Surgery"/>
    <s v="IPD"/>
    <n v="7509.84"/>
    <s v="UPI"/>
    <s v="No"/>
    <n v="6"/>
    <n v="30"/>
    <s v="Middle-Aged"/>
    <s v="Medium"/>
    <s v="Long Days"/>
    <m/>
    <m/>
    <m/>
    <m/>
    <m/>
    <m/>
  </r>
  <r>
    <s v="VIS202231"/>
    <d v="2025-05-07T00:00:00"/>
    <s v="PAT5325"/>
    <s v="Aarav Iyer"/>
    <s v="Male"/>
    <n v="46"/>
    <s v="Lucknow"/>
    <s v="Uttar Pradesh"/>
    <x v="1"/>
    <s v="Dr. Suri"/>
    <s v="H10"/>
    <s v="Medication"/>
    <s v="OPD"/>
    <n v="2128.52"/>
    <s v="Insurance"/>
    <s v="Yes"/>
    <m/>
    <n v="90"/>
    <s v="Middle-Aged"/>
    <s v="Low"/>
    <s v="Short Days"/>
    <m/>
    <m/>
    <m/>
    <m/>
    <m/>
    <m/>
  </r>
  <r>
    <s v="VIS201344"/>
    <d v="2024-04-24T00:00:00"/>
    <s v="PAT5311"/>
    <s v="Aishwarya Sharma"/>
    <s v="Female"/>
    <n v="19"/>
    <s v="Lucknow"/>
    <s v="Uttar Pradesh"/>
    <x v="6"/>
    <s v="Dr. Lalitha"/>
    <s v="F41"/>
    <s v="Prescription Refill"/>
    <s v="OPD"/>
    <n v="6524.96"/>
    <s v="Cash"/>
    <s v="No"/>
    <m/>
    <n v="14"/>
    <s v="Adult"/>
    <s v="Medium"/>
    <s v="Short Days"/>
    <m/>
    <m/>
    <m/>
    <m/>
    <m/>
    <m/>
  </r>
  <r>
    <s v="VIS200177"/>
    <d v="2024-08-20T00:00:00"/>
    <s v="PAT5582"/>
    <s v="Arjun Iyer"/>
    <s v="Female"/>
    <n v="42"/>
    <s v="Chennai"/>
    <s v="Tamil Nadu"/>
    <x v="8"/>
    <s v="Dr. Kavitha"/>
    <s v="N39"/>
    <s v="Minor Procedure"/>
    <s v="OPD"/>
    <n v="1376.21"/>
    <s v="Insurance"/>
    <s v="Yes"/>
    <m/>
    <m/>
    <s v="Middle-Aged"/>
    <s v="Low"/>
    <s v="Short Days"/>
    <m/>
    <m/>
    <m/>
    <m/>
    <m/>
    <m/>
  </r>
  <r>
    <s v="VIS200936"/>
    <d v="2025-03-13T00:00:00"/>
    <s v="PAT6622"/>
    <s v="Vishal Nair"/>
    <s v="Male"/>
    <n v="24"/>
    <s v="Madurai"/>
    <s v="Tamil Nadu"/>
    <x v="6"/>
    <s v="Dr. Lalitha"/>
    <s v="M54"/>
    <s v="Surgery"/>
    <s v="OPD"/>
    <n v="6939.19"/>
    <s v="Debit Card"/>
    <s v="No"/>
    <m/>
    <m/>
    <s v="Adult"/>
    <s v="Medium"/>
    <s v="Short Days"/>
    <m/>
    <m/>
    <m/>
    <m/>
    <m/>
    <m/>
  </r>
  <r>
    <s v="VIS200306"/>
    <d v="2025-09-08T00:00:00"/>
    <s v="PAT6725"/>
    <s v="Vivaan Kumar"/>
    <s v="Female"/>
    <n v="51"/>
    <s v="Noida"/>
    <s v="Uttar Pradesh"/>
    <x v="0"/>
    <s v="Dr. Nikhil"/>
    <s v="K21"/>
    <s v="Counselling"/>
    <s v="Emergency"/>
    <n v="8328.75"/>
    <s v="Insurance"/>
    <s v="Yes"/>
    <m/>
    <m/>
    <s v="Middle-Aged"/>
    <s v="Medium"/>
    <s v="Short Days"/>
    <m/>
    <m/>
    <m/>
    <m/>
    <m/>
    <m/>
  </r>
  <r>
    <s v="VIS201012"/>
    <d v="2024-08-15T00:00:00"/>
    <s v="PAT6786"/>
    <s v="Aishwarya Nagar"/>
    <s v="Female"/>
    <n v="58"/>
    <s v="Pune"/>
    <s v="Maharashtra"/>
    <x v="3"/>
    <s v="Dr. Pallavi"/>
    <s v="K21"/>
    <s v="Prescription Refill"/>
    <s v="Teleconsultation"/>
    <n v="8650.99"/>
    <s v="Cash"/>
    <s v="No"/>
    <m/>
    <n v="30"/>
    <s v="Middle-Aged"/>
    <s v="Medium"/>
    <s v="Short Days"/>
    <m/>
    <m/>
    <m/>
    <m/>
    <m/>
    <m/>
  </r>
  <r>
    <s v="VIS201225"/>
    <d v="2024-10-03T00:00:00"/>
    <s v="PAT6001"/>
    <s v="Kavya Iyer"/>
    <s v="Male"/>
    <n v="32"/>
    <s v="Coimbatore"/>
    <s v="Tamil Nadu"/>
    <x v="5"/>
    <s v="Dr. Karthik"/>
    <s v="F41"/>
    <s v="Minor Surgery"/>
    <s v="OPD"/>
    <n v="2890.02"/>
    <s v="Cash"/>
    <s v="No"/>
    <m/>
    <n v="90"/>
    <s v="Adult"/>
    <s v="Low"/>
    <s v="Short Days"/>
    <m/>
    <m/>
    <m/>
    <m/>
    <m/>
    <m/>
  </r>
  <r>
    <s v="VIS200082"/>
    <d v="2025-04-03T00:00:00"/>
    <s v="PAT5793"/>
    <s v="Aditya Iyer"/>
    <s v="Male"/>
    <n v="65"/>
    <s v="Trichy"/>
    <s v="Tamil Nadu"/>
    <x v="9"/>
    <s v="Dr. Arvind"/>
    <s v="L40"/>
    <s v="Minor Procedure"/>
    <s v="Teleconsultation"/>
    <n v="7651.48"/>
    <s v="Credit Card"/>
    <s v="No"/>
    <m/>
    <n v="14"/>
    <s v="Senior"/>
    <s v="Medium"/>
    <s v="Short Days"/>
    <m/>
    <m/>
    <m/>
    <m/>
    <m/>
    <m/>
  </r>
  <r>
    <s v="VIS202206"/>
    <d v="2025-10-15T00:00:00"/>
    <s v="PAT6906"/>
    <s v="Deepa Nagar"/>
    <s v="Male"/>
    <n v="54"/>
    <s v="Kolkata"/>
    <s v="West Bengal"/>
    <x v="6"/>
    <s v="Dr. Priya"/>
    <s v="L40"/>
    <s v="Observation"/>
    <s v="OPD"/>
    <n v="6903.08"/>
    <s v="Insurance"/>
    <s v="Yes"/>
    <m/>
    <m/>
    <s v="Middle-Aged"/>
    <s v="Medium"/>
    <s v="Short Days"/>
    <m/>
    <m/>
    <m/>
    <m/>
    <m/>
    <m/>
  </r>
  <r>
    <s v="VIS200085"/>
    <d v="2024-12-10T00:00:00"/>
    <s v="PAT5930"/>
    <s v="Vivaan Reddy"/>
    <s v="Male"/>
    <n v="24"/>
    <s v="Hyderabad"/>
    <s v="Telangana"/>
    <x v="6"/>
    <s v="Dr. Priya"/>
    <s v="L40"/>
    <s v="Minor Procedure"/>
    <s v="IPD"/>
    <n v="6881.98"/>
    <s v="Credit Card"/>
    <s v="No"/>
    <n v="3"/>
    <n v="14"/>
    <s v="Adult"/>
    <s v="Medium"/>
    <s v="Short Days"/>
    <m/>
    <m/>
    <m/>
    <m/>
    <m/>
    <m/>
  </r>
  <r>
    <s v="VIS201727"/>
    <d v="2025-04-18T00:00:00"/>
    <s v="PAT5411"/>
    <s v="Priya Bose"/>
    <s v="Female"/>
    <n v="35"/>
    <s v="Coimbatore"/>
    <s v="Tamil Nadu"/>
    <x v="1"/>
    <s v="Dr. Suri"/>
    <s v="K21"/>
    <s v="Physiotherapy"/>
    <s v="OPD"/>
    <n v="3155.55"/>
    <s v="Debit Card"/>
    <s v="No"/>
    <m/>
    <n v="30"/>
    <s v="Adult"/>
    <s v="Low"/>
    <s v="Short Days"/>
    <m/>
    <m/>
    <m/>
    <m/>
    <m/>
    <m/>
  </r>
  <r>
    <s v="VIS200153"/>
    <d v="2025-03-07T00:00:00"/>
    <s v="PAT5326"/>
    <s v="Rohan Patel"/>
    <s v="Male"/>
    <n v="73"/>
    <s v="Noida"/>
    <s v="Uttar Pradesh"/>
    <x v="2"/>
    <s v="Dr. Manoj"/>
    <s v="F41"/>
    <s v="Observation"/>
    <s v="OPD"/>
    <n v="235"/>
    <s v="Net Banking"/>
    <s v="No"/>
    <m/>
    <m/>
    <s v="Senior"/>
    <s v="Low"/>
    <s v="Short Days"/>
    <m/>
    <m/>
    <m/>
    <m/>
    <m/>
    <m/>
  </r>
  <r>
    <s v="VIS201178"/>
    <d v="2024-01-03T00:00:00"/>
    <s v="PAT5164"/>
    <s v="Vishal Nair"/>
    <s v="Female"/>
    <n v="37"/>
    <s v="Trichy"/>
    <s v="Tamil Nadu"/>
    <x v="7"/>
    <s v="Dr. Surya"/>
    <s v="I10"/>
    <s v="Minor Surgery"/>
    <s v="OPD"/>
    <n v="3399.6"/>
    <s v="UPI"/>
    <s v="No"/>
    <m/>
    <n v="7"/>
    <s v="Adult"/>
    <s v="Low"/>
    <s v="Short Days"/>
    <m/>
    <m/>
    <m/>
    <m/>
    <m/>
    <m/>
  </r>
  <r>
    <s v="VIS201429"/>
    <d v="2025-09-11T00:00:00"/>
    <s v="PAT6356"/>
    <s v="Arjun Khan"/>
    <s v="Female"/>
    <n v="44"/>
    <s v="Lucknow"/>
    <s v="Uttar Pradesh"/>
    <x v="7"/>
    <s v="Dr. Surya"/>
    <s v="L40"/>
    <s v="Surgery"/>
    <s v="Teleconsultation"/>
    <n v="13307.26"/>
    <s v="Cash"/>
    <s v="No"/>
    <m/>
    <n v="14"/>
    <s v="Middle-Aged"/>
    <s v="High"/>
    <s v="Short Days"/>
    <m/>
    <m/>
    <m/>
    <m/>
    <m/>
    <m/>
  </r>
  <r>
    <s v="VIS201933"/>
    <d v="2025-01-08T00:00:00"/>
    <s v="PAT6369"/>
    <s v="Vivaan Das"/>
    <s v="Female"/>
    <n v="65"/>
    <s v="Delhi"/>
    <s v="Delhi"/>
    <x v="3"/>
    <s v="Dr. Anand"/>
    <s v="F41"/>
    <s v="Medication"/>
    <s v="OPD"/>
    <n v="1524.73"/>
    <s v="Cash"/>
    <s v="No"/>
    <m/>
    <n v="90"/>
    <s v="Senior"/>
    <s v="Low"/>
    <s v="Short Days"/>
    <m/>
    <m/>
    <m/>
    <m/>
    <m/>
    <m/>
  </r>
  <r>
    <s v="VIS202681"/>
    <d v="2024-12-31T00:00:00"/>
    <s v="PAT5062"/>
    <s v="Siddharth Kumar"/>
    <s v="Female"/>
    <n v="38"/>
    <s v="Kolkata"/>
    <s v="West Bengal"/>
    <x v="0"/>
    <s v="Dr. Nikhil"/>
    <s v="M54"/>
    <s v="Medication"/>
    <s v="OPD"/>
    <n v="288.14"/>
    <s v="Debit Card"/>
    <s v="No"/>
    <m/>
    <n v="7"/>
    <s v="Adult"/>
    <s v="Low"/>
    <s v="Short Days"/>
    <m/>
    <m/>
    <m/>
    <m/>
    <m/>
    <m/>
  </r>
  <r>
    <s v="VIS202173"/>
    <d v="2024-04-21T00:00:00"/>
    <s v="PAT5120"/>
    <s v="Rahul Kumar"/>
    <s v="Male"/>
    <n v="44"/>
    <s v="Chennai"/>
    <s v="Tamil Nadu"/>
    <x v="9"/>
    <s v="Dr. Arvind"/>
    <s v="N39"/>
    <s v="Observation"/>
    <s v="Emergency"/>
    <n v="7098.7"/>
    <s v="Cash"/>
    <s v="No"/>
    <m/>
    <n v="90"/>
    <s v="Middle-Aged"/>
    <s v="Medium"/>
    <s v="Short Days"/>
    <m/>
    <m/>
    <m/>
    <m/>
    <m/>
    <m/>
  </r>
  <r>
    <s v="VIS200522"/>
    <d v="2024-01-05T00:00:00"/>
    <s v="PAT5057"/>
    <s v="Ananya Khan"/>
    <s v="Female"/>
    <n v="75"/>
    <s v="Jaipur"/>
    <s v="Rajasthan"/>
    <x v="4"/>
    <s v="Dr. Bhavana"/>
    <s v="H10"/>
    <s v="Minor Procedure"/>
    <s v="Teleconsultation"/>
    <n v="5573.34"/>
    <s v="UPI"/>
    <s v="No"/>
    <m/>
    <n v="7"/>
    <s v="Senior"/>
    <s v="Medium"/>
    <s v="Short Days"/>
    <m/>
    <m/>
    <m/>
    <m/>
    <m/>
    <m/>
  </r>
  <r>
    <s v="VIS201441"/>
    <d v="2025-07-07T00:00:00"/>
    <s v="PAT5071"/>
    <s v="Siddharth Das"/>
    <s v="Male"/>
    <n v="25"/>
    <s v="Jaipur"/>
    <s v="Rajasthan"/>
    <x v="2"/>
    <s v="Dr. Ramesh"/>
    <s v="J45"/>
    <s v="Minor Procedure"/>
    <s v="OPD"/>
    <n v="56.24"/>
    <s v="UPI"/>
    <s v="No"/>
    <m/>
    <n v="14"/>
    <s v="Adult"/>
    <s v="Low"/>
    <s v="Short Days"/>
    <m/>
    <m/>
    <m/>
    <m/>
    <m/>
    <m/>
  </r>
  <r>
    <s v="VIS201749"/>
    <d v="2024-03-08T00:00:00"/>
    <s v="PAT5256"/>
    <s v="Kavya Iyer"/>
    <s v="Male"/>
    <n v="62"/>
    <s v="Bengaluru"/>
    <s v="Karnataka"/>
    <x v="0"/>
    <s v="Dr. Nikhil"/>
    <s v="E11"/>
    <s v="Surgery"/>
    <s v="OPD"/>
    <n v="8476.51"/>
    <s v="Insurance"/>
    <s v="Yes"/>
    <m/>
    <n v="7"/>
    <s v="Senior"/>
    <s v="Medium"/>
    <s v="Short Days"/>
    <m/>
    <m/>
    <m/>
    <m/>
    <m/>
    <m/>
  </r>
  <r>
    <s v="VIS201405"/>
    <d v="2024-08-26T00:00:00"/>
    <s v="PAT6182"/>
    <s v="Siddharth Reddy"/>
    <s v="Male"/>
    <n v="78"/>
    <s v="Pune"/>
    <s v="Maharashtra"/>
    <x v="9"/>
    <s v="Dr. Kusum"/>
    <s v="M54"/>
    <s v="Prescription Refill"/>
    <s v="Teleconsultation"/>
    <n v="5180.17"/>
    <s v="Credit Card"/>
    <s v="No"/>
    <m/>
    <m/>
    <s v="Senior"/>
    <s v="Medium"/>
    <s v="Short Days"/>
    <m/>
    <m/>
    <m/>
    <m/>
    <m/>
    <m/>
  </r>
  <r>
    <s v="VIS200823"/>
    <d v="2024-02-02T00:00:00"/>
    <s v="PAT5996"/>
    <s v="Rahul Nagar"/>
    <s v="Female"/>
    <n v="91"/>
    <s v="Trichy"/>
    <s v="Tamil Nadu"/>
    <x v="0"/>
    <s v="Dr. Shailesh"/>
    <s v="K21"/>
    <s v="Minor Procedure"/>
    <s v="OPD"/>
    <n v="11645.64"/>
    <s v="Cash"/>
    <s v="No"/>
    <m/>
    <m/>
    <s v="Senior"/>
    <s v="High"/>
    <s v="Short Days"/>
    <m/>
    <m/>
    <m/>
    <m/>
    <m/>
    <m/>
  </r>
  <r>
    <s v="VIS202043"/>
    <d v="2024-08-20T00:00:00"/>
    <s v="PAT6788"/>
    <s v="Vivaan Reddy"/>
    <s v="Female"/>
    <n v="53"/>
    <s v="Kolkata"/>
    <s v="West Bengal"/>
    <x v="1"/>
    <s v="Dr. Suri"/>
    <s v="K21"/>
    <s v="Medication"/>
    <s v="OPD"/>
    <n v="8357.8700000000008"/>
    <s v="UPI"/>
    <s v="No"/>
    <m/>
    <n v="90"/>
    <s v="Middle-Aged"/>
    <s v="Medium"/>
    <s v="Short Days"/>
    <m/>
    <m/>
    <m/>
    <m/>
    <m/>
    <m/>
  </r>
  <r>
    <s v="VIS200619"/>
    <d v="2024-12-14T00:00:00"/>
    <s v="PAT6335"/>
    <s v="Anil Gupta"/>
    <s v="Male"/>
    <n v="52"/>
    <s v="Madurai"/>
    <s v="Tamil Nadu"/>
    <x v="4"/>
    <s v="Dr. Varun"/>
    <s v="E11"/>
    <s v="Counselling"/>
    <s v="OPD"/>
    <n v="6822.4"/>
    <s v="Net Banking"/>
    <s v="No"/>
    <m/>
    <n v="7"/>
    <s v="Middle-Aged"/>
    <s v="Medium"/>
    <s v="Short Days"/>
    <m/>
    <m/>
    <m/>
    <m/>
    <m/>
    <m/>
  </r>
  <r>
    <s v="VIS201007"/>
    <d v="2024-10-29T00:00:00"/>
    <s v="PAT6875"/>
    <s v="Aarav Iyer"/>
    <s v="Male"/>
    <n v="32"/>
    <s v="Jaipur"/>
    <s v="Rajasthan"/>
    <x v="6"/>
    <s v="Dr. Lalitha"/>
    <s v="M54"/>
    <s v="Counselling"/>
    <s v="IPD"/>
    <n v="9035.7099999999991"/>
    <s v="UPI"/>
    <s v="No"/>
    <n v="6"/>
    <n v="30"/>
    <s v="Adult"/>
    <s v="Medium"/>
    <s v="Long Days"/>
    <m/>
    <m/>
    <m/>
    <m/>
    <m/>
    <m/>
  </r>
  <r>
    <s v="VIS200710"/>
    <d v="2024-01-20T00:00:00"/>
    <s v="PAT5517"/>
    <s v="Ishaan Iyer"/>
    <s v="Male"/>
    <n v="20"/>
    <s v="Noida"/>
    <s v="Uttar Pradesh"/>
    <x v="9"/>
    <s v="Dr. Arvind"/>
    <s v="F41"/>
    <s v="Prescription Refill"/>
    <s v="Teleconsultation"/>
    <n v="7554.15"/>
    <s v="UPI"/>
    <s v="No"/>
    <m/>
    <n v="90"/>
    <s v="Adult"/>
    <s v="Medium"/>
    <s v="Short Days"/>
    <m/>
    <m/>
    <m/>
    <m/>
    <m/>
    <m/>
  </r>
  <r>
    <s v="VIS201817"/>
    <d v="2025-05-28T00:00:00"/>
    <s v="PAT5989"/>
    <s v="Anil Nair"/>
    <s v="Male"/>
    <n v="39"/>
    <s v="Ahmedabad"/>
    <s v="Gujarat"/>
    <x v="3"/>
    <s v="Dr. Anand"/>
    <s v="F41"/>
    <s v="Observation"/>
    <s v="OPD"/>
    <n v="2700.31"/>
    <s v="Credit Card"/>
    <s v="No"/>
    <m/>
    <n v="7"/>
    <s v="Adult"/>
    <s v="Low"/>
    <s v="Short Days"/>
    <m/>
    <m/>
    <m/>
    <m/>
    <m/>
    <m/>
  </r>
  <r>
    <s v="VIS200738"/>
    <d v="2025-06-12T00:00:00"/>
    <s v="PAT5309"/>
    <s v="Priya Kumar"/>
    <s v="Male"/>
    <n v="14"/>
    <s v="Pune"/>
    <s v="Maharashtra"/>
    <x v="7"/>
    <s v="Dr. Surya"/>
    <s v="N39"/>
    <s v="Minor Procedure"/>
    <s v="Teleconsultation"/>
    <n v="11201.08"/>
    <s v="Cash"/>
    <s v="No"/>
    <m/>
    <n v="7"/>
    <s v="Child"/>
    <s v="High"/>
    <s v="Short Days"/>
    <m/>
    <m/>
    <m/>
    <m/>
    <m/>
    <m/>
  </r>
  <r>
    <s v="VIS201501"/>
    <d v="2024-03-29T00:00:00"/>
    <s v="PAT5914"/>
    <s v="Priya Sharma"/>
    <s v="Female"/>
    <n v="68"/>
    <s v="Kochi"/>
    <s v="Kerala"/>
    <x v="1"/>
    <s v="Dr. Anu"/>
    <s v="M54"/>
    <s v="Surgery"/>
    <s v="OPD"/>
    <n v="9878.7099999999991"/>
    <s v="Net Banking"/>
    <s v="No"/>
    <m/>
    <m/>
    <s v="Senior"/>
    <s v="Medium"/>
    <s v="Short Days"/>
    <m/>
    <m/>
    <m/>
    <m/>
    <m/>
    <m/>
  </r>
  <r>
    <s v="VIS202401"/>
    <d v="2025-03-31T00:00:00"/>
    <s v="PAT6852"/>
    <s v="Siddharth Jose"/>
    <s v="Female"/>
    <n v="12"/>
    <s v="Hyderabad"/>
    <s v="Telangana"/>
    <x v="9"/>
    <s v="Dr. Kusum"/>
    <s v="M54"/>
    <s v="Physiotherapy"/>
    <s v="OPD"/>
    <n v="356.4"/>
    <s v="Cash"/>
    <s v="No"/>
    <m/>
    <n v="7"/>
    <s v="Child"/>
    <s v="Low"/>
    <s v="Short Days"/>
    <m/>
    <m/>
    <m/>
    <m/>
    <m/>
    <m/>
  </r>
  <r>
    <s v="VIS201053"/>
    <d v="2024-04-24T00:00:00"/>
    <s v="PAT6138"/>
    <s v="Ananya Khan"/>
    <s v="Male"/>
    <n v="47"/>
    <s v="Lucknow"/>
    <s v="Uttar Pradesh"/>
    <x v="2"/>
    <s v="Dr. Manoj"/>
    <s v="J00"/>
    <s v="Observation"/>
    <s v="OPD"/>
    <n v="7565.81"/>
    <s v="Cash"/>
    <s v="No"/>
    <m/>
    <n v="7"/>
    <s v="Middle-Aged"/>
    <s v="Medium"/>
    <s v="Short Days"/>
    <m/>
    <m/>
    <m/>
    <m/>
    <m/>
    <m/>
  </r>
  <r>
    <s v="VIS201459"/>
    <d v="2024-06-20T00:00:00"/>
    <s v="PAT5505"/>
    <s v="Karthik Kumar"/>
    <s v="Female"/>
    <n v="41"/>
    <s v="Trichy"/>
    <s v="Tamil Nadu"/>
    <x v="2"/>
    <s v="Dr. Ramesh"/>
    <s v="J00"/>
    <s v="Minor Procedure"/>
    <s v="OPD"/>
    <n v="7783.6"/>
    <s v="Credit Card"/>
    <s v="No"/>
    <m/>
    <m/>
    <s v="Middle-Aged"/>
    <s v="Medium"/>
    <s v="Short Days"/>
    <m/>
    <m/>
    <m/>
    <m/>
    <m/>
    <m/>
  </r>
  <r>
    <s v="VIS200966"/>
    <d v="2024-03-28T00:00:00"/>
    <s v="PAT5180"/>
    <s v="Kavya Reddy"/>
    <s v="Male"/>
    <n v="29"/>
    <s v="Madurai"/>
    <s v="Tamil Nadu"/>
    <x v="2"/>
    <s v="Dr. Manoj"/>
    <s v="J00"/>
    <s v="Observation"/>
    <s v="OPD"/>
    <n v="1492.26"/>
    <s v="Insurance"/>
    <s v="Yes"/>
    <m/>
    <n v="90"/>
    <s v="Adult"/>
    <s v="Low"/>
    <s v="Short Days"/>
    <m/>
    <m/>
    <m/>
    <m/>
    <m/>
    <m/>
  </r>
  <r>
    <s v="VIS200523"/>
    <d v="2024-11-10T00:00:00"/>
    <s v="PAT6598"/>
    <s v="Aditya Mishra"/>
    <s v="Female"/>
    <n v="2"/>
    <s v="Delhi"/>
    <s v="Delhi"/>
    <x v="3"/>
    <s v="Dr. Pallavi"/>
    <s v="I10"/>
    <s v="Minor Surgery"/>
    <s v="OPD"/>
    <n v="5699.06"/>
    <s v="Insurance"/>
    <s v="Yes"/>
    <m/>
    <m/>
    <s v="Child"/>
    <s v="Medium"/>
    <s v="Short Days"/>
    <m/>
    <m/>
    <m/>
    <m/>
    <m/>
    <m/>
  </r>
  <r>
    <s v="VIS200906"/>
    <d v="2025-10-06T00:00:00"/>
    <s v="PAT6334"/>
    <s v="Rahul Nair"/>
    <s v="Other"/>
    <n v="56"/>
    <s v="Ahmedabad"/>
    <s v="Gujarat"/>
    <x v="7"/>
    <s v="Dr. Surya"/>
    <s v="M54"/>
    <s v="Observation"/>
    <s v="OPD"/>
    <n v="3392.22"/>
    <s v="UPI"/>
    <s v="No"/>
    <m/>
    <n v="7"/>
    <s v="Middle-Aged"/>
    <s v="Low"/>
    <s v="Short Days"/>
    <m/>
    <m/>
    <m/>
    <m/>
    <m/>
    <m/>
  </r>
  <r>
    <s v="VIS202948"/>
    <d v="2025-02-06T00:00:00"/>
    <s v="PAT6847"/>
    <s v="Neha Gupta"/>
    <s v="Female"/>
    <n v="59"/>
    <s v="Bengaluru"/>
    <s v="Karnataka"/>
    <x v="7"/>
    <s v="Dr. Surya"/>
    <s v="F41"/>
    <s v="Surgery"/>
    <s v="Teleconsultation"/>
    <n v="10225.5"/>
    <s v="Insurance"/>
    <s v="Yes"/>
    <m/>
    <n v="14"/>
    <s v="Middle-Aged"/>
    <s v="High"/>
    <s v="Short Days"/>
    <m/>
    <m/>
    <m/>
    <m/>
    <m/>
    <m/>
  </r>
  <r>
    <s v="VIS201722"/>
    <d v="2025-04-24T00:00:00"/>
    <s v="PAT5480"/>
    <s v="Sangeetha Das"/>
    <s v="Male"/>
    <n v="43"/>
    <s v="Ahmedabad"/>
    <s v="Gujarat"/>
    <x v="2"/>
    <s v="Dr. Ramesh"/>
    <s v="N39"/>
    <s v="Physiotherapy"/>
    <s v="Teleconsultation"/>
    <n v="5504.7"/>
    <s v="Insurance"/>
    <s v="Yes"/>
    <m/>
    <n v="90"/>
    <s v="Middle-Aged"/>
    <s v="Medium"/>
    <s v="Short Days"/>
    <m/>
    <m/>
    <m/>
    <m/>
    <m/>
    <m/>
  </r>
  <r>
    <s v="VIS200285"/>
    <d v="2024-06-05T00:00:00"/>
    <s v="PAT5408"/>
    <s v="Kavya Patel"/>
    <s v="Female"/>
    <n v="18"/>
    <s v="Bengaluru"/>
    <s v="Karnataka"/>
    <x v="9"/>
    <s v="Dr. Arvind"/>
    <s v="J00"/>
    <s v="Minor Surgery"/>
    <s v="OPD"/>
    <n v="10937.62"/>
    <s v="Cash"/>
    <s v="No"/>
    <m/>
    <m/>
    <s v="Adult"/>
    <s v="High"/>
    <s v="Short Days"/>
    <m/>
    <m/>
    <m/>
    <m/>
    <m/>
    <m/>
  </r>
  <r>
    <s v="VIS202785"/>
    <d v="2024-01-25T00:00:00"/>
    <s v="PAT6100"/>
    <s v="Manisha Reddy"/>
    <s v="Male"/>
    <n v="36"/>
    <s v="Coimbatore"/>
    <s v="Tamil Nadu"/>
    <x v="9"/>
    <s v="Dr. Arvind"/>
    <s v="M54"/>
    <s v="Medication"/>
    <s v="Teleconsultation"/>
    <n v="8804.48"/>
    <s v="Credit Card"/>
    <s v="No"/>
    <m/>
    <m/>
    <s v="Adult"/>
    <s v="Medium"/>
    <s v="Short Days"/>
    <m/>
    <m/>
    <m/>
    <m/>
    <m/>
    <m/>
  </r>
  <r>
    <s v="VIS200778"/>
    <d v="2025-02-10T00:00:00"/>
    <s v="PAT5800"/>
    <s v="Aarav Sharma"/>
    <s v="Male"/>
    <n v="13"/>
    <s v="Pune"/>
    <s v="Maharashtra"/>
    <x v="1"/>
    <s v="Dr. Anu"/>
    <s v="L40"/>
    <s v="Surgery"/>
    <s v="OPD"/>
    <n v="9597.36"/>
    <s v="UPI"/>
    <s v="No"/>
    <m/>
    <m/>
    <s v="Child"/>
    <s v="Medium"/>
    <s v="Short Days"/>
    <m/>
    <m/>
    <m/>
    <m/>
    <m/>
    <m/>
  </r>
  <r>
    <s v="VIS202531"/>
    <d v="2025-11-05T00:00:00"/>
    <s v="PAT6987"/>
    <s v="Vishal Patel"/>
    <s v="Male"/>
    <n v="42"/>
    <s v="Delhi"/>
    <s v="Delhi"/>
    <x v="1"/>
    <s v="Dr. Suri"/>
    <s v="F41"/>
    <s v="Physiotherapy"/>
    <s v="OPD"/>
    <n v="106.74"/>
    <s v="Credit Card"/>
    <s v="No"/>
    <m/>
    <n v="90"/>
    <s v="Middle-Aged"/>
    <s v="Low"/>
    <s v="Short Days"/>
    <m/>
    <m/>
    <m/>
    <m/>
    <m/>
    <m/>
  </r>
  <r>
    <s v="VIS200375"/>
    <d v="2024-07-18T00:00:00"/>
    <s v="PAT5505"/>
    <s v="Kavya Khan"/>
    <s v="Male"/>
    <n v="66"/>
    <s v="Trichy"/>
    <s v="Tamil Nadu"/>
    <x v="4"/>
    <s v="Dr. Varun"/>
    <s v="K21"/>
    <s v="Medication"/>
    <s v="OPD"/>
    <n v="3330.37"/>
    <s v="Debit Card"/>
    <s v="No"/>
    <m/>
    <m/>
    <s v="Senior"/>
    <s v="Low"/>
    <s v="Short Days"/>
    <m/>
    <m/>
    <m/>
    <m/>
    <m/>
    <m/>
  </r>
  <r>
    <s v="VIS200841"/>
    <d v="2025-04-29T00:00:00"/>
    <s v="PAT6928"/>
    <s v="Vishal Singh"/>
    <s v="Male"/>
    <n v="37"/>
    <s v="Chennai"/>
    <s v="Tamil Nadu"/>
    <x v="9"/>
    <s v="Dr. Arvind"/>
    <s v="N39"/>
    <s v="Surgery"/>
    <s v="OPD"/>
    <n v="2158.79"/>
    <s v="Credit Card"/>
    <s v="No"/>
    <m/>
    <m/>
    <s v="Adult"/>
    <s v="Low"/>
    <s v="Short Days"/>
    <m/>
    <m/>
    <m/>
    <m/>
    <m/>
    <m/>
  </r>
  <r>
    <s v="VIS200298"/>
    <d v="2025-08-06T00:00:00"/>
    <s v="PAT5207"/>
    <s v="Rohan Nair"/>
    <s v="Female"/>
    <n v="75"/>
    <s v="Kochi"/>
    <s v="Kerala"/>
    <x v="7"/>
    <s v="Dr. Surya"/>
    <s v="E11"/>
    <s v="Counselling"/>
    <s v="IPD"/>
    <n v="9041.7999999999993"/>
    <s v="UPI"/>
    <s v="No"/>
    <n v="9"/>
    <n v="90"/>
    <s v="Senior"/>
    <s v="Medium"/>
    <s v="Long Days"/>
    <m/>
    <m/>
    <m/>
    <m/>
    <m/>
    <m/>
  </r>
  <r>
    <s v="VIS200826"/>
    <d v="2025-06-11T00:00:00"/>
    <s v="PAT6850"/>
    <s v="Manisha Nair"/>
    <s v="Female"/>
    <n v="37"/>
    <s v="Noida"/>
    <s v="Uttar Pradesh"/>
    <x v="2"/>
    <s v="Dr. Ramesh"/>
    <s v="J00"/>
    <s v="Minor Procedure"/>
    <s v="OPD"/>
    <n v="3195.96"/>
    <s v="Insurance"/>
    <s v="Yes"/>
    <m/>
    <m/>
    <s v="Adult"/>
    <s v="Low"/>
    <s v="Short Days"/>
    <m/>
    <m/>
    <m/>
    <m/>
    <m/>
    <m/>
  </r>
  <r>
    <s v="VIS201272"/>
    <d v="2025-10-12T00:00:00"/>
    <s v="PAT5593"/>
    <s v="Neha Jose"/>
    <s v="Male"/>
    <n v="61"/>
    <s v="Bengaluru"/>
    <s v="Karnataka"/>
    <x v="2"/>
    <s v="Dr. Ramesh"/>
    <s v="I10"/>
    <s v="Minor Surgery"/>
    <s v="Teleconsultation"/>
    <n v="11355.59"/>
    <s v="Cash"/>
    <s v="No"/>
    <m/>
    <n v="14"/>
    <s v="Senior"/>
    <s v="High"/>
    <s v="Short Days"/>
    <m/>
    <m/>
    <m/>
    <m/>
    <m/>
    <m/>
  </r>
  <r>
    <s v="VIS200305"/>
    <d v="2025-08-16T00:00:00"/>
    <s v="PAT6310"/>
    <s v="Anil Singh"/>
    <s v="Female"/>
    <n v="44"/>
    <s v="Mumbai"/>
    <s v="Maharashtra"/>
    <x v="6"/>
    <s v="Dr. Priya"/>
    <s v="I10"/>
    <s v="Medication"/>
    <s v="OPD"/>
    <n v="1463.43"/>
    <s v="Insurance"/>
    <s v="Yes"/>
    <m/>
    <n v="14"/>
    <s v="Middle-Aged"/>
    <s v="Low"/>
    <s v="Short Days"/>
    <m/>
    <m/>
    <m/>
    <m/>
    <m/>
    <m/>
  </r>
  <r>
    <s v="VIS201043"/>
    <d v="2025-03-03T00:00:00"/>
    <s v="PAT6015"/>
    <s v="Vivaan Jose"/>
    <s v="Female"/>
    <n v="37"/>
    <s v="Lucknow"/>
    <s v="Uttar Pradesh"/>
    <x v="9"/>
    <s v="Dr. Arvind"/>
    <s v="K21"/>
    <s v="Surgery"/>
    <s v="Teleconsultation"/>
    <n v="5828.3"/>
    <s v="Credit Card"/>
    <s v="No"/>
    <m/>
    <n v="90"/>
    <s v="Adult"/>
    <s v="Medium"/>
    <s v="Short Days"/>
    <m/>
    <m/>
    <m/>
    <m/>
    <m/>
    <m/>
  </r>
  <r>
    <s v="VIS200043"/>
    <d v="2025-01-02T00:00:00"/>
    <s v="PAT6931"/>
    <s v="Siddharth Gupta"/>
    <s v="Female"/>
    <n v="17"/>
    <s v="Pune"/>
    <s v="Maharashtra"/>
    <x v="5"/>
    <s v="Dr. Meena"/>
    <s v="M54"/>
    <s v="Surgery"/>
    <s v="Teleconsultation"/>
    <n v="9028.86"/>
    <s v="Debit Card"/>
    <s v="No"/>
    <m/>
    <n v="14"/>
    <s v="Child"/>
    <s v="Medium"/>
    <s v="Short Days"/>
    <m/>
    <m/>
    <m/>
    <m/>
    <m/>
    <m/>
  </r>
  <r>
    <s v="VIS202169"/>
    <d v="2024-05-10T00:00:00"/>
    <s v="PAT5999"/>
    <s v="Priya Das"/>
    <s v="Male"/>
    <n v="5"/>
    <s v="Jaipur"/>
    <s v="Rajasthan"/>
    <x v="8"/>
    <s v="Dr. Kavitha"/>
    <s v="K21"/>
    <s v="Minor Procedure"/>
    <s v="OPD"/>
    <n v="3092.22"/>
    <s v="Cash"/>
    <s v="No"/>
    <m/>
    <n v="90"/>
    <s v="Child"/>
    <s v="Low"/>
    <s v="Short Days"/>
    <m/>
    <m/>
    <m/>
    <m/>
    <m/>
    <m/>
  </r>
  <r>
    <s v="VIS202020"/>
    <d v="2025-02-14T00:00:00"/>
    <s v="PAT6838"/>
    <s v="Vishal Sharma"/>
    <s v="Male"/>
    <n v="16"/>
    <s v="Jaipur"/>
    <s v="Rajasthan"/>
    <x v="5"/>
    <s v="Dr. Meena"/>
    <s v="I10"/>
    <s v="Minor Surgery"/>
    <s v="OPD"/>
    <n v="2837.03"/>
    <s v="Insurance"/>
    <s v="Yes"/>
    <m/>
    <m/>
    <s v="Child"/>
    <s v="Low"/>
    <s v="Short Days"/>
    <m/>
    <m/>
    <m/>
    <m/>
    <m/>
    <m/>
  </r>
  <r>
    <s v="VIS201569"/>
    <d v="2024-08-11T00:00:00"/>
    <s v="PAT5830"/>
    <s v="Priya Reddy"/>
    <s v="Male"/>
    <n v="13"/>
    <s v="Noida"/>
    <s v="Uttar Pradesh"/>
    <x v="7"/>
    <s v="Dr. Leela"/>
    <s v="J45"/>
    <s v="Counselling"/>
    <s v="Teleconsultation"/>
    <n v="9490.89"/>
    <s v="UPI"/>
    <s v="No"/>
    <m/>
    <m/>
    <s v="Child"/>
    <s v="Medium"/>
    <s v="Short Days"/>
    <m/>
    <m/>
    <m/>
    <m/>
    <m/>
    <m/>
  </r>
  <r>
    <s v="VIS201067"/>
    <d v="2025-06-01T00:00:00"/>
    <s v="PAT5619"/>
    <s v="Manisha Patel"/>
    <s v="Male"/>
    <n v="13"/>
    <s v="Kolkata"/>
    <s v="West Bengal"/>
    <x v="7"/>
    <s v="Dr. Leela"/>
    <s v="J00"/>
    <s v="Minor Procedure"/>
    <s v="OPD"/>
    <n v="14179.54"/>
    <s v="Insurance"/>
    <s v="Yes"/>
    <m/>
    <m/>
    <s v="Child"/>
    <s v="High"/>
    <s v="Short Days"/>
    <m/>
    <m/>
    <m/>
    <m/>
    <m/>
    <m/>
  </r>
  <r>
    <s v="VIS202762"/>
    <d v="2024-01-21T00:00:00"/>
    <s v="PAT5444"/>
    <s v="Arjun Mishra"/>
    <s v="Male"/>
    <n v="24"/>
    <s v="Mumbai"/>
    <s v="Maharashtra"/>
    <x v="3"/>
    <s v="Dr. Pallavi"/>
    <s v="K21"/>
    <s v="Physiotherapy"/>
    <s v="OPD"/>
    <n v="8900.2000000000007"/>
    <s v="UPI"/>
    <s v="No"/>
    <m/>
    <n v="7"/>
    <s v="Adult"/>
    <s v="Medium"/>
    <s v="Short Days"/>
    <m/>
    <m/>
    <m/>
    <m/>
    <m/>
    <m/>
  </r>
  <r>
    <s v="VIS201649"/>
    <d v="2025-09-05T00:00:00"/>
    <s v="PAT5741"/>
    <s v="Manisha Nair"/>
    <s v="Male"/>
    <n v="27"/>
    <s v="Coimbatore"/>
    <s v="Tamil Nadu"/>
    <x v="1"/>
    <s v="Dr. Suri"/>
    <s v="J45"/>
    <s v="Physiotherapy"/>
    <s v="OPD"/>
    <n v="3515.92"/>
    <s v="Credit Card"/>
    <s v="No"/>
    <m/>
    <m/>
    <s v="Adult"/>
    <s v="Low"/>
    <s v="Short Days"/>
    <m/>
    <m/>
    <m/>
    <m/>
    <m/>
    <m/>
  </r>
  <r>
    <s v="VIS202744"/>
    <d v="2025-08-28T00:00:00"/>
    <s v="PAT6967"/>
    <s v="Neha Das"/>
    <s v="Male"/>
    <n v="37"/>
    <s v="Mumbai"/>
    <s v="Maharashtra"/>
    <x v="4"/>
    <s v="Dr. Varun"/>
    <s v="J00"/>
    <s v="Minor Procedure"/>
    <s v="Teleconsultation"/>
    <n v="6369.03"/>
    <s v="Cash"/>
    <s v="No"/>
    <m/>
    <n v="90"/>
    <s v="Adult"/>
    <s v="Medium"/>
    <s v="Short Days"/>
    <m/>
    <m/>
    <m/>
    <m/>
    <m/>
    <m/>
  </r>
  <r>
    <s v="VIS201579"/>
    <d v="2024-12-13T00:00:00"/>
    <s v="PAT5020"/>
    <s v="Neha Nagar"/>
    <s v="Female"/>
    <n v="52"/>
    <s v="Madurai"/>
    <s v="Tamil Nadu"/>
    <x v="8"/>
    <s v="Dr. Sneha"/>
    <s v="M54"/>
    <s v="Counselling"/>
    <s v="Emergency"/>
    <n v="6119.39"/>
    <s v="Credit Card"/>
    <s v="No"/>
    <m/>
    <n v="90"/>
    <s v="Middle-Aged"/>
    <s v="Medium"/>
    <s v="Short Days"/>
    <m/>
    <m/>
    <m/>
    <m/>
    <m/>
    <m/>
  </r>
  <r>
    <s v="VIS202894"/>
    <d v="2024-05-04T00:00:00"/>
    <s v="PAT5344"/>
    <s v="Arjun Nair"/>
    <s v="Female"/>
    <n v="42"/>
    <s v="Ahmedabad"/>
    <s v="Gujarat"/>
    <x v="3"/>
    <s v="Dr. Anand"/>
    <s v="J45"/>
    <s v="Prescription Refill"/>
    <s v="OPD"/>
    <n v="3702.75"/>
    <s v="Net Banking"/>
    <s v="No"/>
    <m/>
    <m/>
    <s v="Middle-Aged"/>
    <s v="Low"/>
    <s v="Short Days"/>
    <m/>
    <m/>
    <m/>
    <m/>
    <m/>
    <m/>
  </r>
  <r>
    <s v="VIS201956"/>
    <d v="2024-06-01T00:00:00"/>
    <s v="PAT6524"/>
    <s v="Aishwarya Kumar"/>
    <s v="Female"/>
    <n v="50"/>
    <s v="Jaipur"/>
    <s v="Rajasthan"/>
    <x v="0"/>
    <s v="Dr. Nikhil"/>
    <s v="L40"/>
    <s v="Counselling"/>
    <s v="OPD"/>
    <n v="3379.59"/>
    <s v="Credit Card"/>
    <s v="No"/>
    <m/>
    <n v="30"/>
    <s v="Middle-Aged"/>
    <s v="Low"/>
    <s v="Short Days"/>
    <m/>
    <m/>
    <m/>
    <m/>
    <m/>
    <m/>
  </r>
  <r>
    <s v="VIS202621"/>
    <d v="2024-06-11T00:00:00"/>
    <s v="PAT6972"/>
    <s v="Ishaan Kumar"/>
    <s v="Female"/>
    <n v="23"/>
    <s v="Mumbai"/>
    <s v="Maharashtra"/>
    <x v="1"/>
    <s v="Dr. Anu"/>
    <s v="H10"/>
    <s v="Surgery"/>
    <s v="OPD"/>
    <n v="12914.98"/>
    <s v="Credit Card"/>
    <s v="No"/>
    <m/>
    <n v="30"/>
    <s v="Adult"/>
    <s v="High"/>
    <s v="Short Days"/>
    <m/>
    <m/>
    <m/>
    <m/>
    <m/>
    <m/>
  </r>
  <r>
    <s v="VIS201623"/>
    <d v="2024-06-14T00:00:00"/>
    <s v="PAT5307"/>
    <s v="Kavya Kumar"/>
    <s v="Male"/>
    <n v="16"/>
    <s v="Chennai"/>
    <s v="Tamil Nadu"/>
    <x v="2"/>
    <s v="Dr. Ramesh"/>
    <s v="H10"/>
    <s v="Observation"/>
    <s v="OPD"/>
    <n v="5136.09"/>
    <s v="Debit Card"/>
    <s v="No"/>
    <m/>
    <m/>
    <s v="Child"/>
    <s v="Medium"/>
    <s v="Short Days"/>
    <m/>
    <m/>
    <m/>
    <m/>
    <m/>
    <m/>
  </r>
  <r>
    <s v="VIS200656"/>
    <d v="2025-10-20T00:00:00"/>
    <s v="PAT6113"/>
    <s v="Sangeetha Mishra"/>
    <s v="Other"/>
    <n v="47"/>
    <s v="Chennai"/>
    <s v="Tamil Nadu"/>
    <x v="4"/>
    <s v="Dr. Bhavana"/>
    <s v="I10"/>
    <s v="Medication"/>
    <s v="OPD"/>
    <n v="8770.5499999999993"/>
    <s v="Debit Card"/>
    <s v="No"/>
    <m/>
    <m/>
    <s v="Middle-Aged"/>
    <s v="Medium"/>
    <s v="Short Days"/>
    <m/>
    <m/>
    <m/>
    <m/>
    <m/>
    <m/>
  </r>
  <r>
    <s v="VIS201250"/>
    <d v="2024-03-02T00:00:00"/>
    <s v="PAT6810"/>
    <s v="Vishal Khan"/>
    <s v="Female"/>
    <n v="67"/>
    <s v="Mumbai"/>
    <s v="Maharashtra"/>
    <x v="6"/>
    <s v="Dr. Priya"/>
    <s v="F41"/>
    <s v="Medication"/>
    <s v="Teleconsultation"/>
    <n v="6184.59"/>
    <s v="Insurance"/>
    <s v="Yes"/>
    <m/>
    <n v="30"/>
    <s v="Senior"/>
    <s v="Medium"/>
    <s v="Short Days"/>
    <m/>
    <m/>
    <m/>
    <m/>
    <m/>
    <m/>
  </r>
  <r>
    <s v="VIS202518"/>
    <d v="2024-04-06T00:00:00"/>
    <s v="PAT5201"/>
    <s v="Aarav Nair"/>
    <s v="Female"/>
    <n v="59"/>
    <s v="Lucknow"/>
    <s v="Uttar Pradesh"/>
    <x v="4"/>
    <s v="Dr. Varun"/>
    <s v="J00"/>
    <s v="Medication"/>
    <s v="OPD"/>
    <n v="1689.19"/>
    <s v="Insurance"/>
    <s v="Yes"/>
    <m/>
    <m/>
    <s v="Middle-Aged"/>
    <s v="Low"/>
    <s v="Short Days"/>
    <m/>
    <m/>
    <m/>
    <m/>
    <m/>
    <m/>
  </r>
  <r>
    <s v="VIS202339"/>
    <d v="2024-11-04T00:00:00"/>
    <s v="PAT5735"/>
    <s v="Ananya Mishra"/>
    <s v="Female"/>
    <n v="62"/>
    <s v="Hyderabad"/>
    <s v="Telangana"/>
    <x v="4"/>
    <s v="Dr. Bhavana"/>
    <s v="M54"/>
    <s v="Counselling"/>
    <s v="IPD"/>
    <n v="6016.47"/>
    <s v="Debit Card"/>
    <s v="No"/>
    <n v="2"/>
    <n v="90"/>
    <s v="Senior"/>
    <s v="Medium"/>
    <s v="Short Days"/>
    <m/>
    <m/>
    <m/>
    <m/>
    <m/>
    <m/>
  </r>
  <r>
    <s v="VIS200698"/>
    <d v="2025-05-15T00:00:00"/>
    <s v="PAT5646"/>
    <s v="Vishal Das"/>
    <s v="Male"/>
    <n v="22"/>
    <s v="Hyderabad"/>
    <s v="Telangana"/>
    <x v="2"/>
    <s v="Dr. Manoj"/>
    <s v="N39"/>
    <s v="Minor Surgery"/>
    <s v="Teleconsultation"/>
    <n v="10823.19"/>
    <s v="Insurance"/>
    <s v="Yes"/>
    <m/>
    <n v="90"/>
    <s v="Adult"/>
    <s v="High"/>
    <s v="Short Days"/>
    <m/>
    <m/>
    <m/>
    <m/>
    <m/>
    <m/>
  </r>
  <r>
    <s v="VIS202671"/>
    <d v="2025-09-12T00:00:00"/>
    <s v="PAT5032"/>
    <s v="Kavya Singh"/>
    <s v="Female"/>
    <n v="28"/>
    <s v="Trichy"/>
    <s v="Tamil Nadu"/>
    <x v="7"/>
    <s v="Dr. Leela"/>
    <s v="J45"/>
    <s v="Surgery"/>
    <s v="OPD"/>
    <n v="8259.92"/>
    <s v="Credit Card"/>
    <s v="No"/>
    <m/>
    <n v="90"/>
    <s v="Adult"/>
    <s v="Medium"/>
    <s v="Short Days"/>
    <m/>
    <m/>
    <m/>
    <m/>
    <m/>
    <m/>
  </r>
  <r>
    <s v="VIS200033"/>
    <d v="2025-01-28T00:00:00"/>
    <s v="PAT5368"/>
    <s v="Aishwarya Iyer"/>
    <s v="Female"/>
    <n v="43"/>
    <s v="Hyderabad"/>
    <s v="Telangana"/>
    <x v="5"/>
    <s v="Dr. Ravi"/>
    <s v="I10"/>
    <s v="Observation"/>
    <s v="OPD"/>
    <n v="5995.91"/>
    <s v="Cash"/>
    <s v="No"/>
    <m/>
    <m/>
    <s v="Middle-Aged"/>
    <s v="Medium"/>
    <s v="Short Days"/>
    <m/>
    <m/>
    <m/>
    <m/>
    <m/>
    <m/>
  </r>
  <r>
    <s v="VIS200685"/>
    <d v="2025-05-08T00:00:00"/>
    <s v="PAT5357"/>
    <s v="Vishal Das"/>
    <s v="Male"/>
    <n v="27"/>
    <s v="Coimbatore"/>
    <s v="Tamil Nadu"/>
    <x v="1"/>
    <s v="Dr. Suri"/>
    <s v="L40"/>
    <s v="Observation"/>
    <s v="OPD"/>
    <n v="1368.39"/>
    <s v="Cash"/>
    <s v="No"/>
    <m/>
    <m/>
    <s v="Adult"/>
    <s v="Low"/>
    <s v="Short Days"/>
    <m/>
    <m/>
    <m/>
    <m/>
    <m/>
    <m/>
  </r>
  <r>
    <s v="VIS200000"/>
    <d v="2024-02-23T00:00:00"/>
    <s v="PAT5548"/>
    <s v="Arjun Bose"/>
    <s v="Male"/>
    <n v="20"/>
    <s v="Bengaluru"/>
    <s v="Karnataka"/>
    <x v="5"/>
    <s v="Dr. Meena"/>
    <s v="H10"/>
    <s v="Observation"/>
    <s v="OPD"/>
    <n v="1336.42"/>
    <s v="Cash"/>
    <s v="No"/>
    <m/>
    <n v="14"/>
    <s v="Adult"/>
    <s v="Low"/>
    <s v="Short Days"/>
    <m/>
    <m/>
    <m/>
    <m/>
    <m/>
    <m/>
  </r>
  <r>
    <s v="VIS201159"/>
    <d v="2024-03-14T00:00:00"/>
    <s v="PAT6478"/>
    <s v="Siddharth Iyer"/>
    <s v="Female"/>
    <n v="61"/>
    <s v="Mumbai"/>
    <s v="Maharashtra"/>
    <x v="2"/>
    <s v="Dr. Ramesh"/>
    <s v="E11"/>
    <s v="Prescription Refill"/>
    <s v="OPD"/>
    <n v="9815.93"/>
    <s v="Net Banking"/>
    <s v="No"/>
    <m/>
    <n v="90"/>
    <s v="Senior"/>
    <s v="Medium"/>
    <s v="Short Days"/>
    <m/>
    <m/>
    <m/>
    <m/>
    <m/>
    <m/>
  </r>
  <r>
    <s v="VIS201489"/>
    <d v="2024-08-16T00:00:00"/>
    <s v="PAT6681"/>
    <s v="Shruti Bose"/>
    <s v="Male"/>
    <n v="19"/>
    <s v="Lucknow"/>
    <s v="Uttar Pradesh"/>
    <x v="1"/>
    <s v="Dr. Suri"/>
    <s v="F41"/>
    <s v="Medication"/>
    <s v="OPD"/>
    <n v="11454.91"/>
    <s v="Cash"/>
    <s v="No"/>
    <m/>
    <m/>
    <s v="Adult"/>
    <s v="High"/>
    <s v="Short Days"/>
    <m/>
    <m/>
    <m/>
    <m/>
    <m/>
    <m/>
  </r>
  <r>
    <s v="VIS202273"/>
    <d v="2025-05-05T00:00:00"/>
    <s v="PAT6279"/>
    <s v="Ananya Bose"/>
    <s v="Female"/>
    <n v="44"/>
    <s v="Ahmedabad"/>
    <s v="Gujarat"/>
    <x v="7"/>
    <s v="Dr. Leela"/>
    <s v="J00"/>
    <s v="Surgery"/>
    <s v="OPD"/>
    <n v="8726.76"/>
    <s v="Cash"/>
    <s v="No"/>
    <m/>
    <n v="30"/>
    <s v="Middle-Aged"/>
    <s v="Medium"/>
    <s v="Short Days"/>
    <m/>
    <m/>
    <m/>
    <m/>
    <m/>
    <m/>
  </r>
  <r>
    <s v="VIS201214"/>
    <d v="2025-08-09T00:00:00"/>
    <s v="PAT5468"/>
    <s v="Anil Patel"/>
    <s v="Female"/>
    <n v="40"/>
    <s v="Delhi"/>
    <s v="Delhi"/>
    <x v="8"/>
    <s v="Dr. Kavitha"/>
    <s v="J45"/>
    <s v="Observation"/>
    <s v="OPD"/>
    <n v="3146.51"/>
    <s v="Insurance"/>
    <s v="Yes"/>
    <m/>
    <m/>
    <s v="Adult"/>
    <s v="Low"/>
    <s v="Short Days"/>
    <m/>
    <m/>
    <m/>
    <m/>
    <m/>
    <m/>
  </r>
  <r>
    <s v="VIS201763"/>
    <d v="2024-11-16T00:00:00"/>
    <s v="PAT6334"/>
    <s v="Aarav Nagar"/>
    <s v="Female"/>
    <n v="50"/>
    <s v="Trichy"/>
    <s v="Tamil Nadu"/>
    <x v="0"/>
    <s v="Dr. Nikhil"/>
    <s v="K21"/>
    <s v="Medication"/>
    <s v="OPD"/>
    <n v="1264.03"/>
    <s v="Cash"/>
    <s v="No"/>
    <m/>
    <m/>
    <s v="Middle-Aged"/>
    <s v="Low"/>
    <s v="Short Days"/>
    <m/>
    <m/>
    <m/>
    <m/>
    <m/>
    <m/>
  </r>
  <r>
    <s v="VIS200022"/>
    <d v="2024-12-11T00:00:00"/>
    <s v="PAT6955"/>
    <s v="Vivaan Iyer"/>
    <s v="Male"/>
    <n v="57"/>
    <s v="Pune"/>
    <s v="Maharashtra"/>
    <x v="4"/>
    <s v="Dr. Varun"/>
    <s v="L40"/>
    <s v="Medication"/>
    <s v="OPD"/>
    <n v="2148.56"/>
    <s v="UPI"/>
    <s v="No"/>
    <m/>
    <n v="30"/>
    <s v="Middle-Aged"/>
    <s v="Low"/>
    <s v="Short Days"/>
    <m/>
    <m/>
    <m/>
    <m/>
    <m/>
    <m/>
  </r>
  <r>
    <s v="VIS200243"/>
    <d v="2024-07-03T00:00:00"/>
    <s v="PAT5633"/>
    <s v="Vivaan Nair"/>
    <s v="Male"/>
    <n v="35"/>
    <s v="Kolkata"/>
    <s v="West Bengal"/>
    <x v="0"/>
    <s v="Dr. Nikhil"/>
    <s v="H10"/>
    <s v="Physiotherapy"/>
    <s v="OPD"/>
    <n v="15461.24"/>
    <s v="Cash"/>
    <s v="No"/>
    <m/>
    <n v="90"/>
    <s v="Adult"/>
    <s v="High"/>
    <s v="Short Days"/>
    <m/>
    <m/>
    <m/>
    <m/>
    <m/>
    <m/>
  </r>
  <r>
    <s v="VIS202314"/>
    <d v="2024-12-11T00:00:00"/>
    <s v="PAT5215"/>
    <s v="Ishaan Nagar"/>
    <s v="Female"/>
    <n v="77"/>
    <s v="Kolkata"/>
    <s v="West Bengal"/>
    <x v="3"/>
    <s v="Dr. Anand"/>
    <s v="L40"/>
    <s v="Physiotherapy"/>
    <s v="OPD"/>
    <n v="779.7"/>
    <s v="Cash"/>
    <s v="No"/>
    <m/>
    <n v="7"/>
    <s v="Senior"/>
    <s v="Low"/>
    <s v="Short Days"/>
    <m/>
    <m/>
    <m/>
    <m/>
    <m/>
    <m/>
  </r>
  <r>
    <s v="VIS200885"/>
    <d v="2024-03-21T00:00:00"/>
    <s v="PAT6590"/>
    <s v="Rahul Khan"/>
    <s v="Female"/>
    <n v="64"/>
    <s v="Kochi"/>
    <s v="Kerala"/>
    <x v="0"/>
    <s v="Dr. Nikhil"/>
    <s v="H10"/>
    <s v="Prescription Refill"/>
    <s v="OPD"/>
    <n v="6292.23"/>
    <s v="UPI"/>
    <s v="No"/>
    <m/>
    <n v="14"/>
    <s v="Senior"/>
    <s v="Medium"/>
    <s v="Short Days"/>
    <m/>
    <m/>
    <m/>
    <m/>
    <m/>
    <m/>
  </r>
  <r>
    <s v="VIS202834"/>
    <d v="2025-02-12T00:00:00"/>
    <s v="PAT6873"/>
    <s v="Rahul Sharma"/>
    <s v="Male"/>
    <n v="54"/>
    <s v="Delhi"/>
    <s v="West Bengal"/>
    <x v="9"/>
    <s v="Dr. Arvind"/>
    <s v="Z111"/>
    <s v="Physiotherapy"/>
    <s v="OPD"/>
    <n v="7549.68"/>
    <s v="Debit Card"/>
    <s v="No"/>
    <m/>
    <n v="7"/>
    <s v="Middle-Aged"/>
    <s v="Medium"/>
    <s v="Short Days"/>
    <m/>
    <m/>
    <m/>
    <m/>
    <m/>
    <m/>
  </r>
  <r>
    <s v="VIS202929"/>
    <d v="2024-04-03T00:00:00"/>
    <s v="PAT6231"/>
    <s v="Sangeetha Kumar"/>
    <s v="Male"/>
    <n v="47"/>
    <s v="Chennai"/>
    <s v="Tamil Nadu"/>
    <x v="7"/>
    <s v="Dr. Leela"/>
    <s v="J00"/>
    <s v="Medication"/>
    <s v="OPD"/>
    <n v="7861.74"/>
    <s v="Cash"/>
    <s v="No"/>
    <m/>
    <n v="30"/>
    <s v="Middle-Aged"/>
    <s v="Medium"/>
    <s v="Short Days"/>
    <m/>
    <m/>
    <m/>
    <m/>
    <m/>
    <m/>
  </r>
  <r>
    <s v="VIS200944"/>
    <d v="2025-06-08T00:00:00"/>
    <s v="PAT6081"/>
    <s v="Ananya Nair"/>
    <s v="Male"/>
    <n v="59"/>
    <s v="Mumbai"/>
    <s v="Maharashtra"/>
    <x v="9"/>
    <s v="Dr. Kusum"/>
    <s v="I10"/>
    <s v="Observation"/>
    <s v="OPD"/>
    <n v="424.44"/>
    <s v="UPI"/>
    <s v="No"/>
    <m/>
    <n v="30"/>
    <s v="Middle-Aged"/>
    <s v="Low"/>
    <s v="Short Days"/>
    <m/>
    <m/>
    <m/>
    <m/>
    <m/>
    <m/>
  </r>
  <r>
    <s v="VIS201072"/>
    <d v="2025-05-22T00:00:00"/>
    <s v="PAT6925"/>
    <s v="Vivaan Khan"/>
    <s v="Female"/>
    <n v="43"/>
    <s v="Lucknow"/>
    <s v="Uttar Pradesh"/>
    <x v="0"/>
    <s v="Dr. Nikhil"/>
    <s v="J45"/>
    <s v="Observation"/>
    <s v="OPD"/>
    <n v="1486.56"/>
    <s v="Insurance"/>
    <s v="Yes"/>
    <m/>
    <n v="14"/>
    <s v="Middle-Aged"/>
    <s v="Low"/>
    <s v="Short Days"/>
    <m/>
    <m/>
    <m/>
    <m/>
    <m/>
    <m/>
  </r>
  <r>
    <s v="VIS202857"/>
    <d v="2025-03-09T00:00:00"/>
    <s v="PAT6817"/>
    <s v="Ananya Nagar"/>
    <s v="Male"/>
    <n v="56"/>
    <s v="Hyderabad"/>
    <s v="Telangana"/>
    <x v="4"/>
    <s v="Dr. Bhavana"/>
    <s v="M54"/>
    <s v="Minor Procedure"/>
    <s v="OPD"/>
    <n v="17222.61"/>
    <s v="Cash"/>
    <s v="No"/>
    <m/>
    <m/>
    <s v="Middle-Aged"/>
    <s v="High"/>
    <s v="Short Days"/>
    <m/>
    <m/>
    <m/>
    <m/>
    <m/>
    <m/>
  </r>
  <r>
    <s v="VIS202070"/>
    <d v="2024-06-14T00:00:00"/>
    <s v="PAT6512"/>
    <s v="Aarav Bose"/>
    <s v="Female"/>
    <n v="16"/>
    <s v="Trichy"/>
    <s v="Tamil Nadu"/>
    <x v="3"/>
    <s v="Dr. Anand"/>
    <s v="J45"/>
    <s v="Counselling"/>
    <s v="Teleconsultation"/>
    <n v="5149.16"/>
    <s v="Credit Card"/>
    <s v="No"/>
    <m/>
    <n v="7"/>
    <s v="Child"/>
    <s v="Medium"/>
    <s v="Short Days"/>
    <m/>
    <m/>
    <m/>
    <m/>
    <m/>
    <m/>
  </r>
  <r>
    <s v="VIS201419"/>
    <d v="2025-02-17T00:00:00"/>
    <s v="PAT5809"/>
    <s v="Ananya Nair"/>
    <s v="Female"/>
    <n v="20"/>
    <s v="Kochi"/>
    <s v="Kerala"/>
    <x v="5"/>
    <s v="Dr. Meena"/>
    <s v="K21"/>
    <s v="Observation"/>
    <s v="OPD"/>
    <n v="8427.81"/>
    <s v="Net Banking"/>
    <s v="No"/>
    <m/>
    <m/>
    <s v="Adult"/>
    <s v="Medium"/>
    <s v="Short Days"/>
    <m/>
    <m/>
    <m/>
    <m/>
    <m/>
    <m/>
  </r>
  <r>
    <s v="VIS202511"/>
    <d v="2024-04-24T00:00:00"/>
    <s v="PAT6982"/>
    <s v="Aarav Bose"/>
    <s v="Male"/>
    <n v="27"/>
    <s v="Bengaluru"/>
    <s v="Karnataka"/>
    <x v="4"/>
    <s v="Dr. Bhavana"/>
    <s v="N39"/>
    <s v="Surgery"/>
    <s v="OPD"/>
    <n v="1796.84"/>
    <s v="Cash"/>
    <s v="No"/>
    <m/>
    <n v="7"/>
    <s v="Adult"/>
    <s v="Low"/>
    <s v="Short Days"/>
    <m/>
    <m/>
    <m/>
    <m/>
    <m/>
    <m/>
  </r>
  <r>
    <s v="VIS201356"/>
    <d v="2025-04-30T00:00:00"/>
    <s v="PAT5528"/>
    <s v="Neha Sharma"/>
    <s v="Female"/>
    <n v="24"/>
    <s v="Pune"/>
    <s v="Maharashtra"/>
    <x v="1"/>
    <s v="Dr. Anu"/>
    <s v="E11"/>
    <s v="Minor Surgery"/>
    <s v="OPD"/>
    <n v="7118.74"/>
    <s v="Debit Card"/>
    <s v="No"/>
    <m/>
    <n v="30"/>
    <s v="Adult"/>
    <s v="Medium"/>
    <s v="Short Days"/>
    <m/>
    <m/>
    <m/>
    <m/>
    <m/>
    <m/>
  </r>
  <r>
    <s v="VIS202800"/>
    <d v="2024-08-15T00:00:00"/>
    <s v="PAT5348"/>
    <s v="Karthik Khan"/>
    <s v="Male"/>
    <n v="70"/>
    <s v="Lucknow"/>
    <s v="Uttar Pradesh"/>
    <x v="4"/>
    <s v="Dr. Varun"/>
    <s v="I10"/>
    <s v="Physiotherapy"/>
    <s v="OPD"/>
    <n v="3934.71"/>
    <s v="Debit Card"/>
    <s v="No"/>
    <m/>
    <n v="14"/>
    <s v="Senior"/>
    <s v="Low"/>
    <s v="Short Days"/>
    <m/>
    <m/>
    <m/>
    <m/>
    <m/>
    <m/>
  </r>
  <r>
    <s v="VIS202775"/>
    <d v="2024-11-14T00:00:00"/>
    <s v="PAT5049"/>
    <s v="Vivaan Bose"/>
    <s v="Female"/>
    <n v="40"/>
    <s v="Lucknow"/>
    <s v="Uttar Pradesh"/>
    <x v="9"/>
    <s v="Dr. Kusum"/>
    <s v="N39"/>
    <s v="Observation"/>
    <s v="OPD"/>
    <n v="1902.98"/>
    <s v="Cash"/>
    <s v="No"/>
    <m/>
    <m/>
    <s v="Adult"/>
    <s v="Low"/>
    <s v="Short Days"/>
    <m/>
    <m/>
    <m/>
    <m/>
    <m/>
    <m/>
  </r>
  <r>
    <s v="VIS201491"/>
    <d v="2025-05-02T00:00:00"/>
    <s v="PAT5748"/>
    <s v="Kavya Iyer"/>
    <s v="Male"/>
    <n v="64"/>
    <s v="Hyderabad"/>
    <s v="Telangana"/>
    <x v="5"/>
    <s v="Dr. Meena"/>
    <s v="J00"/>
    <s v="Minor Surgery"/>
    <s v="IPD"/>
    <n v="12328.67"/>
    <s v="Credit Card"/>
    <s v="No"/>
    <n v="7"/>
    <n v="14"/>
    <s v="Senior"/>
    <s v="High"/>
    <s v="Long Days"/>
    <m/>
    <m/>
    <m/>
    <m/>
    <m/>
    <m/>
  </r>
  <r>
    <s v="VIS200853"/>
    <d v="2024-07-03T00:00:00"/>
    <s v="PAT6672"/>
    <s v="Aditya Bose"/>
    <s v="Male"/>
    <n v="57"/>
    <s v="Bengaluru"/>
    <s v="Karnataka"/>
    <x v="2"/>
    <s v="Dr. Ramesh"/>
    <s v="N39"/>
    <s v="Counselling"/>
    <s v="OPD"/>
    <n v="3059.93"/>
    <s v="Insurance"/>
    <s v="Yes"/>
    <m/>
    <m/>
    <s v="Middle-Aged"/>
    <s v="Low"/>
    <s v="Short Days"/>
    <m/>
    <m/>
    <m/>
    <m/>
    <m/>
    <m/>
  </r>
  <r>
    <s v="VIS201977"/>
    <d v="2024-10-22T00:00:00"/>
    <s v="PAT6373"/>
    <s v="Neha Singh"/>
    <s v="Female"/>
    <n v="31"/>
    <s v="Mumbai"/>
    <s v="Maharashtra"/>
    <x v="3"/>
    <s v="Dr. Pallavi"/>
    <s v="K21"/>
    <s v="Prescription Refill"/>
    <s v="OPD"/>
    <n v="1300.1600000000001"/>
    <s v="Credit Card"/>
    <s v="No"/>
    <m/>
    <n v="7"/>
    <s v="Adult"/>
    <s v="Low"/>
    <s v="Short Days"/>
    <m/>
    <m/>
    <m/>
    <m/>
    <m/>
    <m/>
  </r>
  <r>
    <s v="VIS202704"/>
    <d v="2024-02-05T00:00:00"/>
    <s v="PAT5871"/>
    <s v="Ishaan Das"/>
    <s v="Male"/>
    <n v="38"/>
    <s v="Hyderabad"/>
    <s v="Telangana"/>
    <x v="7"/>
    <s v="Dr. Surya"/>
    <s v="J45"/>
    <s v="Surgery"/>
    <s v="OPD"/>
    <n v="4104.58"/>
    <s v="UPI"/>
    <s v="No"/>
    <m/>
    <m/>
    <s v="Adult"/>
    <s v="Low"/>
    <s v="Short Days"/>
    <m/>
    <m/>
    <m/>
    <m/>
    <m/>
    <m/>
  </r>
  <r>
    <s v="VIS202912"/>
    <d v="2024-02-17T00:00:00"/>
    <s v="PAT5270"/>
    <s v="Arjun Nagar"/>
    <s v="Male"/>
    <n v="51"/>
    <s v="Delhi"/>
    <s v="Delhi"/>
    <x v="5"/>
    <s v="Dr. Ravi"/>
    <s v="M54"/>
    <s v="Medication"/>
    <s v="OPD"/>
    <n v="7161.63"/>
    <s v="Cash"/>
    <s v="No"/>
    <m/>
    <m/>
    <s v="Middle-Aged"/>
    <s v="Medium"/>
    <s v="Short Days"/>
    <m/>
    <m/>
    <m/>
    <m/>
    <m/>
    <m/>
  </r>
  <r>
    <s v="VIS202517"/>
    <d v="2025-07-12T00:00:00"/>
    <s v="PAT6930"/>
    <s v="Arjun Gupta"/>
    <s v="Female"/>
    <n v="49"/>
    <s v="Coimbatore"/>
    <s v="Tamil Nadu"/>
    <x v="8"/>
    <s v="Dr. Sneha"/>
    <s v="N39"/>
    <s v="Counselling"/>
    <s v="OPD"/>
    <n v="326"/>
    <s v="Debit Card"/>
    <s v="No"/>
    <m/>
    <n v="90"/>
    <s v="Middle-Aged"/>
    <s v="Low"/>
    <s v="Short Days"/>
    <m/>
    <m/>
    <m/>
    <m/>
    <m/>
    <m/>
  </r>
  <r>
    <s v="VIS201746"/>
    <d v="2024-05-04T00:00:00"/>
    <s v="PAT6009"/>
    <s v="Sangeetha Sharma"/>
    <s v="Female"/>
    <n v="27"/>
    <s v="Ahmedabad"/>
    <s v="Gujarat"/>
    <x v="4"/>
    <s v="Dr. Varun"/>
    <s v="H10"/>
    <s v="Minor Procedure"/>
    <s v="Teleconsultation"/>
    <n v="8877.94"/>
    <s v="UPI"/>
    <s v="No"/>
    <m/>
    <n v="14"/>
    <s v="Adult"/>
    <s v="Medium"/>
    <s v="Short Days"/>
    <m/>
    <m/>
    <m/>
    <m/>
    <m/>
    <m/>
  </r>
  <r>
    <s v="VIS200982"/>
    <d v="2024-04-06T00:00:00"/>
    <s v="PAT6363"/>
    <s v="Karthik Sharma"/>
    <s v="Male"/>
    <n v="12"/>
    <s v="Delhi"/>
    <s v="Delhi"/>
    <x v="7"/>
    <s v="Dr. Surya"/>
    <s v="M54"/>
    <s v="Physiotherapy"/>
    <s v="OPD"/>
    <n v="440.06"/>
    <s v="Debit Card"/>
    <s v="No"/>
    <m/>
    <n v="7"/>
    <s v="Child"/>
    <s v="Low"/>
    <s v="Short Days"/>
    <m/>
    <m/>
    <m/>
    <m/>
    <m/>
    <m/>
  </r>
  <r>
    <s v="VIS202028"/>
    <d v="2024-11-18T00:00:00"/>
    <s v="PAT6604"/>
    <s v="Arjun Gupta"/>
    <s v="Female"/>
    <n v="3"/>
    <s v="Jaipur"/>
    <s v="Rajasthan"/>
    <x v="2"/>
    <s v="Dr. Ramesh"/>
    <s v="H10"/>
    <s v="Minor Surgery"/>
    <s v="OPD"/>
    <n v="5075.3"/>
    <s v="Insurance"/>
    <s v="Yes"/>
    <m/>
    <n v="7"/>
    <s v="Child"/>
    <s v="Medium"/>
    <s v="Short Days"/>
    <m/>
    <m/>
    <m/>
    <m/>
    <m/>
    <m/>
  </r>
  <r>
    <s v="VIS202039"/>
    <d v="2024-10-28T00:00:00"/>
    <s v="PAT6144"/>
    <s v="Aishwarya Jose"/>
    <s v="Male"/>
    <n v="30"/>
    <s v="Lucknow"/>
    <s v="Uttar Pradesh"/>
    <x v="7"/>
    <s v="Dr. Leela"/>
    <s v="I10"/>
    <s v="Physiotherapy"/>
    <s v="Teleconsultation"/>
    <n v="28100.35"/>
    <s v="UPI"/>
    <s v="No"/>
    <m/>
    <n v="30"/>
    <s v="Adult"/>
    <s v="High"/>
    <s v="Short Days"/>
    <m/>
    <m/>
    <m/>
    <m/>
    <m/>
    <m/>
  </r>
  <r>
    <s v="VIS202209"/>
    <d v="2025-06-17T00:00:00"/>
    <s v="PAT5539"/>
    <s v="Rahul Patel"/>
    <s v="Male"/>
    <n v="13"/>
    <s v="Kochi"/>
    <s v="Kerala"/>
    <x v="0"/>
    <s v="Dr. Shailesh"/>
    <s v="J00"/>
    <s v="Medication"/>
    <s v="OPD"/>
    <n v="10905.41"/>
    <s v="Debit Card"/>
    <s v="No"/>
    <m/>
    <m/>
    <s v="Child"/>
    <s v="High"/>
    <s v="Short Days"/>
    <m/>
    <m/>
    <m/>
    <m/>
    <m/>
    <m/>
  </r>
  <r>
    <s v="VIS201398"/>
    <d v="2025-02-27T00:00:00"/>
    <s v="PAT6793"/>
    <s v="Rohan Jose"/>
    <s v="Male"/>
    <n v="39"/>
    <s v="Jaipur"/>
    <s v="Rajasthan"/>
    <x v="4"/>
    <s v="Dr. Varun"/>
    <s v="H10"/>
    <s v="Minor Surgery"/>
    <s v="OPD"/>
    <n v="1027.8499999999999"/>
    <s v="UPI"/>
    <s v="No"/>
    <m/>
    <n v="14"/>
    <s v="Adult"/>
    <s v="Low"/>
    <s v="Short Days"/>
    <m/>
    <m/>
    <m/>
    <m/>
    <m/>
    <m/>
  </r>
  <r>
    <s v="VIS202924"/>
    <d v="2024-06-01T00:00:00"/>
    <s v="PAT5861"/>
    <s v="Ishaan Das"/>
    <s v="Female"/>
    <n v="50"/>
    <s v="Chennai"/>
    <s v="Tamil Nadu"/>
    <x v="6"/>
    <s v="Dr. Priya"/>
    <s v="L40"/>
    <s v="Prescription Refill"/>
    <s v="IPD"/>
    <n v="6049.88"/>
    <s v="UPI"/>
    <s v="No"/>
    <n v="4"/>
    <n v="14"/>
    <s v="Middle-Aged"/>
    <s v="Medium"/>
    <s v="Short Days"/>
    <m/>
    <m/>
    <m/>
    <m/>
    <m/>
    <m/>
  </r>
  <r>
    <s v="VIS201894"/>
    <d v="2024-02-07T00:00:00"/>
    <s v="PAT5051"/>
    <s v="Aarav Iyer"/>
    <s v="Female"/>
    <n v="33"/>
    <s v="Hyderabad"/>
    <s v="Telangana"/>
    <x v="5"/>
    <s v="Dr. Meena"/>
    <s v="H10"/>
    <s v="Prescription Refill"/>
    <s v="Teleconsultation"/>
    <n v="5163.5200000000004"/>
    <s v="UPI"/>
    <s v="No"/>
    <m/>
    <n v="7"/>
    <s v="Adult"/>
    <s v="Medium"/>
    <s v="Short Days"/>
    <m/>
    <m/>
    <m/>
    <m/>
    <m/>
    <m/>
  </r>
  <r>
    <s v="VIS201088"/>
    <d v="2025-08-24T00:00:00"/>
    <s v="PAT5677"/>
    <s v="Shruti Nagar"/>
    <s v="Male"/>
    <n v="44"/>
    <s v="Jaipur"/>
    <s v="Rajasthan"/>
    <x v="6"/>
    <s v="Dr. Priya"/>
    <s v="F41"/>
    <s v="Physiotherapy"/>
    <s v="OPD"/>
    <n v="9029.18"/>
    <s v="Debit Card"/>
    <s v="No"/>
    <m/>
    <n v="7"/>
    <s v="Middle-Aged"/>
    <s v="Medium"/>
    <s v="Short Days"/>
    <m/>
    <m/>
    <m/>
    <m/>
    <m/>
    <m/>
  </r>
  <r>
    <s v="VIS200928"/>
    <d v="2024-05-14T00:00:00"/>
    <s v="PAT5377"/>
    <s v="Siddharth Reddy"/>
    <s v="Female"/>
    <n v="29"/>
    <s v="Noida"/>
    <s v="Uttar Pradesh"/>
    <x v="1"/>
    <s v="Dr. Suri"/>
    <s v="N39"/>
    <s v="Physiotherapy"/>
    <s v="IPD"/>
    <n v="7345.14"/>
    <s v="Credit Card"/>
    <s v="No"/>
    <n v="5"/>
    <n v="7"/>
    <s v="Adult"/>
    <s v="Medium"/>
    <s v="Short Days"/>
    <m/>
    <m/>
    <m/>
    <m/>
    <m/>
    <m/>
  </r>
  <r>
    <s v="VIS200859"/>
    <d v="2025-04-26T00:00:00"/>
    <s v="PAT6723"/>
    <s v="Priya Jose"/>
    <s v="Male"/>
    <n v="41"/>
    <s v="Hyderabad"/>
    <s v="Telangana"/>
    <x v="4"/>
    <s v="Dr. Bhavana"/>
    <s v="J45"/>
    <s v="Prescription Refill"/>
    <s v="Teleconsultation"/>
    <n v="6447.05"/>
    <s v="Net Banking"/>
    <s v="No"/>
    <m/>
    <n v="7"/>
    <s v="Middle-Aged"/>
    <s v="Medium"/>
    <s v="Short Days"/>
    <m/>
    <m/>
    <m/>
    <m/>
    <m/>
    <m/>
  </r>
  <r>
    <s v="VIS201693"/>
    <d v="2024-03-01T00:00:00"/>
    <s v="PAT6193"/>
    <s v="Shruti Patel"/>
    <s v="Female"/>
    <n v="31"/>
    <s v="Noida"/>
    <s v="Uttar Pradesh"/>
    <x v="0"/>
    <s v="Dr. Nikhil"/>
    <s v="J45"/>
    <s v="Physiotherapy"/>
    <s v="OPD"/>
    <n v="101.55"/>
    <s v="Cash"/>
    <s v="No"/>
    <m/>
    <n v="7"/>
    <s v="Adult"/>
    <s v="Low"/>
    <s v="Short Days"/>
    <m/>
    <m/>
    <m/>
    <m/>
    <m/>
    <m/>
  </r>
  <r>
    <s v="VIS201227"/>
    <d v="2025-07-02T00:00:00"/>
    <s v="PAT5698"/>
    <s v="Aishwarya Iyer"/>
    <s v="Female"/>
    <n v="41"/>
    <s v="Delhi"/>
    <s v="Delhi"/>
    <x v="2"/>
    <s v="Dr. Manoj"/>
    <s v="F41"/>
    <s v="Prescription Refill"/>
    <s v="OPD"/>
    <n v="8071.1"/>
    <s v="UPI"/>
    <s v="No"/>
    <m/>
    <n v="7"/>
    <s v="Middle-Aged"/>
    <s v="Medium"/>
    <s v="Short Days"/>
    <m/>
    <m/>
    <m/>
    <m/>
    <m/>
    <m/>
  </r>
  <r>
    <s v="VIS202574"/>
    <d v="2024-05-22T00:00:00"/>
    <s v="PAT6599"/>
    <s v="Manisha Kumar"/>
    <s v="Female"/>
    <n v="49"/>
    <s v="Lucknow"/>
    <s v="Uttar Pradesh"/>
    <x v="7"/>
    <s v="Dr. Leela"/>
    <s v="F41"/>
    <s v="Counselling"/>
    <s v="Teleconsultation"/>
    <n v="7865.3"/>
    <s v="Cash"/>
    <s v="No"/>
    <m/>
    <n v="7"/>
    <s v="Middle-Aged"/>
    <s v="Medium"/>
    <s v="Short Days"/>
    <m/>
    <m/>
    <m/>
    <m/>
    <m/>
    <m/>
  </r>
  <r>
    <s v="VIS201848"/>
    <d v="2025-08-17T00:00:00"/>
    <s v="PAT6792"/>
    <s v="Siddharth Mishra"/>
    <s v="Male"/>
    <n v="29"/>
    <s v="Delhi"/>
    <s v="Delhi"/>
    <x v="8"/>
    <s v="Dr. Sneha"/>
    <s v="J00"/>
    <s v="Surgery"/>
    <s v="Teleconsultation"/>
    <n v="5308.7"/>
    <s v="Cash"/>
    <s v="No"/>
    <m/>
    <m/>
    <s v="Adult"/>
    <s v="Medium"/>
    <s v="Short Days"/>
    <m/>
    <m/>
    <m/>
    <m/>
    <m/>
    <m/>
  </r>
  <r>
    <s v="VIS201706"/>
    <d v="2025-05-02T00:00:00"/>
    <s v="PAT6223"/>
    <s v="Anil Iyer"/>
    <s v="Female"/>
    <n v="7"/>
    <s v="Ahmedabad"/>
    <s v="Gujarat"/>
    <x v="6"/>
    <s v="Dr. Priya"/>
    <s v="I10"/>
    <s v="Medication"/>
    <s v="OPD"/>
    <n v="5811.02"/>
    <s v="Cash"/>
    <s v="No"/>
    <m/>
    <n v="7"/>
    <s v="Child"/>
    <s v="Medium"/>
    <s v="Short Days"/>
    <m/>
    <m/>
    <m/>
    <m/>
    <m/>
    <m/>
  </r>
  <r>
    <s v="VIS200996"/>
    <d v="2024-02-02T00:00:00"/>
    <s v="PAT5953"/>
    <s v="Ananya Bose"/>
    <s v="Male"/>
    <n v="19"/>
    <s v="Kolkata"/>
    <s v="West Bengal"/>
    <x v="4"/>
    <s v="Dr. Varun"/>
    <s v="N39"/>
    <s v="Counselling"/>
    <s v="OPD"/>
    <n v="3537.84"/>
    <s v="UPI"/>
    <s v="No"/>
    <m/>
    <m/>
    <s v="Adult"/>
    <s v="Low"/>
    <s v="Short Days"/>
    <m/>
    <m/>
    <m/>
    <m/>
    <m/>
    <m/>
  </r>
  <r>
    <s v="VIS200144"/>
    <d v="2024-11-20T00:00:00"/>
    <s v="PAT6475"/>
    <s v="Deepa Gupta"/>
    <s v="Female"/>
    <n v="67"/>
    <s v="Bengaluru"/>
    <s v="Karnataka"/>
    <x v="7"/>
    <s v="Dr. Surya"/>
    <s v="J00"/>
    <s v="Minor Procedure"/>
    <s v="OPD"/>
    <n v="1405.62"/>
    <s v="Credit Card"/>
    <s v="No"/>
    <m/>
    <m/>
    <s v="Senior"/>
    <s v="Low"/>
    <s v="Short Days"/>
    <m/>
    <m/>
    <m/>
    <m/>
    <m/>
    <m/>
  </r>
  <r>
    <s v="VIS202967"/>
    <d v="2025-05-18T00:00:00"/>
    <s v="PAT5371"/>
    <s v="Manisha Jose"/>
    <s v="Male"/>
    <n v="14"/>
    <s v="Madurai"/>
    <s v="Tamil Nadu"/>
    <x v="1"/>
    <s v="Dr. Anu"/>
    <s v="J00"/>
    <s v="Medication"/>
    <s v="Teleconsultation"/>
    <n v="7431.27"/>
    <s v="Debit Card"/>
    <s v="No"/>
    <m/>
    <n v="30"/>
    <s v="Child"/>
    <s v="Medium"/>
    <s v="Short Days"/>
    <m/>
    <m/>
    <m/>
    <m/>
    <m/>
    <m/>
  </r>
  <r>
    <s v="VIS201248"/>
    <d v="2025-01-19T00:00:00"/>
    <s v="PAT5638"/>
    <s v="Aarav Nagar"/>
    <s v="Female"/>
    <n v="82"/>
    <s v="Coimbatore"/>
    <s v="Tamil Nadu"/>
    <x v="6"/>
    <s v="Dr. Priya"/>
    <s v="K21"/>
    <s v="Prescription Refill"/>
    <s v="IPD"/>
    <n v="7270.08"/>
    <s v="Cash"/>
    <s v="No"/>
    <n v="7"/>
    <m/>
    <s v="Senior"/>
    <s v="Medium"/>
    <s v="Long Days"/>
    <m/>
    <m/>
    <m/>
    <m/>
    <m/>
    <m/>
  </r>
  <r>
    <s v="VIS202736"/>
    <d v="2024-11-17T00:00:00"/>
    <s v="PAT6394"/>
    <s v="Rahul Bose"/>
    <s v="Male"/>
    <n v="53"/>
    <s v="Chennai"/>
    <s v="Tamil Nadu"/>
    <x v="5"/>
    <s v="Dr. Ravi"/>
    <s v="F41"/>
    <s v="Prescription Refill"/>
    <s v="OPD"/>
    <n v="2341.88"/>
    <s v="UPI"/>
    <s v="No"/>
    <m/>
    <m/>
    <s v="Middle-Aged"/>
    <s v="Low"/>
    <s v="Short Days"/>
    <m/>
    <m/>
    <m/>
    <m/>
    <m/>
    <m/>
  </r>
  <r>
    <s v="VIS201521"/>
    <d v="2025-06-21T00:00:00"/>
    <s v="PAT6618"/>
    <s v="Priya Khan"/>
    <s v="Female"/>
    <n v="23"/>
    <s v="Trichy"/>
    <s v="Tamil Nadu"/>
    <x v="7"/>
    <s v="Dr. Leela"/>
    <s v="H10"/>
    <s v="Observation"/>
    <s v="IPD"/>
    <n v="11763.83"/>
    <s v="Insurance"/>
    <s v="Yes"/>
    <n v="6"/>
    <n v="7"/>
    <s v="Adult"/>
    <s v="High"/>
    <s v="Long Days"/>
    <m/>
    <m/>
    <m/>
    <m/>
    <m/>
    <m/>
  </r>
  <r>
    <s v="VIS202354"/>
    <d v="2025-06-18T00:00:00"/>
    <s v="PAT6020"/>
    <s v="Vivaan Singh"/>
    <s v="Male"/>
    <n v="47"/>
    <s v="Trichy"/>
    <s v="Tamil Nadu"/>
    <x v="3"/>
    <s v="Dr. Pallavi"/>
    <s v="K21"/>
    <s v="Medication"/>
    <s v="OPD"/>
    <n v="5447.73"/>
    <s v="Debit Card"/>
    <s v="No"/>
    <m/>
    <n v="7"/>
    <s v="Middle-Aged"/>
    <s v="Medium"/>
    <s v="Short Days"/>
    <m/>
    <m/>
    <m/>
    <m/>
    <m/>
    <m/>
  </r>
  <r>
    <s v="VIS202730"/>
    <d v="2025-09-19T00:00:00"/>
    <s v="PAT5614"/>
    <s v="Aditya Jose"/>
    <s v="Female"/>
    <n v="33"/>
    <s v="Delhi"/>
    <s v="Gujarat"/>
    <x v="7"/>
    <s v="Dr. Surya"/>
    <s v="Z111"/>
    <s v="Minor Surgery"/>
    <s v="Teleconsultation"/>
    <n v="13407.51"/>
    <s v="Credit Card"/>
    <s v="No"/>
    <m/>
    <n v="7"/>
    <s v="Adult"/>
    <s v="High"/>
    <s v="Short Days"/>
    <m/>
    <m/>
    <m/>
    <m/>
    <m/>
    <m/>
  </r>
  <r>
    <s v="VIS202217"/>
    <d v="2024-06-05T00:00:00"/>
    <s v="PAT5459"/>
    <s v="Rohan Iyer"/>
    <s v="Female"/>
    <n v="34"/>
    <s v="Coimbatore"/>
    <s v="Tamil Nadu"/>
    <x v="9"/>
    <s v="Dr. Arvind"/>
    <s v="F41"/>
    <s v="Minor Procedure"/>
    <s v="OPD"/>
    <n v="717.63"/>
    <s v="Insurance"/>
    <s v="Yes"/>
    <m/>
    <m/>
    <s v="Adult"/>
    <s v="Low"/>
    <s v="Short Days"/>
    <m/>
    <m/>
    <m/>
    <m/>
    <m/>
    <m/>
  </r>
  <r>
    <s v="VIS201683"/>
    <d v="2025-03-11T00:00:00"/>
    <s v="PAT6120"/>
    <s v="Sangeetha Sharma"/>
    <s v="Male"/>
    <n v="28"/>
    <s v="Hyderabad"/>
    <s v="Telangana"/>
    <x v="0"/>
    <s v="Dr. Nikhil"/>
    <s v="M54"/>
    <s v="Minor Surgery"/>
    <s v="OPD"/>
    <n v="29986.41"/>
    <s v="UPI"/>
    <s v="No"/>
    <m/>
    <m/>
    <s v="Adult"/>
    <s v="High"/>
    <s v="Short Days"/>
    <m/>
    <m/>
    <m/>
    <m/>
    <m/>
    <m/>
  </r>
  <r>
    <s v="VIS200354"/>
    <d v="2025-08-02T00:00:00"/>
    <s v="PAT5049"/>
    <s v="Shruti Nair"/>
    <s v="Male"/>
    <n v="42"/>
    <s v="Coimbatore"/>
    <s v="Tamil Nadu"/>
    <x v="4"/>
    <s v="Dr. Bhavana"/>
    <s v="J45"/>
    <s v="Minor Procedure"/>
    <s v="OPD"/>
    <n v="3502.64"/>
    <s v="Cash"/>
    <s v="No"/>
    <m/>
    <n v="30"/>
    <s v="Middle-Aged"/>
    <s v="Low"/>
    <s v="Short Days"/>
    <m/>
    <m/>
    <m/>
    <m/>
    <m/>
    <m/>
  </r>
  <r>
    <s v="VIS202482"/>
    <d v="2024-06-03T00:00:00"/>
    <s v="PAT5358"/>
    <s v="Deepa Gupta"/>
    <s v="Female"/>
    <n v="30"/>
    <s v="Kochi"/>
    <s v="Kerala"/>
    <x v="7"/>
    <s v="Dr. Surya"/>
    <s v="H10"/>
    <s v="Counselling"/>
    <s v="OPD"/>
    <n v="4356.18"/>
    <s v="Cash"/>
    <s v="No"/>
    <m/>
    <n v="14"/>
    <s v="Adult"/>
    <s v="Low"/>
    <s v="Short Days"/>
    <m/>
    <m/>
    <m/>
    <m/>
    <m/>
    <m/>
  </r>
  <r>
    <s v="VIS200413"/>
    <d v="2025-08-19T00:00:00"/>
    <s v="PAT6086"/>
    <s v="Deepa Kumar"/>
    <s v="Female"/>
    <n v="32"/>
    <s v="Ahmedabad"/>
    <s v="Gujarat"/>
    <x v="5"/>
    <s v="Dr. Meena"/>
    <s v="K21"/>
    <s v="Minor Procedure"/>
    <s v="OPD"/>
    <n v="457.57"/>
    <s v="Insurance"/>
    <s v="Yes"/>
    <m/>
    <n v="30"/>
    <s v="Adult"/>
    <s v="Low"/>
    <s v="Short Days"/>
    <m/>
    <m/>
    <m/>
    <m/>
    <m/>
    <m/>
  </r>
  <r>
    <s v="VIS200962"/>
    <d v="2024-04-15T00:00:00"/>
    <s v="PAT6956"/>
    <s v="Aarav Gupta"/>
    <s v="Female"/>
    <n v="47"/>
    <s v="Pune"/>
    <s v="Maharashtra"/>
    <x v="1"/>
    <s v="Dr. Suri"/>
    <s v="K21"/>
    <s v="Minor Procedure"/>
    <s v="OPD"/>
    <n v="1639.77"/>
    <s v="Credit Card"/>
    <s v="No"/>
    <m/>
    <n v="7"/>
    <s v="Middle-Aged"/>
    <s v="Low"/>
    <s v="Short Days"/>
    <m/>
    <m/>
    <m/>
    <m/>
    <m/>
    <m/>
  </r>
  <r>
    <s v="VIS200230"/>
    <d v="2025-09-07T00:00:00"/>
    <s v="PAT5922"/>
    <s v="Aarav Iyer"/>
    <s v="Male"/>
    <n v="80"/>
    <s v="Trichy"/>
    <s v="Tamil Nadu"/>
    <x v="5"/>
    <s v="Dr. Meena"/>
    <s v="L40"/>
    <s v="Physiotherapy"/>
    <s v="OPD"/>
    <n v="3104.9"/>
    <s v="Credit Card"/>
    <s v="No"/>
    <m/>
    <m/>
    <s v="Senior"/>
    <s v="Low"/>
    <s v="Short Days"/>
    <m/>
    <m/>
    <m/>
    <m/>
    <m/>
    <m/>
  </r>
  <r>
    <s v="VIS201524"/>
    <d v="2024-10-05T00:00:00"/>
    <s v="PAT5514"/>
    <s v="Kavya Reddy"/>
    <s v="Male"/>
    <n v="34"/>
    <s v="Bengaluru"/>
    <s v="Karnataka"/>
    <x v="5"/>
    <s v="Dr. Meena"/>
    <s v="H10"/>
    <s v="Minor Procedure"/>
    <s v="OPD"/>
    <n v="84.45"/>
    <s v="Cash"/>
    <s v="No"/>
    <m/>
    <m/>
    <s v="Adult"/>
    <s v="Low"/>
    <s v="Short Days"/>
    <m/>
    <m/>
    <m/>
    <m/>
    <m/>
    <m/>
  </r>
  <r>
    <s v="VIS200240"/>
    <d v="2024-10-21T00:00:00"/>
    <s v="PAT5120"/>
    <s v="Anil Bose"/>
    <s v="Male"/>
    <n v="62"/>
    <s v="Ahmedabad"/>
    <s v="Gujarat"/>
    <x v="4"/>
    <s v="Dr. Varun"/>
    <s v="J45"/>
    <s v="Counselling"/>
    <s v="OPD"/>
    <n v="2029.81"/>
    <s v="UPI"/>
    <s v="No"/>
    <m/>
    <m/>
    <s v="Senior"/>
    <s v="Low"/>
    <s v="Short Days"/>
    <m/>
    <m/>
    <m/>
    <m/>
    <m/>
    <m/>
  </r>
  <r>
    <s v="VIS202447"/>
    <d v="2025-09-07T00:00:00"/>
    <s v="PAT5034"/>
    <s v="Aarav Gupta"/>
    <s v="Male"/>
    <n v="51"/>
    <s v="Coimbatore"/>
    <s v="Tamil Nadu"/>
    <x v="4"/>
    <s v="Dr. Bhavana"/>
    <s v="J00"/>
    <s v="Medication"/>
    <s v="Emergency"/>
    <n v="6615.06"/>
    <s v="Credit Card"/>
    <s v="No"/>
    <m/>
    <n v="90"/>
    <s v="Middle-Aged"/>
    <s v="Medium"/>
    <s v="Short Days"/>
    <m/>
    <m/>
    <m/>
    <m/>
    <m/>
    <m/>
  </r>
  <r>
    <s v="VIS201650"/>
    <d v="2024-03-07T00:00:00"/>
    <s v="PAT6834"/>
    <s v="Ananya Das"/>
    <s v="Female"/>
    <n v="25"/>
    <s v="Noida"/>
    <s v="Uttar Pradesh"/>
    <x v="7"/>
    <s v="Dr. Surya"/>
    <s v="E11"/>
    <s v="Observation"/>
    <s v="OPD"/>
    <n v="872.47"/>
    <s v="Net Banking"/>
    <s v="No"/>
    <m/>
    <n v="7"/>
    <s v="Adult"/>
    <s v="Low"/>
    <s v="Short Days"/>
    <m/>
    <m/>
    <m/>
    <m/>
    <m/>
    <m/>
  </r>
  <r>
    <s v="VIS202253"/>
    <d v="2024-11-21T00:00:00"/>
    <s v="PAT6333"/>
    <s v="Rohan Mishra"/>
    <s v="Male"/>
    <n v="33"/>
    <s v="Kolkata"/>
    <s v="West Bengal"/>
    <x v="5"/>
    <s v="Dr. Ravi"/>
    <s v="J45"/>
    <s v="Medication"/>
    <s v="OPD"/>
    <n v="4037.84"/>
    <s v="Cash"/>
    <s v="No"/>
    <m/>
    <n v="14"/>
    <s v="Adult"/>
    <s v="Low"/>
    <s v="Short Days"/>
    <m/>
    <m/>
    <m/>
    <m/>
    <m/>
    <m/>
  </r>
  <r>
    <s v="VIS201005"/>
    <d v="2024-07-22T00:00:00"/>
    <s v="PAT5874"/>
    <s v="Vivaan Sharma"/>
    <s v="Female"/>
    <n v="55"/>
    <s v="Pune"/>
    <s v="Maharashtra"/>
    <x v="6"/>
    <s v="Dr. Priya"/>
    <s v="N39"/>
    <s v="Prescription Refill"/>
    <s v="Teleconsultation"/>
    <n v="10055.91"/>
    <s v="Cash"/>
    <s v="No"/>
    <m/>
    <n v="30"/>
    <s v="Middle-Aged"/>
    <s v="High"/>
    <s v="Short Days"/>
    <m/>
    <m/>
    <m/>
    <m/>
    <m/>
    <m/>
  </r>
  <r>
    <s v="VIS200290"/>
    <d v="2024-03-13T00:00:00"/>
    <s v="PAT5629"/>
    <s v="Neha Mishra"/>
    <s v="Female"/>
    <n v="44"/>
    <s v="Pune"/>
    <s v="Maharashtra"/>
    <x v="5"/>
    <s v="Dr. Meena"/>
    <s v="J45"/>
    <s v="Observation"/>
    <s v="Teleconsultation"/>
    <n v="16401.810000000001"/>
    <s v="UPI"/>
    <s v="No"/>
    <m/>
    <m/>
    <s v="Middle-Aged"/>
    <s v="High"/>
    <s v="Short Days"/>
    <m/>
    <m/>
    <m/>
    <m/>
    <m/>
    <m/>
  </r>
  <r>
    <s v="VIS200001"/>
    <d v="2024-12-11T00:00:00"/>
    <s v="PAT6148"/>
    <s v="Rohan Jose"/>
    <s v="Male"/>
    <n v="57"/>
    <s v="Chennai"/>
    <s v="Tamil Nadu"/>
    <x v="8"/>
    <s v="Dr. Sneha"/>
    <s v="F41"/>
    <s v="Minor Surgery"/>
    <s v="OPD"/>
    <n v="4057.17"/>
    <s v="Insurance"/>
    <s v="Yes"/>
    <m/>
    <m/>
    <s v="Middle-Aged"/>
    <s v="Low"/>
    <s v="Short Days"/>
    <m/>
    <m/>
    <m/>
    <m/>
    <m/>
    <m/>
  </r>
  <r>
    <s v="VIS201984"/>
    <d v="2024-04-15T00:00:00"/>
    <s v="PAT6149"/>
    <s v="Rahul Nagar"/>
    <s v="Female"/>
    <n v="60"/>
    <s v="Coimbatore"/>
    <s v="Tamil Nadu"/>
    <x v="5"/>
    <s v="Dr. Ravi"/>
    <s v="F41"/>
    <s v="Surgery"/>
    <s v="OPD"/>
    <n v="2797.85"/>
    <s v="Debit Card"/>
    <s v="No"/>
    <m/>
    <n v="90"/>
    <s v="Middle-Aged"/>
    <s v="Low"/>
    <s v="Short Days"/>
    <m/>
    <m/>
    <m/>
    <m/>
    <m/>
    <m/>
  </r>
  <r>
    <s v="VIS200328"/>
    <d v="2024-07-08T00:00:00"/>
    <s v="PAT6036"/>
    <s v="Ananya Reddy"/>
    <s v="Female"/>
    <n v="40"/>
    <s v="Trichy"/>
    <s v="Tamil Nadu"/>
    <x v="2"/>
    <s v="Dr. Ramesh"/>
    <s v="E11"/>
    <s v="Observation"/>
    <s v="Emergency"/>
    <n v="9536.7000000000007"/>
    <s v="Insurance"/>
    <s v="Yes"/>
    <m/>
    <n v="90"/>
    <s v="Adult"/>
    <s v="Medium"/>
    <s v="Short Days"/>
    <m/>
    <m/>
    <m/>
    <m/>
    <m/>
    <m/>
  </r>
  <r>
    <s v="VIS202976"/>
    <d v="2025-04-24T00:00:00"/>
    <s v="PAT6978"/>
    <s v="Deepa Iyer"/>
    <s v="Female"/>
    <n v="50"/>
    <s v="Delhi"/>
    <s v="Delhi"/>
    <x v="2"/>
    <s v="Dr. Ramesh"/>
    <s v="H10"/>
    <s v="Counselling"/>
    <s v="OPD"/>
    <n v="17516.900000000001"/>
    <s v="UPI"/>
    <s v="No"/>
    <m/>
    <n v="14"/>
    <s v="Middle-Aged"/>
    <s v="High"/>
    <s v="Short Days"/>
    <m/>
    <m/>
    <m/>
    <m/>
    <m/>
    <m/>
  </r>
  <r>
    <s v="VIS200926"/>
    <d v="2024-05-30T00:00:00"/>
    <s v="PAT6926"/>
    <s v="Aishwarya Kumar"/>
    <s v="Male"/>
    <n v="34"/>
    <s v="Bengaluru"/>
    <s v="Karnataka"/>
    <x v="5"/>
    <s v="Dr. Ravi"/>
    <s v="E11"/>
    <s v="Medication"/>
    <s v="Teleconsultation"/>
    <n v="5646.94"/>
    <s v="UPI"/>
    <s v="No"/>
    <m/>
    <m/>
    <s v="Adult"/>
    <s v="Medium"/>
    <s v="Short Days"/>
    <m/>
    <m/>
    <m/>
    <m/>
    <m/>
    <m/>
  </r>
  <r>
    <s v="VIS202451"/>
    <d v="2024-12-26T00:00:00"/>
    <s v="PAT6354"/>
    <s v="Neha Sharma"/>
    <s v="Female"/>
    <n v="6"/>
    <s v="Mumbai"/>
    <s v="Maharashtra"/>
    <x v="7"/>
    <s v="Dr. Surya"/>
    <s v="L40"/>
    <s v="Counselling"/>
    <s v="IPD"/>
    <n v="10158.129999999999"/>
    <s v="UPI"/>
    <s v="No"/>
    <n v="8"/>
    <n v="30"/>
    <s v="Child"/>
    <s v="High"/>
    <s v="Long Days"/>
    <m/>
    <m/>
    <m/>
    <m/>
    <m/>
    <m/>
  </r>
  <r>
    <s v="VIS201560"/>
    <d v="2025-05-16T00:00:00"/>
    <s v="PAT5352"/>
    <s v="Vivaan Iyer"/>
    <s v="Female"/>
    <n v="48"/>
    <s v="Chennai"/>
    <s v="Tamil Nadu"/>
    <x v="7"/>
    <s v="Dr. Surya"/>
    <s v="H10"/>
    <s v="Minor Procedure"/>
    <s v="OPD"/>
    <n v="1086.23"/>
    <s v="Credit Card"/>
    <s v="No"/>
    <m/>
    <n v="14"/>
    <s v="Middle-Aged"/>
    <s v="Low"/>
    <s v="Short Days"/>
    <m/>
    <m/>
    <m/>
    <m/>
    <m/>
    <m/>
  </r>
  <r>
    <s v="VIS200261"/>
    <d v="2024-12-28T00:00:00"/>
    <s v="PAT5724"/>
    <s v="Aarav Nair"/>
    <s v="Female"/>
    <n v="72"/>
    <s v="Delhi"/>
    <s v="Delhi"/>
    <x v="1"/>
    <s v="Dr. Suri"/>
    <s v="L40"/>
    <s v="Prescription Refill"/>
    <s v="OPD"/>
    <n v="7283.57"/>
    <s v="Credit Card"/>
    <s v="No"/>
    <m/>
    <m/>
    <s v="Senior"/>
    <s v="Medium"/>
    <s v="Short Days"/>
    <m/>
    <m/>
    <m/>
    <m/>
    <m/>
    <m/>
  </r>
  <r>
    <s v="VIS200388"/>
    <d v="2024-11-05T00:00:00"/>
    <s v="PAT5143"/>
    <s v="Deepa Nagar"/>
    <s v="Male"/>
    <n v="31"/>
    <s v="Madurai"/>
    <s v="Tamil Nadu"/>
    <x v="7"/>
    <s v="Dr. Leela"/>
    <s v="M54"/>
    <s v="Observation"/>
    <s v="OPD"/>
    <n v="3466.38"/>
    <s v="UPI"/>
    <s v="No"/>
    <m/>
    <n v="7"/>
    <s v="Adult"/>
    <s v="Low"/>
    <s v="Short Days"/>
    <m/>
    <m/>
    <m/>
    <m/>
    <m/>
    <m/>
  </r>
  <r>
    <s v="VIS202192"/>
    <d v="2024-12-31T00:00:00"/>
    <s v="PAT5266"/>
    <s v="Arjun Gupta"/>
    <s v="Female"/>
    <n v="69"/>
    <s v="Lucknow"/>
    <s v="Uttar Pradesh"/>
    <x v="2"/>
    <s v="Dr. Ramesh"/>
    <s v="L40"/>
    <s v="Minor Procedure"/>
    <s v="OPD"/>
    <n v="6244.46"/>
    <s v="Debit Card"/>
    <s v="No"/>
    <m/>
    <n v="90"/>
    <s v="Senior"/>
    <s v="Medium"/>
    <s v="Short Days"/>
    <m/>
    <m/>
    <m/>
    <m/>
    <m/>
    <m/>
  </r>
  <r>
    <s v="VIS202488"/>
    <d v="2025-09-19T00:00:00"/>
    <s v="PAT6719"/>
    <s v="Manisha Kumar"/>
    <s v="Female"/>
    <n v="15"/>
    <s v="Noida"/>
    <s v="Uttar Pradesh"/>
    <x v="9"/>
    <s v="Dr. Arvind"/>
    <s v="E11"/>
    <s v="Physiotherapy"/>
    <s v="IPD"/>
    <n v="5605.57"/>
    <s v="Debit Card"/>
    <s v="No"/>
    <n v="6"/>
    <n v="90"/>
    <s v="Child"/>
    <s v="Medium"/>
    <s v="Long Days"/>
    <m/>
    <m/>
    <m/>
    <m/>
    <m/>
    <m/>
  </r>
  <r>
    <s v="VIS200842"/>
    <d v="2025-03-06T00:00:00"/>
    <s v="PAT6791"/>
    <s v="Aishwarya Reddy"/>
    <s v="Male"/>
    <n v="44"/>
    <s v="Mumbai"/>
    <s v="Maharashtra"/>
    <x v="3"/>
    <s v="Dr. Pallavi"/>
    <s v="N39"/>
    <s v="Minor Surgery"/>
    <s v="OPD"/>
    <n v="3559.84"/>
    <s v="Cash"/>
    <s v="No"/>
    <m/>
    <n v="14"/>
    <s v="Middle-Aged"/>
    <s v="Low"/>
    <s v="Short Days"/>
    <m/>
    <m/>
    <m/>
    <m/>
    <m/>
    <m/>
  </r>
  <r>
    <s v="VIS200640"/>
    <d v="2024-05-18T00:00:00"/>
    <s v="PAT6298"/>
    <s v="Anil Sharma"/>
    <s v="Male"/>
    <n v="35"/>
    <s v="Kochi"/>
    <s v="Kerala"/>
    <x v="6"/>
    <s v="Dr. Lalitha"/>
    <s v="I10"/>
    <s v="Observation"/>
    <s v="OPD"/>
    <n v="13502.9"/>
    <s v="Credit Card"/>
    <s v="No"/>
    <m/>
    <n v="90"/>
    <s v="Adult"/>
    <s v="High"/>
    <s v="Short Days"/>
    <m/>
    <m/>
    <m/>
    <m/>
    <m/>
    <m/>
  </r>
  <r>
    <s v="VIS202234"/>
    <d v="2024-06-05T00:00:00"/>
    <s v="PAT6881"/>
    <s v="Ananya Khan"/>
    <s v="Female"/>
    <n v="64"/>
    <s v="Madurai"/>
    <s v="Tamil Nadu"/>
    <x v="7"/>
    <s v="Dr. Leela"/>
    <s v="N39"/>
    <s v="Prescription Refill"/>
    <s v="OPD"/>
    <n v="9498.9599999999991"/>
    <s v="Insurance"/>
    <s v="Yes"/>
    <m/>
    <m/>
    <s v="Senior"/>
    <s v="Medium"/>
    <s v="Short Days"/>
    <m/>
    <m/>
    <m/>
    <m/>
    <m/>
    <m/>
  </r>
  <r>
    <s v="VIS201076"/>
    <d v="2024-05-08T00:00:00"/>
    <s v="PAT5779"/>
    <s v="Rahul Reddy"/>
    <s v="Female"/>
    <n v="78"/>
    <s v="Trichy"/>
    <s v="Tamil Nadu"/>
    <x v="8"/>
    <s v="Dr. Sneha"/>
    <s v="F41"/>
    <s v="Prescription Refill"/>
    <s v="OPD"/>
    <n v="4255.8"/>
    <s v="Cash"/>
    <s v="No"/>
    <m/>
    <m/>
    <s v="Senior"/>
    <s v="Low"/>
    <s v="Short Days"/>
    <m/>
    <m/>
    <m/>
    <m/>
    <m/>
    <m/>
  </r>
  <r>
    <s v="VIS202403"/>
    <d v="2025-04-17T00:00:00"/>
    <s v="PAT5652"/>
    <s v="Vishal Khan"/>
    <s v="Female"/>
    <n v="58"/>
    <s v="Coimbatore"/>
    <s v="Tamil Nadu"/>
    <x v="7"/>
    <s v="Dr. Surya"/>
    <s v="J45"/>
    <s v="Physiotherapy"/>
    <s v="IPD"/>
    <n v="10149.959999999999"/>
    <s v="UPI"/>
    <s v="No"/>
    <n v="5"/>
    <n v="30"/>
    <s v="Middle-Aged"/>
    <s v="High"/>
    <s v="Short Days"/>
    <m/>
    <m/>
    <m/>
    <m/>
    <m/>
    <m/>
  </r>
  <r>
    <s v="VIS202293"/>
    <d v="2025-04-16T00:00:00"/>
    <s v="PAT5014"/>
    <s v="Aarav Nagar"/>
    <s v="Female"/>
    <n v="66"/>
    <s v="Delhi"/>
    <s v="Delhi"/>
    <x v="3"/>
    <s v="Dr. Anand"/>
    <s v="M54"/>
    <s v="Surgery"/>
    <s v="OPD"/>
    <n v="10154.219999999999"/>
    <s v="Insurance"/>
    <s v="Yes"/>
    <m/>
    <m/>
    <s v="Senior"/>
    <s v="High"/>
    <s v="Short Days"/>
    <m/>
    <m/>
    <m/>
    <m/>
    <m/>
    <m/>
  </r>
  <r>
    <s v="VIS202820"/>
    <d v="2024-07-07T00:00:00"/>
    <s v="PAT6915"/>
    <s v="Rohan Mishra"/>
    <s v="Female"/>
    <n v="56"/>
    <s v="Pune"/>
    <s v="Maharashtra"/>
    <x v="1"/>
    <s v="Dr. Suri"/>
    <s v="K21"/>
    <s v="Medication"/>
    <s v="Teleconsultation"/>
    <n v="5084.57"/>
    <s v="Insurance"/>
    <s v="Yes"/>
    <m/>
    <n v="90"/>
    <s v="Middle-Aged"/>
    <s v="Medium"/>
    <s v="Short Days"/>
    <m/>
    <m/>
    <m/>
    <m/>
    <m/>
    <m/>
  </r>
  <r>
    <s v="VIS200434"/>
    <d v="2024-02-12T00:00:00"/>
    <s v="PAT6818"/>
    <s v="Aishwarya Patel"/>
    <s v="Female"/>
    <n v="43"/>
    <s v="Madurai"/>
    <s v="Tamil Nadu"/>
    <x v="1"/>
    <s v="Dr. Suri"/>
    <s v="L40"/>
    <s v="Medication"/>
    <s v="OPD"/>
    <n v="934.1"/>
    <s v="Net Banking"/>
    <s v="No"/>
    <m/>
    <m/>
    <s v="Middle-Aged"/>
    <s v="Low"/>
    <s v="Short Days"/>
    <m/>
    <m/>
    <m/>
    <m/>
    <m/>
    <m/>
  </r>
  <r>
    <s v="VIS202838"/>
    <d v="2024-04-10T00:00:00"/>
    <s v="PAT6085"/>
    <s v="Vishal Khan"/>
    <s v="Female"/>
    <n v="41"/>
    <s v="Lucknow"/>
    <s v="Uttar Pradesh"/>
    <x v="2"/>
    <s v="Dr. Ramesh"/>
    <s v="M54"/>
    <s v="Counselling"/>
    <s v="OPD"/>
    <n v="811.07"/>
    <s v="Cash"/>
    <s v="No"/>
    <m/>
    <m/>
    <s v="Middle-Aged"/>
    <s v="Low"/>
    <s v="Short Days"/>
    <m/>
    <m/>
    <m/>
    <m/>
    <m/>
    <m/>
  </r>
  <r>
    <s v="VIS202230"/>
    <d v="2024-06-04T00:00:00"/>
    <s v="PAT6761"/>
    <s v="Arjun Das"/>
    <s v="Female"/>
    <n v="22"/>
    <s v="Chennai"/>
    <s v="Tamil Nadu"/>
    <x v="0"/>
    <s v="Dr. Shailesh"/>
    <s v="H10"/>
    <s v="Minor Procedure"/>
    <s v="OPD"/>
    <n v="7849.74"/>
    <s v="Cash"/>
    <s v="No"/>
    <m/>
    <n v="90"/>
    <s v="Adult"/>
    <s v="Medium"/>
    <s v="Short Days"/>
    <m/>
    <m/>
    <m/>
    <m/>
    <m/>
    <m/>
  </r>
  <r>
    <s v="VIS202042"/>
    <d v="2025-08-29T00:00:00"/>
    <s v="PAT6715"/>
    <s v="Vishal Nair"/>
    <s v="Male"/>
    <n v="69"/>
    <s v="Mumbai"/>
    <s v="Maharashtra"/>
    <x v="9"/>
    <s v="Dr. Kusum"/>
    <s v="I10"/>
    <s v="Minor Procedure"/>
    <s v="OPD"/>
    <n v="2051.34"/>
    <s v="UPI"/>
    <s v="No"/>
    <m/>
    <m/>
    <s v="Senior"/>
    <s v="Low"/>
    <s v="Short Days"/>
    <m/>
    <m/>
    <m/>
    <m/>
    <m/>
    <m/>
  </r>
  <r>
    <s v="VIS202106"/>
    <d v="2025-02-08T00:00:00"/>
    <s v="PAT5080"/>
    <s v="Shruti Das"/>
    <s v="Female"/>
    <n v="52"/>
    <s v="Coimbatore"/>
    <s v="Tamil Nadu"/>
    <x v="6"/>
    <s v="Dr. Priya"/>
    <s v="N39"/>
    <s v="Physiotherapy"/>
    <s v="OPD"/>
    <n v="4469.6499999999996"/>
    <s v="Net Banking"/>
    <s v="No"/>
    <m/>
    <n v="30"/>
    <s v="Middle-Aged"/>
    <s v="Low"/>
    <s v="Short Days"/>
    <m/>
    <m/>
    <m/>
    <m/>
    <m/>
    <m/>
  </r>
  <r>
    <s v="VIS200443"/>
    <d v="2025-08-14T00:00:00"/>
    <s v="PAT6209"/>
    <s v="Arjun Das"/>
    <s v="Male"/>
    <n v="0"/>
    <s v="Madurai"/>
    <s v="Tamil Nadu"/>
    <x v="8"/>
    <s v="Dr. Sneha"/>
    <s v="J00"/>
    <s v="Counselling"/>
    <s v="Emergency"/>
    <n v="5038.8"/>
    <s v="Cash"/>
    <s v="No"/>
    <m/>
    <n v="30"/>
    <s v="Child"/>
    <s v="Medium"/>
    <s v="Short Days"/>
    <m/>
    <m/>
    <m/>
    <m/>
    <m/>
    <m/>
  </r>
  <r>
    <s v="VIS202408"/>
    <d v="2025-10-17T00:00:00"/>
    <s v="PAT5529"/>
    <s v="Sangeetha Gupta"/>
    <s v="Female"/>
    <n v="73"/>
    <s v="Trichy"/>
    <s v="Tamil Nadu"/>
    <x v="2"/>
    <s v="Dr. Ramesh"/>
    <s v="H10"/>
    <s v="Minor Procedure"/>
    <s v="IPD"/>
    <n v="7307.21"/>
    <s v="Cash"/>
    <s v="No"/>
    <n v="6"/>
    <n v="30"/>
    <s v="Senior"/>
    <s v="Medium"/>
    <s v="Long Days"/>
    <m/>
    <m/>
    <m/>
    <m/>
    <m/>
    <m/>
  </r>
  <r>
    <s v="VIS200959"/>
    <d v="2024-03-17T00:00:00"/>
    <s v="PAT5859"/>
    <s v="Karthik Sharma"/>
    <s v="Female"/>
    <n v="42"/>
    <s v="Bengaluru"/>
    <s v="Karnataka"/>
    <x v="5"/>
    <s v="Dr. Ravi"/>
    <s v="K21"/>
    <s v="Physiotherapy"/>
    <s v="OPD"/>
    <n v="452.83"/>
    <s v="Credit Card"/>
    <s v="No"/>
    <m/>
    <n v="30"/>
    <s v="Middle-Aged"/>
    <s v="Low"/>
    <s v="Short Days"/>
    <m/>
    <m/>
    <m/>
    <m/>
    <m/>
    <m/>
  </r>
  <r>
    <s v="VIS202097"/>
    <d v="2024-01-07T00:00:00"/>
    <s v="PAT6264"/>
    <s v="Vishal Patel"/>
    <s v="Male"/>
    <n v="66"/>
    <s v="Noida"/>
    <s v="Uttar Pradesh"/>
    <x v="8"/>
    <s v="Dr. Kavitha"/>
    <s v="E11"/>
    <s v="Observation"/>
    <s v="OPD"/>
    <n v="6153.02"/>
    <s v="UPI"/>
    <s v="No"/>
    <m/>
    <n v="30"/>
    <s v="Senior"/>
    <s v="Medium"/>
    <s v="Short Days"/>
    <m/>
    <m/>
    <m/>
    <m/>
    <m/>
    <m/>
  </r>
  <r>
    <s v="VIS201336"/>
    <d v="2024-03-21T00:00:00"/>
    <s v="PAT5158"/>
    <s v="Aditya Patel"/>
    <s v="Female"/>
    <n v="0"/>
    <s v="Delhi"/>
    <s v="Delhi"/>
    <x v="0"/>
    <s v="Dr. Nikhil"/>
    <s v="N39"/>
    <s v="Counselling"/>
    <s v="Emergency"/>
    <n v="10185.74"/>
    <s v="Cash"/>
    <s v="No"/>
    <m/>
    <m/>
    <s v="Child"/>
    <s v="High"/>
    <s v="Short Days"/>
    <m/>
    <m/>
    <m/>
    <m/>
    <m/>
    <m/>
  </r>
  <r>
    <s v="VIS201510"/>
    <d v="2024-05-03T00:00:00"/>
    <s v="PAT5075"/>
    <s v="Neha Khan"/>
    <s v="Female"/>
    <n v="42"/>
    <s v="Trichy"/>
    <s v="Tamil Nadu"/>
    <x v="9"/>
    <s v="Dr. Arvind"/>
    <s v="M54"/>
    <s v="Observation"/>
    <s v="Teleconsultation"/>
    <n v="6063.72"/>
    <s v="Debit Card"/>
    <s v="No"/>
    <m/>
    <n v="14"/>
    <s v="Middle-Aged"/>
    <s v="Medium"/>
    <s v="Short Days"/>
    <m/>
    <m/>
    <m/>
    <m/>
    <m/>
    <m/>
  </r>
  <r>
    <s v="VIS202981"/>
    <d v="2024-03-04T00:00:00"/>
    <s v="PAT6280"/>
    <s v="Ananya Nagar"/>
    <s v="Female"/>
    <n v="15"/>
    <s v="Ahmedabad"/>
    <s v="Gujarat"/>
    <x v="2"/>
    <s v="Dr. Manoj"/>
    <s v="J00"/>
    <s v="Minor Surgery"/>
    <s v="OPD"/>
    <n v="5080.2299999999996"/>
    <s v="UPI"/>
    <s v="No"/>
    <m/>
    <m/>
    <s v="Child"/>
    <s v="Medium"/>
    <s v="Short Days"/>
    <m/>
    <m/>
    <m/>
    <m/>
    <m/>
    <m/>
  </r>
  <r>
    <s v="VIS200395"/>
    <d v="2024-02-21T00:00:00"/>
    <s v="PAT5550"/>
    <s v="Rahul Nair"/>
    <s v="Female"/>
    <n v="73"/>
    <s v="Noida"/>
    <s v="Uttar Pradesh"/>
    <x v="2"/>
    <s v="Dr. Manoj"/>
    <s v="J00"/>
    <s v="Medication"/>
    <s v="IPD"/>
    <n v="7472.51"/>
    <s v="Credit Card"/>
    <s v="No"/>
    <n v="8"/>
    <m/>
    <s v="Senior"/>
    <s v="Medium"/>
    <s v="Long Days"/>
    <m/>
    <m/>
    <m/>
    <m/>
    <m/>
    <m/>
  </r>
  <r>
    <s v="VIS202787"/>
    <d v="2024-07-31T00:00:00"/>
    <s v="PAT6159"/>
    <s v="Deepa Kumar"/>
    <s v="Male"/>
    <n v="43"/>
    <s v="Coimbatore"/>
    <s v="Tamil Nadu"/>
    <x v="2"/>
    <s v="Dr. Ramesh"/>
    <s v="K21"/>
    <s v="Counselling"/>
    <s v="IPD"/>
    <n v="6578.42"/>
    <s v="Debit Card"/>
    <s v="No"/>
    <n v="2"/>
    <n v="30"/>
    <s v="Middle-Aged"/>
    <s v="Medium"/>
    <s v="Short Days"/>
    <m/>
    <m/>
    <m/>
    <m/>
    <m/>
    <m/>
  </r>
  <r>
    <s v="VIS202177"/>
    <d v="2024-06-14T00:00:00"/>
    <s v="PAT5394"/>
    <s v="Arjun Singh"/>
    <s v="Other"/>
    <n v="64"/>
    <s v="Bengaluru"/>
    <s v="Karnataka"/>
    <x v="6"/>
    <s v="Dr. Lalitha"/>
    <s v="K21"/>
    <s v="Minor Surgery"/>
    <s v="Teleconsultation"/>
    <n v="6348.29"/>
    <s v="Debit Card"/>
    <s v="No"/>
    <m/>
    <m/>
    <s v="Senior"/>
    <s v="Medium"/>
    <s v="Short Days"/>
    <m/>
    <m/>
    <m/>
    <m/>
    <m/>
    <m/>
  </r>
  <r>
    <s v="VIS202262"/>
    <d v="2024-08-21T00:00:00"/>
    <s v="PAT5445"/>
    <s v="Deepa Jose"/>
    <s v="Male"/>
    <n v="77"/>
    <s v="Bengaluru"/>
    <s v="Karnataka"/>
    <x v="5"/>
    <s v="Dr. Meena"/>
    <s v="E11"/>
    <s v="Counselling"/>
    <s v="OPD"/>
    <n v="1463.89"/>
    <s v="UPI"/>
    <s v="No"/>
    <m/>
    <n v="30"/>
    <s v="Senior"/>
    <s v="Low"/>
    <s v="Short Days"/>
    <m/>
    <m/>
    <m/>
    <m/>
    <m/>
    <m/>
  </r>
  <r>
    <s v="VIS202322"/>
    <d v="2024-10-06T00:00:00"/>
    <s v="PAT6608"/>
    <s v="Vivaan Mishra"/>
    <s v="Female"/>
    <n v="29"/>
    <s v="Kochi"/>
    <s v="Kerala"/>
    <x v="1"/>
    <s v="Dr. Suri"/>
    <s v="L40"/>
    <s v="Surgery"/>
    <s v="OPD"/>
    <n v="1366.64"/>
    <s v="UPI"/>
    <s v="No"/>
    <m/>
    <n v="30"/>
    <s v="Adult"/>
    <s v="Low"/>
    <s v="Short Days"/>
    <m/>
    <m/>
    <m/>
    <m/>
    <m/>
    <m/>
  </r>
  <r>
    <s v="VIS201036"/>
    <d v="2024-06-15T00:00:00"/>
    <s v="PAT5653"/>
    <s v="Shruti Bose"/>
    <s v="Male"/>
    <n v="68"/>
    <s v="Noida"/>
    <s v="Uttar Pradesh"/>
    <x v="4"/>
    <s v="Dr. Bhavana"/>
    <s v="E11"/>
    <s v="Prescription Refill"/>
    <s v="Emergency"/>
    <n v="6018.79"/>
    <s v="Insurance"/>
    <s v="Yes"/>
    <m/>
    <n v="90"/>
    <s v="Senior"/>
    <s v="Medium"/>
    <s v="Short Days"/>
    <m/>
    <m/>
    <m/>
    <m/>
    <m/>
    <m/>
  </r>
  <r>
    <s v="VIS202680"/>
    <d v="2024-07-09T00:00:00"/>
    <s v="PAT6954"/>
    <s v="Siddharth Nagar"/>
    <s v="Male"/>
    <n v="45"/>
    <s v="Kolkata"/>
    <s v="West Bengal"/>
    <x v="6"/>
    <s v="Dr. Lalitha"/>
    <s v="E11"/>
    <s v="Counselling"/>
    <s v="OPD"/>
    <n v="757.56"/>
    <s v="Insurance"/>
    <s v="Yes"/>
    <m/>
    <m/>
    <s v="Middle-Aged"/>
    <s v="Low"/>
    <s v="Short Days"/>
    <m/>
    <m/>
    <m/>
    <m/>
    <m/>
    <m/>
  </r>
  <r>
    <s v="VIS202940"/>
    <d v="2024-12-13T00:00:00"/>
    <s v="PAT5086"/>
    <s v="Rahul Bose"/>
    <s v="Male"/>
    <n v="62"/>
    <s v="Noida"/>
    <s v="Uttar Pradesh"/>
    <x v="4"/>
    <s v="Dr. Varun"/>
    <s v="M54"/>
    <s v="Prescription Refill"/>
    <s v="OPD"/>
    <n v="818.99"/>
    <s v="Cash"/>
    <s v="No"/>
    <m/>
    <n v="7"/>
    <s v="Senior"/>
    <s v="Low"/>
    <s v="Short Days"/>
    <m/>
    <m/>
    <m/>
    <m/>
    <m/>
    <m/>
  </r>
  <r>
    <s v="VIS202282"/>
    <d v="2024-10-10T00:00:00"/>
    <s v="PAT6253"/>
    <s v="Priya Singh"/>
    <s v="Female"/>
    <n v="64"/>
    <s v="Hyderabad"/>
    <s v="Telangana"/>
    <x v="9"/>
    <s v="Dr. Kusum"/>
    <s v="F41"/>
    <s v="Medication"/>
    <s v="OPD"/>
    <n v="5183.96"/>
    <s v="Debit Card"/>
    <s v="No"/>
    <m/>
    <n v="90"/>
    <s v="Senior"/>
    <s v="Medium"/>
    <s v="Short Days"/>
    <m/>
    <m/>
    <m/>
    <m/>
    <m/>
    <m/>
  </r>
  <r>
    <s v="VIS200830"/>
    <d v="2024-09-21T00:00:00"/>
    <s v="PAT6104"/>
    <s v="Neha Das"/>
    <s v="Female"/>
    <n v="50"/>
    <s v="Coimbatore"/>
    <s v="Tamil Nadu"/>
    <x v="2"/>
    <s v="Dr. Ramesh"/>
    <s v="M54"/>
    <s v="Medication"/>
    <s v="OPD"/>
    <n v="2786.74"/>
    <s v="Debit Card"/>
    <s v="No"/>
    <m/>
    <n v="90"/>
    <s v="Middle-Aged"/>
    <s v="Low"/>
    <s v="Short Days"/>
    <m/>
    <m/>
    <m/>
    <m/>
    <m/>
    <m/>
  </r>
  <r>
    <s v="VIS200952"/>
    <d v="2024-10-11T00:00:00"/>
    <s v="PAT6541"/>
    <s v="Aishwarya Patel"/>
    <s v="Male"/>
    <n v="45"/>
    <s v="Bengaluru"/>
    <s v="Karnataka"/>
    <x v="8"/>
    <s v="Dr. Kavitha"/>
    <s v="H10"/>
    <s v="Medication"/>
    <s v="OPD"/>
    <n v="12166.17"/>
    <s v="Cash"/>
    <s v="No"/>
    <m/>
    <n v="30"/>
    <s v="Middle-Aged"/>
    <s v="High"/>
    <s v="Short Days"/>
    <m/>
    <m/>
    <m/>
    <m/>
    <m/>
    <m/>
  </r>
  <r>
    <s v="VIS202520"/>
    <d v="2025-03-04T00:00:00"/>
    <s v="PAT6335"/>
    <s v="Manisha Das"/>
    <s v="Male"/>
    <n v="13"/>
    <s v="Coimbatore"/>
    <s v="Tamil Nadu"/>
    <x v="9"/>
    <s v="Dr. Arvind"/>
    <s v="K21"/>
    <s v="Surgery"/>
    <s v="Teleconsultation"/>
    <n v="11301.46"/>
    <s v="Debit Card"/>
    <s v="No"/>
    <m/>
    <n v="30"/>
    <s v="Child"/>
    <s v="High"/>
    <s v="Short Days"/>
    <m/>
    <m/>
    <m/>
    <m/>
    <m/>
    <m/>
  </r>
  <r>
    <s v="VIS200238"/>
    <d v="2024-12-16T00:00:00"/>
    <s v="PAT5364"/>
    <s v="Siddharth Kumar"/>
    <s v="Male"/>
    <n v="53"/>
    <s v="Kochi"/>
    <s v="Kerala"/>
    <x v="1"/>
    <s v="Dr. Suri"/>
    <s v="M54"/>
    <s v="Surgery"/>
    <s v="Teleconsultation"/>
    <n v="15626.68"/>
    <s v="Insurance"/>
    <s v="Yes"/>
    <m/>
    <n v="14"/>
    <s v="Middle-Aged"/>
    <s v="High"/>
    <s v="Short Days"/>
    <m/>
    <m/>
    <m/>
    <m/>
    <m/>
    <m/>
  </r>
  <r>
    <s v="VIS200956"/>
    <d v="2024-09-26T00:00:00"/>
    <s v="PAT5772"/>
    <s v="Sangeetha Nagar"/>
    <s v="Male"/>
    <n v="17"/>
    <s v="Kolkata"/>
    <s v="West Bengal"/>
    <x v="2"/>
    <s v="Dr. Ramesh"/>
    <s v="I10"/>
    <s v="Minor Surgery"/>
    <s v="Teleconsultation"/>
    <n v="22440.78"/>
    <s v="Credit Card"/>
    <s v="No"/>
    <m/>
    <n v="30"/>
    <s v="Child"/>
    <s v="High"/>
    <s v="Short Days"/>
    <m/>
    <m/>
    <m/>
    <m/>
    <m/>
    <m/>
  </r>
  <r>
    <s v="VIS202781"/>
    <d v="2025-02-20T00:00:00"/>
    <s v="PAT5526"/>
    <s v="Siddharth Khan"/>
    <s v="Male"/>
    <n v="26"/>
    <s v="Jaipur"/>
    <s v="Rajasthan"/>
    <x v="6"/>
    <s v="Dr. Lalitha"/>
    <s v="H10"/>
    <s v="Minor Procedure"/>
    <s v="Teleconsultation"/>
    <n v="5090.45"/>
    <s v="Insurance"/>
    <s v="Yes"/>
    <m/>
    <m/>
    <s v="Adult"/>
    <s v="Medium"/>
    <s v="Short Days"/>
    <m/>
    <m/>
    <m/>
    <m/>
    <m/>
    <m/>
  </r>
  <r>
    <s v="VIS202395"/>
    <d v="2024-06-29T00:00:00"/>
    <s v="PAT5309"/>
    <s v="Rahul Nair"/>
    <s v="Male"/>
    <n v="20"/>
    <s v="Coimbatore"/>
    <s v="Tamil Nadu"/>
    <x v="5"/>
    <s v="Dr. Ravi"/>
    <s v="K21"/>
    <s v="Physiotherapy"/>
    <s v="Teleconsultation"/>
    <n v="28206.85"/>
    <s v="Cash"/>
    <s v="No"/>
    <m/>
    <n v="30"/>
    <s v="Adult"/>
    <s v="High"/>
    <s v="Short Days"/>
    <m/>
    <m/>
    <m/>
    <m/>
    <m/>
    <m/>
  </r>
  <r>
    <s v="VIS201653"/>
    <d v="2025-05-05T00:00:00"/>
    <s v="PAT5055"/>
    <s v="Vivaan Jose"/>
    <s v="Female"/>
    <n v="7"/>
    <s v="Trichy"/>
    <s v="Tamil Nadu"/>
    <x v="0"/>
    <s v="Dr. Nikhil"/>
    <s v="J00"/>
    <s v="Prescription Refill"/>
    <s v="OPD"/>
    <n v="2089.86"/>
    <s v="Cash"/>
    <s v="No"/>
    <m/>
    <n v="14"/>
    <s v="Child"/>
    <s v="Low"/>
    <s v="Short Days"/>
    <m/>
    <m/>
    <m/>
    <m/>
    <m/>
    <m/>
  </r>
  <r>
    <s v="VIS202289"/>
    <d v="2025-03-04T00:00:00"/>
    <s v="PAT6687"/>
    <s v="Ananya Kumar"/>
    <s v="Male"/>
    <n v="65"/>
    <s v="Chennai"/>
    <s v="Tamil Nadu"/>
    <x v="5"/>
    <s v="Dr. Ravi"/>
    <s v="I10"/>
    <s v="Prescription Refill"/>
    <s v="Emergency"/>
    <n v="7831.83"/>
    <s v="UPI"/>
    <s v="No"/>
    <m/>
    <n v="7"/>
    <s v="Senior"/>
    <s v="Medium"/>
    <s v="Short Days"/>
    <m/>
    <m/>
    <m/>
    <m/>
    <m/>
    <m/>
  </r>
  <r>
    <s v="VIS201320"/>
    <d v="2025-04-25T00:00:00"/>
    <s v="PAT5996"/>
    <s v="Shruti Patel"/>
    <s v="Female"/>
    <n v="45"/>
    <s v="Hyderabad"/>
    <s v="Telangana"/>
    <x v="4"/>
    <s v="Dr. Varun"/>
    <s v="L40"/>
    <s v="Minor Procedure"/>
    <s v="OPD"/>
    <n v="189.21"/>
    <s v="Net Banking"/>
    <s v="No"/>
    <m/>
    <n v="30"/>
    <s v="Middle-Aged"/>
    <s v="Low"/>
    <s v="Short Days"/>
    <m/>
    <m/>
    <m/>
    <m/>
    <m/>
    <m/>
  </r>
  <r>
    <s v="VIS202619"/>
    <d v="2025-06-02T00:00:00"/>
    <s v="PAT5951"/>
    <s v="Aarav Iyer"/>
    <s v="Female"/>
    <n v="16"/>
    <s v="Madurai"/>
    <s v="Tamil Nadu"/>
    <x v="0"/>
    <s v="Dr. Nikhil"/>
    <s v="J45"/>
    <s v="Physiotherapy"/>
    <s v="OPD"/>
    <n v="7730.32"/>
    <s v="Insurance"/>
    <s v="Yes"/>
    <m/>
    <n v="14"/>
    <s v="Child"/>
    <s v="Medium"/>
    <s v="Short Days"/>
    <m/>
    <m/>
    <m/>
    <m/>
    <m/>
    <m/>
  </r>
  <r>
    <s v="VIS200436"/>
    <d v="2024-03-22T00:00:00"/>
    <s v="PAT6721"/>
    <s v="Ishaan Mishra"/>
    <s v="Female"/>
    <n v="35"/>
    <s v="Mumbai"/>
    <s v="Maharashtra"/>
    <x v="2"/>
    <s v="Dr. Ramesh"/>
    <s v="K21"/>
    <s v="Medication"/>
    <s v="OPD"/>
    <n v="14078.98"/>
    <s v="Cash"/>
    <s v="No"/>
    <m/>
    <n v="7"/>
    <s v="Adult"/>
    <s v="High"/>
    <s v="Short Days"/>
    <m/>
    <m/>
    <m/>
    <m/>
    <m/>
    <m/>
  </r>
  <r>
    <s v="VIS201558"/>
    <d v="2024-02-13T00:00:00"/>
    <s v="PAT6949"/>
    <s v="Kavya Nair"/>
    <s v="Female"/>
    <n v="27"/>
    <s v="Madurai"/>
    <s v="Tamil Nadu"/>
    <x v="6"/>
    <s v="Dr. Priya"/>
    <s v="E11"/>
    <s v="Medication"/>
    <s v="OPD"/>
    <n v="2684.46"/>
    <s v="Debit Card"/>
    <s v="No"/>
    <m/>
    <n v="30"/>
    <s v="Adult"/>
    <s v="Low"/>
    <s v="Short Days"/>
    <m/>
    <m/>
    <m/>
    <m/>
    <m/>
    <m/>
  </r>
  <r>
    <s v="VIS200577"/>
    <d v="2025-09-09T00:00:00"/>
    <s v="PAT6004"/>
    <s v="Aarav Nagar"/>
    <s v="Male"/>
    <n v="11"/>
    <s v="Kolkata"/>
    <s v="West Bengal"/>
    <x v="3"/>
    <s v="Dr. Pallavi"/>
    <s v="F41"/>
    <s v="Physiotherapy"/>
    <s v="OPD"/>
    <n v="3793.67"/>
    <s v="Insurance"/>
    <s v="Yes"/>
    <m/>
    <n v="7"/>
    <s v="Child"/>
    <s v="Low"/>
    <s v="Short Days"/>
    <m/>
    <m/>
    <m/>
    <m/>
    <m/>
    <m/>
  </r>
  <r>
    <s v="VIS201149"/>
    <d v="2025-09-19T00:00:00"/>
    <s v="PAT5965"/>
    <s v="Rahul Reddy"/>
    <s v="Female"/>
    <n v="47"/>
    <s v="Hyderabad"/>
    <s v="Telangana"/>
    <x v="9"/>
    <s v="Dr. Kusum"/>
    <s v="N39"/>
    <s v="Surgery"/>
    <s v="OPD"/>
    <n v="3565.49"/>
    <s v="Insurance"/>
    <s v="Yes"/>
    <m/>
    <n v="90"/>
    <s v="Middle-Aged"/>
    <s v="Low"/>
    <s v="Short Days"/>
    <m/>
    <m/>
    <m/>
    <m/>
    <m/>
    <m/>
  </r>
  <r>
    <s v="VIS200918"/>
    <d v="2024-02-11T00:00:00"/>
    <s v="PAT5148"/>
    <s v="Vivaan Jose"/>
    <s v="Female"/>
    <n v="34"/>
    <s v="Lucknow"/>
    <s v="Uttar Pradesh"/>
    <x v="9"/>
    <s v="Dr. Arvind"/>
    <s v="M54"/>
    <s v="Prescription Refill"/>
    <s v="OPD"/>
    <n v="6300.02"/>
    <s v="Insurance"/>
    <s v="Yes"/>
    <m/>
    <n v="30"/>
    <s v="Adult"/>
    <s v="Medium"/>
    <s v="Short Days"/>
    <m/>
    <m/>
    <m/>
    <m/>
    <m/>
    <m/>
  </r>
  <r>
    <s v="VIS201787"/>
    <d v="2025-11-04T00:00:00"/>
    <s v="PAT5047"/>
    <s v="Aarav Reddy"/>
    <s v="Female"/>
    <n v="44"/>
    <s v="Madurai"/>
    <s v="Tamil Nadu"/>
    <x v="4"/>
    <s v="Dr. Bhavana"/>
    <s v="H10"/>
    <s v="Medication"/>
    <s v="OPD"/>
    <n v="3012.99"/>
    <s v="UPI"/>
    <s v="No"/>
    <m/>
    <n v="14"/>
    <s v="Middle-Aged"/>
    <s v="Low"/>
    <s v="Short Days"/>
    <m/>
    <m/>
    <m/>
    <m/>
    <m/>
    <m/>
  </r>
  <r>
    <s v="VIS202104"/>
    <d v="2024-04-28T00:00:00"/>
    <s v="PAT6091"/>
    <s v="Kavya Das"/>
    <s v="Male"/>
    <n v="38"/>
    <s v="Jaipur"/>
    <s v="Rajasthan"/>
    <x v="2"/>
    <s v="Dr. Ramesh"/>
    <s v="K21"/>
    <s v="Surgery"/>
    <s v="OPD"/>
    <n v="1111.17"/>
    <s v="Debit Card"/>
    <s v="No"/>
    <m/>
    <n v="14"/>
    <s v="Adult"/>
    <s v="Low"/>
    <s v="Short Days"/>
    <m/>
    <m/>
    <m/>
    <m/>
    <m/>
    <m/>
  </r>
  <r>
    <s v="VIS200501"/>
    <d v="2024-02-14T00:00:00"/>
    <s v="PAT5072"/>
    <s v="Siddharth Jose"/>
    <s v="Female"/>
    <n v="33"/>
    <s v="Lucknow"/>
    <s v="Uttar Pradesh"/>
    <x v="2"/>
    <s v="Dr. Ramesh"/>
    <s v="F41"/>
    <s v="Physiotherapy"/>
    <s v="OPD"/>
    <n v="353.43"/>
    <s v="Insurance"/>
    <s v="Yes"/>
    <m/>
    <n v="30"/>
    <s v="Adult"/>
    <s v="Low"/>
    <s v="Short Days"/>
    <m/>
    <m/>
    <m/>
    <m/>
    <m/>
    <m/>
  </r>
  <r>
    <s v="VIS202686"/>
    <d v="2024-06-28T00:00:00"/>
    <s v="PAT5522"/>
    <s v="Vishal Gupta"/>
    <s v="Other"/>
    <n v="46"/>
    <s v="Mumbai"/>
    <s v="Maharashtra"/>
    <x v="8"/>
    <s v="Dr. Sneha"/>
    <s v="N39"/>
    <s v="Physiotherapy"/>
    <s v="OPD"/>
    <n v="1081.48"/>
    <s v="UPI"/>
    <s v="No"/>
    <m/>
    <m/>
    <s v="Middle-Aged"/>
    <s v="Low"/>
    <s v="Short Days"/>
    <m/>
    <m/>
    <m/>
    <m/>
    <m/>
    <m/>
  </r>
  <r>
    <s v="VIS200348"/>
    <d v="2024-07-03T00:00:00"/>
    <s v="PAT5237"/>
    <s v="Kavya Das"/>
    <s v="Female"/>
    <n v="46"/>
    <s v="Delhi"/>
    <s v="Delhi"/>
    <x v="5"/>
    <s v="Dr. Karthik"/>
    <s v="J45"/>
    <s v="Minor Surgery"/>
    <s v="OPD"/>
    <n v="13497.77"/>
    <s v="Insurance"/>
    <s v="Yes"/>
    <m/>
    <n v="90"/>
    <s v="Middle-Aged"/>
    <s v="High"/>
    <s v="Short Days"/>
    <m/>
    <m/>
    <m/>
    <m/>
    <m/>
    <m/>
  </r>
  <r>
    <s v="VIS200382"/>
    <d v="2025-07-08T00:00:00"/>
    <s v="PAT5857"/>
    <s v="Rohan Sharma"/>
    <s v="Female"/>
    <n v="58"/>
    <s v="Jaipur"/>
    <s v="Rajasthan"/>
    <x v="9"/>
    <s v="Dr. Kusum"/>
    <s v="L40"/>
    <s v="Minor Surgery"/>
    <s v="IPD"/>
    <n v="6892.86"/>
    <s v="Cash"/>
    <s v="No"/>
    <n v="4"/>
    <n v="30"/>
    <s v="Middle-Aged"/>
    <s v="Medium"/>
    <s v="Short Days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14" firstHeaderRow="1" firstDataRow="1" firstDataCol="1"/>
  <pivotFields count="27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6"/>
        <item x="9"/>
        <item x="5"/>
        <item x="8"/>
        <item x="4"/>
        <item x="3"/>
        <item x="2"/>
        <item x="1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Bill_Amount" fld="13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4"/>
  <sheetViews>
    <sheetView tabSelected="1" workbookViewId="0">
      <selection activeCell="K22" sqref="K22"/>
    </sheetView>
  </sheetViews>
  <sheetFormatPr defaultRowHeight="15"/>
  <cols>
    <col min="1" max="1" width="16.85546875" bestFit="1" customWidth="1"/>
    <col min="2" max="2" width="18.85546875" bestFit="1" customWidth="1"/>
    <col min="4" max="5" width="9.140625" customWidth="1"/>
    <col min="13" max="14" width="9.140625" customWidth="1"/>
  </cols>
  <sheetData>
    <row r="3" spans="1:2">
      <c r="A3" s="13" t="s">
        <v>4962</v>
      </c>
      <c r="B3" t="s">
        <v>4964</v>
      </c>
    </row>
    <row r="4" spans="1:2">
      <c r="A4" s="14" t="s">
        <v>4893</v>
      </c>
      <c r="B4" s="15">
        <v>2063352.7999999998</v>
      </c>
    </row>
    <row r="5" spans="1:2">
      <c r="A5" s="14" t="s">
        <v>4899</v>
      </c>
      <c r="B5" s="15">
        <v>1936444.9199999988</v>
      </c>
    </row>
    <row r="6" spans="1:2">
      <c r="A6" s="14" t="s">
        <v>4902</v>
      </c>
      <c r="B6" s="15">
        <v>1813648.5499999989</v>
      </c>
    </row>
    <row r="7" spans="1:2">
      <c r="A7" s="14" t="s">
        <v>4898</v>
      </c>
      <c r="B7" s="15">
        <v>2086532.0300000012</v>
      </c>
    </row>
    <row r="8" spans="1:2">
      <c r="A8" s="14" t="s">
        <v>4901</v>
      </c>
      <c r="B8" s="15">
        <v>1912873.5199999993</v>
      </c>
    </row>
    <row r="9" spans="1:2">
      <c r="A9" s="14" t="s">
        <v>4897</v>
      </c>
      <c r="B9" s="15">
        <v>2032275.4300000004</v>
      </c>
    </row>
    <row r="10" spans="1:2">
      <c r="A10" s="14" t="s">
        <v>4896</v>
      </c>
      <c r="B10" s="15">
        <v>1993165.3399999987</v>
      </c>
    </row>
    <row r="11" spans="1:2">
      <c r="A11" s="14" t="s">
        <v>4895</v>
      </c>
      <c r="B11" s="15">
        <v>1982693.9499999983</v>
      </c>
    </row>
    <row r="12" spans="1:2">
      <c r="A12" s="14" t="s">
        <v>4894</v>
      </c>
      <c r="B12" s="15">
        <v>2151248.350000001</v>
      </c>
    </row>
    <row r="13" spans="1:2">
      <c r="A13" s="14" t="s">
        <v>4900</v>
      </c>
      <c r="B13" s="15">
        <v>2157022.9200000013</v>
      </c>
    </row>
    <row r="14" spans="1:2">
      <c r="A14" s="14" t="s">
        <v>4963</v>
      </c>
      <c r="B14" s="15">
        <v>20129257.809999999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001"/>
  <sheetViews>
    <sheetView workbookViewId="0">
      <selection activeCell="U3" sqref="U3"/>
    </sheetView>
  </sheetViews>
  <sheetFormatPr defaultRowHeight="15"/>
  <cols>
    <col min="1" max="1" width="13.140625" customWidth="1"/>
    <col min="2" max="2" width="17.5703125" style="7" customWidth="1"/>
    <col min="3" max="3" width="15.42578125" customWidth="1"/>
    <col min="4" max="4" width="16.5703125" customWidth="1"/>
    <col min="5" max="5" width="11" customWidth="1"/>
    <col min="6" max="6" width="9.42578125" customWidth="1"/>
    <col min="7" max="7" width="12.28515625" customWidth="1"/>
    <col min="8" max="8" width="13.7109375" customWidth="1"/>
    <col min="9" max="9" width="16.140625" customWidth="1"/>
    <col min="10" max="10" width="14" customWidth="1"/>
    <col min="11" max="11" width="16" customWidth="1"/>
    <col min="12" max="12" width="19.42578125" customWidth="1"/>
    <col min="13" max="13" width="15.28515625" customWidth="1"/>
    <col min="14" max="14" width="16.5703125" style="11" customWidth="1"/>
    <col min="15" max="15" width="15.85546875" customWidth="1"/>
    <col min="16" max="16" width="16.140625" customWidth="1"/>
    <col min="17" max="17" width="16.5703125" customWidth="1"/>
    <col min="18" max="18" width="16.42578125" customWidth="1"/>
    <col min="19" max="19" width="16" customWidth="1"/>
    <col min="20" max="20" width="14.28515625" customWidth="1"/>
    <col min="21" max="21" width="13" customWidth="1"/>
    <col min="22" max="22" width="16.42578125" customWidth="1"/>
    <col min="23" max="23" width="21.42578125" customWidth="1"/>
    <col min="24" max="24" width="17.140625" customWidth="1"/>
    <col min="25" max="25" width="23.42578125" customWidth="1"/>
    <col min="26" max="26" width="10.42578125" customWidth="1"/>
    <col min="27" max="27" width="28" customWidth="1"/>
  </cols>
  <sheetData>
    <row r="1" spans="1:27" s="4" customFormat="1" ht="15.75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9" t="s">
        <v>13</v>
      </c>
      <c r="O1" s="3" t="s">
        <v>14</v>
      </c>
      <c r="P1" s="3" t="s">
        <v>4961</v>
      </c>
      <c r="Q1" s="3" t="s">
        <v>16</v>
      </c>
      <c r="R1" s="3" t="s">
        <v>17</v>
      </c>
      <c r="S1" s="1" t="s">
        <v>4954</v>
      </c>
      <c r="T1" s="2" t="s">
        <v>4955</v>
      </c>
      <c r="U1" s="2" t="s">
        <v>4956</v>
      </c>
      <c r="V1" s="8" t="s">
        <v>12</v>
      </c>
      <c r="W1" s="2" t="s">
        <v>4957</v>
      </c>
      <c r="X1" s="8" t="s">
        <v>4958</v>
      </c>
      <c r="Y1" s="2" t="s">
        <v>4959</v>
      </c>
      <c r="Z1" s="8" t="s">
        <v>4</v>
      </c>
      <c r="AA1" s="8" t="s">
        <v>4960</v>
      </c>
    </row>
    <row r="2" spans="1:27">
      <c r="A2" t="s">
        <v>18</v>
      </c>
      <c r="B2" s="5">
        <v>45742</v>
      </c>
      <c r="C2" t="s">
        <v>3018</v>
      </c>
      <c r="D2" t="s">
        <v>4586</v>
      </c>
      <c r="E2" t="s">
        <v>4866</v>
      </c>
      <c r="F2">
        <v>25</v>
      </c>
      <c r="G2" t="s">
        <v>4869</v>
      </c>
      <c r="H2" t="s">
        <v>4884</v>
      </c>
      <c r="I2" t="s">
        <v>4893</v>
      </c>
      <c r="J2" t="s">
        <v>4903</v>
      </c>
      <c r="K2" t="s">
        <v>4924</v>
      </c>
      <c r="L2" t="s">
        <v>4934</v>
      </c>
      <c r="M2" t="s">
        <v>4942</v>
      </c>
      <c r="N2" s="11">
        <v>124.49</v>
      </c>
      <c r="O2" t="s">
        <v>4946</v>
      </c>
      <c r="P2" t="s">
        <v>4951</v>
      </c>
      <c r="R2">
        <v>14</v>
      </c>
      <c r="S2" t="str">
        <f>IF(F2&lt;18,"Child",IF(F2&lt;=40,"Adult",IF(F2&lt;=60,"Middle-Aged",IF(F2,"Senior"))))</f>
        <v>Adult</v>
      </c>
      <c r="T2" t="str">
        <f>IF(N2&lt;=5000,"Low",IF(N2&lt;=10000,"Medium","High"))</f>
        <v>Low</v>
      </c>
      <c r="U2" t="str">
        <f>IF(Q2&lt;=5,"Short Days","Long Days")</f>
        <v>Short Days</v>
      </c>
    </row>
    <row r="3" spans="1:27">
      <c r="A3" t="s">
        <v>19</v>
      </c>
      <c r="B3" s="5">
        <v>45774</v>
      </c>
      <c r="C3" t="s">
        <v>3019</v>
      </c>
      <c r="D3" t="s">
        <v>4587</v>
      </c>
      <c r="E3" t="s">
        <v>4867</v>
      </c>
      <c r="F3">
        <v>25</v>
      </c>
      <c r="G3" t="s">
        <v>4869</v>
      </c>
      <c r="H3" t="s">
        <v>4884</v>
      </c>
      <c r="I3" t="s">
        <v>4893</v>
      </c>
      <c r="J3" t="s">
        <v>4903</v>
      </c>
      <c r="K3" t="s">
        <v>4925</v>
      </c>
      <c r="L3" t="s">
        <v>4935</v>
      </c>
      <c r="M3" t="s">
        <v>4943</v>
      </c>
      <c r="N3" s="11">
        <v>15686.56</v>
      </c>
      <c r="O3" t="s">
        <v>4947</v>
      </c>
      <c r="P3" t="s">
        <v>4951</v>
      </c>
      <c r="R3">
        <v>14</v>
      </c>
      <c r="S3" t="str">
        <f t="shared" ref="S3:S66" si="0">IF(F3&lt;18,"Child",IF(F3&lt;=40,"Adult",IF(F3&lt;=60,"Middle-Aged",IF(F3,"Senior"))))</f>
        <v>Adult</v>
      </c>
      <c r="T3" t="str">
        <f t="shared" ref="T3:T66" si="1">IF(N3&lt;=5000,"Low",IF(N3&lt;=10000,"Medium","High"))</f>
        <v>High</v>
      </c>
      <c r="U3" t="str">
        <f t="shared" ref="U3:U66" si="2">IF(Q3&lt;=5,"Short Days","Long Days")</f>
        <v>Short Days</v>
      </c>
      <c r="V3" t="s">
        <v>4942</v>
      </c>
      <c r="W3">
        <f>AVERAGEIF(M:M,V3,N:N)</f>
        <v>4973.8168672839583</v>
      </c>
      <c r="X3">
        <f>COUNTIF(O:O,O4)</f>
        <v>592</v>
      </c>
      <c r="Y3">
        <f>MAX(I:I,N:N)</f>
        <v>45628.09</v>
      </c>
      <c r="Z3" t="s">
        <v>4867</v>
      </c>
      <c r="AA3">
        <f t="array" ref="AA3">COUNTIFS(E:E,Z3,I:I,I17)</f>
        <v>137</v>
      </c>
    </row>
    <row r="4" spans="1:27">
      <c r="A4" t="s">
        <v>20</v>
      </c>
      <c r="B4" s="5">
        <v>45720</v>
      </c>
      <c r="C4" t="s">
        <v>3020</v>
      </c>
      <c r="D4" t="s">
        <v>4588</v>
      </c>
      <c r="E4" t="s">
        <v>4866</v>
      </c>
      <c r="F4">
        <v>40</v>
      </c>
      <c r="G4" t="s">
        <v>4870</v>
      </c>
      <c r="H4" t="s">
        <v>4885</v>
      </c>
      <c r="I4" t="s">
        <v>4894</v>
      </c>
      <c r="J4" t="s">
        <v>4904</v>
      </c>
      <c r="K4" t="s">
        <v>4926</v>
      </c>
      <c r="L4" t="s">
        <v>4936</v>
      </c>
      <c r="M4" t="s">
        <v>4944</v>
      </c>
      <c r="N4" s="11">
        <v>8996.7099999999991</v>
      </c>
      <c r="O4" t="s">
        <v>15</v>
      </c>
      <c r="P4" t="s">
        <v>4952</v>
      </c>
      <c r="S4" t="str">
        <f t="shared" si="0"/>
        <v>Adult</v>
      </c>
      <c r="T4" t="str">
        <f t="shared" si="1"/>
        <v>Medium</v>
      </c>
      <c r="U4" t="str">
        <f t="shared" si="2"/>
        <v>Short Days</v>
      </c>
      <c r="V4" t="s">
        <v>4943</v>
      </c>
      <c r="W4">
        <f t="array" ref="W4">AVERAGEIF(M:M,V4,N:N)</f>
        <v>10200.642226720651</v>
      </c>
      <c r="Z4" t="s">
        <v>4866</v>
      </c>
      <c r="AA4">
        <f>COUNTIFS(E:E,Z4,I:I,I18)</f>
        <v>145</v>
      </c>
    </row>
    <row r="5" spans="1:27">
      <c r="A5" t="s">
        <v>21</v>
      </c>
      <c r="B5" s="5">
        <v>45523</v>
      </c>
      <c r="C5" t="s">
        <v>3021</v>
      </c>
      <c r="D5" t="s">
        <v>4589</v>
      </c>
      <c r="E5" t="s">
        <v>4867</v>
      </c>
      <c r="F5">
        <v>24</v>
      </c>
      <c r="G5" t="s">
        <v>4871</v>
      </c>
      <c r="H5" t="s">
        <v>4886</v>
      </c>
      <c r="I5" t="s">
        <v>4895</v>
      </c>
      <c r="J5" t="s">
        <v>4905</v>
      </c>
      <c r="K5" t="s">
        <v>4927</v>
      </c>
      <c r="L5" t="s">
        <v>4936</v>
      </c>
      <c r="M5" t="s">
        <v>4942</v>
      </c>
      <c r="N5" s="11">
        <v>1348.96</v>
      </c>
      <c r="O5" t="s">
        <v>4948</v>
      </c>
      <c r="P5" s="12" t="s">
        <v>4951</v>
      </c>
      <c r="R5">
        <v>30</v>
      </c>
      <c r="S5" t="str">
        <f t="shared" si="0"/>
        <v>Adult</v>
      </c>
      <c r="T5" t="str">
        <f t="shared" si="1"/>
        <v>Low</v>
      </c>
      <c r="U5" t="str">
        <f t="shared" si="2"/>
        <v>Short Days</v>
      </c>
      <c r="V5" t="s">
        <v>4944</v>
      </c>
      <c r="W5">
        <f t="array" ref="W5">AVERAGEIF(M:M,V5,N:N)</f>
        <v>9838.5424068323009</v>
      </c>
    </row>
    <row r="6" spans="1:27">
      <c r="A6" t="s">
        <v>22</v>
      </c>
      <c r="B6" s="5">
        <v>45833</v>
      </c>
      <c r="C6" t="s">
        <v>3022</v>
      </c>
      <c r="D6" t="s">
        <v>4590</v>
      </c>
      <c r="E6" t="s">
        <v>4867</v>
      </c>
      <c r="F6">
        <v>35</v>
      </c>
      <c r="G6" t="s">
        <v>4869</v>
      </c>
      <c r="H6" t="s">
        <v>4884</v>
      </c>
      <c r="I6" t="s">
        <v>4896</v>
      </c>
      <c r="J6" t="s">
        <v>4906</v>
      </c>
      <c r="K6" t="s">
        <v>4928</v>
      </c>
      <c r="L6" t="s">
        <v>4937</v>
      </c>
      <c r="M6" t="s">
        <v>4944</v>
      </c>
      <c r="N6" s="11">
        <v>15975.72</v>
      </c>
      <c r="O6" t="s">
        <v>4946</v>
      </c>
      <c r="P6" t="s">
        <v>4951</v>
      </c>
      <c r="R6">
        <v>90</v>
      </c>
      <c r="S6" t="str">
        <f t="shared" si="0"/>
        <v>Adult</v>
      </c>
      <c r="T6" t="str">
        <f t="shared" si="1"/>
        <v>High</v>
      </c>
      <c r="U6" t="str">
        <f t="shared" si="2"/>
        <v>Short Days</v>
      </c>
      <c r="V6" t="s">
        <v>4945</v>
      </c>
      <c r="W6">
        <f t="array" ref="W6">AVERAGEIF(M:M,V6,N:N)</f>
        <v>9724.7144242424256</v>
      </c>
    </row>
    <row r="7" spans="1:27">
      <c r="A7" t="s">
        <v>23</v>
      </c>
      <c r="B7" s="5">
        <v>45307</v>
      </c>
      <c r="C7" t="s">
        <v>3023</v>
      </c>
      <c r="D7" t="s">
        <v>4591</v>
      </c>
      <c r="E7" t="s">
        <v>4867</v>
      </c>
      <c r="F7">
        <v>27</v>
      </c>
      <c r="G7" t="s">
        <v>4872</v>
      </c>
      <c r="H7" t="s">
        <v>4887</v>
      </c>
      <c r="I7" t="s">
        <v>4897</v>
      </c>
      <c r="J7" t="s">
        <v>4907</v>
      </c>
      <c r="K7" t="s">
        <v>4925</v>
      </c>
      <c r="L7" t="s">
        <v>4938</v>
      </c>
      <c r="M7" t="s">
        <v>4943</v>
      </c>
      <c r="N7" s="11">
        <v>6817.87</v>
      </c>
      <c r="O7" t="s">
        <v>4946</v>
      </c>
      <c r="P7" t="s">
        <v>4951</v>
      </c>
      <c r="Q7" s="10"/>
      <c r="R7">
        <v>30</v>
      </c>
      <c r="S7" t="str">
        <f t="shared" si="0"/>
        <v>Adult</v>
      </c>
      <c r="T7" t="str">
        <f t="shared" si="1"/>
        <v>Medium</v>
      </c>
      <c r="U7" t="str">
        <f t="shared" si="2"/>
        <v>Short Days</v>
      </c>
    </row>
    <row r="8" spans="1:27">
      <c r="A8" t="s">
        <v>24</v>
      </c>
      <c r="B8" s="5">
        <v>45423</v>
      </c>
      <c r="C8" t="s">
        <v>3024</v>
      </c>
      <c r="D8" t="s">
        <v>4592</v>
      </c>
      <c r="E8" t="s">
        <v>4866</v>
      </c>
      <c r="F8">
        <v>12</v>
      </c>
      <c r="G8" t="s">
        <v>4872</v>
      </c>
      <c r="H8" t="s">
        <v>4887</v>
      </c>
      <c r="I8" t="s">
        <v>4895</v>
      </c>
      <c r="J8" t="s">
        <v>4905</v>
      </c>
      <c r="K8" t="s">
        <v>4929</v>
      </c>
      <c r="L8" t="s">
        <v>4934</v>
      </c>
      <c r="M8" t="s">
        <v>4945</v>
      </c>
      <c r="N8" s="11">
        <v>12915.34</v>
      </c>
      <c r="O8" t="s">
        <v>4949</v>
      </c>
      <c r="P8" t="s">
        <v>4951</v>
      </c>
      <c r="Q8">
        <v>9</v>
      </c>
      <c r="R8">
        <v>90</v>
      </c>
      <c r="S8" t="str">
        <f t="shared" si="0"/>
        <v>Child</v>
      </c>
      <c r="T8" t="str">
        <f t="shared" si="1"/>
        <v>High</v>
      </c>
      <c r="U8" t="str">
        <f t="shared" si="2"/>
        <v>Long Days</v>
      </c>
    </row>
    <row r="9" spans="1:27">
      <c r="A9" t="s">
        <v>25</v>
      </c>
      <c r="B9" s="5">
        <v>45681</v>
      </c>
      <c r="C9" t="s">
        <v>3025</v>
      </c>
      <c r="D9" t="s">
        <v>4593</v>
      </c>
      <c r="E9" t="s">
        <v>4866</v>
      </c>
      <c r="F9">
        <v>54</v>
      </c>
      <c r="G9" t="s">
        <v>4873</v>
      </c>
      <c r="H9" t="s">
        <v>4888</v>
      </c>
      <c r="I9" t="s">
        <v>4897</v>
      </c>
      <c r="J9" t="s">
        <v>4907</v>
      </c>
      <c r="K9" t="s">
        <v>4930</v>
      </c>
      <c r="L9" t="s">
        <v>4938</v>
      </c>
      <c r="M9" t="s">
        <v>4942</v>
      </c>
      <c r="N9" s="11">
        <v>9962.24</v>
      </c>
      <c r="O9" t="s">
        <v>4949</v>
      </c>
      <c r="P9" t="s">
        <v>4951</v>
      </c>
      <c r="R9">
        <v>30</v>
      </c>
      <c r="S9" t="str">
        <f t="shared" si="0"/>
        <v>Middle-Aged</v>
      </c>
      <c r="T9" t="str">
        <f t="shared" si="1"/>
        <v>Medium</v>
      </c>
      <c r="U9" t="str">
        <f t="shared" si="2"/>
        <v>Short Days</v>
      </c>
    </row>
    <row r="10" spans="1:27">
      <c r="A10" t="s">
        <v>26</v>
      </c>
      <c r="B10" s="5">
        <v>45659</v>
      </c>
      <c r="C10" t="s">
        <v>3026</v>
      </c>
      <c r="D10" t="s">
        <v>4594</v>
      </c>
      <c r="E10" t="s">
        <v>4866</v>
      </c>
      <c r="F10">
        <v>19</v>
      </c>
      <c r="G10" t="s">
        <v>4872</v>
      </c>
      <c r="H10" t="s">
        <v>4887</v>
      </c>
      <c r="I10" t="s">
        <v>4894</v>
      </c>
      <c r="J10" t="s">
        <v>4904</v>
      </c>
      <c r="K10" t="s">
        <v>4927</v>
      </c>
      <c r="L10" t="s">
        <v>4939</v>
      </c>
      <c r="M10" t="s">
        <v>4942</v>
      </c>
      <c r="N10" s="11">
        <v>222.02</v>
      </c>
      <c r="O10" t="s">
        <v>4947</v>
      </c>
      <c r="P10" t="s">
        <v>4951</v>
      </c>
      <c r="R10">
        <v>14</v>
      </c>
      <c r="S10" t="str">
        <f t="shared" si="0"/>
        <v>Adult</v>
      </c>
      <c r="T10" t="str">
        <f t="shared" si="1"/>
        <v>Low</v>
      </c>
      <c r="U10" t="str">
        <f t="shared" si="2"/>
        <v>Short Days</v>
      </c>
    </row>
    <row r="11" spans="1:27">
      <c r="A11" t="s">
        <v>27</v>
      </c>
      <c r="B11" s="5">
        <v>45954</v>
      </c>
      <c r="C11" t="s">
        <v>3027</v>
      </c>
      <c r="D11" t="s">
        <v>4587</v>
      </c>
      <c r="E11" t="s">
        <v>4867</v>
      </c>
      <c r="F11">
        <v>41</v>
      </c>
      <c r="G11" t="s">
        <v>4874</v>
      </c>
      <c r="H11" t="s">
        <v>4886</v>
      </c>
      <c r="I11" t="s">
        <v>4894</v>
      </c>
      <c r="J11" t="s">
        <v>4904</v>
      </c>
      <c r="K11" t="s">
        <v>4928</v>
      </c>
      <c r="L11" t="s">
        <v>4940</v>
      </c>
      <c r="M11" t="s">
        <v>4942</v>
      </c>
      <c r="N11" s="11">
        <v>2476.1999999999998</v>
      </c>
      <c r="O11" t="s">
        <v>4948</v>
      </c>
      <c r="P11" t="s">
        <v>4951</v>
      </c>
      <c r="R11">
        <v>90</v>
      </c>
      <c r="S11" t="str">
        <f t="shared" si="0"/>
        <v>Middle-Aged</v>
      </c>
      <c r="T11" t="str">
        <f t="shared" si="1"/>
        <v>Low</v>
      </c>
      <c r="U11" t="str">
        <f t="shared" si="2"/>
        <v>Short Days</v>
      </c>
    </row>
    <row r="12" spans="1:27">
      <c r="A12" t="s">
        <v>28</v>
      </c>
      <c r="B12" s="5">
        <v>45493</v>
      </c>
      <c r="C12" t="s">
        <v>3028</v>
      </c>
      <c r="D12" t="s">
        <v>4595</v>
      </c>
      <c r="E12" t="s">
        <v>4867</v>
      </c>
      <c r="F12">
        <v>28</v>
      </c>
      <c r="G12" t="s">
        <v>4870</v>
      </c>
      <c r="H12" t="s">
        <v>4885</v>
      </c>
      <c r="I12" t="s">
        <v>4896</v>
      </c>
      <c r="J12" t="s">
        <v>4908</v>
      </c>
      <c r="K12" t="s">
        <v>4928</v>
      </c>
      <c r="L12" t="s">
        <v>4937</v>
      </c>
      <c r="M12" t="s">
        <v>4945</v>
      </c>
      <c r="N12" s="11">
        <v>12558.55</v>
      </c>
      <c r="O12" t="s">
        <v>4946</v>
      </c>
      <c r="P12" t="s">
        <v>4951</v>
      </c>
      <c r="Q12">
        <v>8</v>
      </c>
      <c r="R12">
        <v>7</v>
      </c>
      <c r="S12" t="str">
        <f t="shared" si="0"/>
        <v>Adult</v>
      </c>
      <c r="T12" t="str">
        <f t="shared" si="1"/>
        <v>High</v>
      </c>
      <c r="U12" t="str">
        <f t="shared" si="2"/>
        <v>Long Days</v>
      </c>
    </row>
    <row r="13" spans="1:27">
      <c r="A13" t="s">
        <v>29</v>
      </c>
      <c r="B13" s="5">
        <v>45374</v>
      </c>
      <c r="C13" t="s">
        <v>3029</v>
      </c>
      <c r="D13" t="s">
        <v>4596</v>
      </c>
      <c r="E13" t="s">
        <v>4867</v>
      </c>
      <c r="F13">
        <v>54</v>
      </c>
      <c r="G13" t="s">
        <v>4875</v>
      </c>
      <c r="H13" t="s">
        <v>4889</v>
      </c>
      <c r="I13" t="s">
        <v>4898</v>
      </c>
      <c r="J13" t="s">
        <v>4909</v>
      </c>
      <c r="K13" t="s">
        <v>4931</v>
      </c>
      <c r="L13" t="s">
        <v>4934</v>
      </c>
      <c r="M13" t="s">
        <v>4942</v>
      </c>
      <c r="N13" s="11">
        <v>927.49</v>
      </c>
      <c r="O13" t="s">
        <v>15</v>
      </c>
      <c r="P13" t="s">
        <v>4952</v>
      </c>
      <c r="S13" t="str">
        <f t="shared" si="0"/>
        <v>Middle-Aged</v>
      </c>
      <c r="T13" t="str">
        <f t="shared" si="1"/>
        <v>Low</v>
      </c>
      <c r="U13" t="str">
        <f t="shared" si="2"/>
        <v>Short Days</v>
      </c>
    </row>
    <row r="14" spans="1:27">
      <c r="A14" t="s">
        <v>30</v>
      </c>
      <c r="B14" s="5">
        <v>45379</v>
      </c>
      <c r="C14" t="s">
        <v>3030</v>
      </c>
      <c r="D14" t="s">
        <v>4597</v>
      </c>
      <c r="E14" t="s">
        <v>4867</v>
      </c>
      <c r="F14">
        <v>50</v>
      </c>
      <c r="G14" t="s">
        <v>4870</v>
      </c>
      <c r="H14" t="s">
        <v>4885</v>
      </c>
      <c r="I14" t="s">
        <v>4894</v>
      </c>
      <c r="J14" t="s">
        <v>4904</v>
      </c>
      <c r="K14" t="s">
        <v>4926</v>
      </c>
      <c r="L14" t="s">
        <v>4938</v>
      </c>
      <c r="M14" t="s">
        <v>4942</v>
      </c>
      <c r="N14" s="11">
        <v>6694.18</v>
      </c>
      <c r="O14" t="s">
        <v>4949</v>
      </c>
      <c r="P14" t="s">
        <v>4951</v>
      </c>
      <c r="R14">
        <v>7</v>
      </c>
      <c r="S14" t="str">
        <f t="shared" si="0"/>
        <v>Middle-Aged</v>
      </c>
      <c r="T14" t="str">
        <f t="shared" si="1"/>
        <v>Medium</v>
      </c>
      <c r="U14" t="str">
        <f t="shared" si="2"/>
        <v>Short Days</v>
      </c>
    </row>
    <row r="15" spans="1:27">
      <c r="A15" t="s">
        <v>31</v>
      </c>
      <c r="B15" s="5">
        <v>45796</v>
      </c>
      <c r="C15" t="s">
        <v>3031</v>
      </c>
      <c r="D15" t="s">
        <v>4598</v>
      </c>
      <c r="E15" t="s">
        <v>4867</v>
      </c>
      <c r="F15">
        <v>30</v>
      </c>
      <c r="G15" t="s">
        <v>4876</v>
      </c>
      <c r="H15" t="s">
        <v>4888</v>
      </c>
      <c r="I15" t="s">
        <v>4896</v>
      </c>
      <c r="J15" t="s">
        <v>4906</v>
      </c>
      <c r="K15" t="s">
        <v>4925</v>
      </c>
      <c r="L15" t="s">
        <v>4936</v>
      </c>
      <c r="M15" t="s">
        <v>4942</v>
      </c>
      <c r="N15" s="11">
        <v>1739.66</v>
      </c>
      <c r="O15" t="s">
        <v>4946</v>
      </c>
      <c r="P15" t="s">
        <v>4951</v>
      </c>
      <c r="R15">
        <v>90</v>
      </c>
      <c r="S15" t="str">
        <f t="shared" si="0"/>
        <v>Adult</v>
      </c>
      <c r="T15" t="str">
        <f t="shared" si="1"/>
        <v>Low</v>
      </c>
      <c r="U15" t="str">
        <f t="shared" si="2"/>
        <v>Short Days</v>
      </c>
    </row>
    <row r="16" spans="1:27">
      <c r="A16" t="s">
        <v>32</v>
      </c>
      <c r="B16" s="5">
        <v>45500</v>
      </c>
      <c r="C16" t="s">
        <v>3032</v>
      </c>
      <c r="D16" t="s">
        <v>4599</v>
      </c>
      <c r="E16" t="s">
        <v>4867</v>
      </c>
      <c r="F16">
        <v>17</v>
      </c>
      <c r="G16" t="s">
        <v>4869</v>
      </c>
      <c r="H16" t="s">
        <v>4884</v>
      </c>
      <c r="I16" t="s">
        <v>4894</v>
      </c>
      <c r="J16" t="s">
        <v>4910</v>
      </c>
      <c r="K16" t="s">
        <v>4931</v>
      </c>
      <c r="L16" t="s">
        <v>4937</v>
      </c>
      <c r="M16" t="s">
        <v>4944</v>
      </c>
      <c r="N16" s="11">
        <v>5557.15</v>
      </c>
      <c r="O16" t="s">
        <v>15</v>
      </c>
      <c r="P16" t="s">
        <v>4952</v>
      </c>
      <c r="R16">
        <v>30</v>
      </c>
      <c r="S16" t="str">
        <f t="shared" si="0"/>
        <v>Child</v>
      </c>
      <c r="T16" t="str">
        <f t="shared" si="1"/>
        <v>Medium</v>
      </c>
      <c r="U16" t="str">
        <f t="shared" si="2"/>
        <v>Short Days</v>
      </c>
    </row>
    <row r="17" spans="1:21">
      <c r="A17" t="s">
        <v>33</v>
      </c>
      <c r="B17" s="5">
        <v>45312</v>
      </c>
      <c r="C17" t="s">
        <v>3033</v>
      </c>
      <c r="D17" t="s">
        <v>4600</v>
      </c>
      <c r="E17" t="s">
        <v>4866</v>
      </c>
      <c r="F17">
        <v>39</v>
      </c>
      <c r="G17" t="s">
        <v>4875</v>
      </c>
      <c r="H17" t="s">
        <v>4889</v>
      </c>
      <c r="I17" t="s">
        <v>4899</v>
      </c>
      <c r="J17" t="s">
        <v>4911</v>
      </c>
      <c r="K17" t="s">
        <v>4932</v>
      </c>
      <c r="L17" t="s">
        <v>4934</v>
      </c>
      <c r="M17" t="s">
        <v>4944</v>
      </c>
      <c r="N17" s="11">
        <v>17379.23</v>
      </c>
      <c r="O17" t="s">
        <v>4946</v>
      </c>
      <c r="P17" t="s">
        <v>4951</v>
      </c>
      <c r="R17">
        <v>30</v>
      </c>
      <c r="S17" t="str">
        <f t="shared" si="0"/>
        <v>Adult</v>
      </c>
      <c r="T17" t="str">
        <f t="shared" si="1"/>
        <v>High</v>
      </c>
      <c r="U17" t="str">
        <f t="shared" si="2"/>
        <v>Short Days</v>
      </c>
    </row>
    <row r="18" spans="1:21">
      <c r="A18" t="s">
        <v>34</v>
      </c>
      <c r="B18" s="5">
        <v>45327</v>
      </c>
      <c r="C18" t="s">
        <v>3034</v>
      </c>
      <c r="D18" t="s">
        <v>4601</v>
      </c>
      <c r="E18" t="s">
        <v>4866</v>
      </c>
      <c r="F18">
        <v>43</v>
      </c>
      <c r="G18" t="s">
        <v>4877</v>
      </c>
      <c r="H18" t="s">
        <v>4888</v>
      </c>
      <c r="I18" t="s">
        <v>4899</v>
      </c>
      <c r="J18" t="s">
        <v>4912</v>
      </c>
      <c r="K18" t="s">
        <v>4930</v>
      </c>
      <c r="L18" t="s">
        <v>4936</v>
      </c>
      <c r="M18" t="s">
        <v>4942</v>
      </c>
      <c r="N18" s="11">
        <v>2400.89</v>
      </c>
      <c r="O18" t="s">
        <v>4947</v>
      </c>
      <c r="P18" t="s">
        <v>4951</v>
      </c>
      <c r="R18">
        <v>7</v>
      </c>
      <c r="S18" t="str">
        <f t="shared" si="0"/>
        <v>Middle-Aged</v>
      </c>
      <c r="T18" t="str">
        <f t="shared" si="1"/>
        <v>Low</v>
      </c>
      <c r="U18" t="str">
        <f t="shared" si="2"/>
        <v>Short Days</v>
      </c>
    </row>
    <row r="19" spans="1:21">
      <c r="A19" t="s">
        <v>35</v>
      </c>
      <c r="B19" s="5">
        <v>45890</v>
      </c>
      <c r="C19" t="s">
        <v>3035</v>
      </c>
      <c r="D19" t="s">
        <v>4602</v>
      </c>
      <c r="E19" t="s">
        <v>4866</v>
      </c>
      <c r="F19">
        <v>28</v>
      </c>
      <c r="G19" t="s">
        <v>4877</v>
      </c>
      <c r="H19" t="s">
        <v>4888</v>
      </c>
      <c r="I19" t="s">
        <v>4898</v>
      </c>
      <c r="J19" t="s">
        <v>4909</v>
      </c>
      <c r="K19" t="s">
        <v>4926</v>
      </c>
      <c r="L19" t="s">
        <v>4939</v>
      </c>
      <c r="M19" t="s">
        <v>4943</v>
      </c>
      <c r="N19" s="11">
        <v>11871.58</v>
      </c>
      <c r="O19" t="s">
        <v>4949</v>
      </c>
      <c r="P19" t="s">
        <v>4951</v>
      </c>
      <c r="R19">
        <v>7</v>
      </c>
      <c r="S19" t="str">
        <f t="shared" si="0"/>
        <v>Adult</v>
      </c>
      <c r="T19" t="str">
        <f t="shared" si="1"/>
        <v>High</v>
      </c>
      <c r="U19" t="str">
        <f t="shared" si="2"/>
        <v>Short Days</v>
      </c>
    </row>
    <row r="20" spans="1:21">
      <c r="A20" t="s">
        <v>36</v>
      </c>
      <c r="B20" s="5">
        <v>45621</v>
      </c>
      <c r="C20" t="s">
        <v>3036</v>
      </c>
      <c r="D20" t="s">
        <v>4603</v>
      </c>
      <c r="E20" t="s">
        <v>4866</v>
      </c>
      <c r="F20">
        <v>22</v>
      </c>
      <c r="G20" t="s">
        <v>4872</v>
      </c>
      <c r="H20" t="s">
        <v>4887</v>
      </c>
      <c r="I20" t="s">
        <v>4894</v>
      </c>
      <c r="J20" t="s">
        <v>4910</v>
      </c>
      <c r="K20" t="s">
        <v>4928</v>
      </c>
      <c r="L20" t="s">
        <v>4936</v>
      </c>
      <c r="M20" t="s">
        <v>4942</v>
      </c>
      <c r="N20" s="11">
        <v>3883.98</v>
      </c>
      <c r="O20" t="s">
        <v>4946</v>
      </c>
      <c r="P20" t="s">
        <v>4951</v>
      </c>
      <c r="R20">
        <v>14</v>
      </c>
      <c r="S20" t="str">
        <f t="shared" si="0"/>
        <v>Adult</v>
      </c>
      <c r="T20" t="str">
        <f t="shared" si="1"/>
        <v>Low</v>
      </c>
      <c r="U20" t="str">
        <f t="shared" si="2"/>
        <v>Short Days</v>
      </c>
    </row>
    <row r="21" spans="1:21">
      <c r="A21" t="s">
        <v>37</v>
      </c>
      <c r="B21" s="5">
        <v>45343</v>
      </c>
      <c r="C21" t="s">
        <v>3037</v>
      </c>
      <c r="D21" t="s">
        <v>4604</v>
      </c>
      <c r="E21" t="s">
        <v>4867</v>
      </c>
      <c r="F21">
        <v>33</v>
      </c>
      <c r="G21" t="s">
        <v>4874</v>
      </c>
      <c r="H21" t="s">
        <v>4886</v>
      </c>
      <c r="I21" t="s">
        <v>4900</v>
      </c>
      <c r="J21" t="s">
        <v>4913</v>
      </c>
      <c r="K21" t="s">
        <v>4926</v>
      </c>
      <c r="L21" t="s">
        <v>4937</v>
      </c>
      <c r="M21" t="s">
        <v>4942</v>
      </c>
      <c r="N21" s="11">
        <v>4099.1899999999996</v>
      </c>
      <c r="O21" t="s">
        <v>15</v>
      </c>
      <c r="P21" t="s">
        <v>4952</v>
      </c>
      <c r="S21" t="str">
        <f t="shared" si="0"/>
        <v>Adult</v>
      </c>
      <c r="T21" t="str">
        <f t="shared" si="1"/>
        <v>Low</v>
      </c>
      <c r="U21" t="str">
        <f t="shared" si="2"/>
        <v>Short Days</v>
      </c>
    </row>
    <row r="22" spans="1:21">
      <c r="A22" t="s">
        <v>38</v>
      </c>
      <c r="B22" s="5">
        <v>45431</v>
      </c>
      <c r="C22" t="s">
        <v>3038</v>
      </c>
      <c r="D22" t="s">
        <v>4605</v>
      </c>
      <c r="E22" t="s">
        <v>4866</v>
      </c>
      <c r="F22">
        <v>40</v>
      </c>
      <c r="G22" t="s">
        <v>4876</v>
      </c>
      <c r="H22" t="s">
        <v>4888</v>
      </c>
      <c r="I22" t="s">
        <v>4899</v>
      </c>
      <c r="J22" t="s">
        <v>4911</v>
      </c>
      <c r="K22" t="s">
        <v>4928</v>
      </c>
      <c r="L22" t="s">
        <v>4934</v>
      </c>
      <c r="M22" t="s">
        <v>4942</v>
      </c>
      <c r="N22" s="11">
        <v>6510.5</v>
      </c>
      <c r="O22" t="s">
        <v>4946</v>
      </c>
      <c r="P22" t="s">
        <v>4951</v>
      </c>
      <c r="R22">
        <v>90</v>
      </c>
      <c r="S22" t="str">
        <f t="shared" si="0"/>
        <v>Adult</v>
      </c>
      <c r="T22" t="str">
        <f t="shared" si="1"/>
        <v>Medium</v>
      </c>
      <c r="U22" t="str">
        <f t="shared" si="2"/>
        <v>Short Days</v>
      </c>
    </row>
    <row r="23" spans="1:21">
      <c r="A23" t="s">
        <v>39</v>
      </c>
      <c r="B23" s="5">
        <v>45753</v>
      </c>
      <c r="C23" t="s">
        <v>3039</v>
      </c>
      <c r="D23" t="s">
        <v>4606</v>
      </c>
      <c r="E23" t="s">
        <v>4866</v>
      </c>
      <c r="F23">
        <v>53</v>
      </c>
      <c r="G23" t="s">
        <v>4878</v>
      </c>
      <c r="H23" t="s">
        <v>4889</v>
      </c>
      <c r="I23" t="s">
        <v>4894</v>
      </c>
      <c r="J23" t="s">
        <v>4904</v>
      </c>
      <c r="K23" t="s">
        <v>4930</v>
      </c>
      <c r="L23" t="s">
        <v>4935</v>
      </c>
      <c r="M23" t="s">
        <v>4942</v>
      </c>
      <c r="N23" s="11">
        <v>12756.15</v>
      </c>
      <c r="O23" t="s">
        <v>4947</v>
      </c>
      <c r="P23" t="s">
        <v>4951</v>
      </c>
      <c r="S23" t="str">
        <f t="shared" si="0"/>
        <v>Middle-Aged</v>
      </c>
      <c r="T23" t="str">
        <f t="shared" si="1"/>
        <v>High</v>
      </c>
      <c r="U23" t="str">
        <f t="shared" si="2"/>
        <v>Short Days</v>
      </c>
    </row>
    <row r="24" spans="1:21">
      <c r="A24" t="s">
        <v>40</v>
      </c>
      <c r="B24" s="5">
        <v>45588</v>
      </c>
      <c r="C24" t="s">
        <v>3040</v>
      </c>
      <c r="D24" t="s">
        <v>4602</v>
      </c>
      <c r="E24" t="s">
        <v>4866</v>
      </c>
      <c r="F24">
        <v>16</v>
      </c>
      <c r="G24" t="s">
        <v>4869</v>
      </c>
      <c r="H24" t="s">
        <v>4884</v>
      </c>
      <c r="I24" t="s">
        <v>4901</v>
      </c>
      <c r="J24" t="s">
        <v>4914</v>
      </c>
      <c r="K24" t="s">
        <v>4925</v>
      </c>
      <c r="L24" t="s">
        <v>4938</v>
      </c>
      <c r="M24" t="s">
        <v>4944</v>
      </c>
      <c r="N24" s="11">
        <v>5060.38</v>
      </c>
      <c r="O24" t="s">
        <v>4946</v>
      </c>
      <c r="P24" t="s">
        <v>4951</v>
      </c>
      <c r="R24">
        <v>30</v>
      </c>
      <c r="S24" t="str">
        <f t="shared" si="0"/>
        <v>Child</v>
      </c>
      <c r="T24" t="str">
        <f t="shared" si="1"/>
        <v>Medium</v>
      </c>
      <c r="U24" t="str">
        <f t="shared" si="2"/>
        <v>Short Days</v>
      </c>
    </row>
    <row r="25" spans="1:21">
      <c r="A25" t="s">
        <v>41</v>
      </c>
      <c r="B25" s="5">
        <v>45545</v>
      </c>
      <c r="C25" t="s">
        <v>3041</v>
      </c>
      <c r="D25" t="s">
        <v>4607</v>
      </c>
      <c r="E25" t="s">
        <v>4867</v>
      </c>
      <c r="F25">
        <v>18</v>
      </c>
      <c r="G25" t="s">
        <v>4879</v>
      </c>
      <c r="H25" t="s">
        <v>4888</v>
      </c>
      <c r="I25" t="s">
        <v>4894</v>
      </c>
      <c r="J25" t="s">
        <v>4910</v>
      </c>
      <c r="K25" t="s">
        <v>4929</v>
      </c>
      <c r="L25" t="s">
        <v>4939</v>
      </c>
      <c r="M25" t="s">
        <v>4942</v>
      </c>
      <c r="N25" s="11">
        <v>1817.27</v>
      </c>
      <c r="O25" t="s">
        <v>4949</v>
      </c>
      <c r="P25" t="s">
        <v>4951</v>
      </c>
      <c r="S25" t="str">
        <f t="shared" si="0"/>
        <v>Adult</v>
      </c>
      <c r="T25" t="str">
        <f t="shared" si="1"/>
        <v>Low</v>
      </c>
      <c r="U25" t="str">
        <f t="shared" si="2"/>
        <v>Short Days</v>
      </c>
    </row>
    <row r="26" spans="1:21">
      <c r="A26" t="s">
        <v>42</v>
      </c>
      <c r="B26" s="5">
        <v>45818</v>
      </c>
      <c r="C26" t="s">
        <v>3042</v>
      </c>
      <c r="D26" t="s">
        <v>4608</v>
      </c>
      <c r="E26" t="s">
        <v>4867</v>
      </c>
      <c r="F26">
        <v>34</v>
      </c>
      <c r="G26" t="s">
        <v>4871</v>
      </c>
      <c r="H26" t="s">
        <v>4886</v>
      </c>
      <c r="I26" t="s">
        <v>4895</v>
      </c>
      <c r="J26" t="s">
        <v>4915</v>
      </c>
      <c r="K26" t="s">
        <v>4930</v>
      </c>
      <c r="L26" t="s">
        <v>4934</v>
      </c>
      <c r="M26" t="s">
        <v>4942</v>
      </c>
      <c r="N26" s="11">
        <v>2111.87</v>
      </c>
      <c r="O26" t="s">
        <v>4949</v>
      </c>
      <c r="P26" t="s">
        <v>4951</v>
      </c>
      <c r="R26">
        <v>30</v>
      </c>
      <c r="S26" t="str">
        <f t="shared" si="0"/>
        <v>Adult</v>
      </c>
      <c r="T26" t="str">
        <f t="shared" si="1"/>
        <v>Low</v>
      </c>
      <c r="U26" t="str">
        <f t="shared" si="2"/>
        <v>Short Days</v>
      </c>
    </row>
    <row r="27" spans="1:21">
      <c r="A27" t="s">
        <v>43</v>
      </c>
      <c r="B27" s="5">
        <v>45655</v>
      </c>
      <c r="C27" t="s">
        <v>3043</v>
      </c>
      <c r="D27" t="s">
        <v>4609</v>
      </c>
      <c r="E27" t="s">
        <v>4866</v>
      </c>
      <c r="F27">
        <v>67</v>
      </c>
      <c r="G27" t="s">
        <v>4874</v>
      </c>
      <c r="H27" t="s">
        <v>4886</v>
      </c>
      <c r="I27" t="s">
        <v>4896</v>
      </c>
      <c r="J27" t="s">
        <v>4908</v>
      </c>
      <c r="K27" t="s">
        <v>4924</v>
      </c>
      <c r="L27" t="s">
        <v>4934</v>
      </c>
      <c r="M27" t="s">
        <v>4944</v>
      </c>
      <c r="N27" s="11">
        <v>18690.2</v>
      </c>
      <c r="O27" t="s">
        <v>4948</v>
      </c>
      <c r="P27" t="s">
        <v>4951</v>
      </c>
      <c r="R27">
        <v>30</v>
      </c>
      <c r="S27" t="str">
        <f t="shared" si="0"/>
        <v>Senior</v>
      </c>
      <c r="T27" t="str">
        <f t="shared" si="1"/>
        <v>High</v>
      </c>
      <c r="U27" t="str">
        <f t="shared" si="2"/>
        <v>Short Days</v>
      </c>
    </row>
    <row r="28" spans="1:21">
      <c r="A28" t="s">
        <v>44</v>
      </c>
      <c r="B28" s="5">
        <v>45797</v>
      </c>
      <c r="C28" t="s">
        <v>3044</v>
      </c>
      <c r="D28" t="s">
        <v>4610</v>
      </c>
      <c r="E28" t="s">
        <v>4866</v>
      </c>
      <c r="F28">
        <v>28</v>
      </c>
      <c r="G28" t="s">
        <v>4869</v>
      </c>
      <c r="H28" t="s">
        <v>4884</v>
      </c>
      <c r="I28" t="s">
        <v>4898</v>
      </c>
      <c r="J28" t="s">
        <v>4909</v>
      </c>
      <c r="K28" t="s">
        <v>4926</v>
      </c>
      <c r="L28" t="s">
        <v>4938</v>
      </c>
      <c r="M28" t="s">
        <v>4943</v>
      </c>
      <c r="N28" s="11">
        <v>14945.12</v>
      </c>
      <c r="O28" t="s">
        <v>15</v>
      </c>
      <c r="P28" t="s">
        <v>4952</v>
      </c>
      <c r="S28" t="str">
        <f t="shared" si="0"/>
        <v>Adult</v>
      </c>
      <c r="T28" t="str">
        <f t="shared" si="1"/>
        <v>High</v>
      </c>
      <c r="U28" t="str">
        <f t="shared" si="2"/>
        <v>Short Days</v>
      </c>
    </row>
    <row r="29" spans="1:21">
      <c r="A29" t="s">
        <v>45</v>
      </c>
      <c r="B29" s="5">
        <v>45451</v>
      </c>
      <c r="C29" t="s">
        <v>3045</v>
      </c>
      <c r="D29" t="s">
        <v>4611</v>
      </c>
      <c r="E29" t="s">
        <v>4867</v>
      </c>
      <c r="F29">
        <v>41</v>
      </c>
      <c r="G29" t="s">
        <v>4878</v>
      </c>
      <c r="H29" t="s">
        <v>4889</v>
      </c>
      <c r="I29" t="s">
        <v>4897</v>
      </c>
      <c r="J29" t="s">
        <v>4907</v>
      </c>
      <c r="K29" t="s">
        <v>4927</v>
      </c>
      <c r="L29" t="s">
        <v>4940</v>
      </c>
      <c r="M29" t="s">
        <v>4942</v>
      </c>
      <c r="N29" s="11">
        <v>3250.94</v>
      </c>
      <c r="O29" t="s">
        <v>4949</v>
      </c>
      <c r="P29" t="s">
        <v>4951</v>
      </c>
      <c r="R29">
        <v>7</v>
      </c>
      <c r="S29" t="str">
        <f t="shared" si="0"/>
        <v>Middle-Aged</v>
      </c>
      <c r="T29" t="str">
        <f t="shared" si="1"/>
        <v>Low</v>
      </c>
      <c r="U29" t="str">
        <f t="shared" si="2"/>
        <v>Short Days</v>
      </c>
    </row>
    <row r="30" spans="1:21">
      <c r="A30" t="s">
        <v>46</v>
      </c>
      <c r="B30" s="5">
        <v>45751</v>
      </c>
      <c r="C30" t="s">
        <v>3042</v>
      </c>
      <c r="D30" t="s">
        <v>4612</v>
      </c>
      <c r="E30" t="s">
        <v>4866</v>
      </c>
      <c r="F30">
        <v>50</v>
      </c>
      <c r="G30" t="s">
        <v>4879</v>
      </c>
      <c r="H30" t="s">
        <v>4888</v>
      </c>
      <c r="I30" t="s">
        <v>4894</v>
      </c>
      <c r="J30" t="s">
        <v>4904</v>
      </c>
      <c r="K30" t="s">
        <v>4927</v>
      </c>
      <c r="L30" t="s">
        <v>4937</v>
      </c>
      <c r="M30" t="s">
        <v>4944</v>
      </c>
      <c r="N30" s="11">
        <v>6520.13</v>
      </c>
      <c r="O30" t="s">
        <v>15</v>
      </c>
      <c r="P30" t="s">
        <v>4952</v>
      </c>
      <c r="S30" t="str">
        <f t="shared" si="0"/>
        <v>Middle-Aged</v>
      </c>
      <c r="T30" t="str">
        <f t="shared" si="1"/>
        <v>Medium</v>
      </c>
      <c r="U30" t="str">
        <f t="shared" si="2"/>
        <v>Short Days</v>
      </c>
    </row>
    <row r="31" spans="1:21">
      <c r="A31" t="s">
        <v>47</v>
      </c>
      <c r="B31" s="5">
        <v>45899</v>
      </c>
      <c r="C31" t="s">
        <v>3046</v>
      </c>
      <c r="D31" t="s">
        <v>4613</v>
      </c>
      <c r="E31" t="s">
        <v>4866</v>
      </c>
      <c r="F31">
        <v>67</v>
      </c>
      <c r="G31" t="s">
        <v>4876</v>
      </c>
      <c r="H31" t="s">
        <v>4888</v>
      </c>
      <c r="I31" t="s">
        <v>4902</v>
      </c>
      <c r="J31" t="s">
        <v>4916</v>
      </c>
      <c r="K31" t="s">
        <v>4924</v>
      </c>
      <c r="L31" t="s">
        <v>4937</v>
      </c>
      <c r="M31" t="s">
        <v>4943</v>
      </c>
      <c r="N31" s="11">
        <v>7598.98</v>
      </c>
      <c r="O31" t="s">
        <v>4950</v>
      </c>
      <c r="P31" t="s">
        <v>4951</v>
      </c>
      <c r="R31">
        <v>30</v>
      </c>
      <c r="S31" t="str">
        <f t="shared" si="0"/>
        <v>Senior</v>
      </c>
      <c r="T31" t="str">
        <f t="shared" si="1"/>
        <v>Medium</v>
      </c>
      <c r="U31" t="str">
        <f t="shared" si="2"/>
        <v>Short Days</v>
      </c>
    </row>
    <row r="32" spans="1:21">
      <c r="A32" t="s">
        <v>48</v>
      </c>
      <c r="B32" s="5">
        <v>45479</v>
      </c>
      <c r="C32" t="s">
        <v>3047</v>
      </c>
      <c r="D32" t="s">
        <v>4604</v>
      </c>
      <c r="E32" t="s">
        <v>4866</v>
      </c>
      <c r="F32">
        <v>54</v>
      </c>
      <c r="G32" t="s">
        <v>4880</v>
      </c>
      <c r="H32" t="s">
        <v>4890</v>
      </c>
      <c r="I32" t="s">
        <v>4893</v>
      </c>
      <c r="J32" t="s">
        <v>4917</v>
      </c>
      <c r="K32" t="s">
        <v>4924</v>
      </c>
      <c r="L32" t="s">
        <v>4937</v>
      </c>
      <c r="M32" t="s">
        <v>4943</v>
      </c>
      <c r="N32" s="11">
        <v>5534.49</v>
      </c>
      <c r="O32" t="s">
        <v>4948</v>
      </c>
      <c r="P32" t="s">
        <v>4951</v>
      </c>
      <c r="R32">
        <v>14</v>
      </c>
      <c r="S32" t="str">
        <f t="shared" si="0"/>
        <v>Middle-Aged</v>
      </c>
      <c r="T32" t="str">
        <f t="shared" si="1"/>
        <v>Medium</v>
      </c>
      <c r="U32" t="str">
        <f t="shared" si="2"/>
        <v>Short Days</v>
      </c>
    </row>
    <row r="33" spans="1:21">
      <c r="A33" t="s">
        <v>49</v>
      </c>
      <c r="B33" s="5">
        <v>45388</v>
      </c>
      <c r="C33" t="s">
        <v>3048</v>
      </c>
      <c r="D33" t="s">
        <v>4614</v>
      </c>
      <c r="E33" t="s">
        <v>4867</v>
      </c>
      <c r="F33">
        <v>71</v>
      </c>
      <c r="G33" t="s">
        <v>4881</v>
      </c>
      <c r="H33" t="s">
        <v>4881</v>
      </c>
      <c r="I33" t="s">
        <v>4894</v>
      </c>
      <c r="J33" t="s">
        <v>4910</v>
      </c>
      <c r="K33" t="s">
        <v>4929</v>
      </c>
      <c r="L33" t="s">
        <v>4938</v>
      </c>
      <c r="M33" t="s">
        <v>4942</v>
      </c>
      <c r="N33" s="11">
        <v>3402.53</v>
      </c>
      <c r="O33" t="s">
        <v>4947</v>
      </c>
      <c r="P33" t="s">
        <v>4951</v>
      </c>
      <c r="R33">
        <v>30</v>
      </c>
      <c r="S33" t="str">
        <f t="shared" si="0"/>
        <v>Senior</v>
      </c>
      <c r="T33" t="str">
        <f t="shared" si="1"/>
        <v>Low</v>
      </c>
      <c r="U33" t="str">
        <f t="shared" si="2"/>
        <v>Short Days</v>
      </c>
    </row>
    <row r="34" spans="1:21">
      <c r="A34" t="s">
        <v>50</v>
      </c>
      <c r="B34" s="5">
        <v>45760</v>
      </c>
      <c r="C34" t="s">
        <v>3049</v>
      </c>
      <c r="D34" t="s">
        <v>4615</v>
      </c>
      <c r="E34" t="s">
        <v>4867</v>
      </c>
      <c r="F34">
        <v>41</v>
      </c>
      <c r="G34" t="s">
        <v>4879</v>
      </c>
      <c r="H34" t="s">
        <v>4888</v>
      </c>
      <c r="I34" t="s">
        <v>4895</v>
      </c>
      <c r="J34" t="s">
        <v>4915</v>
      </c>
      <c r="K34" t="s">
        <v>4924</v>
      </c>
      <c r="L34" t="s">
        <v>4937</v>
      </c>
      <c r="M34" t="s">
        <v>4942</v>
      </c>
      <c r="N34" s="11">
        <v>10779.59</v>
      </c>
      <c r="O34" t="s">
        <v>15</v>
      </c>
      <c r="P34" t="s">
        <v>4952</v>
      </c>
      <c r="R34">
        <v>7</v>
      </c>
      <c r="S34" t="str">
        <f t="shared" si="0"/>
        <v>Middle-Aged</v>
      </c>
      <c r="T34" t="str">
        <f t="shared" si="1"/>
        <v>High</v>
      </c>
      <c r="U34" t="str">
        <f t="shared" si="2"/>
        <v>Short Days</v>
      </c>
    </row>
    <row r="35" spans="1:21">
      <c r="A35" t="s">
        <v>51</v>
      </c>
      <c r="B35" s="5">
        <v>45437</v>
      </c>
      <c r="C35" t="s">
        <v>3050</v>
      </c>
      <c r="D35" t="s">
        <v>4616</v>
      </c>
      <c r="E35" t="s">
        <v>4866</v>
      </c>
      <c r="F35">
        <v>22</v>
      </c>
      <c r="G35" t="s">
        <v>4869</v>
      </c>
      <c r="H35" t="s">
        <v>4884</v>
      </c>
      <c r="I35" t="s">
        <v>4898</v>
      </c>
      <c r="J35" t="s">
        <v>4918</v>
      </c>
      <c r="K35" t="s">
        <v>4926</v>
      </c>
      <c r="L35" t="s">
        <v>4940</v>
      </c>
      <c r="M35" t="s">
        <v>4942</v>
      </c>
      <c r="N35" s="11">
        <v>2659.73</v>
      </c>
      <c r="O35" t="s">
        <v>4949</v>
      </c>
      <c r="P35" t="s">
        <v>4951</v>
      </c>
      <c r="R35">
        <v>14</v>
      </c>
      <c r="S35" t="str">
        <f t="shared" si="0"/>
        <v>Adult</v>
      </c>
      <c r="T35" t="str">
        <f t="shared" si="1"/>
        <v>Low</v>
      </c>
      <c r="U35" t="str">
        <f t="shared" si="2"/>
        <v>Short Days</v>
      </c>
    </row>
    <row r="36" spans="1:21">
      <c r="A36" t="s">
        <v>52</v>
      </c>
      <c r="B36" s="5">
        <v>45847</v>
      </c>
      <c r="C36" t="s">
        <v>3051</v>
      </c>
      <c r="D36" t="s">
        <v>4617</v>
      </c>
      <c r="E36" t="s">
        <v>4866</v>
      </c>
      <c r="F36">
        <v>40</v>
      </c>
      <c r="G36" t="s">
        <v>4878</v>
      </c>
      <c r="H36" t="s">
        <v>4889</v>
      </c>
      <c r="I36" t="s">
        <v>4895</v>
      </c>
      <c r="J36" t="s">
        <v>4915</v>
      </c>
      <c r="K36" t="s">
        <v>4933</v>
      </c>
      <c r="L36" t="s">
        <v>4935</v>
      </c>
      <c r="M36" t="s">
        <v>4942</v>
      </c>
      <c r="N36" s="11">
        <v>4942.83</v>
      </c>
      <c r="O36" t="s">
        <v>15</v>
      </c>
      <c r="P36" t="s">
        <v>4952</v>
      </c>
      <c r="S36" t="str">
        <f t="shared" si="0"/>
        <v>Adult</v>
      </c>
      <c r="T36" t="str">
        <f t="shared" si="1"/>
        <v>Low</v>
      </c>
      <c r="U36" t="str">
        <f t="shared" si="2"/>
        <v>Short Days</v>
      </c>
    </row>
    <row r="37" spans="1:21">
      <c r="A37" t="s">
        <v>53</v>
      </c>
      <c r="B37" s="5">
        <v>45855</v>
      </c>
      <c r="C37" t="s">
        <v>3052</v>
      </c>
      <c r="D37" t="s">
        <v>4618</v>
      </c>
      <c r="E37" t="s">
        <v>4866</v>
      </c>
      <c r="F37">
        <v>0</v>
      </c>
      <c r="G37" t="s">
        <v>4878</v>
      </c>
      <c r="H37" t="s">
        <v>4889</v>
      </c>
      <c r="I37" t="s">
        <v>4893</v>
      </c>
      <c r="J37" t="s">
        <v>4917</v>
      </c>
      <c r="K37" t="s">
        <v>4928</v>
      </c>
      <c r="L37" t="s">
        <v>4937</v>
      </c>
      <c r="M37" t="s">
        <v>4942</v>
      </c>
      <c r="N37" s="11">
        <v>8783.49</v>
      </c>
      <c r="O37" t="s">
        <v>4947</v>
      </c>
      <c r="P37" t="s">
        <v>4951</v>
      </c>
      <c r="R37">
        <v>14</v>
      </c>
      <c r="S37" t="str">
        <f t="shared" si="0"/>
        <v>Child</v>
      </c>
      <c r="T37" t="str">
        <f t="shared" si="1"/>
        <v>Medium</v>
      </c>
      <c r="U37" t="str">
        <f t="shared" si="2"/>
        <v>Short Days</v>
      </c>
    </row>
    <row r="38" spans="1:21">
      <c r="A38" t="s">
        <v>54</v>
      </c>
      <c r="B38" s="5">
        <v>45328</v>
      </c>
      <c r="C38" t="s">
        <v>3053</v>
      </c>
      <c r="D38" t="s">
        <v>4619</v>
      </c>
      <c r="E38" t="s">
        <v>4867</v>
      </c>
      <c r="F38">
        <v>12</v>
      </c>
      <c r="G38" t="s">
        <v>4879</v>
      </c>
      <c r="H38" t="s">
        <v>4888</v>
      </c>
      <c r="I38" t="s">
        <v>4900</v>
      </c>
      <c r="J38" t="s">
        <v>4919</v>
      </c>
      <c r="K38" t="s">
        <v>4924</v>
      </c>
      <c r="L38" t="s">
        <v>4937</v>
      </c>
      <c r="M38" t="s">
        <v>4942</v>
      </c>
      <c r="N38" s="11">
        <v>6078.78</v>
      </c>
      <c r="O38" t="s">
        <v>4949</v>
      </c>
      <c r="P38" t="s">
        <v>4951</v>
      </c>
      <c r="S38" t="str">
        <f t="shared" si="0"/>
        <v>Child</v>
      </c>
      <c r="T38" t="str">
        <f t="shared" si="1"/>
        <v>Medium</v>
      </c>
      <c r="U38" t="str">
        <f t="shared" si="2"/>
        <v>Short Days</v>
      </c>
    </row>
    <row r="39" spans="1:21">
      <c r="A39" t="s">
        <v>55</v>
      </c>
      <c r="B39" s="5">
        <v>45484</v>
      </c>
      <c r="C39" t="s">
        <v>3054</v>
      </c>
      <c r="D39" t="s">
        <v>4620</v>
      </c>
      <c r="E39" t="s">
        <v>4867</v>
      </c>
      <c r="F39">
        <v>43</v>
      </c>
      <c r="G39" t="s">
        <v>4871</v>
      </c>
      <c r="H39" t="s">
        <v>4886</v>
      </c>
      <c r="I39" t="s">
        <v>4902</v>
      </c>
      <c r="J39" t="s">
        <v>4920</v>
      </c>
      <c r="K39" t="s">
        <v>4929</v>
      </c>
      <c r="L39" t="s">
        <v>4939</v>
      </c>
      <c r="M39" t="s">
        <v>4942</v>
      </c>
      <c r="N39" s="11">
        <v>5197</v>
      </c>
      <c r="O39" t="s">
        <v>4947</v>
      </c>
      <c r="P39" t="s">
        <v>4951</v>
      </c>
      <c r="R39">
        <v>14</v>
      </c>
      <c r="S39" t="str">
        <f t="shared" si="0"/>
        <v>Middle-Aged</v>
      </c>
      <c r="T39" t="str">
        <f t="shared" si="1"/>
        <v>Medium</v>
      </c>
      <c r="U39" t="str">
        <f t="shared" si="2"/>
        <v>Short Days</v>
      </c>
    </row>
    <row r="40" spans="1:21">
      <c r="A40" t="s">
        <v>56</v>
      </c>
      <c r="B40" s="5">
        <v>45401</v>
      </c>
      <c r="C40" t="s">
        <v>3055</v>
      </c>
      <c r="D40" t="s">
        <v>4621</v>
      </c>
      <c r="E40" t="s">
        <v>4866</v>
      </c>
      <c r="F40">
        <v>70</v>
      </c>
      <c r="G40" t="s">
        <v>4869</v>
      </c>
      <c r="H40" t="s">
        <v>4884</v>
      </c>
      <c r="I40" t="s">
        <v>4899</v>
      </c>
      <c r="J40" t="s">
        <v>4911</v>
      </c>
      <c r="K40" t="s">
        <v>4929</v>
      </c>
      <c r="L40" t="s">
        <v>4934</v>
      </c>
      <c r="M40" t="s">
        <v>4945</v>
      </c>
      <c r="N40" s="11">
        <v>8821.57</v>
      </c>
      <c r="O40" t="s">
        <v>15</v>
      </c>
      <c r="P40" t="s">
        <v>4952</v>
      </c>
      <c r="Q40">
        <v>8</v>
      </c>
      <c r="S40" t="str">
        <f t="shared" si="0"/>
        <v>Senior</v>
      </c>
      <c r="T40" t="str">
        <f t="shared" si="1"/>
        <v>Medium</v>
      </c>
      <c r="U40" t="str">
        <f t="shared" si="2"/>
        <v>Long Days</v>
      </c>
    </row>
    <row r="41" spans="1:21">
      <c r="A41" t="s">
        <v>57</v>
      </c>
      <c r="B41" s="5">
        <v>45420</v>
      </c>
      <c r="C41" t="s">
        <v>3056</v>
      </c>
      <c r="D41" t="s">
        <v>4622</v>
      </c>
      <c r="E41" t="s">
        <v>4867</v>
      </c>
      <c r="F41">
        <v>90</v>
      </c>
      <c r="G41" t="s">
        <v>4870</v>
      </c>
      <c r="H41" t="s">
        <v>4885</v>
      </c>
      <c r="I41" t="s">
        <v>4902</v>
      </c>
      <c r="J41" t="s">
        <v>4916</v>
      </c>
      <c r="K41" t="s">
        <v>4927</v>
      </c>
      <c r="L41" t="s">
        <v>4938</v>
      </c>
      <c r="M41" t="s">
        <v>4944</v>
      </c>
      <c r="N41" s="11">
        <v>9407.35</v>
      </c>
      <c r="O41" t="s">
        <v>4946</v>
      </c>
      <c r="P41" t="s">
        <v>4951</v>
      </c>
      <c r="R41">
        <v>90</v>
      </c>
      <c r="S41" t="str">
        <f t="shared" si="0"/>
        <v>Senior</v>
      </c>
      <c r="T41" t="str">
        <f t="shared" si="1"/>
        <v>Medium</v>
      </c>
      <c r="U41" t="str">
        <f t="shared" si="2"/>
        <v>Short Days</v>
      </c>
    </row>
    <row r="42" spans="1:21">
      <c r="A42" t="s">
        <v>58</v>
      </c>
      <c r="B42" s="5">
        <v>45528</v>
      </c>
      <c r="C42" t="s">
        <v>3057</v>
      </c>
      <c r="D42" t="s">
        <v>4623</v>
      </c>
      <c r="E42" t="s">
        <v>4866</v>
      </c>
      <c r="F42">
        <v>36</v>
      </c>
      <c r="G42" t="s">
        <v>4880</v>
      </c>
      <c r="H42" t="s">
        <v>4890</v>
      </c>
      <c r="I42" t="s">
        <v>4894</v>
      </c>
      <c r="J42" t="s">
        <v>4910</v>
      </c>
      <c r="K42" t="s">
        <v>4932</v>
      </c>
      <c r="L42" t="s">
        <v>4939</v>
      </c>
      <c r="M42" t="s">
        <v>4942</v>
      </c>
      <c r="N42" s="11">
        <v>8379.48</v>
      </c>
      <c r="O42" t="s">
        <v>15</v>
      </c>
      <c r="P42" t="s">
        <v>4952</v>
      </c>
      <c r="R42">
        <v>14</v>
      </c>
      <c r="S42" t="str">
        <f t="shared" si="0"/>
        <v>Adult</v>
      </c>
      <c r="T42" t="str">
        <f t="shared" si="1"/>
        <v>Medium</v>
      </c>
      <c r="U42" t="str">
        <f t="shared" si="2"/>
        <v>Short Days</v>
      </c>
    </row>
    <row r="43" spans="1:21">
      <c r="A43" t="s">
        <v>59</v>
      </c>
      <c r="B43" s="5">
        <v>45417</v>
      </c>
      <c r="C43" t="s">
        <v>3058</v>
      </c>
      <c r="D43" t="s">
        <v>4624</v>
      </c>
      <c r="E43" t="s">
        <v>4866</v>
      </c>
      <c r="F43">
        <v>70</v>
      </c>
      <c r="G43" t="s">
        <v>4873</v>
      </c>
      <c r="H43" t="s">
        <v>4888</v>
      </c>
      <c r="I43" t="s">
        <v>4898</v>
      </c>
      <c r="J43" t="s">
        <v>4918</v>
      </c>
      <c r="K43" t="s">
        <v>4933</v>
      </c>
      <c r="L43" t="s">
        <v>4941</v>
      </c>
      <c r="M43" t="s">
        <v>4942</v>
      </c>
      <c r="N43" s="11">
        <v>540.16999999999996</v>
      </c>
      <c r="O43" t="s">
        <v>4946</v>
      </c>
      <c r="P43" t="s">
        <v>4951</v>
      </c>
      <c r="R43">
        <v>14</v>
      </c>
      <c r="S43" t="str">
        <f t="shared" si="0"/>
        <v>Senior</v>
      </c>
      <c r="T43" t="str">
        <f t="shared" si="1"/>
        <v>Low</v>
      </c>
      <c r="U43" t="str">
        <f t="shared" si="2"/>
        <v>Short Days</v>
      </c>
    </row>
    <row r="44" spans="1:21">
      <c r="A44" t="s">
        <v>60</v>
      </c>
      <c r="B44" s="5">
        <v>45372</v>
      </c>
      <c r="C44" t="s">
        <v>3059</v>
      </c>
      <c r="D44" t="s">
        <v>4625</v>
      </c>
      <c r="E44" t="s">
        <v>4868</v>
      </c>
      <c r="F44">
        <v>39</v>
      </c>
      <c r="G44" t="s">
        <v>4882</v>
      </c>
      <c r="H44" t="s">
        <v>4891</v>
      </c>
      <c r="I44" t="s">
        <v>4902</v>
      </c>
      <c r="J44" t="s">
        <v>4920</v>
      </c>
      <c r="K44" t="s">
        <v>4927</v>
      </c>
      <c r="L44" t="s">
        <v>4937</v>
      </c>
      <c r="M44" t="s">
        <v>4942</v>
      </c>
      <c r="N44" s="11">
        <v>5500.53</v>
      </c>
      <c r="O44" t="s">
        <v>4946</v>
      </c>
      <c r="P44" t="s">
        <v>4951</v>
      </c>
      <c r="R44">
        <v>14</v>
      </c>
      <c r="S44" t="str">
        <f t="shared" si="0"/>
        <v>Adult</v>
      </c>
      <c r="T44" t="str">
        <f t="shared" si="1"/>
        <v>Medium</v>
      </c>
      <c r="U44" t="str">
        <f t="shared" si="2"/>
        <v>Short Days</v>
      </c>
    </row>
    <row r="45" spans="1:21">
      <c r="A45" t="s">
        <v>61</v>
      </c>
      <c r="B45" s="5">
        <v>45312</v>
      </c>
      <c r="C45" t="s">
        <v>3060</v>
      </c>
      <c r="D45" t="s">
        <v>4626</v>
      </c>
      <c r="E45" t="s">
        <v>4866</v>
      </c>
      <c r="F45">
        <v>49</v>
      </c>
      <c r="G45" t="s">
        <v>4876</v>
      </c>
      <c r="H45" t="s">
        <v>4888</v>
      </c>
      <c r="I45" t="s">
        <v>4897</v>
      </c>
      <c r="J45" t="s">
        <v>4907</v>
      </c>
      <c r="K45" t="s">
        <v>4930</v>
      </c>
      <c r="L45" t="s">
        <v>4938</v>
      </c>
      <c r="M45" t="s">
        <v>4942</v>
      </c>
      <c r="N45" s="11">
        <v>7857.45</v>
      </c>
      <c r="O45" t="s">
        <v>4947</v>
      </c>
      <c r="P45" t="s">
        <v>4951</v>
      </c>
      <c r="S45" t="str">
        <f t="shared" si="0"/>
        <v>Middle-Aged</v>
      </c>
      <c r="T45" t="str">
        <f t="shared" si="1"/>
        <v>Medium</v>
      </c>
      <c r="U45" t="str">
        <f t="shared" si="2"/>
        <v>Short Days</v>
      </c>
    </row>
    <row r="46" spans="1:21">
      <c r="A46" t="s">
        <v>62</v>
      </c>
      <c r="B46" s="5">
        <v>45879</v>
      </c>
      <c r="C46" t="s">
        <v>3061</v>
      </c>
      <c r="D46" t="s">
        <v>4627</v>
      </c>
      <c r="E46" t="s">
        <v>4866</v>
      </c>
      <c r="F46">
        <v>40</v>
      </c>
      <c r="G46" t="s">
        <v>4880</v>
      </c>
      <c r="H46" t="s">
        <v>4890</v>
      </c>
      <c r="I46" t="s">
        <v>4902</v>
      </c>
      <c r="J46" t="s">
        <v>4916</v>
      </c>
      <c r="K46" t="s">
        <v>4932</v>
      </c>
      <c r="L46" t="s">
        <v>4938</v>
      </c>
      <c r="M46" t="s">
        <v>4942</v>
      </c>
      <c r="N46" s="11">
        <v>19294.580000000002</v>
      </c>
      <c r="O46" t="s">
        <v>4948</v>
      </c>
      <c r="P46" t="s">
        <v>4951</v>
      </c>
      <c r="R46">
        <v>7</v>
      </c>
      <c r="S46" t="str">
        <f t="shared" si="0"/>
        <v>Adult</v>
      </c>
      <c r="T46" t="str">
        <f t="shared" si="1"/>
        <v>High</v>
      </c>
      <c r="U46" t="str">
        <f t="shared" si="2"/>
        <v>Short Days</v>
      </c>
    </row>
    <row r="47" spans="1:21">
      <c r="A47" t="s">
        <v>63</v>
      </c>
      <c r="B47" s="5">
        <v>45643</v>
      </c>
      <c r="C47" t="s">
        <v>3062</v>
      </c>
      <c r="D47" t="s">
        <v>4628</v>
      </c>
      <c r="E47" t="s">
        <v>4867</v>
      </c>
      <c r="F47">
        <v>49</v>
      </c>
      <c r="G47" t="s">
        <v>4870</v>
      </c>
      <c r="H47" t="s">
        <v>4885</v>
      </c>
      <c r="I47" t="s">
        <v>4899</v>
      </c>
      <c r="J47" t="s">
        <v>4911</v>
      </c>
      <c r="K47" t="s">
        <v>4928</v>
      </c>
      <c r="L47" t="s">
        <v>4936</v>
      </c>
      <c r="M47" t="s">
        <v>4942</v>
      </c>
      <c r="N47" s="11">
        <v>5819.97</v>
      </c>
      <c r="O47" t="s">
        <v>4946</v>
      </c>
      <c r="P47" t="s">
        <v>4951</v>
      </c>
      <c r="R47">
        <v>7</v>
      </c>
      <c r="S47" t="str">
        <f t="shared" si="0"/>
        <v>Middle-Aged</v>
      </c>
      <c r="T47" t="str">
        <f t="shared" si="1"/>
        <v>Medium</v>
      </c>
      <c r="U47" t="str">
        <f t="shared" si="2"/>
        <v>Short Days</v>
      </c>
    </row>
    <row r="48" spans="1:21">
      <c r="A48" t="s">
        <v>64</v>
      </c>
      <c r="B48" s="5">
        <v>45459</v>
      </c>
      <c r="C48" t="s">
        <v>3063</v>
      </c>
      <c r="D48" t="s">
        <v>4629</v>
      </c>
      <c r="E48" t="s">
        <v>4867</v>
      </c>
      <c r="F48">
        <v>32</v>
      </c>
      <c r="G48" t="s">
        <v>4869</v>
      </c>
      <c r="H48" t="s">
        <v>4884</v>
      </c>
      <c r="I48" t="s">
        <v>4901</v>
      </c>
      <c r="J48" t="s">
        <v>4914</v>
      </c>
      <c r="K48" t="s">
        <v>4927</v>
      </c>
      <c r="L48" t="s">
        <v>4940</v>
      </c>
      <c r="M48" t="s">
        <v>4942</v>
      </c>
      <c r="N48" s="11">
        <v>5011.25</v>
      </c>
      <c r="O48" t="s">
        <v>4949</v>
      </c>
      <c r="P48" t="s">
        <v>4951</v>
      </c>
      <c r="R48">
        <v>14</v>
      </c>
      <c r="S48" t="str">
        <f t="shared" si="0"/>
        <v>Adult</v>
      </c>
      <c r="T48" t="str">
        <f t="shared" si="1"/>
        <v>Medium</v>
      </c>
      <c r="U48" t="str">
        <f t="shared" si="2"/>
        <v>Short Days</v>
      </c>
    </row>
    <row r="49" spans="1:21">
      <c r="A49" t="s">
        <v>65</v>
      </c>
      <c r="B49" s="5">
        <v>45413</v>
      </c>
      <c r="C49" t="s">
        <v>3064</v>
      </c>
      <c r="D49" t="s">
        <v>4630</v>
      </c>
      <c r="E49" t="s">
        <v>4866</v>
      </c>
      <c r="F49">
        <v>15</v>
      </c>
      <c r="G49" t="s">
        <v>4877</v>
      </c>
      <c r="H49" t="s">
        <v>4888</v>
      </c>
      <c r="I49" t="s">
        <v>4893</v>
      </c>
      <c r="J49" t="s">
        <v>4903</v>
      </c>
      <c r="K49" t="s">
        <v>4927</v>
      </c>
      <c r="L49" t="s">
        <v>4940</v>
      </c>
      <c r="M49" t="s">
        <v>4942</v>
      </c>
      <c r="N49" s="11">
        <v>11359.14</v>
      </c>
      <c r="O49" t="s">
        <v>4948</v>
      </c>
      <c r="P49" t="s">
        <v>4951</v>
      </c>
      <c r="S49" t="str">
        <f t="shared" si="0"/>
        <v>Child</v>
      </c>
      <c r="T49" t="str">
        <f t="shared" si="1"/>
        <v>High</v>
      </c>
      <c r="U49" t="str">
        <f t="shared" si="2"/>
        <v>Short Days</v>
      </c>
    </row>
    <row r="50" spans="1:21">
      <c r="A50" t="s">
        <v>66</v>
      </c>
      <c r="B50" s="5">
        <v>45493</v>
      </c>
      <c r="C50" t="s">
        <v>3065</v>
      </c>
      <c r="D50" t="s">
        <v>4631</v>
      </c>
      <c r="E50" t="s">
        <v>4866</v>
      </c>
      <c r="F50">
        <v>30</v>
      </c>
      <c r="G50" t="s">
        <v>4871</v>
      </c>
      <c r="H50" t="s">
        <v>4886</v>
      </c>
      <c r="I50" t="s">
        <v>4902</v>
      </c>
      <c r="J50" t="s">
        <v>4916</v>
      </c>
      <c r="K50" t="s">
        <v>4928</v>
      </c>
      <c r="L50" t="s">
        <v>4936</v>
      </c>
      <c r="M50" t="s">
        <v>4944</v>
      </c>
      <c r="N50" s="11">
        <v>6199.63</v>
      </c>
      <c r="O50" t="s">
        <v>4946</v>
      </c>
      <c r="P50" t="s">
        <v>4951</v>
      </c>
      <c r="R50">
        <v>7</v>
      </c>
      <c r="S50" t="str">
        <f t="shared" si="0"/>
        <v>Adult</v>
      </c>
      <c r="T50" t="str">
        <f t="shared" si="1"/>
        <v>Medium</v>
      </c>
      <c r="U50" t="str">
        <f t="shared" si="2"/>
        <v>Short Days</v>
      </c>
    </row>
    <row r="51" spans="1:21">
      <c r="A51" t="s">
        <v>67</v>
      </c>
      <c r="B51" s="5">
        <v>45372</v>
      </c>
      <c r="C51" t="s">
        <v>3066</v>
      </c>
      <c r="D51" t="s">
        <v>4632</v>
      </c>
      <c r="E51" t="s">
        <v>4866</v>
      </c>
      <c r="F51">
        <v>37</v>
      </c>
      <c r="G51" t="s">
        <v>4875</v>
      </c>
      <c r="H51" t="s">
        <v>4889</v>
      </c>
      <c r="I51" t="s">
        <v>4901</v>
      </c>
      <c r="J51" t="s">
        <v>4921</v>
      </c>
      <c r="K51" t="s">
        <v>4929</v>
      </c>
      <c r="L51" t="s">
        <v>4936</v>
      </c>
      <c r="M51" t="s">
        <v>4942</v>
      </c>
      <c r="N51" s="11">
        <v>14068.55</v>
      </c>
      <c r="O51" t="s">
        <v>4950</v>
      </c>
      <c r="P51" t="s">
        <v>4951</v>
      </c>
      <c r="S51" t="str">
        <f t="shared" si="0"/>
        <v>Adult</v>
      </c>
      <c r="T51" t="str">
        <f t="shared" si="1"/>
        <v>High</v>
      </c>
      <c r="U51" t="str">
        <f t="shared" si="2"/>
        <v>Short Days</v>
      </c>
    </row>
    <row r="52" spans="1:21">
      <c r="A52" t="s">
        <v>68</v>
      </c>
      <c r="B52" s="5">
        <v>45934</v>
      </c>
      <c r="C52" t="s">
        <v>3067</v>
      </c>
      <c r="D52" t="s">
        <v>4633</v>
      </c>
      <c r="E52" t="s">
        <v>4867</v>
      </c>
      <c r="F52">
        <v>69</v>
      </c>
      <c r="G52" t="s">
        <v>4881</v>
      </c>
      <c r="H52" t="s">
        <v>4881</v>
      </c>
      <c r="I52" t="s">
        <v>4896</v>
      </c>
      <c r="J52" t="s">
        <v>4906</v>
      </c>
      <c r="K52" t="s">
        <v>4932</v>
      </c>
      <c r="L52" t="s">
        <v>4941</v>
      </c>
      <c r="M52" t="s">
        <v>4943</v>
      </c>
      <c r="N52" s="11">
        <v>12669.41</v>
      </c>
      <c r="O52" t="s">
        <v>4949</v>
      </c>
      <c r="P52" t="s">
        <v>4951</v>
      </c>
      <c r="S52" t="str">
        <f t="shared" si="0"/>
        <v>Senior</v>
      </c>
      <c r="T52" t="str">
        <f t="shared" si="1"/>
        <v>High</v>
      </c>
      <c r="U52" t="str">
        <f t="shared" si="2"/>
        <v>Short Days</v>
      </c>
    </row>
    <row r="53" spans="1:21">
      <c r="A53" t="s">
        <v>69</v>
      </c>
      <c r="B53" s="5">
        <v>45624</v>
      </c>
      <c r="C53" t="s">
        <v>3068</v>
      </c>
      <c r="D53" t="s">
        <v>4634</v>
      </c>
      <c r="E53" t="s">
        <v>4867</v>
      </c>
      <c r="F53">
        <v>39</v>
      </c>
      <c r="G53" t="s">
        <v>4876</v>
      </c>
      <c r="H53" t="s">
        <v>4888</v>
      </c>
      <c r="I53" t="s">
        <v>4896</v>
      </c>
      <c r="J53" t="s">
        <v>4906</v>
      </c>
      <c r="K53" t="s">
        <v>4930</v>
      </c>
      <c r="L53" t="s">
        <v>4940</v>
      </c>
      <c r="M53" t="s">
        <v>4942</v>
      </c>
      <c r="N53" s="11">
        <v>4795.29</v>
      </c>
      <c r="O53" t="s">
        <v>4949</v>
      </c>
      <c r="P53" t="s">
        <v>4951</v>
      </c>
      <c r="R53">
        <v>30</v>
      </c>
      <c r="S53" t="str">
        <f t="shared" si="0"/>
        <v>Adult</v>
      </c>
      <c r="T53" t="str">
        <f t="shared" si="1"/>
        <v>Low</v>
      </c>
      <c r="U53" t="str">
        <f t="shared" si="2"/>
        <v>Short Days</v>
      </c>
    </row>
    <row r="54" spans="1:21">
      <c r="A54" t="s">
        <v>70</v>
      </c>
      <c r="B54" s="5">
        <v>45399</v>
      </c>
      <c r="C54" t="s">
        <v>3069</v>
      </c>
      <c r="D54" t="s">
        <v>4635</v>
      </c>
      <c r="E54" t="s">
        <v>4867</v>
      </c>
      <c r="F54">
        <v>58</v>
      </c>
      <c r="G54" t="s">
        <v>4881</v>
      </c>
      <c r="H54" t="s">
        <v>4881</v>
      </c>
      <c r="I54" t="s">
        <v>4898</v>
      </c>
      <c r="J54" t="s">
        <v>4918</v>
      </c>
      <c r="K54" t="s">
        <v>4931</v>
      </c>
      <c r="L54" t="s">
        <v>4938</v>
      </c>
      <c r="M54" t="s">
        <v>4942</v>
      </c>
      <c r="N54" s="11">
        <v>1760.32</v>
      </c>
      <c r="O54" t="s">
        <v>15</v>
      </c>
      <c r="P54" t="s">
        <v>4952</v>
      </c>
      <c r="R54">
        <v>7</v>
      </c>
      <c r="S54" t="str">
        <f t="shared" si="0"/>
        <v>Middle-Aged</v>
      </c>
      <c r="T54" t="str">
        <f t="shared" si="1"/>
        <v>Low</v>
      </c>
      <c r="U54" t="str">
        <f t="shared" si="2"/>
        <v>Short Days</v>
      </c>
    </row>
    <row r="55" spans="1:21">
      <c r="A55" t="s">
        <v>71</v>
      </c>
      <c r="B55" s="5">
        <v>45840</v>
      </c>
      <c r="C55" t="s">
        <v>3070</v>
      </c>
      <c r="D55" t="s">
        <v>4636</v>
      </c>
      <c r="E55" t="s">
        <v>4867</v>
      </c>
      <c r="F55">
        <v>26</v>
      </c>
      <c r="G55" t="s">
        <v>4873</v>
      </c>
      <c r="H55" t="s">
        <v>4888</v>
      </c>
      <c r="I55" t="s">
        <v>4894</v>
      </c>
      <c r="J55" t="s">
        <v>4904</v>
      </c>
      <c r="K55" t="s">
        <v>4927</v>
      </c>
      <c r="L55" t="s">
        <v>4941</v>
      </c>
      <c r="M55" t="s">
        <v>4942</v>
      </c>
      <c r="N55" s="11">
        <v>5335.22</v>
      </c>
      <c r="O55" t="s">
        <v>4948</v>
      </c>
      <c r="P55" t="s">
        <v>4951</v>
      </c>
      <c r="R55">
        <v>30</v>
      </c>
      <c r="S55" t="str">
        <f t="shared" si="0"/>
        <v>Adult</v>
      </c>
      <c r="T55" t="str">
        <f t="shared" si="1"/>
        <v>Medium</v>
      </c>
      <c r="U55" t="str">
        <f t="shared" si="2"/>
        <v>Short Days</v>
      </c>
    </row>
    <row r="56" spans="1:21">
      <c r="A56" t="s">
        <v>72</v>
      </c>
      <c r="B56" s="5">
        <v>45845</v>
      </c>
      <c r="C56" t="s">
        <v>3071</v>
      </c>
      <c r="D56" t="s">
        <v>4637</v>
      </c>
      <c r="E56" t="s">
        <v>4866</v>
      </c>
      <c r="F56">
        <v>58</v>
      </c>
      <c r="G56" t="s">
        <v>4878</v>
      </c>
      <c r="H56" t="s">
        <v>4889</v>
      </c>
      <c r="I56" t="s">
        <v>4899</v>
      </c>
      <c r="J56" t="s">
        <v>4912</v>
      </c>
      <c r="K56" t="s">
        <v>4932</v>
      </c>
      <c r="L56" t="s">
        <v>4938</v>
      </c>
      <c r="M56" t="s">
        <v>4942</v>
      </c>
      <c r="N56" s="11">
        <v>6501.46</v>
      </c>
      <c r="O56" t="s">
        <v>15</v>
      </c>
      <c r="P56" t="s">
        <v>4952</v>
      </c>
      <c r="S56" t="str">
        <f t="shared" si="0"/>
        <v>Middle-Aged</v>
      </c>
      <c r="T56" t="str">
        <f t="shared" si="1"/>
        <v>Medium</v>
      </c>
      <c r="U56" t="str">
        <f t="shared" si="2"/>
        <v>Short Days</v>
      </c>
    </row>
    <row r="57" spans="1:21">
      <c r="A57" t="s">
        <v>73</v>
      </c>
      <c r="B57" s="5">
        <v>45533</v>
      </c>
      <c r="C57" t="s">
        <v>3023</v>
      </c>
      <c r="D57" t="s">
        <v>4638</v>
      </c>
      <c r="E57" t="s">
        <v>4867</v>
      </c>
      <c r="F57">
        <v>62</v>
      </c>
      <c r="G57" t="s">
        <v>4869</v>
      </c>
      <c r="H57" t="s">
        <v>4884</v>
      </c>
      <c r="I57" t="s">
        <v>4896</v>
      </c>
      <c r="J57" t="s">
        <v>4906</v>
      </c>
      <c r="K57" t="s">
        <v>4933</v>
      </c>
      <c r="L57" t="s">
        <v>4937</v>
      </c>
      <c r="M57" t="s">
        <v>4942</v>
      </c>
      <c r="N57" s="11">
        <v>5701.87</v>
      </c>
      <c r="O57" t="s">
        <v>4946</v>
      </c>
      <c r="P57" t="s">
        <v>4951</v>
      </c>
      <c r="R57">
        <v>90</v>
      </c>
      <c r="S57" t="str">
        <f t="shared" si="0"/>
        <v>Senior</v>
      </c>
      <c r="T57" t="str">
        <f t="shared" si="1"/>
        <v>Medium</v>
      </c>
      <c r="U57" t="str">
        <f t="shared" si="2"/>
        <v>Short Days</v>
      </c>
    </row>
    <row r="58" spans="1:21">
      <c r="A58" t="s">
        <v>74</v>
      </c>
      <c r="B58" s="5">
        <v>45426</v>
      </c>
      <c r="C58" t="s">
        <v>3072</v>
      </c>
      <c r="D58" t="s">
        <v>4639</v>
      </c>
      <c r="E58" t="s">
        <v>4867</v>
      </c>
      <c r="F58">
        <v>50</v>
      </c>
      <c r="G58" t="s">
        <v>4882</v>
      </c>
      <c r="H58" t="s">
        <v>4891</v>
      </c>
      <c r="I58" t="s">
        <v>4898</v>
      </c>
      <c r="J58" t="s">
        <v>4918</v>
      </c>
      <c r="K58" t="s">
        <v>4925</v>
      </c>
      <c r="L58" t="s">
        <v>4934</v>
      </c>
      <c r="M58" t="s">
        <v>4942</v>
      </c>
      <c r="N58" s="11">
        <v>1499.65</v>
      </c>
      <c r="O58" t="s">
        <v>4947</v>
      </c>
      <c r="P58" t="s">
        <v>4951</v>
      </c>
      <c r="S58" t="str">
        <f t="shared" si="0"/>
        <v>Middle-Aged</v>
      </c>
      <c r="T58" t="str">
        <f t="shared" si="1"/>
        <v>Low</v>
      </c>
      <c r="U58" t="str">
        <f t="shared" si="2"/>
        <v>Short Days</v>
      </c>
    </row>
    <row r="59" spans="1:21">
      <c r="A59" t="s">
        <v>75</v>
      </c>
      <c r="B59" s="5">
        <v>45441</v>
      </c>
      <c r="C59" t="s">
        <v>3073</v>
      </c>
      <c r="D59" t="s">
        <v>4619</v>
      </c>
      <c r="E59" t="s">
        <v>4867</v>
      </c>
      <c r="F59">
        <v>54</v>
      </c>
      <c r="G59" t="s">
        <v>4873</v>
      </c>
      <c r="H59" t="s">
        <v>4888</v>
      </c>
      <c r="I59" t="s">
        <v>4896</v>
      </c>
      <c r="J59" t="s">
        <v>4908</v>
      </c>
      <c r="K59" t="s">
        <v>4927</v>
      </c>
      <c r="L59" t="s">
        <v>4936</v>
      </c>
      <c r="M59" t="s">
        <v>4942</v>
      </c>
      <c r="N59" s="11">
        <v>1619.06</v>
      </c>
      <c r="O59" t="s">
        <v>4948</v>
      </c>
      <c r="P59" t="s">
        <v>4951</v>
      </c>
      <c r="S59" t="str">
        <f t="shared" si="0"/>
        <v>Middle-Aged</v>
      </c>
      <c r="T59" t="str">
        <f t="shared" si="1"/>
        <v>Low</v>
      </c>
      <c r="U59" t="str">
        <f t="shared" si="2"/>
        <v>Short Days</v>
      </c>
    </row>
    <row r="60" spans="1:21">
      <c r="A60" t="s">
        <v>76</v>
      </c>
      <c r="B60" s="5">
        <v>45940</v>
      </c>
      <c r="C60" t="s">
        <v>3074</v>
      </c>
      <c r="D60" t="s">
        <v>4637</v>
      </c>
      <c r="E60" t="s">
        <v>4867</v>
      </c>
      <c r="F60">
        <v>70</v>
      </c>
      <c r="G60" t="s">
        <v>4870</v>
      </c>
      <c r="H60" t="s">
        <v>4885</v>
      </c>
      <c r="I60" t="s">
        <v>4897</v>
      </c>
      <c r="J60" t="s">
        <v>4907</v>
      </c>
      <c r="K60" t="s">
        <v>4924</v>
      </c>
      <c r="L60" t="s">
        <v>4935</v>
      </c>
      <c r="M60" t="s">
        <v>4942</v>
      </c>
      <c r="N60" s="11">
        <v>6406.08</v>
      </c>
      <c r="O60" t="s">
        <v>4947</v>
      </c>
      <c r="P60" t="s">
        <v>4951</v>
      </c>
      <c r="R60">
        <v>14</v>
      </c>
      <c r="S60" t="str">
        <f t="shared" si="0"/>
        <v>Senior</v>
      </c>
      <c r="T60" t="str">
        <f t="shared" si="1"/>
        <v>Medium</v>
      </c>
      <c r="U60" t="str">
        <f t="shared" si="2"/>
        <v>Short Days</v>
      </c>
    </row>
    <row r="61" spans="1:21">
      <c r="A61" t="s">
        <v>77</v>
      </c>
      <c r="B61" s="5">
        <v>45862</v>
      </c>
      <c r="C61" t="s">
        <v>3075</v>
      </c>
      <c r="D61" t="s">
        <v>4637</v>
      </c>
      <c r="E61" t="s">
        <v>4867</v>
      </c>
      <c r="F61">
        <v>58</v>
      </c>
      <c r="G61" t="s">
        <v>4882</v>
      </c>
      <c r="H61" t="s">
        <v>4891</v>
      </c>
      <c r="I61" t="s">
        <v>4897</v>
      </c>
      <c r="J61" t="s">
        <v>4922</v>
      </c>
      <c r="K61" t="s">
        <v>4929</v>
      </c>
      <c r="L61" t="s">
        <v>4936</v>
      </c>
      <c r="M61" t="s">
        <v>4942</v>
      </c>
      <c r="N61" s="11">
        <v>2199.69</v>
      </c>
      <c r="O61" t="s">
        <v>15</v>
      </c>
      <c r="P61" t="s">
        <v>4952</v>
      </c>
      <c r="R61">
        <v>30</v>
      </c>
      <c r="S61" t="str">
        <f t="shared" si="0"/>
        <v>Middle-Aged</v>
      </c>
      <c r="T61" t="str">
        <f t="shared" si="1"/>
        <v>Low</v>
      </c>
      <c r="U61" t="str">
        <f t="shared" si="2"/>
        <v>Short Days</v>
      </c>
    </row>
    <row r="62" spans="1:21">
      <c r="A62" t="s">
        <v>78</v>
      </c>
      <c r="B62" s="5">
        <v>45750</v>
      </c>
      <c r="C62" t="s">
        <v>3076</v>
      </c>
      <c r="D62" t="s">
        <v>4640</v>
      </c>
      <c r="E62" t="s">
        <v>4866</v>
      </c>
      <c r="F62">
        <v>19</v>
      </c>
      <c r="G62" t="s">
        <v>4869</v>
      </c>
      <c r="H62" t="s">
        <v>4884</v>
      </c>
      <c r="I62" t="s">
        <v>4893</v>
      </c>
      <c r="J62" t="s">
        <v>4917</v>
      </c>
      <c r="K62" t="s">
        <v>4930</v>
      </c>
      <c r="L62" t="s">
        <v>4936</v>
      </c>
      <c r="M62" t="s">
        <v>4942</v>
      </c>
      <c r="N62" s="11">
        <v>3582.55</v>
      </c>
      <c r="O62" t="s">
        <v>4946</v>
      </c>
      <c r="P62" t="s">
        <v>4951</v>
      </c>
      <c r="R62">
        <v>7</v>
      </c>
      <c r="S62" t="str">
        <f t="shared" si="0"/>
        <v>Adult</v>
      </c>
      <c r="T62" t="str">
        <f t="shared" si="1"/>
        <v>Low</v>
      </c>
      <c r="U62" t="str">
        <f t="shared" si="2"/>
        <v>Short Days</v>
      </c>
    </row>
    <row r="63" spans="1:21">
      <c r="A63" t="s">
        <v>79</v>
      </c>
      <c r="B63" s="5">
        <v>45510</v>
      </c>
      <c r="C63" t="s">
        <v>3077</v>
      </c>
      <c r="D63" t="s">
        <v>4641</v>
      </c>
      <c r="E63" t="s">
        <v>4866</v>
      </c>
      <c r="F63">
        <v>76</v>
      </c>
      <c r="G63" t="s">
        <v>4869</v>
      </c>
      <c r="H63" t="s">
        <v>4884</v>
      </c>
      <c r="I63" t="s">
        <v>4897</v>
      </c>
      <c r="J63" t="s">
        <v>4922</v>
      </c>
      <c r="K63" t="s">
        <v>4931</v>
      </c>
      <c r="L63" t="s">
        <v>4941</v>
      </c>
      <c r="M63" t="s">
        <v>4942</v>
      </c>
      <c r="N63" s="11">
        <v>5786.76</v>
      </c>
      <c r="O63" t="s">
        <v>15</v>
      </c>
      <c r="P63" t="s">
        <v>4952</v>
      </c>
      <c r="R63">
        <v>30</v>
      </c>
      <c r="S63" t="str">
        <f t="shared" si="0"/>
        <v>Senior</v>
      </c>
      <c r="T63" t="str">
        <f t="shared" si="1"/>
        <v>Medium</v>
      </c>
      <c r="U63" t="str">
        <f t="shared" si="2"/>
        <v>Short Days</v>
      </c>
    </row>
    <row r="64" spans="1:21">
      <c r="A64" t="s">
        <v>80</v>
      </c>
      <c r="B64" s="5">
        <v>45366</v>
      </c>
      <c r="C64" t="s">
        <v>3073</v>
      </c>
      <c r="D64" t="s">
        <v>4642</v>
      </c>
      <c r="E64" t="s">
        <v>4867</v>
      </c>
      <c r="F64">
        <v>42</v>
      </c>
      <c r="G64" t="s">
        <v>4878</v>
      </c>
      <c r="H64" t="s">
        <v>4889</v>
      </c>
      <c r="I64" t="s">
        <v>4900</v>
      </c>
      <c r="J64" t="s">
        <v>4913</v>
      </c>
      <c r="K64" t="s">
        <v>4928</v>
      </c>
      <c r="L64" t="s">
        <v>4940</v>
      </c>
      <c r="M64" t="s">
        <v>4942</v>
      </c>
      <c r="N64" s="11">
        <v>2785.54</v>
      </c>
      <c r="O64" t="s">
        <v>15</v>
      </c>
      <c r="P64" t="s">
        <v>4952</v>
      </c>
      <c r="R64">
        <v>14</v>
      </c>
      <c r="S64" t="str">
        <f t="shared" si="0"/>
        <v>Middle-Aged</v>
      </c>
      <c r="T64" t="str">
        <f t="shared" si="1"/>
        <v>Low</v>
      </c>
      <c r="U64" t="str">
        <f t="shared" si="2"/>
        <v>Short Days</v>
      </c>
    </row>
    <row r="65" spans="1:21">
      <c r="A65" t="s">
        <v>81</v>
      </c>
      <c r="B65" s="5">
        <v>45587</v>
      </c>
      <c r="C65" t="s">
        <v>3078</v>
      </c>
      <c r="D65" t="s">
        <v>4643</v>
      </c>
      <c r="E65" t="s">
        <v>4867</v>
      </c>
      <c r="F65">
        <v>69</v>
      </c>
      <c r="G65" t="s">
        <v>4880</v>
      </c>
      <c r="H65" t="s">
        <v>4890</v>
      </c>
      <c r="I65" t="s">
        <v>4898</v>
      </c>
      <c r="J65" t="s">
        <v>4918</v>
      </c>
      <c r="K65" t="s">
        <v>4930</v>
      </c>
      <c r="L65" t="s">
        <v>4941</v>
      </c>
      <c r="M65" t="s">
        <v>4942</v>
      </c>
      <c r="N65" s="11">
        <v>5983.22</v>
      </c>
      <c r="O65" t="s">
        <v>4949</v>
      </c>
      <c r="P65" t="s">
        <v>4951</v>
      </c>
      <c r="S65" t="str">
        <f t="shared" si="0"/>
        <v>Senior</v>
      </c>
      <c r="T65" t="str">
        <f t="shared" si="1"/>
        <v>Medium</v>
      </c>
      <c r="U65" t="str">
        <f t="shared" si="2"/>
        <v>Short Days</v>
      </c>
    </row>
    <row r="66" spans="1:21">
      <c r="A66" t="s">
        <v>82</v>
      </c>
      <c r="B66" s="5">
        <v>45737</v>
      </c>
      <c r="C66" t="s">
        <v>3079</v>
      </c>
      <c r="D66" t="s">
        <v>4644</v>
      </c>
      <c r="E66" t="s">
        <v>4866</v>
      </c>
      <c r="F66">
        <v>42</v>
      </c>
      <c r="G66" t="s">
        <v>4871</v>
      </c>
      <c r="H66" t="s">
        <v>4886</v>
      </c>
      <c r="I66" t="s">
        <v>4898</v>
      </c>
      <c r="J66" t="s">
        <v>4918</v>
      </c>
      <c r="K66" t="s">
        <v>4929</v>
      </c>
      <c r="L66" t="s">
        <v>4940</v>
      </c>
      <c r="M66" t="s">
        <v>4942</v>
      </c>
      <c r="N66" s="11">
        <v>537.44000000000005</v>
      </c>
      <c r="O66" t="s">
        <v>4948</v>
      </c>
      <c r="P66" t="s">
        <v>4951</v>
      </c>
      <c r="R66">
        <v>14</v>
      </c>
      <c r="S66" t="str">
        <f t="shared" si="0"/>
        <v>Middle-Aged</v>
      </c>
      <c r="T66" t="str">
        <f t="shared" si="1"/>
        <v>Low</v>
      </c>
      <c r="U66" t="str">
        <f t="shared" si="2"/>
        <v>Short Days</v>
      </c>
    </row>
    <row r="67" spans="1:21">
      <c r="A67" t="s">
        <v>83</v>
      </c>
      <c r="B67" s="5">
        <v>45640</v>
      </c>
      <c r="C67" t="s">
        <v>3080</v>
      </c>
      <c r="D67" t="s">
        <v>4645</v>
      </c>
      <c r="E67" t="s">
        <v>4867</v>
      </c>
      <c r="F67">
        <v>6</v>
      </c>
      <c r="G67" t="s">
        <v>4875</v>
      </c>
      <c r="H67" t="s">
        <v>4889</v>
      </c>
      <c r="I67" t="s">
        <v>4900</v>
      </c>
      <c r="J67" t="s">
        <v>4913</v>
      </c>
      <c r="K67" t="s">
        <v>4928</v>
      </c>
      <c r="L67" t="s">
        <v>4940</v>
      </c>
      <c r="M67" t="s">
        <v>4944</v>
      </c>
      <c r="N67" s="11">
        <v>5573.02</v>
      </c>
      <c r="O67" t="s">
        <v>4948</v>
      </c>
      <c r="P67" t="s">
        <v>4951</v>
      </c>
      <c r="R67">
        <v>30</v>
      </c>
      <c r="S67" t="str">
        <f t="shared" ref="S67:S130" si="3">IF(F67&lt;18,"Child",IF(F67&lt;=40,"Adult",IF(F67&lt;=60,"Middle-Aged",IF(F67,"Senior"))))</f>
        <v>Child</v>
      </c>
      <c r="T67" t="str">
        <f t="shared" ref="T67:T130" si="4">IF(N67&lt;=5000,"Low",IF(N67&lt;=10000,"Medium","High"))</f>
        <v>Medium</v>
      </c>
      <c r="U67" t="str">
        <f t="shared" ref="U67:U130" si="5">IF(Q67&lt;=5,"Short Days","Long Days")</f>
        <v>Short Days</v>
      </c>
    </row>
    <row r="68" spans="1:21">
      <c r="A68" t="s">
        <v>84</v>
      </c>
      <c r="B68" s="5">
        <v>45591</v>
      </c>
      <c r="C68" t="s">
        <v>3081</v>
      </c>
      <c r="D68" t="s">
        <v>4646</v>
      </c>
      <c r="E68" t="s">
        <v>4867</v>
      </c>
      <c r="F68">
        <v>36</v>
      </c>
      <c r="G68" t="s">
        <v>4876</v>
      </c>
      <c r="H68" t="s">
        <v>4888</v>
      </c>
      <c r="I68" t="s">
        <v>4900</v>
      </c>
      <c r="J68" t="s">
        <v>4919</v>
      </c>
      <c r="K68" t="s">
        <v>4928</v>
      </c>
      <c r="L68" t="s">
        <v>4939</v>
      </c>
      <c r="M68" t="s">
        <v>4944</v>
      </c>
      <c r="N68" s="11">
        <v>8418.58</v>
      </c>
      <c r="O68" t="s">
        <v>15</v>
      </c>
      <c r="P68" t="s">
        <v>4952</v>
      </c>
      <c r="R68">
        <v>7</v>
      </c>
      <c r="S68" t="str">
        <f t="shared" si="3"/>
        <v>Adult</v>
      </c>
      <c r="T68" t="str">
        <f t="shared" si="4"/>
        <v>Medium</v>
      </c>
      <c r="U68" t="str">
        <f t="shared" si="5"/>
        <v>Short Days</v>
      </c>
    </row>
    <row r="69" spans="1:21">
      <c r="A69" t="s">
        <v>85</v>
      </c>
      <c r="B69" s="5">
        <v>45477</v>
      </c>
      <c r="C69" t="s">
        <v>3082</v>
      </c>
      <c r="D69" t="s">
        <v>4605</v>
      </c>
      <c r="E69" t="s">
        <v>4866</v>
      </c>
      <c r="F69">
        <v>56</v>
      </c>
      <c r="G69" t="s">
        <v>4883</v>
      </c>
      <c r="H69" t="s">
        <v>4892</v>
      </c>
      <c r="I69" t="s">
        <v>4898</v>
      </c>
      <c r="J69" t="s">
        <v>4909</v>
      </c>
      <c r="K69" t="s">
        <v>4927</v>
      </c>
      <c r="L69" t="s">
        <v>4938</v>
      </c>
      <c r="M69" t="s">
        <v>4942</v>
      </c>
      <c r="N69" s="11">
        <v>4925.9399999999996</v>
      </c>
      <c r="O69" t="s">
        <v>15</v>
      </c>
      <c r="P69" t="s">
        <v>4952</v>
      </c>
      <c r="R69">
        <v>30</v>
      </c>
      <c r="S69" t="str">
        <f t="shared" si="3"/>
        <v>Middle-Aged</v>
      </c>
      <c r="T69" t="str">
        <f t="shared" si="4"/>
        <v>Low</v>
      </c>
      <c r="U69" t="str">
        <f t="shared" si="5"/>
        <v>Short Days</v>
      </c>
    </row>
    <row r="70" spans="1:21">
      <c r="A70" t="s">
        <v>86</v>
      </c>
      <c r="B70" s="5">
        <v>45449</v>
      </c>
      <c r="C70" t="s">
        <v>3083</v>
      </c>
      <c r="D70" t="s">
        <v>4647</v>
      </c>
      <c r="E70" t="s">
        <v>4866</v>
      </c>
      <c r="F70">
        <v>40</v>
      </c>
      <c r="G70" t="s">
        <v>4877</v>
      </c>
      <c r="H70" t="s">
        <v>4888</v>
      </c>
      <c r="I70" t="s">
        <v>4897</v>
      </c>
      <c r="J70" t="s">
        <v>4922</v>
      </c>
      <c r="K70" t="s">
        <v>4930</v>
      </c>
      <c r="L70" t="s">
        <v>4941</v>
      </c>
      <c r="M70" t="s">
        <v>4942</v>
      </c>
      <c r="N70" s="11">
        <v>1992.28</v>
      </c>
      <c r="O70" t="s">
        <v>4948</v>
      </c>
      <c r="P70" t="s">
        <v>4951</v>
      </c>
      <c r="S70" t="str">
        <f t="shared" si="3"/>
        <v>Adult</v>
      </c>
      <c r="T70" t="str">
        <f t="shared" si="4"/>
        <v>Low</v>
      </c>
      <c r="U70" t="str">
        <f t="shared" si="5"/>
        <v>Short Days</v>
      </c>
    </row>
    <row r="71" spans="1:21">
      <c r="A71" t="s">
        <v>87</v>
      </c>
      <c r="B71" s="5">
        <v>45340</v>
      </c>
      <c r="C71" t="s">
        <v>3084</v>
      </c>
      <c r="D71" t="s">
        <v>4648</v>
      </c>
      <c r="E71" t="s">
        <v>4867</v>
      </c>
      <c r="F71">
        <v>26</v>
      </c>
      <c r="G71" t="s">
        <v>4880</v>
      </c>
      <c r="H71" t="s">
        <v>4890</v>
      </c>
      <c r="I71" t="s">
        <v>4896</v>
      </c>
      <c r="J71" t="s">
        <v>4906</v>
      </c>
      <c r="K71" t="s">
        <v>4932</v>
      </c>
      <c r="L71" t="s">
        <v>4941</v>
      </c>
      <c r="M71" t="s">
        <v>4942</v>
      </c>
      <c r="N71" s="11">
        <v>6522.62</v>
      </c>
      <c r="O71" t="s">
        <v>4946</v>
      </c>
      <c r="P71" t="s">
        <v>4951</v>
      </c>
      <c r="S71" t="str">
        <f t="shared" si="3"/>
        <v>Adult</v>
      </c>
      <c r="T71" t="str">
        <f t="shared" si="4"/>
        <v>Medium</v>
      </c>
      <c r="U71" t="str">
        <f t="shared" si="5"/>
        <v>Short Days</v>
      </c>
    </row>
    <row r="72" spans="1:21">
      <c r="A72" t="s">
        <v>88</v>
      </c>
      <c r="B72" s="5">
        <v>45884</v>
      </c>
      <c r="C72" t="s">
        <v>3085</v>
      </c>
      <c r="D72" t="s">
        <v>4649</v>
      </c>
      <c r="E72" t="s">
        <v>4866</v>
      </c>
      <c r="F72">
        <v>33</v>
      </c>
      <c r="G72" t="s">
        <v>4876</v>
      </c>
      <c r="H72" t="s">
        <v>4888</v>
      </c>
      <c r="I72" t="s">
        <v>4893</v>
      </c>
      <c r="J72" t="s">
        <v>4903</v>
      </c>
      <c r="K72" t="s">
        <v>4927</v>
      </c>
      <c r="L72" t="s">
        <v>4940</v>
      </c>
      <c r="M72" t="s">
        <v>4944</v>
      </c>
      <c r="N72" s="11">
        <v>5409.73</v>
      </c>
      <c r="O72" t="s">
        <v>15</v>
      </c>
      <c r="P72" t="s">
        <v>4952</v>
      </c>
      <c r="S72" t="str">
        <f t="shared" si="3"/>
        <v>Adult</v>
      </c>
      <c r="T72" t="str">
        <f t="shared" si="4"/>
        <v>Medium</v>
      </c>
      <c r="U72" t="str">
        <f t="shared" si="5"/>
        <v>Short Days</v>
      </c>
    </row>
    <row r="73" spans="1:21">
      <c r="A73" t="s">
        <v>89</v>
      </c>
      <c r="B73" s="5">
        <v>45299</v>
      </c>
      <c r="C73" t="s">
        <v>3086</v>
      </c>
      <c r="D73" t="s">
        <v>4650</v>
      </c>
      <c r="E73" t="s">
        <v>4867</v>
      </c>
      <c r="F73">
        <v>50</v>
      </c>
      <c r="G73" t="s">
        <v>4877</v>
      </c>
      <c r="H73" t="s">
        <v>4888</v>
      </c>
      <c r="I73" t="s">
        <v>4897</v>
      </c>
      <c r="J73" t="s">
        <v>4907</v>
      </c>
      <c r="K73" t="s">
        <v>4932</v>
      </c>
      <c r="L73" t="s">
        <v>4935</v>
      </c>
      <c r="M73" t="s">
        <v>4942</v>
      </c>
      <c r="N73" s="11">
        <v>5634.37</v>
      </c>
      <c r="O73" t="s">
        <v>15</v>
      </c>
      <c r="P73" t="s">
        <v>4952</v>
      </c>
      <c r="R73">
        <v>14</v>
      </c>
      <c r="S73" t="str">
        <f t="shared" si="3"/>
        <v>Middle-Aged</v>
      </c>
      <c r="T73" t="str">
        <f t="shared" si="4"/>
        <v>Medium</v>
      </c>
      <c r="U73" t="str">
        <f t="shared" si="5"/>
        <v>Short Days</v>
      </c>
    </row>
    <row r="74" spans="1:21">
      <c r="A74" t="s">
        <v>90</v>
      </c>
      <c r="B74" s="5">
        <v>45674</v>
      </c>
      <c r="C74" t="s">
        <v>3087</v>
      </c>
      <c r="D74" t="s">
        <v>4651</v>
      </c>
      <c r="E74" t="s">
        <v>4866</v>
      </c>
      <c r="F74">
        <v>37</v>
      </c>
      <c r="G74" t="s">
        <v>4880</v>
      </c>
      <c r="H74" t="s">
        <v>4890</v>
      </c>
      <c r="I74" t="s">
        <v>4899</v>
      </c>
      <c r="J74" t="s">
        <v>4912</v>
      </c>
      <c r="K74" t="s">
        <v>4927</v>
      </c>
      <c r="L74" t="s">
        <v>4935</v>
      </c>
      <c r="M74" t="s">
        <v>4942</v>
      </c>
      <c r="N74" s="11">
        <v>2986.92</v>
      </c>
      <c r="O74" t="s">
        <v>4946</v>
      </c>
      <c r="P74" t="s">
        <v>4951</v>
      </c>
      <c r="R74">
        <v>30</v>
      </c>
      <c r="S74" t="str">
        <f t="shared" si="3"/>
        <v>Adult</v>
      </c>
      <c r="T74" t="str">
        <f t="shared" si="4"/>
        <v>Low</v>
      </c>
      <c r="U74" t="str">
        <f t="shared" si="5"/>
        <v>Short Days</v>
      </c>
    </row>
    <row r="75" spans="1:21">
      <c r="A75" t="s">
        <v>91</v>
      </c>
      <c r="B75" s="5">
        <v>45345</v>
      </c>
      <c r="C75" t="s">
        <v>3088</v>
      </c>
      <c r="D75" t="s">
        <v>4586</v>
      </c>
      <c r="E75" t="s">
        <v>4867</v>
      </c>
      <c r="F75">
        <v>25</v>
      </c>
      <c r="G75" t="s">
        <v>4875</v>
      </c>
      <c r="H75" t="s">
        <v>4889</v>
      </c>
      <c r="I75" t="s">
        <v>4901</v>
      </c>
      <c r="J75" t="s">
        <v>4921</v>
      </c>
      <c r="K75" t="s">
        <v>4932</v>
      </c>
      <c r="L75" t="s">
        <v>4938</v>
      </c>
      <c r="M75" t="s">
        <v>4944</v>
      </c>
      <c r="N75" s="11">
        <v>15061.13</v>
      </c>
      <c r="O75" t="s">
        <v>15</v>
      </c>
      <c r="P75" t="s">
        <v>4952</v>
      </c>
      <c r="R75">
        <v>14</v>
      </c>
      <c r="S75" t="str">
        <f t="shared" si="3"/>
        <v>Adult</v>
      </c>
      <c r="T75" t="str">
        <f t="shared" si="4"/>
        <v>High</v>
      </c>
      <c r="U75" t="str">
        <f t="shared" si="5"/>
        <v>Short Days</v>
      </c>
    </row>
    <row r="76" spans="1:21">
      <c r="A76" t="s">
        <v>92</v>
      </c>
      <c r="B76" s="5">
        <v>45527</v>
      </c>
      <c r="C76" t="s">
        <v>3089</v>
      </c>
      <c r="D76" t="s">
        <v>4652</v>
      </c>
      <c r="E76" t="s">
        <v>4866</v>
      </c>
      <c r="F76">
        <v>46</v>
      </c>
      <c r="G76" t="s">
        <v>4869</v>
      </c>
      <c r="H76" t="s">
        <v>4884</v>
      </c>
      <c r="I76" t="s">
        <v>4895</v>
      </c>
      <c r="J76" t="s">
        <v>4905</v>
      </c>
      <c r="K76" t="s">
        <v>4924</v>
      </c>
      <c r="L76" t="s">
        <v>4936</v>
      </c>
      <c r="M76" t="s">
        <v>4944</v>
      </c>
      <c r="N76" s="11">
        <v>12619.47</v>
      </c>
      <c r="O76" t="s">
        <v>4949</v>
      </c>
      <c r="P76" t="s">
        <v>4951</v>
      </c>
      <c r="R76">
        <v>90</v>
      </c>
      <c r="S76" t="str">
        <f t="shared" si="3"/>
        <v>Middle-Aged</v>
      </c>
      <c r="T76" t="str">
        <f t="shared" si="4"/>
        <v>High</v>
      </c>
      <c r="U76" t="str">
        <f t="shared" si="5"/>
        <v>Short Days</v>
      </c>
    </row>
    <row r="77" spans="1:21">
      <c r="A77" t="s">
        <v>93</v>
      </c>
      <c r="B77" s="5">
        <v>45703</v>
      </c>
      <c r="C77" t="s">
        <v>3090</v>
      </c>
      <c r="D77" t="s">
        <v>4633</v>
      </c>
      <c r="E77" t="s">
        <v>4866</v>
      </c>
      <c r="F77">
        <v>39</v>
      </c>
      <c r="G77" t="s">
        <v>4879</v>
      </c>
      <c r="H77" t="s">
        <v>4888</v>
      </c>
      <c r="I77" t="s">
        <v>4896</v>
      </c>
      <c r="J77" t="s">
        <v>4908</v>
      </c>
      <c r="K77" t="s">
        <v>4926</v>
      </c>
      <c r="L77" t="s">
        <v>4937</v>
      </c>
      <c r="M77" t="s">
        <v>4942</v>
      </c>
      <c r="N77" s="11">
        <v>3392.3</v>
      </c>
      <c r="O77" t="s">
        <v>4948</v>
      </c>
      <c r="P77" t="s">
        <v>4951</v>
      </c>
      <c r="S77" t="str">
        <f t="shared" si="3"/>
        <v>Adult</v>
      </c>
      <c r="T77" t="str">
        <f t="shared" si="4"/>
        <v>Low</v>
      </c>
      <c r="U77" t="str">
        <f t="shared" si="5"/>
        <v>Short Days</v>
      </c>
    </row>
    <row r="78" spans="1:21">
      <c r="A78" t="s">
        <v>94</v>
      </c>
      <c r="B78" s="5">
        <v>45492</v>
      </c>
      <c r="C78" t="s">
        <v>3091</v>
      </c>
      <c r="D78" t="s">
        <v>4653</v>
      </c>
      <c r="E78" t="s">
        <v>4867</v>
      </c>
      <c r="F78">
        <v>36</v>
      </c>
      <c r="G78" t="s">
        <v>4874</v>
      </c>
      <c r="H78" t="s">
        <v>4886</v>
      </c>
      <c r="I78" t="s">
        <v>4897</v>
      </c>
      <c r="J78" t="s">
        <v>4907</v>
      </c>
      <c r="K78" t="s">
        <v>4930</v>
      </c>
      <c r="L78" t="s">
        <v>4939</v>
      </c>
      <c r="M78" t="s">
        <v>4945</v>
      </c>
      <c r="N78" s="11">
        <v>6852.29</v>
      </c>
      <c r="O78" t="s">
        <v>15</v>
      </c>
      <c r="P78" t="s">
        <v>4952</v>
      </c>
      <c r="Q78">
        <v>6</v>
      </c>
      <c r="S78" t="str">
        <f t="shared" si="3"/>
        <v>Adult</v>
      </c>
      <c r="T78" t="str">
        <f t="shared" si="4"/>
        <v>Medium</v>
      </c>
      <c r="U78" t="str">
        <f t="shared" si="5"/>
        <v>Long Days</v>
      </c>
    </row>
    <row r="79" spans="1:21">
      <c r="A79" t="s">
        <v>95</v>
      </c>
      <c r="B79" s="5">
        <v>45541</v>
      </c>
      <c r="C79" t="s">
        <v>3092</v>
      </c>
      <c r="D79" t="s">
        <v>4654</v>
      </c>
      <c r="E79" t="s">
        <v>4867</v>
      </c>
      <c r="F79">
        <v>42</v>
      </c>
      <c r="G79" t="s">
        <v>4875</v>
      </c>
      <c r="H79" t="s">
        <v>4889</v>
      </c>
      <c r="I79" t="s">
        <v>4893</v>
      </c>
      <c r="J79" t="s">
        <v>4903</v>
      </c>
      <c r="K79" t="s">
        <v>4928</v>
      </c>
      <c r="L79" t="s">
        <v>4940</v>
      </c>
      <c r="M79" t="s">
        <v>4943</v>
      </c>
      <c r="N79" s="11">
        <v>15398.39</v>
      </c>
      <c r="O79" t="s">
        <v>4949</v>
      </c>
      <c r="P79" t="s">
        <v>4951</v>
      </c>
      <c r="S79" t="str">
        <f t="shared" si="3"/>
        <v>Middle-Aged</v>
      </c>
      <c r="T79" t="str">
        <f t="shared" si="4"/>
        <v>High</v>
      </c>
      <c r="U79" t="str">
        <f t="shared" si="5"/>
        <v>Short Days</v>
      </c>
    </row>
    <row r="80" spans="1:21">
      <c r="A80" t="s">
        <v>96</v>
      </c>
      <c r="B80" s="5">
        <v>45601</v>
      </c>
      <c r="C80" t="s">
        <v>3093</v>
      </c>
      <c r="D80" t="s">
        <v>4655</v>
      </c>
      <c r="E80" t="s">
        <v>4867</v>
      </c>
      <c r="F80">
        <v>58</v>
      </c>
      <c r="G80" t="s">
        <v>4875</v>
      </c>
      <c r="H80" t="s">
        <v>4889</v>
      </c>
      <c r="I80" t="s">
        <v>4897</v>
      </c>
      <c r="J80" t="s">
        <v>4922</v>
      </c>
      <c r="K80" t="s">
        <v>4928</v>
      </c>
      <c r="L80" t="s">
        <v>4939</v>
      </c>
      <c r="M80" t="s">
        <v>4944</v>
      </c>
      <c r="N80" s="11">
        <v>7199.95</v>
      </c>
      <c r="O80" t="s">
        <v>4946</v>
      </c>
      <c r="P80" t="s">
        <v>4951</v>
      </c>
      <c r="S80" t="str">
        <f t="shared" si="3"/>
        <v>Middle-Aged</v>
      </c>
      <c r="T80" t="str">
        <f t="shared" si="4"/>
        <v>Medium</v>
      </c>
      <c r="U80" t="str">
        <f t="shared" si="5"/>
        <v>Short Days</v>
      </c>
    </row>
    <row r="81" spans="1:21">
      <c r="A81" t="s">
        <v>97</v>
      </c>
      <c r="B81" s="5">
        <v>45564</v>
      </c>
      <c r="C81" t="s">
        <v>3094</v>
      </c>
      <c r="D81" t="s">
        <v>4656</v>
      </c>
      <c r="E81" t="s">
        <v>4866</v>
      </c>
      <c r="F81">
        <v>35</v>
      </c>
      <c r="G81" t="s">
        <v>4874</v>
      </c>
      <c r="H81" t="s">
        <v>4886</v>
      </c>
      <c r="I81" t="s">
        <v>4898</v>
      </c>
      <c r="J81" t="s">
        <v>4923</v>
      </c>
      <c r="K81" t="s">
        <v>4926</v>
      </c>
      <c r="L81" t="s">
        <v>4936</v>
      </c>
      <c r="M81" t="s">
        <v>4944</v>
      </c>
      <c r="N81" s="11">
        <v>15928.17</v>
      </c>
      <c r="O81" t="s">
        <v>4950</v>
      </c>
      <c r="P81" t="s">
        <v>4951</v>
      </c>
      <c r="R81">
        <v>7</v>
      </c>
      <c r="S81" t="str">
        <f t="shared" si="3"/>
        <v>Adult</v>
      </c>
      <c r="T81" t="str">
        <f t="shared" si="4"/>
        <v>High</v>
      </c>
      <c r="U81" t="str">
        <f t="shared" si="5"/>
        <v>Short Days</v>
      </c>
    </row>
    <row r="82" spans="1:21">
      <c r="A82" t="s">
        <v>98</v>
      </c>
      <c r="B82" s="5">
        <v>45506</v>
      </c>
      <c r="C82" t="s">
        <v>3077</v>
      </c>
      <c r="D82" t="s">
        <v>4618</v>
      </c>
      <c r="E82" t="s">
        <v>4866</v>
      </c>
      <c r="F82">
        <v>50</v>
      </c>
      <c r="G82" t="s">
        <v>4883</v>
      </c>
      <c r="H82" t="s">
        <v>4892</v>
      </c>
      <c r="I82" t="s">
        <v>4894</v>
      </c>
      <c r="J82" t="s">
        <v>4910</v>
      </c>
      <c r="K82" t="s">
        <v>4927</v>
      </c>
      <c r="L82" t="s">
        <v>4940</v>
      </c>
      <c r="M82" t="s">
        <v>4944</v>
      </c>
      <c r="N82" s="11">
        <v>25716.080000000002</v>
      </c>
      <c r="O82" t="s">
        <v>4947</v>
      </c>
      <c r="P82" t="s">
        <v>4951</v>
      </c>
      <c r="R82">
        <v>30</v>
      </c>
      <c r="S82" t="str">
        <f t="shared" si="3"/>
        <v>Middle-Aged</v>
      </c>
      <c r="T82" t="str">
        <f t="shared" si="4"/>
        <v>High</v>
      </c>
      <c r="U82" t="str">
        <f t="shared" si="5"/>
        <v>Short Days</v>
      </c>
    </row>
    <row r="83" spans="1:21">
      <c r="A83" t="s">
        <v>99</v>
      </c>
      <c r="B83" s="5">
        <v>45458</v>
      </c>
      <c r="C83" t="s">
        <v>3095</v>
      </c>
      <c r="D83" t="s">
        <v>4657</v>
      </c>
      <c r="E83" t="s">
        <v>4867</v>
      </c>
      <c r="F83">
        <v>43</v>
      </c>
      <c r="G83" t="s">
        <v>4879</v>
      </c>
      <c r="H83" t="s">
        <v>4888</v>
      </c>
      <c r="I83" t="s">
        <v>4897</v>
      </c>
      <c r="J83" t="s">
        <v>4922</v>
      </c>
      <c r="K83" t="s">
        <v>4926</v>
      </c>
      <c r="L83" t="s">
        <v>4934</v>
      </c>
      <c r="M83" t="s">
        <v>4942</v>
      </c>
      <c r="N83" s="11">
        <v>3479</v>
      </c>
      <c r="O83" t="s">
        <v>4949</v>
      </c>
      <c r="P83" t="s">
        <v>4951</v>
      </c>
      <c r="R83">
        <v>30</v>
      </c>
      <c r="S83" t="str">
        <f t="shared" si="3"/>
        <v>Middle-Aged</v>
      </c>
      <c r="T83" t="str">
        <f t="shared" si="4"/>
        <v>Low</v>
      </c>
      <c r="U83" t="str">
        <f t="shared" si="5"/>
        <v>Short Days</v>
      </c>
    </row>
    <row r="84" spans="1:21">
      <c r="A84" t="s">
        <v>100</v>
      </c>
      <c r="B84" s="5">
        <v>45829</v>
      </c>
      <c r="C84" t="s">
        <v>3096</v>
      </c>
      <c r="D84" t="s">
        <v>4658</v>
      </c>
      <c r="E84" t="s">
        <v>4866</v>
      </c>
      <c r="F84">
        <v>63</v>
      </c>
      <c r="G84" t="s">
        <v>4879</v>
      </c>
      <c r="H84" t="s">
        <v>4888</v>
      </c>
      <c r="I84" t="s">
        <v>4896</v>
      </c>
      <c r="J84" t="s">
        <v>4908</v>
      </c>
      <c r="K84" t="s">
        <v>4928</v>
      </c>
      <c r="L84" t="s">
        <v>4936</v>
      </c>
      <c r="M84" t="s">
        <v>4942</v>
      </c>
      <c r="N84" s="11">
        <v>16433.05</v>
      </c>
      <c r="O84" t="s">
        <v>4949</v>
      </c>
      <c r="P84" t="s">
        <v>4951</v>
      </c>
      <c r="R84">
        <v>30</v>
      </c>
      <c r="S84" t="str">
        <f t="shared" si="3"/>
        <v>Senior</v>
      </c>
      <c r="T84" t="str">
        <f t="shared" si="4"/>
        <v>High</v>
      </c>
      <c r="U84" t="str">
        <f t="shared" si="5"/>
        <v>Short Days</v>
      </c>
    </row>
    <row r="85" spans="1:21">
      <c r="A85" t="s">
        <v>101</v>
      </c>
      <c r="B85" s="5">
        <v>45588</v>
      </c>
      <c r="C85" t="s">
        <v>3097</v>
      </c>
      <c r="D85" t="s">
        <v>4659</v>
      </c>
      <c r="E85" t="s">
        <v>4866</v>
      </c>
      <c r="F85">
        <v>83</v>
      </c>
      <c r="G85" t="s">
        <v>4876</v>
      </c>
      <c r="H85" t="s">
        <v>4888</v>
      </c>
      <c r="I85" t="s">
        <v>4893</v>
      </c>
      <c r="J85" t="s">
        <v>4903</v>
      </c>
      <c r="K85" t="s">
        <v>4927</v>
      </c>
      <c r="L85" t="s">
        <v>4935</v>
      </c>
      <c r="M85" t="s">
        <v>4944</v>
      </c>
      <c r="N85" s="11">
        <v>7523.89</v>
      </c>
      <c r="O85" t="s">
        <v>4947</v>
      </c>
      <c r="P85" t="s">
        <v>4951</v>
      </c>
      <c r="R85">
        <v>30</v>
      </c>
      <c r="S85" t="str">
        <f t="shared" si="3"/>
        <v>Senior</v>
      </c>
      <c r="T85" t="str">
        <f t="shared" si="4"/>
        <v>Medium</v>
      </c>
      <c r="U85" t="str">
        <f t="shared" si="5"/>
        <v>Short Days</v>
      </c>
    </row>
    <row r="86" spans="1:21">
      <c r="A86" t="s">
        <v>102</v>
      </c>
      <c r="B86" s="5">
        <v>45818</v>
      </c>
      <c r="C86" t="s">
        <v>3098</v>
      </c>
      <c r="D86" t="s">
        <v>4660</v>
      </c>
      <c r="E86" t="s">
        <v>4866</v>
      </c>
      <c r="F86">
        <v>7</v>
      </c>
      <c r="G86" t="s">
        <v>4875</v>
      </c>
      <c r="H86" t="s">
        <v>4889</v>
      </c>
      <c r="I86" t="s">
        <v>4893</v>
      </c>
      <c r="J86" t="s">
        <v>4903</v>
      </c>
      <c r="K86" t="s">
        <v>4927</v>
      </c>
      <c r="L86" t="s">
        <v>4936</v>
      </c>
      <c r="M86" t="s">
        <v>4942</v>
      </c>
      <c r="N86" s="11">
        <v>784.3</v>
      </c>
      <c r="O86" t="s">
        <v>15</v>
      </c>
      <c r="P86" t="s">
        <v>4952</v>
      </c>
      <c r="S86" t="str">
        <f t="shared" si="3"/>
        <v>Child</v>
      </c>
      <c r="T86" t="str">
        <f t="shared" si="4"/>
        <v>Low</v>
      </c>
      <c r="U86" t="str">
        <f t="shared" si="5"/>
        <v>Short Days</v>
      </c>
    </row>
    <row r="87" spans="1:21">
      <c r="A87" t="s">
        <v>103</v>
      </c>
      <c r="B87" s="5">
        <v>45447</v>
      </c>
      <c r="C87" t="s">
        <v>3099</v>
      </c>
      <c r="D87" t="s">
        <v>4661</v>
      </c>
      <c r="E87" t="s">
        <v>4867</v>
      </c>
      <c r="F87">
        <v>41</v>
      </c>
      <c r="G87" t="s">
        <v>4882</v>
      </c>
      <c r="H87" t="s">
        <v>4891</v>
      </c>
      <c r="I87" t="s">
        <v>4895</v>
      </c>
      <c r="J87" t="s">
        <v>4915</v>
      </c>
      <c r="K87" t="s">
        <v>4929</v>
      </c>
      <c r="L87" t="s">
        <v>4934</v>
      </c>
      <c r="M87" t="s">
        <v>4942</v>
      </c>
      <c r="N87" s="11">
        <v>2198.77</v>
      </c>
      <c r="O87" t="s">
        <v>4947</v>
      </c>
      <c r="P87" t="s">
        <v>4951</v>
      </c>
      <c r="R87">
        <v>7</v>
      </c>
      <c r="S87" t="str">
        <f t="shared" si="3"/>
        <v>Middle-Aged</v>
      </c>
      <c r="T87" t="str">
        <f t="shared" si="4"/>
        <v>Low</v>
      </c>
      <c r="U87" t="str">
        <f t="shared" si="5"/>
        <v>Short Days</v>
      </c>
    </row>
    <row r="88" spans="1:21">
      <c r="A88" t="s">
        <v>104</v>
      </c>
      <c r="B88" s="5">
        <v>45879</v>
      </c>
      <c r="C88" t="s">
        <v>3100</v>
      </c>
      <c r="D88" t="s">
        <v>4662</v>
      </c>
      <c r="E88" t="s">
        <v>4867</v>
      </c>
      <c r="F88">
        <v>31</v>
      </c>
      <c r="G88" t="s">
        <v>4880</v>
      </c>
      <c r="H88" t="s">
        <v>4890</v>
      </c>
      <c r="I88" t="s">
        <v>4897</v>
      </c>
      <c r="J88" t="s">
        <v>4922</v>
      </c>
      <c r="K88" t="s">
        <v>4928</v>
      </c>
      <c r="L88" t="s">
        <v>4938</v>
      </c>
      <c r="M88" t="s">
        <v>4942</v>
      </c>
      <c r="N88" s="11">
        <v>7691.67</v>
      </c>
      <c r="O88" t="s">
        <v>4946</v>
      </c>
      <c r="P88" t="s">
        <v>4951</v>
      </c>
      <c r="S88" t="str">
        <f t="shared" si="3"/>
        <v>Adult</v>
      </c>
      <c r="T88" t="str">
        <f t="shared" si="4"/>
        <v>Medium</v>
      </c>
      <c r="U88" t="str">
        <f t="shared" si="5"/>
        <v>Short Days</v>
      </c>
    </row>
    <row r="89" spans="1:21">
      <c r="A89" t="s">
        <v>105</v>
      </c>
      <c r="B89" s="5">
        <v>45530</v>
      </c>
      <c r="C89" t="s">
        <v>3075</v>
      </c>
      <c r="D89" t="s">
        <v>4663</v>
      </c>
      <c r="E89" t="s">
        <v>4867</v>
      </c>
      <c r="F89">
        <v>0</v>
      </c>
      <c r="G89" t="s">
        <v>4883</v>
      </c>
      <c r="H89" t="s">
        <v>4892</v>
      </c>
      <c r="I89" t="s">
        <v>4896</v>
      </c>
      <c r="J89" t="s">
        <v>4906</v>
      </c>
      <c r="K89" t="s">
        <v>4926</v>
      </c>
      <c r="L89" t="s">
        <v>4941</v>
      </c>
      <c r="M89" t="s">
        <v>4942</v>
      </c>
      <c r="N89" s="11">
        <v>1344.85</v>
      </c>
      <c r="O89" t="s">
        <v>4946</v>
      </c>
      <c r="P89" t="s">
        <v>4951</v>
      </c>
      <c r="R89">
        <v>14</v>
      </c>
      <c r="S89" t="str">
        <f t="shared" si="3"/>
        <v>Child</v>
      </c>
      <c r="T89" t="str">
        <f t="shared" si="4"/>
        <v>Low</v>
      </c>
      <c r="U89" t="str">
        <f t="shared" si="5"/>
        <v>Short Days</v>
      </c>
    </row>
    <row r="90" spans="1:21">
      <c r="A90" t="s">
        <v>106</v>
      </c>
      <c r="B90" s="5">
        <v>45542</v>
      </c>
      <c r="C90" t="s">
        <v>3101</v>
      </c>
      <c r="D90" t="s">
        <v>4588</v>
      </c>
      <c r="E90" t="s">
        <v>4866</v>
      </c>
      <c r="F90">
        <v>7</v>
      </c>
      <c r="G90" t="s">
        <v>4878</v>
      </c>
      <c r="H90" t="s">
        <v>4889</v>
      </c>
      <c r="I90" t="s">
        <v>4899</v>
      </c>
      <c r="J90" t="s">
        <v>4911</v>
      </c>
      <c r="K90" t="s">
        <v>4932</v>
      </c>
      <c r="L90" t="s">
        <v>4941</v>
      </c>
      <c r="M90" t="s">
        <v>4942</v>
      </c>
      <c r="N90" s="11">
        <v>9117.9500000000007</v>
      </c>
      <c r="O90" t="s">
        <v>15</v>
      </c>
      <c r="P90" t="s">
        <v>4952</v>
      </c>
      <c r="R90">
        <v>7</v>
      </c>
      <c r="S90" t="str">
        <f t="shared" si="3"/>
        <v>Child</v>
      </c>
      <c r="T90" t="str">
        <f t="shared" si="4"/>
        <v>Medium</v>
      </c>
      <c r="U90" t="str">
        <f t="shared" si="5"/>
        <v>Short Days</v>
      </c>
    </row>
    <row r="91" spans="1:21">
      <c r="A91" t="s">
        <v>107</v>
      </c>
      <c r="B91" s="5">
        <v>45656</v>
      </c>
      <c r="C91" t="s">
        <v>3102</v>
      </c>
      <c r="D91" t="s">
        <v>4664</v>
      </c>
      <c r="E91" t="s">
        <v>4867</v>
      </c>
      <c r="F91">
        <v>58</v>
      </c>
      <c r="G91" t="s">
        <v>4869</v>
      </c>
      <c r="H91" t="s">
        <v>4884</v>
      </c>
      <c r="I91" t="s">
        <v>4895</v>
      </c>
      <c r="J91" t="s">
        <v>4905</v>
      </c>
      <c r="K91" t="s">
        <v>4929</v>
      </c>
      <c r="L91" t="s">
        <v>4939</v>
      </c>
      <c r="M91" t="s">
        <v>4944</v>
      </c>
      <c r="N91" s="11">
        <v>8644.7000000000007</v>
      </c>
      <c r="O91" t="s">
        <v>4947</v>
      </c>
      <c r="P91" t="s">
        <v>4951</v>
      </c>
      <c r="S91" t="str">
        <f t="shared" si="3"/>
        <v>Middle-Aged</v>
      </c>
      <c r="T91" t="str">
        <f t="shared" si="4"/>
        <v>Medium</v>
      </c>
      <c r="U91" t="str">
        <f t="shared" si="5"/>
        <v>Short Days</v>
      </c>
    </row>
    <row r="92" spans="1:21">
      <c r="A92" t="s">
        <v>108</v>
      </c>
      <c r="B92" s="5">
        <v>45521</v>
      </c>
      <c r="C92" t="s">
        <v>3103</v>
      </c>
      <c r="D92" t="s">
        <v>4665</v>
      </c>
      <c r="E92" t="s">
        <v>4867</v>
      </c>
      <c r="F92">
        <v>54</v>
      </c>
      <c r="G92" t="s">
        <v>4873</v>
      </c>
      <c r="H92" t="s">
        <v>4888</v>
      </c>
      <c r="I92" t="s">
        <v>4898</v>
      </c>
      <c r="J92" t="s">
        <v>4923</v>
      </c>
      <c r="K92" t="s">
        <v>4929</v>
      </c>
      <c r="L92" t="s">
        <v>4939</v>
      </c>
      <c r="M92" t="s">
        <v>4944</v>
      </c>
      <c r="N92" s="11">
        <v>8477.7000000000007</v>
      </c>
      <c r="O92" t="s">
        <v>15</v>
      </c>
      <c r="P92" t="s">
        <v>4952</v>
      </c>
      <c r="R92">
        <v>7</v>
      </c>
      <c r="S92" t="str">
        <f t="shared" si="3"/>
        <v>Middle-Aged</v>
      </c>
      <c r="T92" t="str">
        <f t="shared" si="4"/>
        <v>Medium</v>
      </c>
      <c r="U92" t="str">
        <f t="shared" si="5"/>
        <v>Short Days</v>
      </c>
    </row>
    <row r="93" spans="1:21">
      <c r="A93" t="s">
        <v>109</v>
      </c>
      <c r="B93" s="5">
        <v>45534</v>
      </c>
      <c r="C93" t="s">
        <v>3104</v>
      </c>
      <c r="D93" t="s">
        <v>4666</v>
      </c>
      <c r="E93" t="s">
        <v>4866</v>
      </c>
      <c r="F93">
        <v>22</v>
      </c>
      <c r="G93" t="s">
        <v>4876</v>
      </c>
      <c r="H93" t="s">
        <v>4888</v>
      </c>
      <c r="I93" t="s">
        <v>4893</v>
      </c>
      <c r="J93" t="s">
        <v>4917</v>
      </c>
      <c r="K93" t="s">
        <v>4924</v>
      </c>
      <c r="L93" t="s">
        <v>4939</v>
      </c>
      <c r="M93" t="s">
        <v>4942</v>
      </c>
      <c r="N93" s="11">
        <v>2065</v>
      </c>
      <c r="O93" t="s">
        <v>15</v>
      </c>
      <c r="P93" t="s">
        <v>4952</v>
      </c>
      <c r="S93" t="str">
        <f t="shared" si="3"/>
        <v>Adult</v>
      </c>
      <c r="T93" t="str">
        <f t="shared" si="4"/>
        <v>Low</v>
      </c>
      <c r="U93" t="str">
        <f t="shared" si="5"/>
        <v>Short Days</v>
      </c>
    </row>
    <row r="94" spans="1:21">
      <c r="A94" t="s">
        <v>110</v>
      </c>
      <c r="B94" s="5">
        <v>45894</v>
      </c>
      <c r="C94" t="s">
        <v>3105</v>
      </c>
      <c r="D94" t="s">
        <v>4667</v>
      </c>
      <c r="E94" t="s">
        <v>4866</v>
      </c>
      <c r="F94">
        <v>49</v>
      </c>
      <c r="G94" t="s">
        <v>4882</v>
      </c>
      <c r="H94" t="s">
        <v>4891</v>
      </c>
      <c r="I94" t="s">
        <v>4894</v>
      </c>
      <c r="J94" t="s">
        <v>4904</v>
      </c>
      <c r="K94" t="s">
        <v>4926</v>
      </c>
      <c r="L94" t="s">
        <v>4934</v>
      </c>
      <c r="M94" t="s">
        <v>4942</v>
      </c>
      <c r="N94" s="11">
        <v>1673</v>
      </c>
      <c r="O94" t="s">
        <v>15</v>
      </c>
      <c r="P94" t="s">
        <v>4952</v>
      </c>
      <c r="S94" t="str">
        <f t="shared" si="3"/>
        <v>Middle-Aged</v>
      </c>
      <c r="T94" t="str">
        <f t="shared" si="4"/>
        <v>Low</v>
      </c>
      <c r="U94" t="str">
        <f t="shared" si="5"/>
        <v>Short Days</v>
      </c>
    </row>
    <row r="95" spans="1:21">
      <c r="A95" t="s">
        <v>111</v>
      </c>
      <c r="B95" s="5">
        <v>45407</v>
      </c>
      <c r="C95" t="s">
        <v>3106</v>
      </c>
      <c r="D95" t="s">
        <v>4668</v>
      </c>
      <c r="E95" t="s">
        <v>4866</v>
      </c>
      <c r="F95">
        <v>36</v>
      </c>
      <c r="G95" t="s">
        <v>4880</v>
      </c>
      <c r="H95" t="s">
        <v>4890</v>
      </c>
      <c r="I95" t="s">
        <v>4902</v>
      </c>
      <c r="J95" t="s">
        <v>4916</v>
      </c>
      <c r="K95" t="s">
        <v>4928</v>
      </c>
      <c r="L95" t="s">
        <v>4940</v>
      </c>
      <c r="M95" t="s">
        <v>4942</v>
      </c>
      <c r="N95" s="11">
        <v>907.13</v>
      </c>
      <c r="O95" t="s">
        <v>4946</v>
      </c>
      <c r="P95" t="s">
        <v>4951</v>
      </c>
      <c r="S95" t="str">
        <f t="shared" si="3"/>
        <v>Adult</v>
      </c>
      <c r="T95" t="str">
        <f t="shared" si="4"/>
        <v>Low</v>
      </c>
      <c r="U95" t="str">
        <f t="shared" si="5"/>
        <v>Short Days</v>
      </c>
    </row>
    <row r="96" spans="1:21">
      <c r="A96" t="s">
        <v>112</v>
      </c>
      <c r="B96" s="5">
        <v>45482</v>
      </c>
      <c r="C96" t="s">
        <v>3107</v>
      </c>
      <c r="D96" t="s">
        <v>4669</v>
      </c>
      <c r="E96" t="s">
        <v>4866</v>
      </c>
      <c r="F96">
        <v>39</v>
      </c>
      <c r="G96" t="s">
        <v>4882</v>
      </c>
      <c r="H96" t="s">
        <v>4891</v>
      </c>
      <c r="I96" t="s">
        <v>4893</v>
      </c>
      <c r="J96" t="s">
        <v>4903</v>
      </c>
      <c r="K96" t="s">
        <v>4928</v>
      </c>
      <c r="L96" t="s">
        <v>4937</v>
      </c>
      <c r="M96" t="s">
        <v>4942</v>
      </c>
      <c r="N96" s="11">
        <v>680.64</v>
      </c>
      <c r="O96" t="s">
        <v>4947</v>
      </c>
      <c r="P96" t="s">
        <v>4951</v>
      </c>
      <c r="R96">
        <v>7</v>
      </c>
      <c r="S96" t="str">
        <f t="shared" si="3"/>
        <v>Adult</v>
      </c>
      <c r="T96" t="str">
        <f t="shared" si="4"/>
        <v>Low</v>
      </c>
      <c r="U96" t="str">
        <f t="shared" si="5"/>
        <v>Short Days</v>
      </c>
    </row>
    <row r="97" spans="1:21">
      <c r="A97" t="s">
        <v>113</v>
      </c>
      <c r="B97" s="5">
        <v>45626</v>
      </c>
      <c r="C97" t="s">
        <v>3108</v>
      </c>
      <c r="D97" t="s">
        <v>4670</v>
      </c>
      <c r="E97" t="s">
        <v>4867</v>
      </c>
      <c r="F97">
        <v>51</v>
      </c>
      <c r="G97" t="s">
        <v>4881</v>
      </c>
      <c r="H97" t="s">
        <v>4881</v>
      </c>
      <c r="I97" t="s">
        <v>4901</v>
      </c>
      <c r="J97" t="s">
        <v>4914</v>
      </c>
      <c r="K97" t="s">
        <v>4931</v>
      </c>
      <c r="L97" t="s">
        <v>4938</v>
      </c>
      <c r="M97" t="s">
        <v>4942</v>
      </c>
      <c r="N97" s="11">
        <v>3718.96</v>
      </c>
      <c r="O97" t="s">
        <v>4949</v>
      </c>
      <c r="P97" t="s">
        <v>4951</v>
      </c>
      <c r="S97" t="str">
        <f t="shared" si="3"/>
        <v>Middle-Aged</v>
      </c>
      <c r="T97" t="str">
        <f t="shared" si="4"/>
        <v>Low</v>
      </c>
      <c r="U97" t="str">
        <f t="shared" si="5"/>
        <v>Short Days</v>
      </c>
    </row>
    <row r="98" spans="1:21">
      <c r="A98" t="s">
        <v>114</v>
      </c>
      <c r="B98" s="5">
        <v>45387</v>
      </c>
      <c r="C98" t="s">
        <v>3109</v>
      </c>
      <c r="D98" t="s">
        <v>4671</v>
      </c>
      <c r="E98" t="s">
        <v>4866</v>
      </c>
      <c r="F98">
        <v>15</v>
      </c>
      <c r="G98" t="s">
        <v>4870</v>
      </c>
      <c r="H98" t="s">
        <v>4885</v>
      </c>
      <c r="I98" t="s">
        <v>4895</v>
      </c>
      <c r="J98" t="s">
        <v>4915</v>
      </c>
      <c r="K98" t="s">
        <v>4932</v>
      </c>
      <c r="L98" t="s">
        <v>4938</v>
      </c>
      <c r="M98" t="s">
        <v>4942</v>
      </c>
      <c r="N98" s="11">
        <v>1905.5</v>
      </c>
      <c r="O98" t="s">
        <v>4950</v>
      </c>
      <c r="P98" t="s">
        <v>4951</v>
      </c>
      <c r="S98" t="str">
        <f t="shared" si="3"/>
        <v>Child</v>
      </c>
      <c r="T98" t="str">
        <f t="shared" si="4"/>
        <v>Low</v>
      </c>
      <c r="U98" t="str">
        <f t="shared" si="5"/>
        <v>Short Days</v>
      </c>
    </row>
    <row r="99" spans="1:21">
      <c r="A99" t="s">
        <v>115</v>
      </c>
      <c r="B99" s="5">
        <v>45877</v>
      </c>
      <c r="C99" t="s">
        <v>3110</v>
      </c>
      <c r="D99" t="s">
        <v>4595</v>
      </c>
      <c r="E99" t="s">
        <v>4866</v>
      </c>
      <c r="F99">
        <v>47</v>
      </c>
      <c r="G99" t="s">
        <v>4871</v>
      </c>
      <c r="H99" t="s">
        <v>4886</v>
      </c>
      <c r="I99" t="s">
        <v>4900</v>
      </c>
      <c r="J99" t="s">
        <v>4919</v>
      </c>
      <c r="K99" t="s">
        <v>4933</v>
      </c>
      <c r="L99" t="s">
        <v>4936</v>
      </c>
      <c r="M99" t="s">
        <v>4942</v>
      </c>
      <c r="N99" s="11">
        <v>1972.42</v>
      </c>
      <c r="O99" t="s">
        <v>4949</v>
      </c>
      <c r="P99" t="s">
        <v>4951</v>
      </c>
      <c r="S99" t="str">
        <f t="shared" si="3"/>
        <v>Middle-Aged</v>
      </c>
      <c r="T99" t="str">
        <f t="shared" si="4"/>
        <v>Low</v>
      </c>
      <c r="U99" t="str">
        <f t="shared" si="5"/>
        <v>Short Days</v>
      </c>
    </row>
    <row r="100" spans="1:21">
      <c r="A100" t="s">
        <v>116</v>
      </c>
      <c r="B100" s="5">
        <v>45590</v>
      </c>
      <c r="C100" t="s">
        <v>3030</v>
      </c>
      <c r="D100" t="s">
        <v>4633</v>
      </c>
      <c r="E100" t="s">
        <v>4867</v>
      </c>
      <c r="F100">
        <v>22</v>
      </c>
      <c r="G100" t="s">
        <v>4876</v>
      </c>
      <c r="H100" t="s">
        <v>4888</v>
      </c>
      <c r="I100" t="s">
        <v>4901</v>
      </c>
      <c r="J100" t="s">
        <v>4921</v>
      </c>
      <c r="K100" t="s">
        <v>4927</v>
      </c>
      <c r="L100" t="s">
        <v>4938</v>
      </c>
      <c r="M100" t="s">
        <v>4942</v>
      </c>
      <c r="N100" s="11">
        <v>300.35000000000002</v>
      </c>
      <c r="O100" t="s">
        <v>4949</v>
      </c>
      <c r="P100" t="s">
        <v>4951</v>
      </c>
      <c r="R100">
        <v>7</v>
      </c>
      <c r="S100" t="str">
        <f t="shared" si="3"/>
        <v>Adult</v>
      </c>
      <c r="T100" t="str">
        <f t="shared" si="4"/>
        <v>Low</v>
      </c>
      <c r="U100" t="str">
        <f t="shared" si="5"/>
        <v>Short Days</v>
      </c>
    </row>
    <row r="101" spans="1:21">
      <c r="A101" t="s">
        <v>117</v>
      </c>
      <c r="B101" s="5">
        <v>45960</v>
      </c>
      <c r="C101" t="s">
        <v>3111</v>
      </c>
      <c r="D101" t="s">
        <v>4672</v>
      </c>
      <c r="E101" t="s">
        <v>4868</v>
      </c>
      <c r="F101">
        <v>30</v>
      </c>
      <c r="G101" t="s">
        <v>4880</v>
      </c>
      <c r="H101" t="s">
        <v>4890</v>
      </c>
      <c r="I101" t="s">
        <v>4896</v>
      </c>
      <c r="J101" t="s">
        <v>4906</v>
      </c>
      <c r="K101" t="s">
        <v>4928</v>
      </c>
      <c r="L101" t="s">
        <v>4938</v>
      </c>
      <c r="M101" t="s">
        <v>4942</v>
      </c>
      <c r="N101" s="11">
        <v>398.02</v>
      </c>
      <c r="O101" t="s">
        <v>4946</v>
      </c>
      <c r="P101" t="s">
        <v>4951</v>
      </c>
      <c r="S101" t="str">
        <f t="shared" si="3"/>
        <v>Adult</v>
      </c>
      <c r="T101" t="str">
        <f t="shared" si="4"/>
        <v>Low</v>
      </c>
      <c r="U101" t="str">
        <f t="shared" si="5"/>
        <v>Short Days</v>
      </c>
    </row>
    <row r="102" spans="1:21">
      <c r="A102" t="s">
        <v>118</v>
      </c>
      <c r="B102" s="5">
        <v>45543</v>
      </c>
      <c r="C102" t="s">
        <v>3112</v>
      </c>
      <c r="D102" t="s">
        <v>4673</v>
      </c>
      <c r="E102" t="s">
        <v>4867</v>
      </c>
      <c r="F102">
        <v>10</v>
      </c>
      <c r="G102" t="s">
        <v>4869</v>
      </c>
      <c r="H102" t="s">
        <v>4884</v>
      </c>
      <c r="I102" t="s">
        <v>4902</v>
      </c>
      <c r="J102" t="s">
        <v>4920</v>
      </c>
      <c r="K102" t="s">
        <v>4932</v>
      </c>
      <c r="L102" t="s">
        <v>4940</v>
      </c>
      <c r="M102" t="s">
        <v>4942</v>
      </c>
      <c r="N102" s="11">
        <v>4436.34</v>
      </c>
      <c r="O102" t="s">
        <v>4950</v>
      </c>
      <c r="P102" t="s">
        <v>4951</v>
      </c>
      <c r="R102">
        <v>30</v>
      </c>
      <c r="S102" t="str">
        <f t="shared" si="3"/>
        <v>Child</v>
      </c>
      <c r="T102" t="str">
        <f t="shared" si="4"/>
        <v>Low</v>
      </c>
      <c r="U102" t="str">
        <f t="shared" si="5"/>
        <v>Short Days</v>
      </c>
    </row>
    <row r="103" spans="1:21">
      <c r="A103" t="s">
        <v>119</v>
      </c>
      <c r="B103" s="5">
        <v>45546</v>
      </c>
      <c r="C103" t="s">
        <v>3113</v>
      </c>
      <c r="D103" t="s">
        <v>4586</v>
      </c>
      <c r="E103" t="s">
        <v>4867</v>
      </c>
      <c r="F103">
        <v>79</v>
      </c>
      <c r="G103" t="s">
        <v>4872</v>
      </c>
      <c r="H103" t="s">
        <v>4887</v>
      </c>
      <c r="I103" t="s">
        <v>4901</v>
      </c>
      <c r="J103" t="s">
        <v>4921</v>
      </c>
      <c r="K103" t="s">
        <v>4932</v>
      </c>
      <c r="L103" t="s">
        <v>4938</v>
      </c>
      <c r="M103" t="s">
        <v>4942</v>
      </c>
      <c r="N103" s="11">
        <v>912.92</v>
      </c>
      <c r="O103" t="s">
        <v>4946</v>
      </c>
      <c r="P103" t="s">
        <v>4951</v>
      </c>
      <c r="S103" t="str">
        <f t="shared" si="3"/>
        <v>Senior</v>
      </c>
      <c r="T103" t="str">
        <f t="shared" si="4"/>
        <v>Low</v>
      </c>
      <c r="U103" t="str">
        <f t="shared" si="5"/>
        <v>Short Days</v>
      </c>
    </row>
    <row r="104" spans="1:21">
      <c r="A104" t="s">
        <v>120</v>
      </c>
      <c r="B104" s="5">
        <v>45737</v>
      </c>
      <c r="C104" t="s">
        <v>3114</v>
      </c>
      <c r="D104" t="s">
        <v>4674</v>
      </c>
      <c r="E104" t="s">
        <v>4867</v>
      </c>
      <c r="F104">
        <v>63</v>
      </c>
      <c r="G104" t="s">
        <v>4876</v>
      </c>
      <c r="H104" t="s">
        <v>4888</v>
      </c>
      <c r="I104" t="s">
        <v>4896</v>
      </c>
      <c r="J104" t="s">
        <v>4906</v>
      </c>
      <c r="K104" t="s">
        <v>4924</v>
      </c>
      <c r="L104" t="s">
        <v>4937</v>
      </c>
      <c r="M104" t="s">
        <v>4942</v>
      </c>
      <c r="N104" s="11">
        <v>2216.1999999999998</v>
      </c>
      <c r="O104" t="s">
        <v>4949</v>
      </c>
      <c r="P104" t="s">
        <v>4951</v>
      </c>
      <c r="R104">
        <v>14</v>
      </c>
      <c r="S104" t="str">
        <f t="shared" si="3"/>
        <v>Senior</v>
      </c>
      <c r="T104" t="str">
        <f t="shared" si="4"/>
        <v>Low</v>
      </c>
      <c r="U104" t="str">
        <f t="shared" si="5"/>
        <v>Short Days</v>
      </c>
    </row>
    <row r="105" spans="1:21">
      <c r="A105" t="s">
        <v>121</v>
      </c>
      <c r="B105" s="5">
        <v>45636</v>
      </c>
      <c r="C105" t="s">
        <v>3115</v>
      </c>
      <c r="D105" t="s">
        <v>4675</v>
      </c>
      <c r="E105" t="s">
        <v>4866</v>
      </c>
      <c r="F105">
        <v>8</v>
      </c>
      <c r="G105" t="s">
        <v>4881</v>
      </c>
      <c r="H105" t="s">
        <v>4881</v>
      </c>
      <c r="I105" t="s">
        <v>4900</v>
      </c>
      <c r="J105" t="s">
        <v>4919</v>
      </c>
      <c r="K105" t="s">
        <v>4933</v>
      </c>
      <c r="L105" t="s">
        <v>4940</v>
      </c>
      <c r="M105" t="s">
        <v>4942</v>
      </c>
      <c r="N105" s="11">
        <v>6099.7</v>
      </c>
      <c r="O105" t="s">
        <v>4949</v>
      </c>
      <c r="P105" t="s">
        <v>4951</v>
      </c>
      <c r="S105" t="str">
        <f t="shared" si="3"/>
        <v>Child</v>
      </c>
      <c r="T105" t="str">
        <f t="shared" si="4"/>
        <v>Medium</v>
      </c>
      <c r="U105" t="str">
        <f t="shared" si="5"/>
        <v>Short Days</v>
      </c>
    </row>
    <row r="106" spans="1:21">
      <c r="A106" t="s">
        <v>122</v>
      </c>
      <c r="B106" s="5">
        <v>45375</v>
      </c>
      <c r="C106" t="s">
        <v>3116</v>
      </c>
      <c r="D106" t="s">
        <v>4676</v>
      </c>
      <c r="E106" t="s">
        <v>4867</v>
      </c>
      <c r="F106">
        <v>46</v>
      </c>
      <c r="G106" t="s">
        <v>4873</v>
      </c>
      <c r="H106" t="s">
        <v>4888</v>
      </c>
      <c r="I106" t="s">
        <v>4902</v>
      </c>
      <c r="J106" t="s">
        <v>4920</v>
      </c>
      <c r="K106" t="s">
        <v>4927</v>
      </c>
      <c r="L106" t="s">
        <v>4936</v>
      </c>
      <c r="M106" t="s">
        <v>4942</v>
      </c>
      <c r="N106" s="11">
        <v>1501.85</v>
      </c>
      <c r="O106" t="s">
        <v>4948</v>
      </c>
      <c r="P106" t="s">
        <v>4951</v>
      </c>
      <c r="R106">
        <v>90</v>
      </c>
      <c r="S106" t="str">
        <f t="shared" si="3"/>
        <v>Middle-Aged</v>
      </c>
      <c r="T106" t="str">
        <f t="shared" si="4"/>
        <v>Low</v>
      </c>
      <c r="U106" t="str">
        <f t="shared" si="5"/>
        <v>Short Days</v>
      </c>
    </row>
    <row r="107" spans="1:21">
      <c r="A107" t="s">
        <v>123</v>
      </c>
      <c r="B107" s="5">
        <v>45396</v>
      </c>
      <c r="C107" t="s">
        <v>3117</v>
      </c>
      <c r="D107" t="s">
        <v>4677</v>
      </c>
      <c r="E107" t="s">
        <v>4867</v>
      </c>
      <c r="F107">
        <v>31</v>
      </c>
      <c r="G107" t="s">
        <v>4876</v>
      </c>
      <c r="H107" t="s">
        <v>4888</v>
      </c>
      <c r="I107" t="s">
        <v>4898</v>
      </c>
      <c r="J107" t="s">
        <v>4923</v>
      </c>
      <c r="K107" t="s">
        <v>4926</v>
      </c>
      <c r="L107" t="s">
        <v>4935</v>
      </c>
      <c r="M107" t="s">
        <v>4944</v>
      </c>
      <c r="N107" s="11">
        <v>15290.84</v>
      </c>
      <c r="O107" t="s">
        <v>4946</v>
      </c>
      <c r="P107" t="s">
        <v>4951</v>
      </c>
      <c r="R107">
        <v>14</v>
      </c>
      <c r="S107" t="str">
        <f t="shared" si="3"/>
        <v>Adult</v>
      </c>
      <c r="T107" t="str">
        <f t="shared" si="4"/>
        <v>High</v>
      </c>
      <c r="U107" t="str">
        <f t="shared" si="5"/>
        <v>Short Days</v>
      </c>
    </row>
    <row r="108" spans="1:21">
      <c r="A108" t="s">
        <v>124</v>
      </c>
      <c r="B108" s="5">
        <v>45680</v>
      </c>
      <c r="C108" t="s">
        <v>3118</v>
      </c>
      <c r="D108" t="s">
        <v>4678</v>
      </c>
      <c r="E108" t="s">
        <v>4868</v>
      </c>
      <c r="F108">
        <v>32</v>
      </c>
      <c r="G108" t="s">
        <v>4869</v>
      </c>
      <c r="H108" t="s">
        <v>4884</v>
      </c>
      <c r="I108" t="s">
        <v>4899</v>
      </c>
      <c r="J108" t="s">
        <v>4911</v>
      </c>
      <c r="K108" t="s">
        <v>4928</v>
      </c>
      <c r="L108" t="s">
        <v>4941</v>
      </c>
      <c r="M108" t="s">
        <v>4944</v>
      </c>
      <c r="N108" s="11">
        <v>9221.4699999999993</v>
      </c>
      <c r="O108" t="s">
        <v>4946</v>
      </c>
      <c r="P108" t="s">
        <v>4951</v>
      </c>
      <c r="R108">
        <v>14</v>
      </c>
      <c r="S108" t="str">
        <f t="shared" si="3"/>
        <v>Adult</v>
      </c>
      <c r="T108" t="str">
        <f t="shared" si="4"/>
        <v>Medium</v>
      </c>
      <c r="U108" t="str">
        <f t="shared" si="5"/>
        <v>Short Days</v>
      </c>
    </row>
    <row r="109" spans="1:21">
      <c r="A109" t="s">
        <v>125</v>
      </c>
      <c r="B109" s="5">
        <v>45674</v>
      </c>
      <c r="C109" t="s">
        <v>3119</v>
      </c>
      <c r="D109" t="s">
        <v>4679</v>
      </c>
      <c r="E109" t="s">
        <v>4867</v>
      </c>
      <c r="F109">
        <v>48</v>
      </c>
      <c r="G109" t="s">
        <v>4882</v>
      </c>
      <c r="H109" t="s">
        <v>4891</v>
      </c>
      <c r="I109" t="s">
        <v>4894</v>
      </c>
      <c r="J109" t="s">
        <v>4904</v>
      </c>
      <c r="K109" t="s">
        <v>4929</v>
      </c>
      <c r="L109" t="s">
        <v>4939</v>
      </c>
      <c r="M109" t="s">
        <v>4942</v>
      </c>
      <c r="N109" s="11">
        <v>6919.12</v>
      </c>
      <c r="O109" t="s">
        <v>4948</v>
      </c>
      <c r="P109" t="s">
        <v>4951</v>
      </c>
      <c r="R109">
        <v>7</v>
      </c>
      <c r="S109" t="str">
        <f t="shared" si="3"/>
        <v>Middle-Aged</v>
      </c>
      <c r="T109" t="str">
        <f t="shared" si="4"/>
        <v>Medium</v>
      </c>
      <c r="U109" t="str">
        <f t="shared" si="5"/>
        <v>Short Days</v>
      </c>
    </row>
    <row r="110" spans="1:21">
      <c r="A110" t="s">
        <v>126</v>
      </c>
      <c r="B110" s="5">
        <v>45362</v>
      </c>
      <c r="C110" t="s">
        <v>3120</v>
      </c>
      <c r="D110" t="s">
        <v>4680</v>
      </c>
      <c r="E110" t="s">
        <v>4867</v>
      </c>
      <c r="F110">
        <v>13</v>
      </c>
      <c r="G110" t="s">
        <v>4873</v>
      </c>
      <c r="H110" t="s">
        <v>4888</v>
      </c>
      <c r="I110" t="s">
        <v>4901</v>
      </c>
      <c r="J110" t="s">
        <v>4914</v>
      </c>
      <c r="K110" t="s">
        <v>4927</v>
      </c>
      <c r="L110" t="s">
        <v>4935</v>
      </c>
      <c r="M110" t="s">
        <v>4942</v>
      </c>
      <c r="N110" s="11">
        <v>5059.0200000000004</v>
      </c>
      <c r="O110" t="s">
        <v>4947</v>
      </c>
      <c r="P110" t="s">
        <v>4951</v>
      </c>
      <c r="S110" t="str">
        <f t="shared" si="3"/>
        <v>Child</v>
      </c>
      <c r="T110" t="str">
        <f t="shared" si="4"/>
        <v>Medium</v>
      </c>
      <c r="U110" t="str">
        <f t="shared" si="5"/>
        <v>Short Days</v>
      </c>
    </row>
    <row r="111" spans="1:21">
      <c r="A111" t="s">
        <v>127</v>
      </c>
      <c r="B111" s="5">
        <v>45475</v>
      </c>
      <c r="C111" t="s">
        <v>3121</v>
      </c>
      <c r="D111" t="s">
        <v>4681</v>
      </c>
      <c r="E111" t="s">
        <v>4867</v>
      </c>
      <c r="F111">
        <v>40</v>
      </c>
      <c r="G111" t="s">
        <v>4873</v>
      </c>
      <c r="H111" t="s">
        <v>4888</v>
      </c>
      <c r="I111" t="s">
        <v>4894</v>
      </c>
      <c r="J111" t="s">
        <v>4910</v>
      </c>
      <c r="K111" t="s">
        <v>4933</v>
      </c>
      <c r="L111" t="s">
        <v>4939</v>
      </c>
      <c r="M111" t="s">
        <v>4944</v>
      </c>
      <c r="N111" s="11">
        <v>11865.58</v>
      </c>
      <c r="O111" t="s">
        <v>4947</v>
      </c>
      <c r="P111" t="s">
        <v>4951</v>
      </c>
      <c r="R111">
        <v>14</v>
      </c>
      <c r="S111" t="str">
        <f t="shared" si="3"/>
        <v>Adult</v>
      </c>
      <c r="T111" t="str">
        <f t="shared" si="4"/>
        <v>High</v>
      </c>
      <c r="U111" t="str">
        <f t="shared" si="5"/>
        <v>Short Days</v>
      </c>
    </row>
    <row r="112" spans="1:21">
      <c r="A112" t="s">
        <v>128</v>
      </c>
      <c r="B112" s="5">
        <v>45768</v>
      </c>
      <c r="C112" t="s">
        <v>3122</v>
      </c>
      <c r="D112" t="s">
        <v>4682</v>
      </c>
      <c r="E112" t="s">
        <v>4866</v>
      </c>
      <c r="F112">
        <v>33</v>
      </c>
      <c r="G112" t="s">
        <v>4878</v>
      </c>
      <c r="H112" t="s">
        <v>4889</v>
      </c>
      <c r="I112" t="s">
        <v>4899</v>
      </c>
      <c r="J112" t="s">
        <v>4911</v>
      </c>
      <c r="K112" t="s">
        <v>4924</v>
      </c>
      <c r="L112" t="s">
        <v>4937</v>
      </c>
      <c r="M112" t="s">
        <v>4944</v>
      </c>
      <c r="N112" s="11">
        <v>10313.879999999999</v>
      </c>
      <c r="O112" t="s">
        <v>4948</v>
      </c>
      <c r="P112" t="s">
        <v>4951</v>
      </c>
      <c r="S112" t="str">
        <f t="shared" si="3"/>
        <v>Adult</v>
      </c>
      <c r="T112" t="str">
        <f t="shared" si="4"/>
        <v>High</v>
      </c>
      <c r="U112" t="str">
        <f t="shared" si="5"/>
        <v>Short Days</v>
      </c>
    </row>
    <row r="113" spans="1:21">
      <c r="A113" t="s">
        <v>129</v>
      </c>
      <c r="B113" s="5">
        <v>45955</v>
      </c>
      <c r="C113" t="s">
        <v>3123</v>
      </c>
      <c r="D113" t="s">
        <v>4683</v>
      </c>
      <c r="E113" t="s">
        <v>4866</v>
      </c>
      <c r="F113">
        <v>53</v>
      </c>
      <c r="G113" t="s">
        <v>4881</v>
      </c>
      <c r="H113" t="s">
        <v>4881</v>
      </c>
      <c r="I113" t="s">
        <v>4893</v>
      </c>
      <c r="J113" t="s">
        <v>4903</v>
      </c>
      <c r="K113" t="s">
        <v>4930</v>
      </c>
      <c r="L113" t="s">
        <v>4934</v>
      </c>
      <c r="M113" t="s">
        <v>4945</v>
      </c>
      <c r="N113" s="11">
        <v>7064.67</v>
      </c>
      <c r="O113" t="s">
        <v>4949</v>
      </c>
      <c r="P113" t="s">
        <v>4951</v>
      </c>
      <c r="Q113">
        <v>5</v>
      </c>
      <c r="R113">
        <v>7</v>
      </c>
      <c r="S113" t="str">
        <f t="shared" si="3"/>
        <v>Middle-Aged</v>
      </c>
      <c r="T113" t="str">
        <f t="shared" si="4"/>
        <v>Medium</v>
      </c>
      <c r="U113" t="str">
        <f t="shared" si="5"/>
        <v>Short Days</v>
      </c>
    </row>
    <row r="114" spans="1:21">
      <c r="A114" t="s">
        <v>130</v>
      </c>
      <c r="B114" s="5">
        <v>45937</v>
      </c>
      <c r="C114" t="s">
        <v>3124</v>
      </c>
      <c r="D114" t="s">
        <v>4684</v>
      </c>
      <c r="E114" t="s">
        <v>4866</v>
      </c>
      <c r="F114">
        <v>49</v>
      </c>
      <c r="G114" t="s">
        <v>4883</v>
      </c>
      <c r="H114" t="s">
        <v>4892</v>
      </c>
      <c r="I114" t="s">
        <v>4893</v>
      </c>
      <c r="J114" t="s">
        <v>4917</v>
      </c>
      <c r="K114" t="s">
        <v>4928</v>
      </c>
      <c r="L114" t="s">
        <v>4934</v>
      </c>
      <c r="M114" t="s">
        <v>4942</v>
      </c>
      <c r="N114" s="11">
        <v>5251.59</v>
      </c>
      <c r="O114" t="s">
        <v>4949</v>
      </c>
      <c r="P114" t="s">
        <v>4951</v>
      </c>
      <c r="R114">
        <v>7</v>
      </c>
      <c r="S114" t="str">
        <f t="shared" si="3"/>
        <v>Middle-Aged</v>
      </c>
      <c r="T114" t="str">
        <f t="shared" si="4"/>
        <v>Medium</v>
      </c>
      <c r="U114" t="str">
        <f t="shared" si="5"/>
        <v>Short Days</v>
      </c>
    </row>
    <row r="115" spans="1:21">
      <c r="A115" t="s">
        <v>131</v>
      </c>
      <c r="B115" s="5">
        <v>45753</v>
      </c>
      <c r="C115" t="s">
        <v>3125</v>
      </c>
      <c r="D115" t="s">
        <v>4641</v>
      </c>
      <c r="E115" t="s">
        <v>4867</v>
      </c>
      <c r="F115">
        <v>16</v>
      </c>
      <c r="G115" t="s">
        <v>4882</v>
      </c>
      <c r="H115" t="s">
        <v>4891</v>
      </c>
      <c r="I115" t="s">
        <v>4895</v>
      </c>
      <c r="J115" t="s">
        <v>4905</v>
      </c>
      <c r="K115" t="s">
        <v>4930</v>
      </c>
      <c r="L115" t="s">
        <v>4939</v>
      </c>
      <c r="M115" t="s">
        <v>4942</v>
      </c>
      <c r="N115" s="11">
        <v>89.31</v>
      </c>
      <c r="O115" t="s">
        <v>4947</v>
      </c>
      <c r="P115" t="s">
        <v>4951</v>
      </c>
      <c r="S115" t="str">
        <f t="shared" si="3"/>
        <v>Child</v>
      </c>
      <c r="T115" t="str">
        <f t="shared" si="4"/>
        <v>Low</v>
      </c>
      <c r="U115" t="str">
        <f t="shared" si="5"/>
        <v>Short Days</v>
      </c>
    </row>
    <row r="116" spans="1:21">
      <c r="A116" t="s">
        <v>132</v>
      </c>
      <c r="B116" s="5">
        <v>45656</v>
      </c>
      <c r="C116" t="s">
        <v>3126</v>
      </c>
      <c r="D116" t="s">
        <v>4685</v>
      </c>
      <c r="E116" t="s">
        <v>4866</v>
      </c>
      <c r="F116">
        <v>49</v>
      </c>
      <c r="G116" t="s">
        <v>4869</v>
      </c>
      <c r="H116" t="s">
        <v>4884</v>
      </c>
      <c r="I116" t="s">
        <v>4901</v>
      </c>
      <c r="J116" t="s">
        <v>4914</v>
      </c>
      <c r="K116" t="s">
        <v>4932</v>
      </c>
      <c r="L116" t="s">
        <v>4934</v>
      </c>
      <c r="M116" t="s">
        <v>4942</v>
      </c>
      <c r="N116" s="11">
        <v>457.02</v>
      </c>
      <c r="O116" t="s">
        <v>4946</v>
      </c>
      <c r="P116" t="s">
        <v>4951</v>
      </c>
      <c r="R116">
        <v>7</v>
      </c>
      <c r="S116" t="str">
        <f t="shared" si="3"/>
        <v>Middle-Aged</v>
      </c>
      <c r="T116" t="str">
        <f t="shared" si="4"/>
        <v>Low</v>
      </c>
      <c r="U116" t="str">
        <f t="shared" si="5"/>
        <v>Short Days</v>
      </c>
    </row>
    <row r="117" spans="1:21">
      <c r="A117" t="s">
        <v>133</v>
      </c>
      <c r="B117" s="5">
        <v>45667</v>
      </c>
      <c r="C117" t="s">
        <v>3127</v>
      </c>
      <c r="D117" t="s">
        <v>4686</v>
      </c>
      <c r="E117" t="s">
        <v>4867</v>
      </c>
      <c r="F117">
        <v>51</v>
      </c>
      <c r="G117" t="s">
        <v>4869</v>
      </c>
      <c r="H117" t="s">
        <v>4884</v>
      </c>
      <c r="I117" t="s">
        <v>4893</v>
      </c>
      <c r="J117" t="s">
        <v>4903</v>
      </c>
      <c r="K117" t="s">
        <v>4928</v>
      </c>
      <c r="L117" t="s">
        <v>4938</v>
      </c>
      <c r="M117" t="s">
        <v>4942</v>
      </c>
      <c r="N117" s="11">
        <v>1289.99</v>
      </c>
      <c r="O117" t="s">
        <v>4948</v>
      </c>
      <c r="P117" t="s">
        <v>4951</v>
      </c>
      <c r="R117">
        <v>14</v>
      </c>
      <c r="S117" t="str">
        <f t="shared" si="3"/>
        <v>Middle-Aged</v>
      </c>
      <c r="T117" t="str">
        <f t="shared" si="4"/>
        <v>Low</v>
      </c>
      <c r="U117" t="str">
        <f t="shared" si="5"/>
        <v>Short Days</v>
      </c>
    </row>
    <row r="118" spans="1:21">
      <c r="A118" t="s">
        <v>134</v>
      </c>
      <c r="B118" s="5">
        <v>45909</v>
      </c>
      <c r="C118" t="s">
        <v>3128</v>
      </c>
      <c r="D118" t="s">
        <v>4687</v>
      </c>
      <c r="E118" t="s">
        <v>4867</v>
      </c>
      <c r="F118">
        <v>56</v>
      </c>
      <c r="G118" t="s">
        <v>4877</v>
      </c>
      <c r="H118" t="s">
        <v>4888</v>
      </c>
      <c r="I118" t="s">
        <v>4901</v>
      </c>
      <c r="J118" t="s">
        <v>4921</v>
      </c>
      <c r="K118" t="s">
        <v>4927</v>
      </c>
      <c r="L118" t="s">
        <v>4936</v>
      </c>
      <c r="M118" t="s">
        <v>4942</v>
      </c>
      <c r="N118" s="11">
        <v>8533.6200000000008</v>
      </c>
      <c r="O118" t="s">
        <v>4947</v>
      </c>
      <c r="P118" t="s">
        <v>4951</v>
      </c>
      <c r="R118">
        <v>90</v>
      </c>
      <c r="S118" t="str">
        <f t="shared" si="3"/>
        <v>Middle-Aged</v>
      </c>
      <c r="T118" t="str">
        <f t="shared" si="4"/>
        <v>Medium</v>
      </c>
      <c r="U118" t="str">
        <f t="shared" si="5"/>
        <v>Short Days</v>
      </c>
    </row>
    <row r="119" spans="1:21">
      <c r="A119" t="s">
        <v>135</v>
      </c>
      <c r="B119" s="5">
        <v>45767</v>
      </c>
      <c r="C119" t="s">
        <v>3129</v>
      </c>
      <c r="D119" t="s">
        <v>4642</v>
      </c>
      <c r="E119" t="s">
        <v>4867</v>
      </c>
      <c r="F119">
        <v>18</v>
      </c>
      <c r="G119" t="s">
        <v>4876</v>
      </c>
      <c r="H119" t="s">
        <v>4888</v>
      </c>
      <c r="I119" t="s">
        <v>4894</v>
      </c>
      <c r="J119" t="s">
        <v>4910</v>
      </c>
      <c r="K119" t="s">
        <v>4933</v>
      </c>
      <c r="L119" t="s">
        <v>4941</v>
      </c>
      <c r="M119" t="s">
        <v>4942</v>
      </c>
      <c r="N119" s="11">
        <v>11362.25</v>
      </c>
      <c r="O119" t="s">
        <v>4947</v>
      </c>
      <c r="P119" t="s">
        <v>4951</v>
      </c>
      <c r="R119">
        <v>7</v>
      </c>
      <c r="S119" t="str">
        <f t="shared" si="3"/>
        <v>Adult</v>
      </c>
      <c r="T119" t="str">
        <f t="shared" si="4"/>
        <v>High</v>
      </c>
      <c r="U119" t="str">
        <f t="shared" si="5"/>
        <v>Short Days</v>
      </c>
    </row>
    <row r="120" spans="1:21">
      <c r="A120" t="s">
        <v>136</v>
      </c>
      <c r="B120" s="5">
        <v>45681</v>
      </c>
      <c r="C120" t="s">
        <v>3130</v>
      </c>
      <c r="D120" t="s">
        <v>4688</v>
      </c>
      <c r="E120" t="s">
        <v>4866</v>
      </c>
      <c r="F120">
        <v>36</v>
      </c>
      <c r="G120" t="s">
        <v>4874</v>
      </c>
      <c r="H120" t="s">
        <v>4886</v>
      </c>
      <c r="I120" t="s">
        <v>4901</v>
      </c>
      <c r="J120" t="s">
        <v>4914</v>
      </c>
      <c r="K120" t="s">
        <v>4924</v>
      </c>
      <c r="L120" t="s">
        <v>4935</v>
      </c>
      <c r="M120" t="s">
        <v>4944</v>
      </c>
      <c r="N120" s="11">
        <v>9159.1299999999992</v>
      </c>
      <c r="O120" t="s">
        <v>4948</v>
      </c>
      <c r="P120" t="s">
        <v>4951</v>
      </c>
      <c r="R120">
        <v>7</v>
      </c>
      <c r="S120" t="str">
        <f t="shared" si="3"/>
        <v>Adult</v>
      </c>
      <c r="T120" t="str">
        <f t="shared" si="4"/>
        <v>Medium</v>
      </c>
      <c r="U120" t="str">
        <f t="shared" si="5"/>
        <v>Short Days</v>
      </c>
    </row>
    <row r="121" spans="1:21">
      <c r="A121" t="s">
        <v>137</v>
      </c>
      <c r="B121" s="5">
        <v>45847</v>
      </c>
      <c r="C121" t="s">
        <v>3131</v>
      </c>
      <c r="D121" t="s">
        <v>4689</v>
      </c>
      <c r="E121" t="s">
        <v>4867</v>
      </c>
      <c r="F121">
        <v>47</v>
      </c>
      <c r="G121" t="s">
        <v>4877</v>
      </c>
      <c r="H121" t="s">
        <v>4888</v>
      </c>
      <c r="I121" t="s">
        <v>4902</v>
      </c>
      <c r="J121" t="s">
        <v>4916</v>
      </c>
      <c r="K121" t="s">
        <v>4930</v>
      </c>
      <c r="L121" t="s">
        <v>4939</v>
      </c>
      <c r="M121" t="s">
        <v>4942</v>
      </c>
      <c r="N121" s="11">
        <v>11409.56</v>
      </c>
      <c r="O121" t="s">
        <v>4948</v>
      </c>
      <c r="P121" t="s">
        <v>4951</v>
      </c>
      <c r="S121" t="str">
        <f t="shared" si="3"/>
        <v>Middle-Aged</v>
      </c>
      <c r="T121" t="str">
        <f t="shared" si="4"/>
        <v>High</v>
      </c>
      <c r="U121" t="str">
        <f t="shared" si="5"/>
        <v>Short Days</v>
      </c>
    </row>
    <row r="122" spans="1:21">
      <c r="A122" t="s">
        <v>138</v>
      </c>
      <c r="B122" s="5">
        <v>45533</v>
      </c>
      <c r="C122" t="s">
        <v>3132</v>
      </c>
      <c r="D122" t="s">
        <v>4690</v>
      </c>
      <c r="E122" t="s">
        <v>4866</v>
      </c>
      <c r="F122">
        <v>13</v>
      </c>
      <c r="G122" t="s">
        <v>4874</v>
      </c>
      <c r="H122" t="s">
        <v>4886</v>
      </c>
      <c r="I122" t="s">
        <v>4894</v>
      </c>
      <c r="J122" t="s">
        <v>4904</v>
      </c>
      <c r="K122" t="s">
        <v>4924</v>
      </c>
      <c r="L122" t="s">
        <v>4941</v>
      </c>
      <c r="M122" t="s">
        <v>4944</v>
      </c>
      <c r="N122" s="11">
        <v>7781.49</v>
      </c>
      <c r="O122" t="s">
        <v>15</v>
      </c>
      <c r="P122" t="s">
        <v>4952</v>
      </c>
      <c r="S122" t="str">
        <f t="shared" si="3"/>
        <v>Child</v>
      </c>
      <c r="T122" t="str">
        <f t="shared" si="4"/>
        <v>Medium</v>
      </c>
      <c r="U122" t="str">
        <f t="shared" si="5"/>
        <v>Short Days</v>
      </c>
    </row>
    <row r="123" spans="1:21">
      <c r="A123" t="s">
        <v>139</v>
      </c>
      <c r="B123" s="5">
        <v>45658</v>
      </c>
      <c r="C123" t="s">
        <v>3133</v>
      </c>
      <c r="D123" t="s">
        <v>4675</v>
      </c>
      <c r="E123" t="s">
        <v>4867</v>
      </c>
      <c r="F123">
        <v>34</v>
      </c>
      <c r="G123" t="s">
        <v>4875</v>
      </c>
      <c r="H123" t="s">
        <v>4889</v>
      </c>
      <c r="I123" t="s">
        <v>4896</v>
      </c>
      <c r="J123" t="s">
        <v>4906</v>
      </c>
      <c r="K123" t="s">
        <v>4924</v>
      </c>
      <c r="L123" t="s">
        <v>4938</v>
      </c>
      <c r="M123" t="s">
        <v>4942</v>
      </c>
      <c r="N123" s="11">
        <v>3712.36</v>
      </c>
      <c r="O123" t="s">
        <v>4946</v>
      </c>
      <c r="P123" t="s">
        <v>4951</v>
      </c>
      <c r="R123">
        <v>90</v>
      </c>
      <c r="S123" t="str">
        <f t="shared" si="3"/>
        <v>Adult</v>
      </c>
      <c r="T123" t="str">
        <f t="shared" si="4"/>
        <v>Low</v>
      </c>
      <c r="U123" t="str">
        <f t="shared" si="5"/>
        <v>Short Days</v>
      </c>
    </row>
    <row r="124" spans="1:21">
      <c r="A124" t="s">
        <v>140</v>
      </c>
      <c r="B124" s="5">
        <v>45358</v>
      </c>
      <c r="C124" t="s">
        <v>3134</v>
      </c>
      <c r="D124" t="s">
        <v>4598</v>
      </c>
      <c r="E124" t="s">
        <v>4866</v>
      </c>
      <c r="F124">
        <v>74</v>
      </c>
      <c r="G124" t="s">
        <v>4872</v>
      </c>
      <c r="H124" t="s">
        <v>4887</v>
      </c>
      <c r="I124" t="s">
        <v>4896</v>
      </c>
      <c r="J124" t="s">
        <v>4906</v>
      </c>
      <c r="K124" t="s">
        <v>4926</v>
      </c>
      <c r="L124" t="s">
        <v>4941</v>
      </c>
      <c r="M124" t="s">
        <v>4942</v>
      </c>
      <c r="N124" s="11">
        <v>5981.84</v>
      </c>
      <c r="O124" t="s">
        <v>4950</v>
      </c>
      <c r="P124" t="s">
        <v>4951</v>
      </c>
      <c r="R124">
        <v>7</v>
      </c>
      <c r="S124" t="str">
        <f t="shared" si="3"/>
        <v>Senior</v>
      </c>
      <c r="T124" t="str">
        <f t="shared" si="4"/>
        <v>Medium</v>
      </c>
      <c r="U124" t="str">
        <f t="shared" si="5"/>
        <v>Short Days</v>
      </c>
    </row>
    <row r="125" spans="1:21">
      <c r="A125" t="s">
        <v>141</v>
      </c>
      <c r="B125" s="5">
        <v>45697</v>
      </c>
      <c r="C125" t="s">
        <v>3135</v>
      </c>
      <c r="D125" t="s">
        <v>4691</v>
      </c>
      <c r="E125" t="s">
        <v>4866</v>
      </c>
      <c r="F125">
        <v>35</v>
      </c>
      <c r="G125" t="s">
        <v>4871</v>
      </c>
      <c r="H125" t="s">
        <v>4886</v>
      </c>
      <c r="I125" t="s">
        <v>4894</v>
      </c>
      <c r="J125" t="s">
        <v>4910</v>
      </c>
      <c r="K125" t="s">
        <v>4929</v>
      </c>
      <c r="L125" t="s">
        <v>4940</v>
      </c>
      <c r="M125" t="s">
        <v>4942</v>
      </c>
      <c r="N125" s="11">
        <v>13176.66</v>
      </c>
      <c r="O125" t="s">
        <v>4946</v>
      </c>
      <c r="P125" t="s">
        <v>4951</v>
      </c>
      <c r="R125">
        <v>30</v>
      </c>
      <c r="S125" t="str">
        <f t="shared" si="3"/>
        <v>Adult</v>
      </c>
      <c r="T125" t="str">
        <f t="shared" si="4"/>
        <v>High</v>
      </c>
      <c r="U125" t="str">
        <f t="shared" si="5"/>
        <v>Short Days</v>
      </c>
    </row>
    <row r="126" spans="1:21">
      <c r="A126" t="s">
        <v>142</v>
      </c>
      <c r="B126" s="5">
        <v>45405</v>
      </c>
      <c r="C126" t="s">
        <v>3136</v>
      </c>
      <c r="D126" t="s">
        <v>4647</v>
      </c>
      <c r="E126" t="s">
        <v>4866</v>
      </c>
      <c r="F126">
        <v>27</v>
      </c>
      <c r="G126" t="s">
        <v>4870</v>
      </c>
      <c r="H126" t="s">
        <v>4885</v>
      </c>
      <c r="I126" t="s">
        <v>4897</v>
      </c>
      <c r="J126" t="s">
        <v>4922</v>
      </c>
      <c r="K126" t="s">
        <v>4933</v>
      </c>
      <c r="L126" t="s">
        <v>4936</v>
      </c>
      <c r="M126" t="s">
        <v>4944</v>
      </c>
      <c r="N126" s="11">
        <v>13069.92</v>
      </c>
      <c r="O126" t="s">
        <v>15</v>
      </c>
      <c r="P126" t="s">
        <v>4952</v>
      </c>
      <c r="S126" t="str">
        <f t="shared" si="3"/>
        <v>Adult</v>
      </c>
      <c r="T126" t="str">
        <f t="shared" si="4"/>
        <v>High</v>
      </c>
      <c r="U126" t="str">
        <f t="shared" si="5"/>
        <v>Short Days</v>
      </c>
    </row>
    <row r="127" spans="1:21">
      <c r="A127" t="s">
        <v>143</v>
      </c>
      <c r="B127" s="5">
        <v>45440</v>
      </c>
      <c r="C127" t="s">
        <v>3137</v>
      </c>
      <c r="D127" t="s">
        <v>4692</v>
      </c>
      <c r="E127" t="s">
        <v>4866</v>
      </c>
      <c r="F127">
        <v>70</v>
      </c>
      <c r="G127" t="s">
        <v>4876</v>
      </c>
      <c r="H127" t="s">
        <v>4888</v>
      </c>
      <c r="I127" t="s">
        <v>4901</v>
      </c>
      <c r="J127" t="s">
        <v>4921</v>
      </c>
      <c r="K127" t="s">
        <v>4929</v>
      </c>
      <c r="L127" t="s">
        <v>4936</v>
      </c>
      <c r="M127" t="s">
        <v>4942</v>
      </c>
      <c r="N127" s="11">
        <v>6641.05</v>
      </c>
      <c r="O127" t="s">
        <v>4949</v>
      </c>
      <c r="P127" t="s">
        <v>4951</v>
      </c>
      <c r="S127" t="str">
        <f t="shared" si="3"/>
        <v>Senior</v>
      </c>
      <c r="T127" t="str">
        <f t="shared" si="4"/>
        <v>Medium</v>
      </c>
      <c r="U127" t="str">
        <f t="shared" si="5"/>
        <v>Short Days</v>
      </c>
    </row>
    <row r="128" spans="1:21">
      <c r="A128" t="s">
        <v>144</v>
      </c>
      <c r="B128" s="5">
        <v>45657</v>
      </c>
      <c r="C128" t="s">
        <v>3138</v>
      </c>
      <c r="D128" t="s">
        <v>4591</v>
      </c>
      <c r="E128" t="s">
        <v>4866</v>
      </c>
      <c r="F128">
        <v>57</v>
      </c>
      <c r="G128" t="s">
        <v>4879</v>
      </c>
      <c r="H128" t="s">
        <v>4888</v>
      </c>
      <c r="I128" t="s">
        <v>4898</v>
      </c>
      <c r="J128" t="s">
        <v>4923</v>
      </c>
      <c r="K128" t="s">
        <v>4924</v>
      </c>
      <c r="L128" t="s">
        <v>4936</v>
      </c>
      <c r="M128" t="s">
        <v>4942</v>
      </c>
      <c r="N128" s="11">
        <v>954.68</v>
      </c>
      <c r="O128" t="s">
        <v>4949</v>
      </c>
      <c r="P128" t="s">
        <v>4951</v>
      </c>
      <c r="S128" t="str">
        <f t="shared" si="3"/>
        <v>Middle-Aged</v>
      </c>
      <c r="T128" t="str">
        <f t="shared" si="4"/>
        <v>Low</v>
      </c>
      <c r="U128" t="str">
        <f t="shared" si="5"/>
        <v>Short Days</v>
      </c>
    </row>
    <row r="129" spans="1:21">
      <c r="A129" t="s">
        <v>145</v>
      </c>
      <c r="B129" s="5">
        <v>45371</v>
      </c>
      <c r="C129" t="s">
        <v>3139</v>
      </c>
      <c r="D129" t="s">
        <v>4674</v>
      </c>
      <c r="E129" t="s">
        <v>4867</v>
      </c>
      <c r="F129">
        <v>29</v>
      </c>
      <c r="G129" t="s">
        <v>4870</v>
      </c>
      <c r="H129" t="s">
        <v>4885</v>
      </c>
      <c r="I129" t="s">
        <v>4900</v>
      </c>
      <c r="J129" t="s">
        <v>4913</v>
      </c>
      <c r="K129" t="s">
        <v>4932</v>
      </c>
      <c r="L129" t="s">
        <v>4941</v>
      </c>
      <c r="M129" t="s">
        <v>4942</v>
      </c>
      <c r="N129" s="11">
        <v>1259.55</v>
      </c>
      <c r="O129" t="s">
        <v>4947</v>
      </c>
      <c r="P129" t="s">
        <v>4951</v>
      </c>
      <c r="R129">
        <v>90</v>
      </c>
      <c r="S129" t="str">
        <f t="shared" si="3"/>
        <v>Adult</v>
      </c>
      <c r="T129" t="str">
        <f t="shared" si="4"/>
        <v>Low</v>
      </c>
      <c r="U129" t="str">
        <f t="shared" si="5"/>
        <v>Short Days</v>
      </c>
    </row>
    <row r="130" spans="1:21">
      <c r="A130" t="s">
        <v>146</v>
      </c>
      <c r="B130" s="5">
        <v>45607</v>
      </c>
      <c r="C130" t="s">
        <v>3140</v>
      </c>
      <c r="D130" t="s">
        <v>4693</v>
      </c>
      <c r="E130" t="s">
        <v>4866</v>
      </c>
      <c r="F130">
        <v>28</v>
      </c>
      <c r="G130" t="s">
        <v>4876</v>
      </c>
      <c r="H130" t="s">
        <v>4888</v>
      </c>
      <c r="I130" t="s">
        <v>4902</v>
      </c>
      <c r="J130" t="s">
        <v>4916</v>
      </c>
      <c r="K130" t="s">
        <v>4930</v>
      </c>
      <c r="L130" t="s">
        <v>4938</v>
      </c>
      <c r="M130" t="s">
        <v>4942</v>
      </c>
      <c r="N130" s="11">
        <v>5952.47</v>
      </c>
      <c r="O130" t="s">
        <v>4947</v>
      </c>
      <c r="P130" t="s">
        <v>4951</v>
      </c>
      <c r="R130">
        <v>30</v>
      </c>
      <c r="S130" t="str">
        <f t="shared" si="3"/>
        <v>Adult</v>
      </c>
      <c r="T130" t="str">
        <f t="shared" si="4"/>
        <v>Medium</v>
      </c>
      <c r="U130" t="str">
        <f t="shared" si="5"/>
        <v>Short Days</v>
      </c>
    </row>
    <row r="131" spans="1:21">
      <c r="A131" t="s">
        <v>147</v>
      </c>
      <c r="B131" s="5">
        <v>45517</v>
      </c>
      <c r="C131" t="s">
        <v>3141</v>
      </c>
      <c r="D131" t="s">
        <v>4673</v>
      </c>
      <c r="E131" t="s">
        <v>4866</v>
      </c>
      <c r="F131">
        <v>17</v>
      </c>
      <c r="G131" t="s">
        <v>4875</v>
      </c>
      <c r="H131" t="s">
        <v>4889</v>
      </c>
      <c r="I131" t="s">
        <v>4895</v>
      </c>
      <c r="J131" t="s">
        <v>4915</v>
      </c>
      <c r="K131" t="s">
        <v>4930</v>
      </c>
      <c r="L131" t="s">
        <v>4940</v>
      </c>
      <c r="M131" t="s">
        <v>4942</v>
      </c>
      <c r="N131" s="11">
        <v>486.31</v>
      </c>
      <c r="O131" t="s">
        <v>4946</v>
      </c>
      <c r="P131" t="s">
        <v>4951</v>
      </c>
      <c r="R131">
        <v>14</v>
      </c>
      <c r="S131" t="str">
        <f t="shared" ref="S131:S194" si="6">IF(F131&lt;18,"Child",IF(F131&lt;=40,"Adult",IF(F131&lt;=60,"Middle-Aged",IF(F131,"Senior"))))</f>
        <v>Child</v>
      </c>
      <c r="T131" t="str">
        <f t="shared" ref="T131:T194" si="7">IF(N131&lt;=5000,"Low",IF(N131&lt;=10000,"Medium","High"))</f>
        <v>Low</v>
      </c>
      <c r="U131" t="str">
        <f t="shared" ref="U131:U194" si="8">IF(Q131&lt;=5,"Short Days","Long Days")</f>
        <v>Short Days</v>
      </c>
    </row>
    <row r="132" spans="1:21">
      <c r="A132" t="s">
        <v>148</v>
      </c>
      <c r="B132" s="5">
        <v>45629</v>
      </c>
      <c r="C132" t="s">
        <v>3142</v>
      </c>
      <c r="D132" t="s">
        <v>4694</v>
      </c>
      <c r="E132" t="s">
        <v>4866</v>
      </c>
      <c r="F132">
        <v>59</v>
      </c>
      <c r="G132" t="s">
        <v>4883</v>
      </c>
      <c r="H132" t="s">
        <v>4892</v>
      </c>
      <c r="I132" t="s">
        <v>4896</v>
      </c>
      <c r="J132" t="s">
        <v>4906</v>
      </c>
      <c r="K132" t="s">
        <v>4927</v>
      </c>
      <c r="L132" t="s">
        <v>4941</v>
      </c>
      <c r="M132" t="s">
        <v>4942</v>
      </c>
      <c r="N132" s="11">
        <v>11387.33</v>
      </c>
      <c r="O132" t="s">
        <v>15</v>
      </c>
      <c r="P132" t="s">
        <v>4952</v>
      </c>
      <c r="S132" t="str">
        <f t="shared" si="6"/>
        <v>Middle-Aged</v>
      </c>
      <c r="T132" t="str">
        <f t="shared" si="7"/>
        <v>High</v>
      </c>
      <c r="U132" t="str">
        <f t="shared" si="8"/>
        <v>Short Days</v>
      </c>
    </row>
    <row r="133" spans="1:21">
      <c r="A133" t="s">
        <v>149</v>
      </c>
      <c r="B133" s="5">
        <v>45749</v>
      </c>
      <c r="C133" t="s">
        <v>3143</v>
      </c>
      <c r="D133" t="s">
        <v>4675</v>
      </c>
      <c r="E133" t="s">
        <v>4867</v>
      </c>
      <c r="F133">
        <v>57</v>
      </c>
      <c r="G133" t="s">
        <v>4871</v>
      </c>
      <c r="H133" t="s">
        <v>4886</v>
      </c>
      <c r="I133" t="s">
        <v>4901</v>
      </c>
      <c r="J133" t="s">
        <v>4921</v>
      </c>
      <c r="K133" t="s">
        <v>4930</v>
      </c>
      <c r="L133" t="s">
        <v>4934</v>
      </c>
      <c r="M133" t="s">
        <v>4942</v>
      </c>
      <c r="N133" s="11">
        <v>1131.8699999999999</v>
      </c>
      <c r="O133" t="s">
        <v>4949</v>
      </c>
      <c r="P133" t="s">
        <v>4951</v>
      </c>
      <c r="R133">
        <v>30</v>
      </c>
      <c r="S133" t="str">
        <f t="shared" si="6"/>
        <v>Middle-Aged</v>
      </c>
      <c r="T133" t="str">
        <f t="shared" si="7"/>
        <v>Low</v>
      </c>
      <c r="U133" t="str">
        <f t="shared" si="8"/>
        <v>Short Days</v>
      </c>
    </row>
    <row r="134" spans="1:21">
      <c r="A134" t="s">
        <v>150</v>
      </c>
      <c r="B134" s="5">
        <v>45496</v>
      </c>
      <c r="C134" t="s">
        <v>3144</v>
      </c>
      <c r="D134" t="s">
        <v>4695</v>
      </c>
      <c r="E134" t="s">
        <v>4866</v>
      </c>
      <c r="F134">
        <v>31</v>
      </c>
      <c r="G134" t="s">
        <v>4880</v>
      </c>
      <c r="H134" t="s">
        <v>4890</v>
      </c>
      <c r="I134" t="s">
        <v>4895</v>
      </c>
      <c r="J134" t="s">
        <v>4915</v>
      </c>
      <c r="K134" t="s">
        <v>4929</v>
      </c>
      <c r="L134" t="s">
        <v>4934</v>
      </c>
      <c r="M134" t="s">
        <v>4942</v>
      </c>
      <c r="N134" s="11">
        <v>2374.21</v>
      </c>
      <c r="O134" t="s">
        <v>4950</v>
      </c>
      <c r="P134" t="s">
        <v>4951</v>
      </c>
      <c r="R134">
        <v>30</v>
      </c>
      <c r="S134" t="str">
        <f t="shared" si="6"/>
        <v>Adult</v>
      </c>
      <c r="T134" t="str">
        <f t="shared" si="7"/>
        <v>Low</v>
      </c>
      <c r="U134" t="str">
        <f t="shared" si="8"/>
        <v>Short Days</v>
      </c>
    </row>
    <row r="135" spans="1:21">
      <c r="A135" t="s">
        <v>151</v>
      </c>
      <c r="B135" s="5">
        <v>45303</v>
      </c>
      <c r="C135" t="s">
        <v>3145</v>
      </c>
      <c r="D135" t="s">
        <v>4696</v>
      </c>
      <c r="E135" t="s">
        <v>4867</v>
      </c>
      <c r="F135">
        <v>41</v>
      </c>
      <c r="G135" t="s">
        <v>4875</v>
      </c>
      <c r="H135" t="s">
        <v>4889</v>
      </c>
      <c r="I135" t="s">
        <v>4900</v>
      </c>
      <c r="J135" t="s">
        <v>4913</v>
      </c>
      <c r="K135" t="s">
        <v>4925</v>
      </c>
      <c r="L135" t="s">
        <v>4936</v>
      </c>
      <c r="M135" t="s">
        <v>4942</v>
      </c>
      <c r="N135" s="11">
        <v>4753.83</v>
      </c>
      <c r="O135" t="s">
        <v>15</v>
      </c>
      <c r="P135" t="s">
        <v>4952</v>
      </c>
      <c r="R135">
        <v>90</v>
      </c>
      <c r="S135" t="str">
        <f t="shared" si="6"/>
        <v>Middle-Aged</v>
      </c>
      <c r="T135" t="str">
        <f t="shared" si="7"/>
        <v>Low</v>
      </c>
      <c r="U135" t="str">
        <f t="shared" si="8"/>
        <v>Short Days</v>
      </c>
    </row>
    <row r="136" spans="1:21">
      <c r="A136" t="s">
        <v>152</v>
      </c>
      <c r="B136" s="5">
        <v>45572</v>
      </c>
      <c r="C136" t="s">
        <v>3146</v>
      </c>
      <c r="D136" t="s">
        <v>4697</v>
      </c>
      <c r="E136" t="s">
        <v>4867</v>
      </c>
      <c r="F136">
        <v>59</v>
      </c>
      <c r="G136" t="s">
        <v>4876</v>
      </c>
      <c r="H136" t="s">
        <v>4888</v>
      </c>
      <c r="I136" t="s">
        <v>4901</v>
      </c>
      <c r="J136" t="s">
        <v>4914</v>
      </c>
      <c r="K136" t="s">
        <v>4933</v>
      </c>
      <c r="L136" t="s">
        <v>4939</v>
      </c>
      <c r="M136" t="s">
        <v>4942</v>
      </c>
      <c r="N136" s="11">
        <v>2054.88</v>
      </c>
      <c r="O136" t="s">
        <v>15</v>
      </c>
      <c r="P136" t="s">
        <v>4952</v>
      </c>
      <c r="R136">
        <v>90</v>
      </c>
      <c r="S136" t="str">
        <f t="shared" si="6"/>
        <v>Middle-Aged</v>
      </c>
      <c r="T136" t="str">
        <f t="shared" si="7"/>
        <v>Low</v>
      </c>
      <c r="U136" t="str">
        <f t="shared" si="8"/>
        <v>Short Days</v>
      </c>
    </row>
    <row r="137" spans="1:21">
      <c r="A137" t="s">
        <v>153</v>
      </c>
      <c r="B137" s="5">
        <v>45731</v>
      </c>
      <c r="C137" t="s">
        <v>3147</v>
      </c>
      <c r="D137" t="s">
        <v>4698</v>
      </c>
      <c r="E137" t="s">
        <v>4866</v>
      </c>
      <c r="F137">
        <v>7</v>
      </c>
      <c r="G137" t="s">
        <v>4870</v>
      </c>
      <c r="H137" t="s">
        <v>4885</v>
      </c>
      <c r="I137" t="s">
        <v>4896</v>
      </c>
      <c r="J137" t="s">
        <v>4906</v>
      </c>
      <c r="K137" t="s">
        <v>4926</v>
      </c>
      <c r="L137" t="s">
        <v>4936</v>
      </c>
      <c r="M137" t="s">
        <v>4944</v>
      </c>
      <c r="N137" s="11">
        <v>9620.4</v>
      </c>
      <c r="O137" t="s">
        <v>4949</v>
      </c>
      <c r="P137" t="s">
        <v>4951</v>
      </c>
      <c r="S137" t="str">
        <f t="shared" si="6"/>
        <v>Child</v>
      </c>
      <c r="T137" t="str">
        <f t="shared" si="7"/>
        <v>Medium</v>
      </c>
      <c r="U137" t="str">
        <f t="shared" si="8"/>
        <v>Short Days</v>
      </c>
    </row>
    <row r="138" spans="1:21">
      <c r="A138" t="s">
        <v>154</v>
      </c>
      <c r="B138" s="5">
        <v>45366</v>
      </c>
      <c r="C138" t="s">
        <v>3148</v>
      </c>
      <c r="D138" t="s">
        <v>4630</v>
      </c>
      <c r="E138" t="s">
        <v>4867</v>
      </c>
      <c r="F138">
        <v>40</v>
      </c>
      <c r="G138" t="s">
        <v>4871</v>
      </c>
      <c r="H138" t="s">
        <v>4886</v>
      </c>
      <c r="I138" t="s">
        <v>4898</v>
      </c>
      <c r="J138" t="s">
        <v>4918</v>
      </c>
      <c r="K138" t="s">
        <v>4931</v>
      </c>
      <c r="L138" t="s">
        <v>4937</v>
      </c>
      <c r="M138" t="s">
        <v>4942</v>
      </c>
      <c r="N138" s="11">
        <v>2622.15</v>
      </c>
      <c r="O138" t="s">
        <v>4946</v>
      </c>
      <c r="P138" t="s">
        <v>4951</v>
      </c>
      <c r="S138" t="str">
        <f t="shared" si="6"/>
        <v>Adult</v>
      </c>
      <c r="T138" t="str">
        <f t="shared" si="7"/>
        <v>Low</v>
      </c>
      <c r="U138" t="str">
        <f t="shared" si="8"/>
        <v>Short Days</v>
      </c>
    </row>
    <row r="139" spans="1:21">
      <c r="A139" t="s">
        <v>155</v>
      </c>
      <c r="B139" s="5">
        <v>45955</v>
      </c>
      <c r="C139" t="s">
        <v>3149</v>
      </c>
      <c r="D139" t="s">
        <v>4627</v>
      </c>
      <c r="E139" t="s">
        <v>4866</v>
      </c>
      <c r="F139">
        <v>63</v>
      </c>
      <c r="G139" t="s">
        <v>4873</v>
      </c>
      <c r="H139" t="s">
        <v>4888</v>
      </c>
      <c r="I139" t="s">
        <v>4898</v>
      </c>
      <c r="J139" t="s">
        <v>4909</v>
      </c>
      <c r="K139" t="s">
        <v>4929</v>
      </c>
      <c r="L139" t="s">
        <v>4940</v>
      </c>
      <c r="M139" t="s">
        <v>4942</v>
      </c>
      <c r="N139" s="11">
        <v>1858.73</v>
      </c>
      <c r="O139" t="s">
        <v>4946</v>
      </c>
      <c r="P139" t="s">
        <v>4951</v>
      </c>
      <c r="R139">
        <v>14</v>
      </c>
      <c r="S139" t="str">
        <f t="shared" si="6"/>
        <v>Senior</v>
      </c>
      <c r="T139" t="str">
        <f t="shared" si="7"/>
        <v>Low</v>
      </c>
      <c r="U139" t="str">
        <f t="shared" si="8"/>
        <v>Short Days</v>
      </c>
    </row>
    <row r="140" spans="1:21">
      <c r="A140" t="s">
        <v>156</v>
      </c>
      <c r="B140" s="5">
        <v>45731</v>
      </c>
      <c r="C140" t="s">
        <v>3150</v>
      </c>
      <c r="D140" t="s">
        <v>4699</v>
      </c>
      <c r="E140" t="s">
        <v>4866</v>
      </c>
      <c r="F140">
        <v>67</v>
      </c>
      <c r="G140" t="s">
        <v>4873</v>
      </c>
      <c r="H140" t="s">
        <v>4888</v>
      </c>
      <c r="I140" t="s">
        <v>4901</v>
      </c>
      <c r="J140" t="s">
        <v>4914</v>
      </c>
      <c r="K140" t="s">
        <v>4928</v>
      </c>
      <c r="L140" t="s">
        <v>4939</v>
      </c>
      <c r="M140" t="s">
        <v>4942</v>
      </c>
      <c r="N140" s="11">
        <v>1246.56</v>
      </c>
      <c r="O140" t="s">
        <v>4948</v>
      </c>
      <c r="P140" t="s">
        <v>4951</v>
      </c>
      <c r="R140">
        <v>14</v>
      </c>
      <c r="S140" t="str">
        <f t="shared" si="6"/>
        <v>Senior</v>
      </c>
      <c r="T140" t="str">
        <f t="shared" si="7"/>
        <v>Low</v>
      </c>
      <c r="U140" t="str">
        <f t="shared" si="8"/>
        <v>Short Days</v>
      </c>
    </row>
    <row r="141" spans="1:21">
      <c r="A141" t="s">
        <v>157</v>
      </c>
      <c r="B141" s="5">
        <v>45740</v>
      </c>
      <c r="C141" t="s">
        <v>3151</v>
      </c>
      <c r="D141" t="s">
        <v>4628</v>
      </c>
      <c r="E141" t="s">
        <v>4866</v>
      </c>
      <c r="F141">
        <v>44</v>
      </c>
      <c r="G141" t="s">
        <v>4878</v>
      </c>
      <c r="H141" t="s">
        <v>4889</v>
      </c>
      <c r="I141" t="s">
        <v>4894</v>
      </c>
      <c r="J141" t="s">
        <v>4910</v>
      </c>
      <c r="K141" t="s">
        <v>4926</v>
      </c>
      <c r="L141" t="s">
        <v>4939</v>
      </c>
      <c r="M141" t="s">
        <v>4943</v>
      </c>
      <c r="N141" s="11">
        <v>8136.95</v>
      </c>
      <c r="O141" t="s">
        <v>4947</v>
      </c>
      <c r="P141" t="s">
        <v>4951</v>
      </c>
      <c r="R141">
        <v>30</v>
      </c>
      <c r="S141" t="str">
        <f t="shared" si="6"/>
        <v>Middle-Aged</v>
      </c>
      <c r="T141" t="str">
        <f t="shared" si="7"/>
        <v>Medium</v>
      </c>
      <c r="U141" t="str">
        <f t="shared" si="8"/>
        <v>Short Days</v>
      </c>
    </row>
    <row r="142" spans="1:21">
      <c r="A142" t="s">
        <v>158</v>
      </c>
      <c r="B142" s="5">
        <v>45391</v>
      </c>
      <c r="C142" t="s">
        <v>3152</v>
      </c>
      <c r="D142" t="s">
        <v>4700</v>
      </c>
      <c r="E142" t="s">
        <v>4867</v>
      </c>
      <c r="F142">
        <v>55</v>
      </c>
      <c r="G142" t="s">
        <v>4878</v>
      </c>
      <c r="H142" t="s">
        <v>4889</v>
      </c>
      <c r="I142" t="s">
        <v>4897</v>
      </c>
      <c r="J142" t="s">
        <v>4907</v>
      </c>
      <c r="K142" t="s">
        <v>4931</v>
      </c>
      <c r="L142" t="s">
        <v>4934</v>
      </c>
      <c r="M142" t="s">
        <v>4942</v>
      </c>
      <c r="N142" s="11">
        <v>368.81</v>
      </c>
      <c r="O142" t="s">
        <v>15</v>
      </c>
      <c r="P142" t="s">
        <v>4952</v>
      </c>
      <c r="R142">
        <v>90</v>
      </c>
      <c r="S142" t="str">
        <f t="shared" si="6"/>
        <v>Middle-Aged</v>
      </c>
      <c r="T142" t="str">
        <f t="shared" si="7"/>
        <v>Low</v>
      </c>
      <c r="U142" t="str">
        <f t="shared" si="8"/>
        <v>Short Days</v>
      </c>
    </row>
    <row r="143" spans="1:21">
      <c r="A143" t="s">
        <v>159</v>
      </c>
      <c r="B143" s="5">
        <v>45341</v>
      </c>
      <c r="C143" t="s">
        <v>3153</v>
      </c>
      <c r="D143" t="s">
        <v>4651</v>
      </c>
      <c r="E143" t="s">
        <v>4866</v>
      </c>
      <c r="F143">
        <v>11</v>
      </c>
      <c r="G143" t="s">
        <v>4882</v>
      </c>
      <c r="H143" t="s">
        <v>4891</v>
      </c>
      <c r="I143" t="s">
        <v>4901</v>
      </c>
      <c r="J143" t="s">
        <v>4921</v>
      </c>
      <c r="K143" t="s">
        <v>4931</v>
      </c>
      <c r="L143" t="s">
        <v>4941</v>
      </c>
      <c r="M143" t="s">
        <v>4944</v>
      </c>
      <c r="N143" s="11">
        <v>17995.89</v>
      </c>
      <c r="O143" t="s">
        <v>4948</v>
      </c>
      <c r="P143" t="s">
        <v>4951</v>
      </c>
      <c r="R143">
        <v>14</v>
      </c>
      <c r="S143" t="str">
        <f t="shared" si="6"/>
        <v>Child</v>
      </c>
      <c r="T143" t="str">
        <f t="shared" si="7"/>
        <v>High</v>
      </c>
      <c r="U143" t="str">
        <f t="shared" si="8"/>
        <v>Short Days</v>
      </c>
    </row>
    <row r="144" spans="1:21">
      <c r="A144" t="s">
        <v>160</v>
      </c>
      <c r="B144" s="5">
        <v>45920</v>
      </c>
      <c r="C144" t="s">
        <v>3154</v>
      </c>
      <c r="D144" t="s">
        <v>4666</v>
      </c>
      <c r="E144" t="s">
        <v>4866</v>
      </c>
      <c r="F144">
        <v>28</v>
      </c>
      <c r="G144" t="s">
        <v>4880</v>
      </c>
      <c r="H144" t="s">
        <v>4890</v>
      </c>
      <c r="I144" t="s">
        <v>4897</v>
      </c>
      <c r="J144" t="s">
        <v>4907</v>
      </c>
      <c r="K144" t="s">
        <v>4928</v>
      </c>
      <c r="L144" t="s">
        <v>4934</v>
      </c>
      <c r="M144" t="s">
        <v>4944</v>
      </c>
      <c r="N144" s="11">
        <v>5354.99</v>
      </c>
      <c r="O144" t="s">
        <v>4948</v>
      </c>
      <c r="P144" t="s">
        <v>4951</v>
      </c>
      <c r="R144">
        <v>30</v>
      </c>
      <c r="S144" t="str">
        <f t="shared" si="6"/>
        <v>Adult</v>
      </c>
      <c r="T144" t="str">
        <f t="shared" si="7"/>
        <v>Medium</v>
      </c>
      <c r="U144" t="str">
        <f t="shared" si="8"/>
        <v>Short Days</v>
      </c>
    </row>
    <row r="145" spans="1:21">
      <c r="A145" t="s">
        <v>161</v>
      </c>
      <c r="B145" s="5">
        <v>45679</v>
      </c>
      <c r="C145" t="s">
        <v>3155</v>
      </c>
      <c r="D145" t="s">
        <v>4701</v>
      </c>
      <c r="E145" t="s">
        <v>4866</v>
      </c>
      <c r="F145">
        <v>29</v>
      </c>
      <c r="G145" t="s">
        <v>4881</v>
      </c>
      <c r="H145" t="s">
        <v>4881</v>
      </c>
      <c r="I145" t="s">
        <v>4898</v>
      </c>
      <c r="J145" t="s">
        <v>4923</v>
      </c>
      <c r="K145" t="s">
        <v>4927</v>
      </c>
      <c r="L145" t="s">
        <v>4935</v>
      </c>
      <c r="M145" t="s">
        <v>4944</v>
      </c>
      <c r="N145" s="11">
        <v>7237.6</v>
      </c>
      <c r="O145" t="s">
        <v>4947</v>
      </c>
      <c r="P145" t="s">
        <v>4951</v>
      </c>
      <c r="R145">
        <v>30</v>
      </c>
      <c r="S145" t="str">
        <f t="shared" si="6"/>
        <v>Adult</v>
      </c>
      <c r="T145" t="str">
        <f t="shared" si="7"/>
        <v>Medium</v>
      </c>
      <c r="U145" t="str">
        <f t="shared" si="8"/>
        <v>Short Days</v>
      </c>
    </row>
    <row r="146" spans="1:21">
      <c r="A146" t="s">
        <v>162</v>
      </c>
      <c r="B146" s="5">
        <v>45313</v>
      </c>
      <c r="C146" t="s">
        <v>3156</v>
      </c>
      <c r="D146" t="s">
        <v>4702</v>
      </c>
      <c r="E146" t="s">
        <v>4867</v>
      </c>
      <c r="F146">
        <f>AVERAGE(F139,F145)</f>
        <v>46</v>
      </c>
      <c r="G146" t="s">
        <v>4881</v>
      </c>
      <c r="H146" t="s">
        <v>4889</v>
      </c>
      <c r="I146" t="s">
        <v>4894</v>
      </c>
      <c r="J146" t="s">
        <v>4904</v>
      </c>
      <c r="K146" t="s">
        <v>4953</v>
      </c>
      <c r="L146" t="s">
        <v>4939</v>
      </c>
      <c r="M146" t="s">
        <v>4945</v>
      </c>
      <c r="N146" s="11">
        <v>13604.11</v>
      </c>
      <c r="O146" t="s">
        <v>4946</v>
      </c>
      <c r="P146" t="s">
        <v>4951</v>
      </c>
      <c r="Q146">
        <v>7</v>
      </c>
      <c r="R146">
        <v>7</v>
      </c>
      <c r="S146" t="str">
        <f t="shared" si="6"/>
        <v>Middle-Aged</v>
      </c>
      <c r="T146" t="str">
        <f t="shared" si="7"/>
        <v>High</v>
      </c>
      <c r="U146" t="str">
        <f t="shared" si="8"/>
        <v>Long Days</v>
      </c>
    </row>
    <row r="147" spans="1:21">
      <c r="A147" t="s">
        <v>163</v>
      </c>
      <c r="B147" s="5">
        <v>45844</v>
      </c>
      <c r="C147" t="s">
        <v>3157</v>
      </c>
      <c r="D147" t="s">
        <v>4703</v>
      </c>
      <c r="E147" t="s">
        <v>4867</v>
      </c>
      <c r="F147">
        <v>23</v>
      </c>
      <c r="G147" t="s">
        <v>4882</v>
      </c>
      <c r="H147" t="s">
        <v>4891</v>
      </c>
      <c r="I147" t="s">
        <v>4899</v>
      </c>
      <c r="J147" t="s">
        <v>4912</v>
      </c>
      <c r="K147" t="s">
        <v>4931</v>
      </c>
      <c r="L147" t="s">
        <v>4939</v>
      </c>
      <c r="M147" t="s">
        <v>4942</v>
      </c>
      <c r="N147" s="11">
        <v>4534.51</v>
      </c>
      <c r="O147" t="s">
        <v>15</v>
      </c>
      <c r="P147" t="s">
        <v>4952</v>
      </c>
      <c r="R147">
        <v>7</v>
      </c>
      <c r="S147" t="str">
        <f t="shared" si="6"/>
        <v>Adult</v>
      </c>
      <c r="T147" t="str">
        <f t="shared" si="7"/>
        <v>Low</v>
      </c>
      <c r="U147" t="str">
        <f t="shared" si="8"/>
        <v>Short Days</v>
      </c>
    </row>
    <row r="148" spans="1:21">
      <c r="A148" t="s">
        <v>164</v>
      </c>
      <c r="B148" s="5">
        <v>45293</v>
      </c>
      <c r="C148" t="s">
        <v>3139</v>
      </c>
      <c r="D148" t="s">
        <v>4704</v>
      </c>
      <c r="E148" t="s">
        <v>4866</v>
      </c>
      <c r="F148">
        <v>51</v>
      </c>
      <c r="G148" t="s">
        <v>4882</v>
      </c>
      <c r="H148" t="s">
        <v>4891</v>
      </c>
      <c r="I148" t="s">
        <v>4896</v>
      </c>
      <c r="J148" t="s">
        <v>4908</v>
      </c>
      <c r="K148" t="s">
        <v>4933</v>
      </c>
      <c r="L148" t="s">
        <v>4935</v>
      </c>
      <c r="M148" t="s">
        <v>4943</v>
      </c>
      <c r="N148" s="11">
        <v>6020.94</v>
      </c>
      <c r="O148" t="s">
        <v>4946</v>
      </c>
      <c r="P148" t="s">
        <v>4951</v>
      </c>
      <c r="R148">
        <v>30</v>
      </c>
      <c r="S148" t="str">
        <f t="shared" si="6"/>
        <v>Middle-Aged</v>
      </c>
      <c r="T148" t="str">
        <f t="shared" si="7"/>
        <v>Medium</v>
      </c>
      <c r="U148" t="str">
        <f t="shared" si="8"/>
        <v>Short Days</v>
      </c>
    </row>
    <row r="149" spans="1:21">
      <c r="A149" t="s">
        <v>165</v>
      </c>
      <c r="B149" s="5">
        <v>45724</v>
      </c>
      <c r="C149" t="s">
        <v>3158</v>
      </c>
      <c r="D149" t="s">
        <v>4705</v>
      </c>
      <c r="E149" t="s">
        <v>4867</v>
      </c>
      <c r="F149">
        <v>0</v>
      </c>
      <c r="G149" t="s">
        <v>4883</v>
      </c>
      <c r="H149" t="s">
        <v>4892</v>
      </c>
      <c r="I149" t="s">
        <v>4900</v>
      </c>
      <c r="J149" t="s">
        <v>4913</v>
      </c>
      <c r="K149" t="s">
        <v>4925</v>
      </c>
      <c r="L149" t="s">
        <v>4937</v>
      </c>
      <c r="M149" t="s">
        <v>4944</v>
      </c>
      <c r="N149" s="11">
        <v>9206.41</v>
      </c>
      <c r="O149" t="s">
        <v>4947</v>
      </c>
      <c r="P149" t="s">
        <v>4951</v>
      </c>
      <c r="R149">
        <v>7</v>
      </c>
      <c r="S149" t="str">
        <f t="shared" si="6"/>
        <v>Child</v>
      </c>
      <c r="T149" t="str">
        <f t="shared" si="7"/>
        <v>Medium</v>
      </c>
      <c r="U149" t="str">
        <f t="shared" si="8"/>
        <v>Short Days</v>
      </c>
    </row>
    <row r="150" spans="1:21">
      <c r="A150" t="s">
        <v>166</v>
      </c>
      <c r="B150" s="5">
        <v>45329</v>
      </c>
      <c r="C150" t="s">
        <v>3159</v>
      </c>
      <c r="D150" t="s">
        <v>4706</v>
      </c>
      <c r="E150" t="s">
        <v>4868</v>
      </c>
      <c r="F150">
        <v>45</v>
      </c>
      <c r="G150" t="s">
        <v>4872</v>
      </c>
      <c r="H150" t="s">
        <v>4887</v>
      </c>
      <c r="I150" t="s">
        <v>4898</v>
      </c>
      <c r="J150" t="s">
        <v>4909</v>
      </c>
      <c r="K150" t="s">
        <v>4928</v>
      </c>
      <c r="L150" t="s">
        <v>4935</v>
      </c>
      <c r="M150" t="s">
        <v>4942</v>
      </c>
      <c r="N150" s="11">
        <v>8786.52</v>
      </c>
      <c r="O150" t="s">
        <v>4947</v>
      </c>
      <c r="P150" t="s">
        <v>4951</v>
      </c>
      <c r="S150" t="str">
        <f t="shared" si="6"/>
        <v>Middle-Aged</v>
      </c>
      <c r="T150" t="str">
        <f t="shared" si="7"/>
        <v>Medium</v>
      </c>
      <c r="U150" t="str">
        <f t="shared" si="8"/>
        <v>Short Days</v>
      </c>
    </row>
    <row r="151" spans="1:21">
      <c r="A151" t="s">
        <v>167</v>
      </c>
      <c r="B151" s="5">
        <v>45583</v>
      </c>
      <c r="C151" t="s">
        <v>3160</v>
      </c>
      <c r="D151" t="s">
        <v>4707</v>
      </c>
      <c r="E151" t="s">
        <v>4866</v>
      </c>
      <c r="F151">
        <v>10</v>
      </c>
      <c r="G151" t="s">
        <v>4875</v>
      </c>
      <c r="H151" t="s">
        <v>4889</v>
      </c>
      <c r="I151" t="s">
        <v>4899</v>
      </c>
      <c r="J151" t="s">
        <v>4911</v>
      </c>
      <c r="K151" t="s">
        <v>4927</v>
      </c>
      <c r="L151" t="s">
        <v>4940</v>
      </c>
      <c r="M151" t="s">
        <v>4943</v>
      </c>
      <c r="N151" s="11">
        <v>11308.07</v>
      </c>
      <c r="O151" t="s">
        <v>4947</v>
      </c>
      <c r="P151" t="s">
        <v>4951</v>
      </c>
      <c r="R151">
        <v>7</v>
      </c>
      <c r="S151" t="str">
        <f t="shared" si="6"/>
        <v>Child</v>
      </c>
      <c r="T151" t="str">
        <f t="shared" si="7"/>
        <v>High</v>
      </c>
      <c r="U151" t="str">
        <f t="shared" si="8"/>
        <v>Short Days</v>
      </c>
    </row>
    <row r="152" spans="1:21">
      <c r="A152" t="s">
        <v>168</v>
      </c>
      <c r="B152" s="5">
        <v>45936</v>
      </c>
      <c r="C152" t="s">
        <v>3161</v>
      </c>
      <c r="D152" t="s">
        <v>4708</v>
      </c>
      <c r="E152" t="s">
        <v>4866</v>
      </c>
      <c r="F152">
        <v>39</v>
      </c>
      <c r="G152" t="s">
        <v>4876</v>
      </c>
      <c r="H152" t="s">
        <v>4888</v>
      </c>
      <c r="I152" t="s">
        <v>4900</v>
      </c>
      <c r="J152" t="s">
        <v>4913</v>
      </c>
      <c r="K152" t="s">
        <v>4930</v>
      </c>
      <c r="L152" t="s">
        <v>4939</v>
      </c>
      <c r="M152" t="s">
        <v>4942</v>
      </c>
      <c r="N152" s="11">
        <v>1641.62</v>
      </c>
      <c r="O152" t="s">
        <v>15</v>
      </c>
      <c r="P152" t="s">
        <v>4952</v>
      </c>
      <c r="R152">
        <v>90</v>
      </c>
      <c r="S152" t="str">
        <f t="shared" si="6"/>
        <v>Adult</v>
      </c>
      <c r="T152" t="str">
        <f t="shared" si="7"/>
        <v>Low</v>
      </c>
      <c r="U152" t="str">
        <f t="shared" si="8"/>
        <v>Short Days</v>
      </c>
    </row>
    <row r="153" spans="1:21">
      <c r="A153" t="s">
        <v>169</v>
      </c>
      <c r="B153" s="5">
        <v>45346</v>
      </c>
      <c r="C153" t="s">
        <v>3162</v>
      </c>
      <c r="D153" t="s">
        <v>4709</v>
      </c>
      <c r="E153" t="s">
        <v>4867</v>
      </c>
      <c r="F153">
        <v>64</v>
      </c>
      <c r="G153" t="s">
        <v>4876</v>
      </c>
      <c r="H153" t="s">
        <v>4888</v>
      </c>
      <c r="I153" t="s">
        <v>4897</v>
      </c>
      <c r="J153" t="s">
        <v>4907</v>
      </c>
      <c r="K153" t="s">
        <v>4926</v>
      </c>
      <c r="L153" t="s">
        <v>4934</v>
      </c>
      <c r="M153" t="s">
        <v>4942</v>
      </c>
      <c r="N153" s="11">
        <v>918.13</v>
      </c>
      <c r="O153" t="s">
        <v>4946</v>
      </c>
      <c r="P153" t="s">
        <v>4951</v>
      </c>
      <c r="S153" t="str">
        <f t="shared" si="6"/>
        <v>Senior</v>
      </c>
      <c r="T153" t="str">
        <f t="shared" si="7"/>
        <v>Low</v>
      </c>
      <c r="U153" t="str">
        <f t="shared" si="8"/>
        <v>Short Days</v>
      </c>
    </row>
    <row r="154" spans="1:21">
      <c r="A154" t="s">
        <v>170</v>
      </c>
      <c r="B154" s="5">
        <v>45567</v>
      </c>
      <c r="C154" t="s">
        <v>3163</v>
      </c>
      <c r="D154" t="s">
        <v>4710</v>
      </c>
      <c r="E154" t="s">
        <v>4866</v>
      </c>
      <c r="F154">
        <v>40</v>
      </c>
      <c r="G154" t="s">
        <v>4877</v>
      </c>
      <c r="H154" t="s">
        <v>4888</v>
      </c>
      <c r="I154" t="s">
        <v>4896</v>
      </c>
      <c r="J154" t="s">
        <v>4908</v>
      </c>
      <c r="K154" t="s">
        <v>4932</v>
      </c>
      <c r="L154" t="s">
        <v>4941</v>
      </c>
      <c r="M154" t="s">
        <v>4943</v>
      </c>
      <c r="N154" s="11">
        <v>6885.25</v>
      </c>
      <c r="O154" t="s">
        <v>4946</v>
      </c>
      <c r="P154" t="s">
        <v>4951</v>
      </c>
      <c r="R154">
        <v>90</v>
      </c>
      <c r="S154" t="str">
        <f t="shared" si="6"/>
        <v>Adult</v>
      </c>
      <c r="T154" t="str">
        <f t="shared" si="7"/>
        <v>Medium</v>
      </c>
      <c r="U154" t="str">
        <f t="shared" si="8"/>
        <v>Short Days</v>
      </c>
    </row>
    <row r="155" spans="1:21">
      <c r="A155" t="s">
        <v>171</v>
      </c>
      <c r="B155" s="5">
        <v>45851</v>
      </c>
      <c r="C155" t="s">
        <v>3116</v>
      </c>
      <c r="D155" t="s">
        <v>4711</v>
      </c>
      <c r="E155" t="s">
        <v>4867</v>
      </c>
      <c r="F155">
        <v>51</v>
      </c>
      <c r="G155" t="s">
        <v>4872</v>
      </c>
      <c r="H155" t="s">
        <v>4887</v>
      </c>
      <c r="I155" t="s">
        <v>4898</v>
      </c>
      <c r="J155" t="s">
        <v>4909</v>
      </c>
      <c r="K155" t="s">
        <v>4930</v>
      </c>
      <c r="L155" t="s">
        <v>4939</v>
      </c>
      <c r="M155" t="s">
        <v>4942</v>
      </c>
      <c r="N155" s="11">
        <v>1843.99</v>
      </c>
      <c r="O155" t="s">
        <v>4949</v>
      </c>
      <c r="P155" t="s">
        <v>4951</v>
      </c>
      <c r="R155">
        <v>90</v>
      </c>
      <c r="S155" t="str">
        <f t="shared" si="6"/>
        <v>Middle-Aged</v>
      </c>
      <c r="T155" t="str">
        <f t="shared" si="7"/>
        <v>Low</v>
      </c>
      <c r="U155" t="str">
        <f t="shared" si="8"/>
        <v>Short Days</v>
      </c>
    </row>
    <row r="156" spans="1:21">
      <c r="A156" t="s">
        <v>172</v>
      </c>
      <c r="B156" s="5">
        <v>45690</v>
      </c>
      <c r="C156" t="s">
        <v>3164</v>
      </c>
      <c r="D156" t="s">
        <v>4673</v>
      </c>
      <c r="E156" t="s">
        <v>4866</v>
      </c>
      <c r="F156">
        <v>21</v>
      </c>
      <c r="G156" t="s">
        <v>4878</v>
      </c>
      <c r="H156" t="s">
        <v>4889</v>
      </c>
      <c r="I156" t="s">
        <v>4894</v>
      </c>
      <c r="J156" t="s">
        <v>4904</v>
      </c>
      <c r="K156" t="s">
        <v>4931</v>
      </c>
      <c r="L156" t="s">
        <v>4935</v>
      </c>
      <c r="M156" t="s">
        <v>4942</v>
      </c>
      <c r="N156" s="11">
        <v>973.36</v>
      </c>
      <c r="O156" t="s">
        <v>15</v>
      </c>
      <c r="P156" t="s">
        <v>4952</v>
      </c>
      <c r="S156" t="str">
        <f t="shared" si="6"/>
        <v>Adult</v>
      </c>
      <c r="T156" t="str">
        <f t="shared" si="7"/>
        <v>Low</v>
      </c>
      <c r="U156" t="str">
        <f t="shared" si="8"/>
        <v>Short Days</v>
      </c>
    </row>
    <row r="157" spans="1:21">
      <c r="A157" t="s">
        <v>173</v>
      </c>
      <c r="B157" s="5">
        <v>45856</v>
      </c>
      <c r="C157" t="s">
        <v>3165</v>
      </c>
      <c r="D157" t="s">
        <v>4712</v>
      </c>
      <c r="E157" t="s">
        <v>4867</v>
      </c>
      <c r="F157">
        <v>27</v>
      </c>
      <c r="G157" t="s">
        <v>4881</v>
      </c>
      <c r="H157" t="s">
        <v>4881</v>
      </c>
      <c r="I157" t="s">
        <v>4902</v>
      </c>
      <c r="J157" t="s">
        <v>4920</v>
      </c>
      <c r="K157" t="s">
        <v>4931</v>
      </c>
      <c r="L157" t="s">
        <v>4941</v>
      </c>
      <c r="M157" t="s">
        <v>4942</v>
      </c>
      <c r="N157" s="11">
        <v>11381.11</v>
      </c>
      <c r="O157" t="s">
        <v>4949</v>
      </c>
      <c r="P157" t="s">
        <v>4951</v>
      </c>
      <c r="S157" t="str">
        <f t="shared" si="6"/>
        <v>Adult</v>
      </c>
      <c r="T157" t="str">
        <f t="shared" si="7"/>
        <v>High</v>
      </c>
      <c r="U157" t="str">
        <f t="shared" si="8"/>
        <v>Short Days</v>
      </c>
    </row>
    <row r="158" spans="1:21">
      <c r="A158" t="s">
        <v>174</v>
      </c>
      <c r="B158" s="5">
        <v>45461</v>
      </c>
      <c r="C158" t="s">
        <v>3166</v>
      </c>
      <c r="D158" t="s">
        <v>4594</v>
      </c>
      <c r="E158" t="s">
        <v>4867</v>
      </c>
      <c r="F158">
        <v>44</v>
      </c>
      <c r="G158" t="s">
        <v>4883</v>
      </c>
      <c r="H158" t="s">
        <v>4892</v>
      </c>
      <c r="I158" t="s">
        <v>4895</v>
      </c>
      <c r="J158" t="s">
        <v>4905</v>
      </c>
      <c r="K158" t="s">
        <v>4931</v>
      </c>
      <c r="L158" t="s">
        <v>4937</v>
      </c>
      <c r="M158" t="s">
        <v>4942</v>
      </c>
      <c r="N158" s="11">
        <v>6885.35</v>
      </c>
      <c r="O158" t="s">
        <v>4947</v>
      </c>
      <c r="P158" t="s">
        <v>4951</v>
      </c>
      <c r="S158" t="str">
        <f t="shared" si="6"/>
        <v>Middle-Aged</v>
      </c>
      <c r="T158" t="str">
        <f t="shared" si="7"/>
        <v>Medium</v>
      </c>
      <c r="U158" t="str">
        <f t="shared" si="8"/>
        <v>Short Days</v>
      </c>
    </row>
    <row r="159" spans="1:21">
      <c r="A159" t="s">
        <v>175</v>
      </c>
      <c r="B159" s="5">
        <v>45433</v>
      </c>
      <c r="C159" t="s">
        <v>3167</v>
      </c>
      <c r="D159" t="s">
        <v>4602</v>
      </c>
      <c r="E159" t="s">
        <v>4867</v>
      </c>
      <c r="F159">
        <v>17</v>
      </c>
      <c r="G159" t="s">
        <v>4879</v>
      </c>
      <c r="H159" t="s">
        <v>4888</v>
      </c>
      <c r="I159" t="s">
        <v>4897</v>
      </c>
      <c r="J159" t="s">
        <v>4922</v>
      </c>
      <c r="K159" t="s">
        <v>4928</v>
      </c>
      <c r="L159" t="s">
        <v>4935</v>
      </c>
      <c r="M159" t="s">
        <v>4942</v>
      </c>
      <c r="N159" s="11">
        <v>4599.47</v>
      </c>
      <c r="O159" t="s">
        <v>4946</v>
      </c>
      <c r="P159" t="s">
        <v>4951</v>
      </c>
      <c r="R159">
        <v>90</v>
      </c>
      <c r="S159" t="str">
        <f t="shared" si="6"/>
        <v>Child</v>
      </c>
      <c r="T159" t="str">
        <f t="shared" si="7"/>
        <v>Low</v>
      </c>
      <c r="U159" t="str">
        <f t="shared" si="8"/>
        <v>Short Days</v>
      </c>
    </row>
    <row r="160" spans="1:21">
      <c r="A160" t="s">
        <v>176</v>
      </c>
      <c r="B160" s="5">
        <v>45735</v>
      </c>
      <c r="C160" t="s">
        <v>3168</v>
      </c>
      <c r="D160" t="s">
        <v>4713</v>
      </c>
      <c r="E160" t="s">
        <v>4866</v>
      </c>
      <c r="F160">
        <v>62</v>
      </c>
      <c r="G160" t="s">
        <v>4879</v>
      </c>
      <c r="H160" t="s">
        <v>4888</v>
      </c>
      <c r="I160" t="s">
        <v>4900</v>
      </c>
      <c r="J160" t="s">
        <v>4919</v>
      </c>
      <c r="K160" t="s">
        <v>4924</v>
      </c>
      <c r="L160" t="s">
        <v>4936</v>
      </c>
      <c r="M160" t="s">
        <v>4942</v>
      </c>
      <c r="N160" s="11">
        <v>1279.03</v>
      </c>
      <c r="O160" t="s">
        <v>4949</v>
      </c>
      <c r="P160" t="s">
        <v>4951</v>
      </c>
      <c r="R160">
        <v>14</v>
      </c>
      <c r="S160" t="str">
        <f t="shared" si="6"/>
        <v>Senior</v>
      </c>
      <c r="T160" t="str">
        <f t="shared" si="7"/>
        <v>Low</v>
      </c>
      <c r="U160" t="str">
        <f t="shared" si="8"/>
        <v>Short Days</v>
      </c>
    </row>
    <row r="161" spans="1:21">
      <c r="A161" t="s">
        <v>177</v>
      </c>
      <c r="B161" s="5">
        <v>45343</v>
      </c>
      <c r="C161" t="s">
        <v>3169</v>
      </c>
      <c r="D161" t="s">
        <v>4714</v>
      </c>
      <c r="E161" t="s">
        <v>4866</v>
      </c>
      <c r="F161">
        <v>33</v>
      </c>
      <c r="G161" t="s">
        <v>4873</v>
      </c>
      <c r="H161" t="s">
        <v>4888</v>
      </c>
      <c r="I161" t="s">
        <v>4893</v>
      </c>
      <c r="J161" t="s">
        <v>4917</v>
      </c>
      <c r="K161" t="s">
        <v>4926</v>
      </c>
      <c r="L161" t="s">
        <v>4941</v>
      </c>
      <c r="M161" t="s">
        <v>4942</v>
      </c>
      <c r="N161" s="11">
        <v>15295.95</v>
      </c>
      <c r="O161" t="s">
        <v>15</v>
      </c>
      <c r="P161" t="s">
        <v>4952</v>
      </c>
      <c r="R161">
        <v>7</v>
      </c>
      <c r="S161" t="str">
        <f t="shared" si="6"/>
        <v>Adult</v>
      </c>
      <c r="T161" t="str">
        <f t="shared" si="7"/>
        <v>High</v>
      </c>
      <c r="U161" t="str">
        <f t="shared" si="8"/>
        <v>Short Days</v>
      </c>
    </row>
    <row r="162" spans="1:21">
      <c r="A162" t="s">
        <v>178</v>
      </c>
      <c r="B162" s="5">
        <v>45600</v>
      </c>
      <c r="C162" t="s">
        <v>3170</v>
      </c>
      <c r="D162" t="s">
        <v>4650</v>
      </c>
      <c r="E162" t="s">
        <v>4866</v>
      </c>
      <c r="F162">
        <v>15</v>
      </c>
      <c r="G162" t="s">
        <v>4871</v>
      </c>
      <c r="H162" t="s">
        <v>4886</v>
      </c>
      <c r="I162" t="s">
        <v>4900</v>
      </c>
      <c r="J162" t="s">
        <v>4919</v>
      </c>
      <c r="K162" t="s">
        <v>4925</v>
      </c>
      <c r="L162" t="s">
        <v>4935</v>
      </c>
      <c r="M162" t="s">
        <v>4943</v>
      </c>
      <c r="N162" s="11">
        <v>11699.92</v>
      </c>
      <c r="O162" t="s">
        <v>4946</v>
      </c>
      <c r="P162" t="s">
        <v>4951</v>
      </c>
      <c r="R162">
        <v>7</v>
      </c>
      <c r="S162" t="str">
        <f t="shared" si="6"/>
        <v>Child</v>
      </c>
      <c r="T162" t="str">
        <f t="shared" si="7"/>
        <v>High</v>
      </c>
      <c r="U162" t="str">
        <f t="shared" si="8"/>
        <v>Short Days</v>
      </c>
    </row>
    <row r="163" spans="1:21">
      <c r="A163" t="s">
        <v>179</v>
      </c>
      <c r="B163" s="5">
        <v>45869</v>
      </c>
      <c r="C163" t="s">
        <v>3171</v>
      </c>
      <c r="D163" t="s">
        <v>4620</v>
      </c>
      <c r="E163" t="s">
        <v>4866</v>
      </c>
      <c r="F163">
        <v>36</v>
      </c>
      <c r="G163" t="s">
        <v>4873</v>
      </c>
      <c r="H163" t="s">
        <v>4888</v>
      </c>
      <c r="I163" t="s">
        <v>4893</v>
      </c>
      <c r="J163" t="s">
        <v>4917</v>
      </c>
      <c r="K163" t="s">
        <v>4931</v>
      </c>
      <c r="L163" t="s">
        <v>4937</v>
      </c>
      <c r="M163" t="s">
        <v>4942</v>
      </c>
      <c r="N163" s="11">
        <v>106.12</v>
      </c>
      <c r="O163" t="s">
        <v>4946</v>
      </c>
      <c r="P163" t="s">
        <v>4951</v>
      </c>
      <c r="R163">
        <v>7</v>
      </c>
      <c r="S163" t="str">
        <f t="shared" si="6"/>
        <v>Adult</v>
      </c>
      <c r="T163" t="str">
        <f t="shared" si="7"/>
        <v>Low</v>
      </c>
      <c r="U163" t="str">
        <f t="shared" si="8"/>
        <v>Short Days</v>
      </c>
    </row>
    <row r="164" spans="1:21">
      <c r="A164" t="s">
        <v>180</v>
      </c>
      <c r="B164" s="5">
        <v>45766</v>
      </c>
      <c r="C164" t="s">
        <v>3172</v>
      </c>
      <c r="D164" t="s">
        <v>4712</v>
      </c>
      <c r="E164" t="s">
        <v>4867</v>
      </c>
      <c r="F164">
        <v>41</v>
      </c>
      <c r="G164" t="s">
        <v>4881</v>
      </c>
      <c r="H164" t="s">
        <v>4881</v>
      </c>
      <c r="I164" t="s">
        <v>4894</v>
      </c>
      <c r="J164" t="s">
        <v>4910</v>
      </c>
      <c r="K164" t="s">
        <v>4929</v>
      </c>
      <c r="L164" t="s">
        <v>4941</v>
      </c>
      <c r="M164" t="s">
        <v>4944</v>
      </c>
      <c r="N164" s="11">
        <v>9267.33</v>
      </c>
      <c r="O164" t="s">
        <v>4947</v>
      </c>
      <c r="P164" t="s">
        <v>4951</v>
      </c>
      <c r="R164">
        <v>30</v>
      </c>
      <c r="S164" t="str">
        <f t="shared" si="6"/>
        <v>Middle-Aged</v>
      </c>
      <c r="T164" t="str">
        <f t="shared" si="7"/>
        <v>Medium</v>
      </c>
      <c r="U164" t="str">
        <f t="shared" si="8"/>
        <v>Short Days</v>
      </c>
    </row>
    <row r="165" spans="1:21">
      <c r="A165" t="s">
        <v>181</v>
      </c>
      <c r="B165" s="5">
        <v>45803</v>
      </c>
      <c r="C165" t="s">
        <v>3173</v>
      </c>
      <c r="D165" t="s">
        <v>4715</v>
      </c>
      <c r="E165" t="s">
        <v>4866</v>
      </c>
      <c r="F165">
        <v>45</v>
      </c>
      <c r="G165" t="s">
        <v>4872</v>
      </c>
      <c r="H165" t="s">
        <v>4887</v>
      </c>
      <c r="I165" t="s">
        <v>4901</v>
      </c>
      <c r="J165" t="s">
        <v>4921</v>
      </c>
      <c r="K165" t="s">
        <v>4928</v>
      </c>
      <c r="L165" t="s">
        <v>4935</v>
      </c>
      <c r="M165" t="s">
        <v>4942</v>
      </c>
      <c r="N165" s="11">
        <v>10989.89</v>
      </c>
      <c r="O165" t="s">
        <v>4947</v>
      </c>
      <c r="P165" t="s">
        <v>4951</v>
      </c>
      <c r="S165" t="str">
        <f t="shared" si="6"/>
        <v>Middle-Aged</v>
      </c>
      <c r="T165" t="str">
        <f t="shared" si="7"/>
        <v>High</v>
      </c>
      <c r="U165" t="str">
        <f t="shared" si="8"/>
        <v>Short Days</v>
      </c>
    </row>
    <row r="166" spans="1:21">
      <c r="A166" t="s">
        <v>182</v>
      </c>
      <c r="B166" s="5">
        <v>45874</v>
      </c>
      <c r="C166" t="s">
        <v>3034</v>
      </c>
      <c r="D166" t="s">
        <v>4716</v>
      </c>
      <c r="E166" t="s">
        <v>4867</v>
      </c>
      <c r="F166">
        <v>28</v>
      </c>
      <c r="G166" t="s">
        <v>4874</v>
      </c>
      <c r="H166" t="s">
        <v>4886</v>
      </c>
      <c r="I166" t="s">
        <v>4901</v>
      </c>
      <c r="J166" t="s">
        <v>4921</v>
      </c>
      <c r="K166" t="s">
        <v>4927</v>
      </c>
      <c r="L166" t="s">
        <v>4939</v>
      </c>
      <c r="M166" t="s">
        <v>4942</v>
      </c>
      <c r="N166" s="11">
        <v>5211.67</v>
      </c>
      <c r="O166" t="s">
        <v>4946</v>
      </c>
      <c r="P166" t="s">
        <v>4951</v>
      </c>
      <c r="S166" t="str">
        <f t="shared" si="6"/>
        <v>Adult</v>
      </c>
      <c r="T166" t="str">
        <f t="shared" si="7"/>
        <v>Medium</v>
      </c>
      <c r="U166" t="str">
        <f t="shared" si="8"/>
        <v>Short Days</v>
      </c>
    </row>
    <row r="167" spans="1:21">
      <c r="A167" t="s">
        <v>183</v>
      </c>
      <c r="B167" s="5">
        <v>45485</v>
      </c>
      <c r="C167" t="s">
        <v>3174</v>
      </c>
      <c r="D167" t="s">
        <v>4663</v>
      </c>
      <c r="E167" t="s">
        <v>4868</v>
      </c>
      <c r="F167">
        <v>49</v>
      </c>
      <c r="G167" t="s">
        <v>4877</v>
      </c>
      <c r="H167" t="s">
        <v>4888</v>
      </c>
      <c r="I167" t="s">
        <v>4898</v>
      </c>
      <c r="J167" t="s">
        <v>4918</v>
      </c>
      <c r="K167" t="s">
        <v>4932</v>
      </c>
      <c r="L167" t="s">
        <v>4936</v>
      </c>
      <c r="M167" t="s">
        <v>4942</v>
      </c>
      <c r="N167" s="11">
        <v>1327.91</v>
      </c>
      <c r="O167" t="s">
        <v>4949</v>
      </c>
      <c r="P167" t="s">
        <v>4951</v>
      </c>
      <c r="R167">
        <v>30</v>
      </c>
      <c r="S167" t="str">
        <f t="shared" si="6"/>
        <v>Middle-Aged</v>
      </c>
      <c r="T167" t="str">
        <f t="shared" si="7"/>
        <v>Low</v>
      </c>
      <c r="U167" t="str">
        <f t="shared" si="8"/>
        <v>Short Days</v>
      </c>
    </row>
    <row r="168" spans="1:21">
      <c r="A168" t="s">
        <v>184</v>
      </c>
      <c r="B168" s="5">
        <v>45554</v>
      </c>
      <c r="C168" t="s">
        <v>3175</v>
      </c>
      <c r="D168" t="s">
        <v>4669</v>
      </c>
      <c r="E168" t="s">
        <v>4866</v>
      </c>
      <c r="F168">
        <v>44</v>
      </c>
      <c r="G168" t="s">
        <v>4876</v>
      </c>
      <c r="H168" t="s">
        <v>4888</v>
      </c>
      <c r="I168" t="s">
        <v>4899</v>
      </c>
      <c r="J168" t="s">
        <v>4911</v>
      </c>
      <c r="K168" t="s">
        <v>4933</v>
      </c>
      <c r="L168" t="s">
        <v>4934</v>
      </c>
      <c r="M168" t="s">
        <v>4942</v>
      </c>
      <c r="N168" s="11">
        <v>1480.6</v>
      </c>
      <c r="O168" t="s">
        <v>15</v>
      </c>
      <c r="P168" t="s">
        <v>4952</v>
      </c>
      <c r="S168" t="str">
        <f t="shared" si="6"/>
        <v>Middle-Aged</v>
      </c>
      <c r="T168" t="str">
        <f t="shared" si="7"/>
        <v>Low</v>
      </c>
      <c r="U168" t="str">
        <f t="shared" si="8"/>
        <v>Short Days</v>
      </c>
    </row>
    <row r="169" spans="1:21">
      <c r="A169" t="s">
        <v>185</v>
      </c>
      <c r="B169" s="5">
        <v>45480</v>
      </c>
      <c r="C169" t="s">
        <v>3176</v>
      </c>
      <c r="D169" t="s">
        <v>4605</v>
      </c>
      <c r="E169" t="s">
        <v>4866</v>
      </c>
      <c r="F169">
        <v>50</v>
      </c>
      <c r="G169" t="s">
        <v>4878</v>
      </c>
      <c r="H169" t="s">
        <v>4889</v>
      </c>
      <c r="I169" t="s">
        <v>4902</v>
      </c>
      <c r="J169" t="s">
        <v>4920</v>
      </c>
      <c r="K169" t="s">
        <v>4926</v>
      </c>
      <c r="L169" t="s">
        <v>4936</v>
      </c>
      <c r="M169" t="s">
        <v>4942</v>
      </c>
      <c r="N169" s="11">
        <v>5643.17</v>
      </c>
      <c r="O169" t="s">
        <v>4948</v>
      </c>
      <c r="P169" t="s">
        <v>4951</v>
      </c>
      <c r="S169" t="str">
        <f t="shared" si="6"/>
        <v>Middle-Aged</v>
      </c>
      <c r="T169" t="str">
        <f t="shared" si="7"/>
        <v>Medium</v>
      </c>
      <c r="U169" t="str">
        <f t="shared" si="8"/>
        <v>Short Days</v>
      </c>
    </row>
    <row r="170" spans="1:21">
      <c r="A170" t="s">
        <v>186</v>
      </c>
      <c r="B170" s="5">
        <v>45512</v>
      </c>
      <c r="C170" t="s">
        <v>3177</v>
      </c>
      <c r="D170" t="s">
        <v>4704</v>
      </c>
      <c r="E170" t="s">
        <v>4866</v>
      </c>
      <c r="F170">
        <v>72</v>
      </c>
      <c r="G170" t="s">
        <v>4880</v>
      </c>
      <c r="H170" t="s">
        <v>4890</v>
      </c>
      <c r="I170" t="s">
        <v>4898</v>
      </c>
      <c r="J170" t="s">
        <v>4923</v>
      </c>
      <c r="K170" t="s">
        <v>4930</v>
      </c>
      <c r="L170" t="s">
        <v>4940</v>
      </c>
      <c r="M170" t="s">
        <v>4944</v>
      </c>
      <c r="N170" s="11">
        <v>15266.95</v>
      </c>
      <c r="O170" t="s">
        <v>4947</v>
      </c>
      <c r="P170" t="s">
        <v>4951</v>
      </c>
      <c r="S170" t="str">
        <f t="shared" si="6"/>
        <v>Senior</v>
      </c>
      <c r="T170" t="str">
        <f t="shared" si="7"/>
        <v>High</v>
      </c>
      <c r="U170" t="str">
        <f t="shared" si="8"/>
        <v>Short Days</v>
      </c>
    </row>
    <row r="171" spans="1:21">
      <c r="A171" t="s">
        <v>187</v>
      </c>
      <c r="B171" s="5">
        <v>45739</v>
      </c>
      <c r="C171" t="s">
        <v>3030</v>
      </c>
      <c r="D171" t="s">
        <v>4593</v>
      </c>
      <c r="E171" t="s">
        <v>4867</v>
      </c>
      <c r="F171">
        <v>46</v>
      </c>
      <c r="G171" t="s">
        <v>4879</v>
      </c>
      <c r="H171" t="s">
        <v>4888</v>
      </c>
      <c r="I171" t="s">
        <v>4900</v>
      </c>
      <c r="J171" t="s">
        <v>4913</v>
      </c>
      <c r="K171" t="s">
        <v>4953</v>
      </c>
      <c r="L171" t="s">
        <v>4936</v>
      </c>
      <c r="M171" t="s">
        <v>4942</v>
      </c>
      <c r="N171" s="11">
        <v>6688.11</v>
      </c>
      <c r="O171" t="s">
        <v>4949</v>
      </c>
      <c r="P171" t="s">
        <v>4951</v>
      </c>
      <c r="R171">
        <v>7</v>
      </c>
      <c r="S171" t="str">
        <f t="shared" si="6"/>
        <v>Middle-Aged</v>
      </c>
      <c r="T171" t="str">
        <f t="shared" si="7"/>
        <v>Medium</v>
      </c>
      <c r="U171" t="str">
        <f t="shared" si="8"/>
        <v>Short Days</v>
      </c>
    </row>
    <row r="172" spans="1:21">
      <c r="A172" t="s">
        <v>188</v>
      </c>
      <c r="B172" s="5">
        <v>45678</v>
      </c>
      <c r="C172" t="s">
        <v>3178</v>
      </c>
      <c r="D172" t="s">
        <v>4717</v>
      </c>
      <c r="E172" t="s">
        <v>4866</v>
      </c>
      <c r="F172">
        <v>48</v>
      </c>
      <c r="G172" t="s">
        <v>4881</v>
      </c>
      <c r="H172" t="s">
        <v>4881</v>
      </c>
      <c r="I172" t="s">
        <v>4901</v>
      </c>
      <c r="J172" t="s">
        <v>4921</v>
      </c>
      <c r="K172" t="s">
        <v>4933</v>
      </c>
      <c r="L172" t="s">
        <v>4936</v>
      </c>
      <c r="M172" t="s">
        <v>4942</v>
      </c>
      <c r="N172" s="11">
        <v>3502.25</v>
      </c>
      <c r="O172" t="s">
        <v>4948</v>
      </c>
      <c r="P172" t="s">
        <v>4951</v>
      </c>
      <c r="S172" t="str">
        <f t="shared" si="6"/>
        <v>Middle-Aged</v>
      </c>
      <c r="T172" t="str">
        <f t="shared" si="7"/>
        <v>Low</v>
      </c>
      <c r="U172" t="str">
        <f t="shared" si="8"/>
        <v>Short Days</v>
      </c>
    </row>
    <row r="173" spans="1:21">
      <c r="A173" t="s">
        <v>189</v>
      </c>
      <c r="B173" s="5">
        <v>45781</v>
      </c>
      <c r="C173" t="s">
        <v>3179</v>
      </c>
      <c r="D173" t="s">
        <v>4603</v>
      </c>
      <c r="E173" t="s">
        <v>4867</v>
      </c>
      <c r="F173">
        <v>21</v>
      </c>
      <c r="G173" t="s">
        <v>4879</v>
      </c>
      <c r="H173" t="s">
        <v>4888</v>
      </c>
      <c r="I173" t="s">
        <v>4901</v>
      </c>
      <c r="J173" t="s">
        <v>4914</v>
      </c>
      <c r="K173" t="s">
        <v>4929</v>
      </c>
      <c r="L173" t="s">
        <v>4938</v>
      </c>
      <c r="M173" t="s">
        <v>4942</v>
      </c>
      <c r="N173" s="11">
        <v>2637.29</v>
      </c>
      <c r="O173" t="s">
        <v>4946</v>
      </c>
      <c r="P173" t="s">
        <v>4951</v>
      </c>
      <c r="R173">
        <v>7</v>
      </c>
      <c r="S173" t="str">
        <f t="shared" si="6"/>
        <v>Adult</v>
      </c>
      <c r="T173" t="str">
        <f t="shared" si="7"/>
        <v>Low</v>
      </c>
      <c r="U173" t="str">
        <f t="shared" si="8"/>
        <v>Short Days</v>
      </c>
    </row>
    <row r="174" spans="1:21">
      <c r="A174" t="s">
        <v>190</v>
      </c>
      <c r="B174" s="5">
        <v>45899</v>
      </c>
      <c r="C174" t="s">
        <v>3180</v>
      </c>
      <c r="D174" t="s">
        <v>4718</v>
      </c>
      <c r="E174" t="s">
        <v>4866</v>
      </c>
      <c r="F174">
        <v>18</v>
      </c>
      <c r="G174" t="s">
        <v>4874</v>
      </c>
      <c r="H174" t="s">
        <v>4886</v>
      </c>
      <c r="I174" t="s">
        <v>4899</v>
      </c>
      <c r="J174" t="s">
        <v>4912</v>
      </c>
      <c r="K174" t="s">
        <v>4931</v>
      </c>
      <c r="L174" t="s">
        <v>4937</v>
      </c>
      <c r="M174" t="s">
        <v>4942</v>
      </c>
      <c r="N174" s="11">
        <v>3038.35</v>
      </c>
      <c r="O174" t="s">
        <v>4947</v>
      </c>
      <c r="P174" t="s">
        <v>4951</v>
      </c>
      <c r="R174">
        <v>7</v>
      </c>
      <c r="S174" t="str">
        <f t="shared" si="6"/>
        <v>Adult</v>
      </c>
      <c r="T174" t="str">
        <f t="shared" si="7"/>
        <v>Low</v>
      </c>
      <c r="U174" t="str">
        <f t="shared" si="8"/>
        <v>Short Days</v>
      </c>
    </row>
    <row r="175" spans="1:21">
      <c r="A175" t="s">
        <v>191</v>
      </c>
      <c r="B175" s="5">
        <v>45943</v>
      </c>
      <c r="C175" t="s">
        <v>3181</v>
      </c>
      <c r="D175" t="s">
        <v>4719</v>
      </c>
      <c r="E175" t="s">
        <v>4867</v>
      </c>
      <c r="F175">
        <v>55</v>
      </c>
      <c r="G175" t="s">
        <v>4878</v>
      </c>
      <c r="H175" t="s">
        <v>4889</v>
      </c>
      <c r="I175" t="s">
        <v>4896</v>
      </c>
      <c r="J175" t="s">
        <v>4908</v>
      </c>
      <c r="K175" t="s">
        <v>4925</v>
      </c>
      <c r="L175" t="s">
        <v>4940</v>
      </c>
      <c r="M175" t="s">
        <v>4942</v>
      </c>
      <c r="N175" s="11">
        <v>2683.47</v>
      </c>
      <c r="O175" t="s">
        <v>4948</v>
      </c>
      <c r="P175" t="s">
        <v>4951</v>
      </c>
      <c r="R175">
        <v>14</v>
      </c>
      <c r="S175" t="str">
        <f t="shared" si="6"/>
        <v>Middle-Aged</v>
      </c>
      <c r="T175" t="str">
        <f t="shared" si="7"/>
        <v>Low</v>
      </c>
      <c r="U175" t="str">
        <f t="shared" si="8"/>
        <v>Short Days</v>
      </c>
    </row>
    <row r="176" spans="1:21">
      <c r="A176" t="s">
        <v>192</v>
      </c>
      <c r="B176" s="5">
        <v>45333</v>
      </c>
      <c r="C176" t="s">
        <v>3145</v>
      </c>
      <c r="D176" t="s">
        <v>4720</v>
      </c>
      <c r="E176" t="s">
        <v>4867</v>
      </c>
      <c r="F176">
        <v>45</v>
      </c>
      <c r="G176" t="s">
        <v>4874</v>
      </c>
      <c r="H176" t="s">
        <v>4886</v>
      </c>
      <c r="I176" t="s">
        <v>4894</v>
      </c>
      <c r="J176" t="s">
        <v>4904</v>
      </c>
      <c r="K176" t="s">
        <v>4924</v>
      </c>
      <c r="L176" t="s">
        <v>4940</v>
      </c>
      <c r="M176" t="s">
        <v>4944</v>
      </c>
      <c r="N176" s="11">
        <v>6524.63</v>
      </c>
      <c r="O176" t="s">
        <v>4948</v>
      </c>
      <c r="P176" t="s">
        <v>4951</v>
      </c>
      <c r="R176">
        <v>90</v>
      </c>
      <c r="S176" t="str">
        <f t="shared" si="6"/>
        <v>Middle-Aged</v>
      </c>
      <c r="T176" t="str">
        <f t="shared" si="7"/>
        <v>Medium</v>
      </c>
      <c r="U176" t="str">
        <f t="shared" si="8"/>
        <v>Short Days</v>
      </c>
    </row>
    <row r="177" spans="1:21">
      <c r="A177" t="s">
        <v>193</v>
      </c>
      <c r="B177" s="5">
        <v>45593</v>
      </c>
      <c r="C177" t="s">
        <v>3182</v>
      </c>
      <c r="D177" t="s">
        <v>4653</v>
      </c>
      <c r="E177" t="s">
        <v>4866</v>
      </c>
      <c r="F177">
        <v>34</v>
      </c>
      <c r="G177" t="s">
        <v>4873</v>
      </c>
      <c r="H177" t="s">
        <v>4888</v>
      </c>
      <c r="I177" t="s">
        <v>4898</v>
      </c>
      <c r="J177" t="s">
        <v>4923</v>
      </c>
      <c r="K177" t="s">
        <v>4924</v>
      </c>
      <c r="L177" t="s">
        <v>4934</v>
      </c>
      <c r="M177" t="s">
        <v>4942</v>
      </c>
      <c r="N177" s="11">
        <v>4478.5200000000004</v>
      </c>
      <c r="O177" t="s">
        <v>15</v>
      </c>
      <c r="P177" t="s">
        <v>4952</v>
      </c>
      <c r="R177">
        <v>7</v>
      </c>
      <c r="S177" t="str">
        <f t="shared" si="6"/>
        <v>Adult</v>
      </c>
      <c r="T177" t="str">
        <f t="shared" si="7"/>
        <v>Low</v>
      </c>
      <c r="U177" t="str">
        <f t="shared" si="8"/>
        <v>Short Days</v>
      </c>
    </row>
    <row r="178" spans="1:21">
      <c r="A178" t="s">
        <v>194</v>
      </c>
      <c r="B178" s="5">
        <v>45588</v>
      </c>
      <c r="C178" t="s">
        <v>3183</v>
      </c>
      <c r="D178" t="s">
        <v>4721</v>
      </c>
      <c r="E178" t="s">
        <v>4867</v>
      </c>
      <c r="F178">
        <v>45</v>
      </c>
      <c r="G178" t="s">
        <v>4876</v>
      </c>
      <c r="H178" t="s">
        <v>4888</v>
      </c>
      <c r="I178" t="s">
        <v>4901</v>
      </c>
      <c r="J178" t="s">
        <v>4914</v>
      </c>
      <c r="K178" t="s">
        <v>4931</v>
      </c>
      <c r="L178" t="s">
        <v>4940</v>
      </c>
      <c r="M178" t="s">
        <v>4944</v>
      </c>
      <c r="N178" s="11">
        <v>6540.08</v>
      </c>
      <c r="O178" t="s">
        <v>4948</v>
      </c>
      <c r="P178" t="s">
        <v>4951</v>
      </c>
      <c r="S178" t="str">
        <f t="shared" si="6"/>
        <v>Middle-Aged</v>
      </c>
      <c r="T178" t="str">
        <f t="shared" si="7"/>
        <v>Medium</v>
      </c>
      <c r="U178" t="str">
        <f t="shared" si="8"/>
        <v>Short Days</v>
      </c>
    </row>
    <row r="179" spans="1:21">
      <c r="A179" t="s">
        <v>195</v>
      </c>
      <c r="B179" s="5">
        <v>45376</v>
      </c>
      <c r="C179" t="s">
        <v>3184</v>
      </c>
      <c r="D179" t="s">
        <v>4722</v>
      </c>
      <c r="E179" t="s">
        <v>4866</v>
      </c>
      <c r="F179">
        <v>32</v>
      </c>
      <c r="G179" t="s">
        <v>4872</v>
      </c>
      <c r="H179" t="s">
        <v>4887</v>
      </c>
      <c r="I179" t="s">
        <v>4902</v>
      </c>
      <c r="J179" t="s">
        <v>4920</v>
      </c>
      <c r="K179" t="s">
        <v>4928</v>
      </c>
      <c r="L179" t="s">
        <v>4940</v>
      </c>
      <c r="M179" t="s">
        <v>4942</v>
      </c>
      <c r="N179" s="11">
        <v>6579.1</v>
      </c>
      <c r="O179" t="s">
        <v>4948</v>
      </c>
      <c r="P179" t="s">
        <v>4951</v>
      </c>
      <c r="R179">
        <v>7</v>
      </c>
      <c r="S179" t="str">
        <f t="shared" si="6"/>
        <v>Adult</v>
      </c>
      <c r="T179" t="str">
        <f t="shared" si="7"/>
        <v>Medium</v>
      </c>
      <c r="U179" t="str">
        <f t="shared" si="8"/>
        <v>Short Days</v>
      </c>
    </row>
    <row r="180" spans="1:21">
      <c r="A180" t="s">
        <v>196</v>
      </c>
      <c r="B180" s="5">
        <v>45863</v>
      </c>
      <c r="C180" t="s">
        <v>3042</v>
      </c>
      <c r="D180" t="s">
        <v>4619</v>
      </c>
      <c r="E180" t="s">
        <v>4867</v>
      </c>
      <c r="F180">
        <v>59</v>
      </c>
      <c r="G180" t="s">
        <v>4874</v>
      </c>
      <c r="H180" t="s">
        <v>4886</v>
      </c>
      <c r="I180" t="s">
        <v>4899</v>
      </c>
      <c r="J180" t="s">
        <v>4912</v>
      </c>
      <c r="K180" t="s">
        <v>4925</v>
      </c>
      <c r="L180" t="s">
        <v>4938</v>
      </c>
      <c r="M180" t="s">
        <v>4942</v>
      </c>
      <c r="N180" s="11">
        <v>1159.3499999999999</v>
      </c>
      <c r="O180" t="s">
        <v>4950</v>
      </c>
      <c r="P180" t="s">
        <v>4951</v>
      </c>
      <c r="S180" t="str">
        <f t="shared" si="6"/>
        <v>Middle-Aged</v>
      </c>
      <c r="T180" t="str">
        <f t="shared" si="7"/>
        <v>Low</v>
      </c>
      <c r="U180" t="str">
        <f t="shared" si="8"/>
        <v>Short Days</v>
      </c>
    </row>
    <row r="181" spans="1:21">
      <c r="A181" t="s">
        <v>197</v>
      </c>
      <c r="B181" s="5">
        <v>45532</v>
      </c>
      <c r="C181" t="s">
        <v>3185</v>
      </c>
      <c r="D181" t="s">
        <v>4723</v>
      </c>
      <c r="E181" t="s">
        <v>4866</v>
      </c>
      <c r="F181">
        <v>69</v>
      </c>
      <c r="G181" t="s">
        <v>4877</v>
      </c>
      <c r="H181" t="s">
        <v>4888</v>
      </c>
      <c r="I181" t="s">
        <v>4895</v>
      </c>
      <c r="J181" t="s">
        <v>4905</v>
      </c>
      <c r="K181" t="s">
        <v>4930</v>
      </c>
      <c r="L181" t="s">
        <v>4941</v>
      </c>
      <c r="M181" t="s">
        <v>4944</v>
      </c>
      <c r="N181" s="11">
        <v>8915.24</v>
      </c>
      <c r="O181" t="s">
        <v>4947</v>
      </c>
      <c r="P181" t="s">
        <v>4951</v>
      </c>
      <c r="R181">
        <v>7</v>
      </c>
      <c r="S181" t="str">
        <f t="shared" si="6"/>
        <v>Senior</v>
      </c>
      <c r="T181" t="str">
        <f t="shared" si="7"/>
        <v>Medium</v>
      </c>
      <c r="U181" t="str">
        <f t="shared" si="8"/>
        <v>Short Days</v>
      </c>
    </row>
    <row r="182" spans="1:21">
      <c r="A182" t="s">
        <v>198</v>
      </c>
      <c r="B182" s="5">
        <v>45302</v>
      </c>
      <c r="C182" t="s">
        <v>3186</v>
      </c>
      <c r="D182" t="s">
        <v>4724</v>
      </c>
      <c r="E182" t="s">
        <v>4866</v>
      </c>
      <c r="F182">
        <v>34</v>
      </c>
      <c r="G182" t="s">
        <v>4878</v>
      </c>
      <c r="H182" t="s">
        <v>4889</v>
      </c>
      <c r="I182" t="s">
        <v>4893</v>
      </c>
      <c r="J182" t="s">
        <v>4903</v>
      </c>
      <c r="K182" t="s">
        <v>4932</v>
      </c>
      <c r="L182" t="s">
        <v>4937</v>
      </c>
      <c r="M182" t="s">
        <v>4944</v>
      </c>
      <c r="N182" s="11">
        <v>13189.21</v>
      </c>
      <c r="O182" t="s">
        <v>15</v>
      </c>
      <c r="P182" t="s">
        <v>4952</v>
      </c>
      <c r="S182" t="str">
        <f t="shared" si="6"/>
        <v>Adult</v>
      </c>
      <c r="T182" t="str">
        <f t="shared" si="7"/>
        <v>High</v>
      </c>
      <c r="U182" t="str">
        <f t="shared" si="8"/>
        <v>Short Days</v>
      </c>
    </row>
    <row r="183" spans="1:21">
      <c r="A183" t="s">
        <v>199</v>
      </c>
      <c r="B183" s="5">
        <v>45311</v>
      </c>
      <c r="C183" t="s">
        <v>3187</v>
      </c>
      <c r="D183" t="s">
        <v>4725</v>
      </c>
      <c r="E183" t="s">
        <v>4866</v>
      </c>
      <c r="F183">
        <v>35</v>
      </c>
      <c r="G183" t="s">
        <v>4871</v>
      </c>
      <c r="H183" t="s">
        <v>4886</v>
      </c>
      <c r="I183" t="s">
        <v>4900</v>
      </c>
      <c r="J183" t="s">
        <v>4919</v>
      </c>
      <c r="K183" t="s">
        <v>4931</v>
      </c>
      <c r="L183" t="s">
        <v>4939</v>
      </c>
      <c r="M183" t="s">
        <v>4942</v>
      </c>
      <c r="N183" s="11">
        <v>7096.79</v>
      </c>
      <c r="O183" t="s">
        <v>4946</v>
      </c>
      <c r="P183" t="s">
        <v>4951</v>
      </c>
      <c r="R183">
        <v>7</v>
      </c>
      <c r="S183" t="str">
        <f t="shared" si="6"/>
        <v>Adult</v>
      </c>
      <c r="T183" t="str">
        <f t="shared" si="7"/>
        <v>Medium</v>
      </c>
      <c r="U183" t="str">
        <f t="shared" si="8"/>
        <v>Short Days</v>
      </c>
    </row>
    <row r="184" spans="1:21">
      <c r="A184" t="s">
        <v>200</v>
      </c>
      <c r="B184" s="5">
        <v>45545</v>
      </c>
      <c r="C184" t="s">
        <v>3188</v>
      </c>
      <c r="D184" t="s">
        <v>4621</v>
      </c>
      <c r="E184" t="s">
        <v>4866</v>
      </c>
      <c r="F184">
        <v>46</v>
      </c>
      <c r="G184" t="s">
        <v>4878</v>
      </c>
      <c r="H184" t="s">
        <v>4889</v>
      </c>
      <c r="I184" t="s">
        <v>4898</v>
      </c>
      <c r="J184" t="s">
        <v>4923</v>
      </c>
      <c r="K184" t="s">
        <v>4929</v>
      </c>
      <c r="L184" t="s">
        <v>4939</v>
      </c>
      <c r="M184" t="s">
        <v>4944</v>
      </c>
      <c r="N184" s="11">
        <v>8200.02</v>
      </c>
      <c r="O184" t="s">
        <v>4946</v>
      </c>
      <c r="P184" t="s">
        <v>4951</v>
      </c>
      <c r="R184">
        <v>14</v>
      </c>
      <c r="S184" t="str">
        <f t="shared" si="6"/>
        <v>Middle-Aged</v>
      </c>
      <c r="T184" t="str">
        <f t="shared" si="7"/>
        <v>Medium</v>
      </c>
      <c r="U184" t="str">
        <f t="shared" si="8"/>
        <v>Short Days</v>
      </c>
    </row>
    <row r="185" spans="1:21">
      <c r="A185" t="s">
        <v>201</v>
      </c>
      <c r="B185" s="5">
        <v>45419</v>
      </c>
      <c r="C185" t="s">
        <v>3189</v>
      </c>
      <c r="D185" t="s">
        <v>4673</v>
      </c>
      <c r="E185" t="s">
        <v>4867</v>
      </c>
      <c r="F185">
        <v>22</v>
      </c>
      <c r="G185" t="s">
        <v>4882</v>
      </c>
      <c r="H185" t="s">
        <v>4891</v>
      </c>
      <c r="I185" t="s">
        <v>4897</v>
      </c>
      <c r="J185" t="s">
        <v>4907</v>
      </c>
      <c r="K185" t="s">
        <v>4933</v>
      </c>
      <c r="L185" t="s">
        <v>4938</v>
      </c>
      <c r="M185" t="s">
        <v>4945</v>
      </c>
      <c r="N185" s="11">
        <v>9071.14</v>
      </c>
      <c r="O185" t="s">
        <v>4946</v>
      </c>
      <c r="P185" t="s">
        <v>4951</v>
      </c>
      <c r="Q185">
        <v>10</v>
      </c>
      <c r="R185">
        <v>7</v>
      </c>
      <c r="S185" t="str">
        <f t="shared" si="6"/>
        <v>Adult</v>
      </c>
      <c r="T185" t="str">
        <f t="shared" si="7"/>
        <v>Medium</v>
      </c>
      <c r="U185" t="str">
        <f t="shared" si="8"/>
        <v>Long Days</v>
      </c>
    </row>
    <row r="186" spans="1:21">
      <c r="A186" t="s">
        <v>202</v>
      </c>
      <c r="B186" s="5">
        <v>45642</v>
      </c>
      <c r="C186" t="s">
        <v>3190</v>
      </c>
      <c r="D186" t="s">
        <v>4726</v>
      </c>
      <c r="E186" t="s">
        <v>4867</v>
      </c>
      <c r="F186">
        <f>AVERAGE(F179,F185)</f>
        <v>27</v>
      </c>
      <c r="G186" t="s">
        <v>4881</v>
      </c>
      <c r="H186" t="s">
        <v>4887</v>
      </c>
      <c r="I186" t="s">
        <v>4899</v>
      </c>
      <c r="J186" t="s">
        <v>4912</v>
      </c>
      <c r="K186" t="s">
        <v>4953</v>
      </c>
      <c r="L186" t="s">
        <v>4939</v>
      </c>
      <c r="M186" t="s">
        <v>4944</v>
      </c>
      <c r="N186" s="11">
        <v>12904.6</v>
      </c>
      <c r="O186" t="s">
        <v>4949</v>
      </c>
      <c r="P186" t="s">
        <v>4951</v>
      </c>
      <c r="R186">
        <v>30</v>
      </c>
      <c r="S186" t="str">
        <f t="shared" si="6"/>
        <v>Adult</v>
      </c>
      <c r="T186" t="str">
        <f t="shared" si="7"/>
        <v>High</v>
      </c>
      <c r="U186" t="str">
        <f t="shared" si="8"/>
        <v>Short Days</v>
      </c>
    </row>
    <row r="187" spans="1:21">
      <c r="A187" t="s">
        <v>203</v>
      </c>
      <c r="B187" s="5">
        <v>45959</v>
      </c>
      <c r="C187" t="s">
        <v>3191</v>
      </c>
      <c r="D187" t="s">
        <v>4664</v>
      </c>
      <c r="E187" t="s">
        <v>4866</v>
      </c>
      <c r="F187">
        <v>50</v>
      </c>
      <c r="G187" t="s">
        <v>4881</v>
      </c>
      <c r="H187" t="s">
        <v>4881</v>
      </c>
      <c r="I187" t="s">
        <v>4899</v>
      </c>
      <c r="J187" t="s">
        <v>4911</v>
      </c>
      <c r="K187" t="s">
        <v>4924</v>
      </c>
      <c r="L187" t="s">
        <v>4937</v>
      </c>
      <c r="M187" t="s">
        <v>4944</v>
      </c>
      <c r="N187" s="11">
        <v>7895.57</v>
      </c>
      <c r="O187" t="s">
        <v>4948</v>
      </c>
      <c r="P187" t="s">
        <v>4951</v>
      </c>
      <c r="S187" t="str">
        <f t="shared" si="6"/>
        <v>Middle-Aged</v>
      </c>
      <c r="T187" t="str">
        <f t="shared" si="7"/>
        <v>Medium</v>
      </c>
      <c r="U187" t="str">
        <f t="shared" si="8"/>
        <v>Short Days</v>
      </c>
    </row>
    <row r="188" spans="1:21">
      <c r="A188" t="s">
        <v>204</v>
      </c>
      <c r="B188" s="5">
        <v>45633</v>
      </c>
      <c r="C188" t="s">
        <v>3192</v>
      </c>
      <c r="D188" t="s">
        <v>4727</v>
      </c>
      <c r="E188" t="s">
        <v>4867</v>
      </c>
      <c r="F188">
        <v>36</v>
      </c>
      <c r="G188" t="s">
        <v>4871</v>
      </c>
      <c r="H188" t="s">
        <v>4886</v>
      </c>
      <c r="I188" t="s">
        <v>4900</v>
      </c>
      <c r="J188" t="s">
        <v>4913</v>
      </c>
      <c r="K188" t="s">
        <v>4928</v>
      </c>
      <c r="L188" t="s">
        <v>4936</v>
      </c>
      <c r="M188" t="s">
        <v>4942</v>
      </c>
      <c r="N188" s="11">
        <v>1745.17</v>
      </c>
      <c r="O188" t="s">
        <v>4949</v>
      </c>
      <c r="P188" t="s">
        <v>4951</v>
      </c>
      <c r="S188" t="str">
        <f t="shared" si="6"/>
        <v>Adult</v>
      </c>
      <c r="T188" t="str">
        <f t="shared" si="7"/>
        <v>Low</v>
      </c>
      <c r="U188" t="str">
        <f t="shared" si="8"/>
        <v>Short Days</v>
      </c>
    </row>
    <row r="189" spans="1:21">
      <c r="A189" t="s">
        <v>205</v>
      </c>
      <c r="B189" s="5">
        <v>45464</v>
      </c>
      <c r="C189" t="s">
        <v>3185</v>
      </c>
      <c r="D189" t="s">
        <v>4728</v>
      </c>
      <c r="E189" t="s">
        <v>4866</v>
      </c>
      <c r="F189">
        <v>54</v>
      </c>
      <c r="G189" t="s">
        <v>4872</v>
      </c>
      <c r="H189" t="s">
        <v>4887</v>
      </c>
      <c r="I189" t="s">
        <v>4899</v>
      </c>
      <c r="J189" t="s">
        <v>4911</v>
      </c>
      <c r="K189" t="s">
        <v>4926</v>
      </c>
      <c r="L189" t="s">
        <v>4938</v>
      </c>
      <c r="M189" t="s">
        <v>4944</v>
      </c>
      <c r="N189" s="11">
        <v>7150.21</v>
      </c>
      <c r="O189" t="s">
        <v>15</v>
      </c>
      <c r="P189" t="s">
        <v>4952</v>
      </c>
      <c r="R189">
        <v>30</v>
      </c>
      <c r="S189" t="str">
        <f t="shared" si="6"/>
        <v>Middle-Aged</v>
      </c>
      <c r="T189" t="str">
        <f t="shared" si="7"/>
        <v>Medium</v>
      </c>
      <c r="U189" t="str">
        <f t="shared" si="8"/>
        <v>Short Days</v>
      </c>
    </row>
    <row r="190" spans="1:21">
      <c r="A190" t="s">
        <v>206</v>
      </c>
      <c r="B190" s="5">
        <v>45581</v>
      </c>
      <c r="C190" t="s">
        <v>3193</v>
      </c>
      <c r="D190" t="s">
        <v>4634</v>
      </c>
      <c r="E190" t="s">
        <v>4866</v>
      </c>
      <c r="F190">
        <v>53</v>
      </c>
      <c r="G190" t="s">
        <v>4883</v>
      </c>
      <c r="H190" t="s">
        <v>4892</v>
      </c>
      <c r="I190" t="s">
        <v>4902</v>
      </c>
      <c r="J190" t="s">
        <v>4916</v>
      </c>
      <c r="K190" t="s">
        <v>4925</v>
      </c>
      <c r="L190" t="s">
        <v>4941</v>
      </c>
      <c r="M190" t="s">
        <v>4942</v>
      </c>
      <c r="N190" s="11">
        <v>1475.79</v>
      </c>
      <c r="O190" t="s">
        <v>15</v>
      </c>
      <c r="P190" t="s">
        <v>4952</v>
      </c>
      <c r="R190">
        <v>7</v>
      </c>
      <c r="S190" t="str">
        <f t="shared" si="6"/>
        <v>Middle-Aged</v>
      </c>
      <c r="T190" t="str">
        <f t="shared" si="7"/>
        <v>Low</v>
      </c>
      <c r="U190" t="str">
        <f t="shared" si="8"/>
        <v>Short Days</v>
      </c>
    </row>
    <row r="191" spans="1:21">
      <c r="A191" t="s">
        <v>207</v>
      </c>
      <c r="B191" s="5">
        <v>45542</v>
      </c>
      <c r="C191" t="s">
        <v>3194</v>
      </c>
      <c r="D191" t="s">
        <v>4602</v>
      </c>
      <c r="E191" t="s">
        <v>4866</v>
      </c>
      <c r="F191">
        <v>24</v>
      </c>
      <c r="G191" t="s">
        <v>4879</v>
      </c>
      <c r="H191" t="s">
        <v>4888</v>
      </c>
      <c r="I191" t="s">
        <v>4897</v>
      </c>
      <c r="J191" t="s">
        <v>4907</v>
      </c>
      <c r="K191" t="s">
        <v>4926</v>
      </c>
      <c r="L191" t="s">
        <v>4939</v>
      </c>
      <c r="M191" t="s">
        <v>4944</v>
      </c>
      <c r="N191" s="11">
        <v>17416.740000000002</v>
      </c>
      <c r="O191" t="s">
        <v>4947</v>
      </c>
      <c r="P191" t="s">
        <v>4951</v>
      </c>
      <c r="R191">
        <v>90</v>
      </c>
      <c r="S191" t="str">
        <f t="shared" si="6"/>
        <v>Adult</v>
      </c>
      <c r="T191" t="str">
        <f t="shared" si="7"/>
        <v>High</v>
      </c>
      <c r="U191" t="str">
        <f t="shared" si="8"/>
        <v>Short Days</v>
      </c>
    </row>
    <row r="192" spans="1:21">
      <c r="A192" t="s">
        <v>208</v>
      </c>
      <c r="B192" s="5">
        <v>45541</v>
      </c>
      <c r="C192" t="s">
        <v>3195</v>
      </c>
      <c r="D192" t="s">
        <v>4685</v>
      </c>
      <c r="E192" t="s">
        <v>4866</v>
      </c>
      <c r="F192">
        <v>31</v>
      </c>
      <c r="G192" t="s">
        <v>4878</v>
      </c>
      <c r="H192" t="s">
        <v>4889</v>
      </c>
      <c r="I192" t="s">
        <v>4901</v>
      </c>
      <c r="J192" t="s">
        <v>4914</v>
      </c>
      <c r="K192" t="s">
        <v>4932</v>
      </c>
      <c r="L192" t="s">
        <v>4935</v>
      </c>
      <c r="M192" t="s">
        <v>4942</v>
      </c>
      <c r="N192" s="11">
        <v>12219.86</v>
      </c>
      <c r="O192" t="s">
        <v>4947</v>
      </c>
      <c r="P192" t="s">
        <v>4951</v>
      </c>
      <c r="R192">
        <v>30</v>
      </c>
      <c r="S192" t="str">
        <f t="shared" si="6"/>
        <v>Adult</v>
      </c>
      <c r="T192" t="str">
        <f t="shared" si="7"/>
        <v>High</v>
      </c>
      <c r="U192" t="str">
        <f t="shared" si="8"/>
        <v>Short Days</v>
      </c>
    </row>
    <row r="193" spans="1:21">
      <c r="A193" t="s">
        <v>209</v>
      </c>
      <c r="B193" s="5">
        <v>45828</v>
      </c>
      <c r="C193" t="s">
        <v>3196</v>
      </c>
      <c r="D193" t="s">
        <v>4729</v>
      </c>
      <c r="E193" t="s">
        <v>4866</v>
      </c>
      <c r="F193">
        <v>33</v>
      </c>
      <c r="G193" t="s">
        <v>4871</v>
      </c>
      <c r="H193" t="s">
        <v>4886</v>
      </c>
      <c r="I193" t="s">
        <v>4899</v>
      </c>
      <c r="J193" t="s">
        <v>4911</v>
      </c>
      <c r="K193" t="s">
        <v>4929</v>
      </c>
      <c r="L193" t="s">
        <v>4934</v>
      </c>
      <c r="M193" t="s">
        <v>4942</v>
      </c>
      <c r="N193" s="11">
        <v>11994.84</v>
      </c>
      <c r="O193" t="s">
        <v>4947</v>
      </c>
      <c r="P193" t="s">
        <v>4951</v>
      </c>
      <c r="R193">
        <v>30</v>
      </c>
      <c r="S193" t="str">
        <f t="shared" si="6"/>
        <v>Adult</v>
      </c>
      <c r="T193" t="str">
        <f t="shared" si="7"/>
        <v>High</v>
      </c>
      <c r="U193" t="str">
        <f t="shared" si="8"/>
        <v>Short Days</v>
      </c>
    </row>
    <row r="194" spans="1:21">
      <c r="A194" t="s">
        <v>210</v>
      </c>
      <c r="B194" s="5">
        <v>45567</v>
      </c>
      <c r="C194" t="s">
        <v>3197</v>
      </c>
      <c r="D194" t="s">
        <v>4730</v>
      </c>
      <c r="E194" t="s">
        <v>4867</v>
      </c>
      <c r="F194">
        <v>44</v>
      </c>
      <c r="G194" t="s">
        <v>4878</v>
      </c>
      <c r="H194" t="s">
        <v>4889</v>
      </c>
      <c r="I194" t="s">
        <v>4898</v>
      </c>
      <c r="J194" t="s">
        <v>4918</v>
      </c>
      <c r="K194" t="s">
        <v>4928</v>
      </c>
      <c r="L194" t="s">
        <v>4937</v>
      </c>
      <c r="M194" t="s">
        <v>4942</v>
      </c>
      <c r="N194" s="11">
        <v>2743.01</v>
      </c>
      <c r="O194" t="s">
        <v>4946</v>
      </c>
      <c r="P194" t="s">
        <v>4951</v>
      </c>
      <c r="R194">
        <v>30</v>
      </c>
      <c r="S194" t="str">
        <f t="shared" si="6"/>
        <v>Middle-Aged</v>
      </c>
      <c r="T194" t="str">
        <f t="shared" si="7"/>
        <v>Low</v>
      </c>
      <c r="U194" t="str">
        <f t="shared" si="8"/>
        <v>Short Days</v>
      </c>
    </row>
    <row r="195" spans="1:21">
      <c r="A195" t="s">
        <v>211</v>
      </c>
      <c r="B195" s="5">
        <v>45901</v>
      </c>
      <c r="C195" t="s">
        <v>3198</v>
      </c>
      <c r="D195" t="s">
        <v>4719</v>
      </c>
      <c r="E195" t="s">
        <v>4868</v>
      </c>
      <c r="F195">
        <v>29</v>
      </c>
      <c r="G195" t="s">
        <v>4872</v>
      </c>
      <c r="H195" t="s">
        <v>4887</v>
      </c>
      <c r="I195" t="s">
        <v>4895</v>
      </c>
      <c r="J195" t="s">
        <v>4915</v>
      </c>
      <c r="K195" t="s">
        <v>4931</v>
      </c>
      <c r="L195" t="s">
        <v>4939</v>
      </c>
      <c r="M195" t="s">
        <v>4942</v>
      </c>
      <c r="N195" s="11">
        <v>628.9</v>
      </c>
      <c r="O195" t="s">
        <v>4946</v>
      </c>
      <c r="P195" t="s">
        <v>4951</v>
      </c>
      <c r="R195">
        <v>90</v>
      </c>
      <c r="S195" t="str">
        <f t="shared" ref="S195:S258" si="9">IF(F195&lt;18,"Child",IF(F195&lt;=40,"Adult",IF(F195&lt;=60,"Middle-Aged",IF(F195,"Senior"))))</f>
        <v>Adult</v>
      </c>
      <c r="T195" t="str">
        <f t="shared" ref="T195:T258" si="10">IF(N195&lt;=5000,"Low",IF(N195&lt;=10000,"Medium","High"))</f>
        <v>Low</v>
      </c>
      <c r="U195" t="str">
        <f t="shared" ref="U195:U258" si="11">IF(Q195&lt;=5,"Short Days","Long Days")</f>
        <v>Short Days</v>
      </c>
    </row>
    <row r="196" spans="1:21">
      <c r="A196" t="s">
        <v>212</v>
      </c>
      <c r="B196" s="5">
        <v>45824</v>
      </c>
      <c r="C196" t="s">
        <v>3199</v>
      </c>
      <c r="D196" t="s">
        <v>4731</v>
      </c>
      <c r="E196" t="s">
        <v>4866</v>
      </c>
      <c r="F196">
        <v>32</v>
      </c>
      <c r="G196" t="s">
        <v>4877</v>
      </c>
      <c r="H196" t="s">
        <v>4888</v>
      </c>
      <c r="I196" t="s">
        <v>4893</v>
      </c>
      <c r="J196" t="s">
        <v>4903</v>
      </c>
      <c r="K196" t="s">
        <v>4929</v>
      </c>
      <c r="L196" t="s">
        <v>4935</v>
      </c>
      <c r="M196" t="s">
        <v>4942</v>
      </c>
      <c r="N196" s="11">
        <v>13926.15</v>
      </c>
      <c r="O196" t="s">
        <v>15</v>
      </c>
      <c r="P196" t="s">
        <v>4952</v>
      </c>
      <c r="R196">
        <v>90</v>
      </c>
      <c r="S196" t="str">
        <f t="shared" si="9"/>
        <v>Adult</v>
      </c>
      <c r="T196" t="str">
        <f t="shared" si="10"/>
        <v>High</v>
      </c>
      <c r="U196" t="str">
        <f t="shared" si="11"/>
        <v>Short Days</v>
      </c>
    </row>
    <row r="197" spans="1:21">
      <c r="A197" t="s">
        <v>213</v>
      </c>
      <c r="B197" s="5">
        <v>45415</v>
      </c>
      <c r="C197" t="s">
        <v>3200</v>
      </c>
      <c r="D197" t="s">
        <v>4732</v>
      </c>
      <c r="E197" t="s">
        <v>4867</v>
      </c>
      <c r="F197">
        <v>20</v>
      </c>
      <c r="G197" t="s">
        <v>4872</v>
      </c>
      <c r="H197" t="s">
        <v>4887</v>
      </c>
      <c r="I197" t="s">
        <v>4897</v>
      </c>
      <c r="J197" t="s">
        <v>4922</v>
      </c>
      <c r="K197" t="s">
        <v>4930</v>
      </c>
      <c r="L197" t="s">
        <v>4935</v>
      </c>
      <c r="M197" t="s">
        <v>4944</v>
      </c>
      <c r="N197" s="11">
        <v>5773.29</v>
      </c>
      <c r="O197" t="s">
        <v>4947</v>
      </c>
      <c r="P197" t="s">
        <v>4951</v>
      </c>
      <c r="R197">
        <v>90</v>
      </c>
      <c r="S197" t="str">
        <f t="shared" si="9"/>
        <v>Adult</v>
      </c>
      <c r="T197" t="str">
        <f t="shared" si="10"/>
        <v>Medium</v>
      </c>
      <c r="U197" t="str">
        <f t="shared" si="11"/>
        <v>Short Days</v>
      </c>
    </row>
    <row r="198" spans="1:21">
      <c r="A198" t="s">
        <v>214</v>
      </c>
      <c r="B198" s="5">
        <v>45474</v>
      </c>
      <c r="C198" t="s">
        <v>3201</v>
      </c>
      <c r="D198" t="s">
        <v>4634</v>
      </c>
      <c r="E198" t="s">
        <v>4866</v>
      </c>
      <c r="F198">
        <v>41</v>
      </c>
      <c r="G198" t="s">
        <v>4875</v>
      </c>
      <c r="H198" t="s">
        <v>4889</v>
      </c>
      <c r="I198" t="s">
        <v>4894</v>
      </c>
      <c r="J198" t="s">
        <v>4910</v>
      </c>
      <c r="K198" t="s">
        <v>4928</v>
      </c>
      <c r="L198" t="s">
        <v>4934</v>
      </c>
      <c r="M198" t="s">
        <v>4942</v>
      </c>
      <c r="N198" s="11">
        <v>13134.09</v>
      </c>
      <c r="O198" t="s">
        <v>4950</v>
      </c>
      <c r="P198" t="s">
        <v>4951</v>
      </c>
      <c r="R198">
        <v>14</v>
      </c>
      <c r="S198" t="str">
        <f t="shared" si="9"/>
        <v>Middle-Aged</v>
      </c>
      <c r="T198" t="str">
        <f t="shared" si="10"/>
        <v>High</v>
      </c>
      <c r="U198" t="str">
        <f t="shared" si="11"/>
        <v>Short Days</v>
      </c>
    </row>
    <row r="199" spans="1:21">
      <c r="A199" t="s">
        <v>215</v>
      </c>
      <c r="B199" s="5">
        <v>45942</v>
      </c>
      <c r="C199" t="s">
        <v>3202</v>
      </c>
      <c r="D199" t="s">
        <v>4601</v>
      </c>
      <c r="E199" t="s">
        <v>4866</v>
      </c>
      <c r="F199">
        <v>15</v>
      </c>
      <c r="G199" t="s">
        <v>4869</v>
      </c>
      <c r="H199" t="s">
        <v>4884</v>
      </c>
      <c r="I199" t="s">
        <v>4895</v>
      </c>
      <c r="J199" t="s">
        <v>4915</v>
      </c>
      <c r="K199" t="s">
        <v>4924</v>
      </c>
      <c r="L199" t="s">
        <v>4936</v>
      </c>
      <c r="M199" t="s">
        <v>4942</v>
      </c>
      <c r="N199" s="11">
        <v>912.39</v>
      </c>
      <c r="O199" t="s">
        <v>4947</v>
      </c>
      <c r="P199" t="s">
        <v>4951</v>
      </c>
      <c r="S199" t="str">
        <f t="shared" si="9"/>
        <v>Child</v>
      </c>
      <c r="T199" t="str">
        <f t="shared" si="10"/>
        <v>Low</v>
      </c>
      <c r="U199" t="str">
        <f t="shared" si="11"/>
        <v>Short Days</v>
      </c>
    </row>
    <row r="200" spans="1:21">
      <c r="A200" t="s">
        <v>216</v>
      </c>
      <c r="B200" s="5">
        <v>45658</v>
      </c>
      <c r="C200" t="s">
        <v>3203</v>
      </c>
      <c r="D200" t="s">
        <v>4654</v>
      </c>
      <c r="E200" t="s">
        <v>4867</v>
      </c>
      <c r="F200">
        <v>16</v>
      </c>
      <c r="G200" t="s">
        <v>4878</v>
      </c>
      <c r="H200" t="s">
        <v>4889</v>
      </c>
      <c r="I200" t="s">
        <v>4896</v>
      </c>
      <c r="J200" t="s">
        <v>4906</v>
      </c>
      <c r="K200" t="s">
        <v>4927</v>
      </c>
      <c r="L200" t="s">
        <v>4939</v>
      </c>
      <c r="M200" t="s">
        <v>4942</v>
      </c>
      <c r="N200" s="11">
        <v>5121.68</v>
      </c>
      <c r="O200" t="s">
        <v>4948</v>
      </c>
      <c r="P200" t="s">
        <v>4951</v>
      </c>
      <c r="S200" t="str">
        <f t="shared" si="9"/>
        <v>Child</v>
      </c>
      <c r="T200" t="str">
        <f t="shared" si="10"/>
        <v>Medium</v>
      </c>
      <c r="U200" t="str">
        <f t="shared" si="11"/>
        <v>Short Days</v>
      </c>
    </row>
    <row r="201" spans="1:21">
      <c r="A201" t="s">
        <v>217</v>
      </c>
      <c r="B201" s="5">
        <v>45812</v>
      </c>
      <c r="C201" t="s">
        <v>3204</v>
      </c>
      <c r="D201" t="s">
        <v>4684</v>
      </c>
      <c r="E201" t="s">
        <v>4867</v>
      </c>
      <c r="F201">
        <v>30</v>
      </c>
      <c r="G201" t="s">
        <v>4883</v>
      </c>
      <c r="H201" t="s">
        <v>4892</v>
      </c>
      <c r="I201" t="s">
        <v>4899</v>
      </c>
      <c r="J201" t="s">
        <v>4912</v>
      </c>
      <c r="K201" t="s">
        <v>4926</v>
      </c>
      <c r="L201" t="s">
        <v>4934</v>
      </c>
      <c r="M201" t="s">
        <v>4942</v>
      </c>
      <c r="N201" s="11">
        <v>3383.28</v>
      </c>
      <c r="O201" t="s">
        <v>4949</v>
      </c>
      <c r="P201" t="s">
        <v>4951</v>
      </c>
      <c r="R201">
        <v>30</v>
      </c>
      <c r="S201" t="str">
        <f t="shared" si="9"/>
        <v>Adult</v>
      </c>
      <c r="T201" t="str">
        <f t="shared" si="10"/>
        <v>Low</v>
      </c>
      <c r="U201" t="str">
        <f t="shared" si="11"/>
        <v>Short Days</v>
      </c>
    </row>
    <row r="202" spans="1:21">
      <c r="A202" t="s">
        <v>218</v>
      </c>
      <c r="B202" s="5">
        <v>45614</v>
      </c>
      <c r="C202" t="s">
        <v>3205</v>
      </c>
      <c r="D202" t="s">
        <v>4709</v>
      </c>
      <c r="E202" t="s">
        <v>4866</v>
      </c>
      <c r="F202">
        <v>27</v>
      </c>
      <c r="G202" t="s">
        <v>4874</v>
      </c>
      <c r="H202" t="s">
        <v>4886</v>
      </c>
      <c r="I202" t="s">
        <v>4894</v>
      </c>
      <c r="J202" t="s">
        <v>4904</v>
      </c>
      <c r="K202" t="s">
        <v>4927</v>
      </c>
      <c r="L202" t="s">
        <v>4938</v>
      </c>
      <c r="M202" t="s">
        <v>4942</v>
      </c>
      <c r="N202" s="11">
        <v>10988.56</v>
      </c>
      <c r="O202" t="s">
        <v>4946</v>
      </c>
      <c r="P202" t="s">
        <v>4951</v>
      </c>
      <c r="R202">
        <v>14</v>
      </c>
      <c r="S202" t="str">
        <f t="shared" si="9"/>
        <v>Adult</v>
      </c>
      <c r="T202" t="str">
        <f t="shared" si="10"/>
        <v>High</v>
      </c>
      <c r="U202" t="str">
        <f t="shared" si="11"/>
        <v>Short Days</v>
      </c>
    </row>
    <row r="203" spans="1:21">
      <c r="A203" t="s">
        <v>219</v>
      </c>
      <c r="B203" s="5">
        <v>45624</v>
      </c>
      <c r="C203" t="s">
        <v>3206</v>
      </c>
      <c r="D203" t="s">
        <v>4694</v>
      </c>
      <c r="E203" t="s">
        <v>4867</v>
      </c>
      <c r="F203">
        <v>36</v>
      </c>
      <c r="G203" t="s">
        <v>4870</v>
      </c>
      <c r="H203" t="s">
        <v>4885</v>
      </c>
      <c r="I203" t="s">
        <v>4902</v>
      </c>
      <c r="J203" t="s">
        <v>4916</v>
      </c>
      <c r="K203" t="s">
        <v>4929</v>
      </c>
      <c r="L203" t="s">
        <v>4940</v>
      </c>
      <c r="M203" t="s">
        <v>4944</v>
      </c>
      <c r="N203" s="11">
        <v>11025.63</v>
      </c>
      <c r="O203" t="s">
        <v>4948</v>
      </c>
      <c r="P203" t="s">
        <v>4951</v>
      </c>
      <c r="S203" t="str">
        <f t="shared" si="9"/>
        <v>Adult</v>
      </c>
      <c r="T203" t="str">
        <f t="shared" si="10"/>
        <v>High</v>
      </c>
      <c r="U203" t="str">
        <f t="shared" si="11"/>
        <v>Short Days</v>
      </c>
    </row>
    <row r="204" spans="1:21">
      <c r="A204" t="s">
        <v>220</v>
      </c>
      <c r="B204" s="5">
        <v>45357</v>
      </c>
      <c r="C204" t="s">
        <v>3207</v>
      </c>
      <c r="D204" t="s">
        <v>4587</v>
      </c>
      <c r="E204" t="s">
        <v>4867</v>
      </c>
      <c r="F204">
        <v>59</v>
      </c>
      <c r="G204" t="s">
        <v>4883</v>
      </c>
      <c r="H204" t="s">
        <v>4892</v>
      </c>
      <c r="I204" t="s">
        <v>4893</v>
      </c>
      <c r="J204" t="s">
        <v>4917</v>
      </c>
      <c r="K204" t="s">
        <v>4927</v>
      </c>
      <c r="L204" t="s">
        <v>4940</v>
      </c>
      <c r="M204" t="s">
        <v>4945</v>
      </c>
      <c r="N204" s="11">
        <v>6586.67</v>
      </c>
      <c r="O204" t="s">
        <v>4948</v>
      </c>
      <c r="P204" t="s">
        <v>4951</v>
      </c>
      <c r="Q204">
        <v>6</v>
      </c>
      <c r="S204" t="str">
        <f t="shared" si="9"/>
        <v>Middle-Aged</v>
      </c>
      <c r="T204" t="str">
        <f t="shared" si="10"/>
        <v>Medium</v>
      </c>
      <c r="U204" t="str">
        <f t="shared" si="11"/>
        <v>Long Days</v>
      </c>
    </row>
    <row r="205" spans="1:21">
      <c r="A205" t="s">
        <v>221</v>
      </c>
      <c r="B205" s="5">
        <v>45460</v>
      </c>
      <c r="C205" t="s">
        <v>3208</v>
      </c>
      <c r="D205" t="s">
        <v>4587</v>
      </c>
      <c r="E205" t="s">
        <v>4866</v>
      </c>
      <c r="F205">
        <v>44</v>
      </c>
      <c r="G205" t="s">
        <v>4870</v>
      </c>
      <c r="H205" t="s">
        <v>4885</v>
      </c>
      <c r="I205" t="s">
        <v>4898</v>
      </c>
      <c r="J205" t="s">
        <v>4923</v>
      </c>
      <c r="K205" t="s">
        <v>4931</v>
      </c>
      <c r="L205" t="s">
        <v>4938</v>
      </c>
      <c r="M205" t="s">
        <v>4943</v>
      </c>
      <c r="N205" s="11">
        <v>5624.3</v>
      </c>
      <c r="O205" t="s">
        <v>15</v>
      </c>
      <c r="P205" t="s">
        <v>4952</v>
      </c>
      <c r="R205">
        <v>14</v>
      </c>
      <c r="S205" t="str">
        <f t="shared" si="9"/>
        <v>Middle-Aged</v>
      </c>
      <c r="T205" t="str">
        <f t="shared" si="10"/>
        <v>Medium</v>
      </c>
      <c r="U205" t="str">
        <f t="shared" si="11"/>
        <v>Short Days</v>
      </c>
    </row>
    <row r="206" spans="1:21">
      <c r="A206" t="s">
        <v>222</v>
      </c>
      <c r="B206" s="5">
        <v>45805</v>
      </c>
      <c r="C206" t="s">
        <v>3209</v>
      </c>
      <c r="D206" t="s">
        <v>4717</v>
      </c>
      <c r="E206" t="s">
        <v>4867</v>
      </c>
      <c r="F206">
        <v>43</v>
      </c>
      <c r="G206" t="s">
        <v>4883</v>
      </c>
      <c r="H206" t="s">
        <v>4892</v>
      </c>
      <c r="I206" t="s">
        <v>4896</v>
      </c>
      <c r="J206" t="s">
        <v>4908</v>
      </c>
      <c r="K206" t="s">
        <v>4928</v>
      </c>
      <c r="L206" t="s">
        <v>4935</v>
      </c>
      <c r="M206" t="s">
        <v>4942</v>
      </c>
      <c r="N206" s="11">
        <v>468.46</v>
      </c>
      <c r="O206" t="s">
        <v>4946</v>
      </c>
      <c r="P206" t="s">
        <v>4951</v>
      </c>
      <c r="S206" t="str">
        <f t="shared" si="9"/>
        <v>Middle-Aged</v>
      </c>
      <c r="T206" t="str">
        <f t="shared" si="10"/>
        <v>Low</v>
      </c>
      <c r="U206" t="str">
        <f t="shared" si="11"/>
        <v>Short Days</v>
      </c>
    </row>
    <row r="207" spans="1:21">
      <c r="A207" t="s">
        <v>223</v>
      </c>
      <c r="B207" s="5">
        <v>45656</v>
      </c>
      <c r="C207" t="s">
        <v>3206</v>
      </c>
      <c r="D207" t="s">
        <v>4733</v>
      </c>
      <c r="E207" t="s">
        <v>4867</v>
      </c>
      <c r="F207">
        <f>AVERAGE(F200,F206)</f>
        <v>29.5</v>
      </c>
      <c r="G207" t="s">
        <v>4881</v>
      </c>
      <c r="H207" t="s">
        <v>4888</v>
      </c>
      <c r="I207" t="s">
        <v>4899</v>
      </c>
      <c r="J207" t="s">
        <v>4912</v>
      </c>
      <c r="K207" t="s">
        <v>4953</v>
      </c>
      <c r="L207" t="s">
        <v>4934</v>
      </c>
      <c r="M207" t="s">
        <v>4944</v>
      </c>
      <c r="N207" s="11">
        <v>6142.49</v>
      </c>
      <c r="O207" t="s">
        <v>15</v>
      </c>
      <c r="P207" t="s">
        <v>4952</v>
      </c>
      <c r="S207" t="str">
        <f t="shared" si="9"/>
        <v>Adult</v>
      </c>
      <c r="T207" t="str">
        <f t="shared" si="10"/>
        <v>Medium</v>
      </c>
      <c r="U207" t="str">
        <f t="shared" si="11"/>
        <v>Short Days</v>
      </c>
    </row>
    <row r="208" spans="1:21">
      <c r="A208" t="s">
        <v>224</v>
      </c>
      <c r="B208" s="5">
        <v>45572</v>
      </c>
      <c r="C208" t="s">
        <v>3210</v>
      </c>
      <c r="D208" t="s">
        <v>4690</v>
      </c>
      <c r="E208" t="s">
        <v>4866</v>
      </c>
      <c r="F208">
        <v>39</v>
      </c>
      <c r="G208" t="s">
        <v>4870</v>
      </c>
      <c r="H208" t="s">
        <v>4885</v>
      </c>
      <c r="I208" t="s">
        <v>4898</v>
      </c>
      <c r="J208" t="s">
        <v>4923</v>
      </c>
      <c r="K208" t="s">
        <v>4929</v>
      </c>
      <c r="L208" t="s">
        <v>4934</v>
      </c>
      <c r="M208" t="s">
        <v>4942</v>
      </c>
      <c r="N208" s="11">
        <v>580.28</v>
      </c>
      <c r="O208" t="s">
        <v>15</v>
      </c>
      <c r="P208" t="s">
        <v>4952</v>
      </c>
      <c r="R208">
        <v>90</v>
      </c>
      <c r="S208" t="str">
        <f t="shared" si="9"/>
        <v>Adult</v>
      </c>
      <c r="T208" t="str">
        <f t="shared" si="10"/>
        <v>Low</v>
      </c>
      <c r="U208" t="str">
        <f t="shared" si="11"/>
        <v>Short Days</v>
      </c>
    </row>
    <row r="209" spans="1:21">
      <c r="A209" t="s">
        <v>225</v>
      </c>
      <c r="B209" s="5">
        <v>45658</v>
      </c>
      <c r="C209" t="s">
        <v>3211</v>
      </c>
      <c r="D209" t="s">
        <v>4600</v>
      </c>
      <c r="E209" t="s">
        <v>4867</v>
      </c>
      <c r="F209">
        <v>33</v>
      </c>
      <c r="G209" t="s">
        <v>4874</v>
      </c>
      <c r="H209" t="s">
        <v>4886</v>
      </c>
      <c r="I209" t="s">
        <v>4894</v>
      </c>
      <c r="J209" t="s">
        <v>4904</v>
      </c>
      <c r="K209" t="s">
        <v>4925</v>
      </c>
      <c r="L209" t="s">
        <v>4934</v>
      </c>
      <c r="M209" t="s">
        <v>4942</v>
      </c>
      <c r="N209" s="11">
        <v>9558.5300000000007</v>
      </c>
      <c r="O209" t="s">
        <v>15</v>
      </c>
      <c r="P209" t="s">
        <v>4952</v>
      </c>
      <c r="R209">
        <v>30</v>
      </c>
      <c r="S209" t="str">
        <f t="shared" si="9"/>
        <v>Adult</v>
      </c>
      <c r="T209" t="str">
        <f t="shared" si="10"/>
        <v>Medium</v>
      </c>
      <c r="U209" t="str">
        <f t="shared" si="11"/>
        <v>Short Days</v>
      </c>
    </row>
    <row r="210" spans="1:21">
      <c r="A210" t="s">
        <v>226</v>
      </c>
      <c r="B210" s="5">
        <v>45809</v>
      </c>
      <c r="C210" t="s">
        <v>3212</v>
      </c>
      <c r="D210" t="s">
        <v>4734</v>
      </c>
      <c r="E210" t="s">
        <v>4868</v>
      </c>
      <c r="F210">
        <v>33</v>
      </c>
      <c r="G210" t="s">
        <v>4878</v>
      </c>
      <c r="H210" t="s">
        <v>4889</v>
      </c>
      <c r="I210" t="s">
        <v>4895</v>
      </c>
      <c r="J210" t="s">
        <v>4905</v>
      </c>
      <c r="K210" t="s">
        <v>4925</v>
      </c>
      <c r="L210" t="s">
        <v>4941</v>
      </c>
      <c r="M210" t="s">
        <v>4944</v>
      </c>
      <c r="N210" s="11">
        <v>5927.93</v>
      </c>
      <c r="O210" t="s">
        <v>15</v>
      </c>
      <c r="P210" t="s">
        <v>4952</v>
      </c>
      <c r="R210">
        <v>7</v>
      </c>
      <c r="S210" t="str">
        <f t="shared" si="9"/>
        <v>Adult</v>
      </c>
      <c r="T210" t="str">
        <f t="shared" si="10"/>
        <v>Medium</v>
      </c>
      <c r="U210" t="str">
        <f t="shared" si="11"/>
        <v>Short Days</v>
      </c>
    </row>
    <row r="211" spans="1:21">
      <c r="A211" t="s">
        <v>227</v>
      </c>
      <c r="B211" s="5">
        <v>45945</v>
      </c>
      <c r="C211" t="s">
        <v>3213</v>
      </c>
      <c r="D211" t="s">
        <v>4614</v>
      </c>
      <c r="E211" t="s">
        <v>4866</v>
      </c>
      <c r="F211">
        <v>15</v>
      </c>
      <c r="G211" t="s">
        <v>4870</v>
      </c>
      <c r="H211" t="s">
        <v>4885</v>
      </c>
      <c r="I211" t="s">
        <v>4897</v>
      </c>
      <c r="J211" t="s">
        <v>4922</v>
      </c>
      <c r="K211" t="s">
        <v>4924</v>
      </c>
      <c r="L211" t="s">
        <v>4935</v>
      </c>
      <c r="M211" t="s">
        <v>4942</v>
      </c>
      <c r="N211" s="11">
        <v>10821.67</v>
      </c>
      <c r="O211" t="s">
        <v>4947</v>
      </c>
      <c r="P211" t="s">
        <v>4951</v>
      </c>
      <c r="R211">
        <v>7</v>
      </c>
      <c r="S211" t="str">
        <f t="shared" si="9"/>
        <v>Child</v>
      </c>
      <c r="T211" t="str">
        <f t="shared" si="10"/>
        <v>High</v>
      </c>
      <c r="U211" t="str">
        <f t="shared" si="11"/>
        <v>Short Days</v>
      </c>
    </row>
    <row r="212" spans="1:21">
      <c r="A212" t="s">
        <v>228</v>
      </c>
      <c r="B212" s="5">
        <v>45922</v>
      </c>
      <c r="C212" t="s">
        <v>3214</v>
      </c>
      <c r="D212" t="s">
        <v>4711</v>
      </c>
      <c r="E212" t="s">
        <v>4867</v>
      </c>
      <c r="F212">
        <v>47</v>
      </c>
      <c r="G212" t="s">
        <v>4869</v>
      </c>
      <c r="H212" t="s">
        <v>4884</v>
      </c>
      <c r="I212" t="s">
        <v>4895</v>
      </c>
      <c r="J212" t="s">
        <v>4915</v>
      </c>
      <c r="K212" t="s">
        <v>4926</v>
      </c>
      <c r="L212" t="s">
        <v>4934</v>
      </c>
      <c r="M212" t="s">
        <v>4942</v>
      </c>
      <c r="N212" s="11">
        <v>10363.23</v>
      </c>
      <c r="O212" t="s">
        <v>4946</v>
      </c>
      <c r="P212" t="s">
        <v>4951</v>
      </c>
      <c r="R212">
        <v>30</v>
      </c>
      <c r="S212" t="str">
        <f t="shared" si="9"/>
        <v>Middle-Aged</v>
      </c>
      <c r="T212" t="str">
        <f t="shared" si="10"/>
        <v>High</v>
      </c>
      <c r="U212" t="str">
        <f t="shared" si="11"/>
        <v>Short Days</v>
      </c>
    </row>
    <row r="213" spans="1:21">
      <c r="A213" t="s">
        <v>229</v>
      </c>
      <c r="B213" s="5">
        <v>45366</v>
      </c>
      <c r="C213" t="s">
        <v>3215</v>
      </c>
      <c r="D213" t="s">
        <v>4676</v>
      </c>
      <c r="E213" t="s">
        <v>4866</v>
      </c>
      <c r="F213">
        <v>47</v>
      </c>
      <c r="G213" t="s">
        <v>4878</v>
      </c>
      <c r="H213" t="s">
        <v>4889</v>
      </c>
      <c r="I213" t="s">
        <v>4900</v>
      </c>
      <c r="J213" t="s">
        <v>4913</v>
      </c>
      <c r="K213" t="s">
        <v>4929</v>
      </c>
      <c r="L213" t="s">
        <v>4935</v>
      </c>
      <c r="M213" t="s">
        <v>4942</v>
      </c>
      <c r="N213" s="11">
        <v>5158.37</v>
      </c>
      <c r="O213" t="s">
        <v>15</v>
      </c>
      <c r="P213" t="s">
        <v>4952</v>
      </c>
      <c r="S213" t="str">
        <f t="shared" si="9"/>
        <v>Middle-Aged</v>
      </c>
      <c r="T213" t="str">
        <f t="shared" si="10"/>
        <v>Medium</v>
      </c>
      <c r="U213" t="str">
        <f t="shared" si="11"/>
        <v>Short Days</v>
      </c>
    </row>
    <row r="214" spans="1:21">
      <c r="A214" t="s">
        <v>230</v>
      </c>
      <c r="B214" s="5">
        <v>45529</v>
      </c>
      <c r="C214" t="s">
        <v>3216</v>
      </c>
      <c r="D214" t="s">
        <v>4735</v>
      </c>
      <c r="E214" t="s">
        <v>4866</v>
      </c>
      <c r="F214">
        <v>49</v>
      </c>
      <c r="G214" t="s">
        <v>4871</v>
      </c>
      <c r="H214" t="s">
        <v>4886</v>
      </c>
      <c r="I214" t="s">
        <v>4902</v>
      </c>
      <c r="J214" t="s">
        <v>4920</v>
      </c>
      <c r="K214" t="s">
        <v>4924</v>
      </c>
      <c r="L214" t="s">
        <v>4940</v>
      </c>
      <c r="M214" t="s">
        <v>4942</v>
      </c>
      <c r="N214" s="11">
        <v>2934.47</v>
      </c>
      <c r="O214" t="s">
        <v>4946</v>
      </c>
      <c r="P214" t="s">
        <v>4951</v>
      </c>
      <c r="R214">
        <v>90</v>
      </c>
      <c r="S214" t="str">
        <f t="shared" si="9"/>
        <v>Middle-Aged</v>
      </c>
      <c r="T214" t="str">
        <f t="shared" si="10"/>
        <v>Low</v>
      </c>
      <c r="U214" t="str">
        <f t="shared" si="11"/>
        <v>Short Days</v>
      </c>
    </row>
    <row r="215" spans="1:21">
      <c r="A215" t="s">
        <v>231</v>
      </c>
      <c r="B215" s="5">
        <v>45904</v>
      </c>
      <c r="C215" t="s">
        <v>3217</v>
      </c>
      <c r="D215" t="s">
        <v>4736</v>
      </c>
      <c r="E215" t="s">
        <v>4867</v>
      </c>
      <c r="F215">
        <v>7</v>
      </c>
      <c r="G215" t="s">
        <v>4883</v>
      </c>
      <c r="H215" t="s">
        <v>4892</v>
      </c>
      <c r="I215" t="s">
        <v>4894</v>
      </c>
      <c r="J215" t="s">
        <v>4910</v>
      </c>
      <c r="K215" t="s">
        <v>4930</v>
      </c>
      <c r="L215" t="s">
        <v>4936</v>
      </c>
      <c r="M215" t="s">
        <v>4942</v>
      </c>
      <c r="N215" s="11">
        <v>6600.24</v>
      </c>
      <c r="O215" t="s">
        <v>15</v>
      </c>
      <c r="P215" t="s">
        <v>4952</v>
      </c>
      <c r="R215">
        <v>30</v>
      </c>
      <c r="S215" t="str">
        <f t="shared" si="9"/>
        <v>Child</v>
      </c>
      <c r="T215" t="str">
        <f t="shared" si="10"/>
        <v>Medium</v>
      </c>
      <c r="U215" t="str">
        <f t="shared" si="11"/>
        <v>Short Days</v>
      </c>
    </row>
    <row r="216" spans="1:21">
      <c r="A216" t="s">
        <v>232</v>
      </c>
      <c r="B216" s="5">
        <v>45750</v>
      </c>
      <c r="C216" t="s">
        <v>3218</v>
      </c>
      <c r="D216" t="s">
        <v>4737</v>
      </c>
      <c r="E216" t="s">
        <v>4866</v>
      </c>
      <c r="F216">
        <v>34</v>
      </c>
      <c r="G216" t="s">
        <v>4879</v>
      </c>
      <c r="H216" t="s">
        <v>4888</v>
      </c>
      <c r="I216" t="s">
        <v>4895</v>
      </c>
      <c r="J216" t="s">
        <v>4915</v>
      </c>
      <c r="K216" t="s">
        <v>4928</v>
      </c>
      <c r="L216" t="s">
        <v>4935</v>
      </c>
      <c r="M216" t="s">
        <v>4942</v>
      </c>
      <c r="N216" s="11">
        <v>16872.07</v>
      </c>
      <c r="O216" t="s">
        <v>15</v>
      </c>
      <c r="P216" t="s">
        <v>4952</v>
      </c>
      <c r="S216" t="str">
        <f t="shared" si="9"/>
        <v>Adult</v>
      </c>
      <c r="T216" t="str">
        <f t="shared" si="10"/>
        <v>High</v>
      </c>
      <c r="U216" t="str">
        <f t="shared" si="11"/>
        <v>Short Days</v>
      </c>
    </row>
    <row r="217" spans="1:21">
      <c r="A217" t="s">
        <v>233</v>
      </c>
      <c r="B217" s="5">
        <v>45333</v>
      </c>
      <c r="C217" t="s">
        <v>3219</v>
      </c>
      <c r="D217" t="s">
        <v>4738</v>
      </c>
      <c r="E217" t="s">
        <v>4868</v>
      </c>
      <c r="F217">
        <v>47</v>
      </c>
      <c r="G217" t="s">
        <v>4874</v>
      </c>
      <c r="H217" t="s">
        <v>4886</v>
      </c>
      <c r="I217" t="s">
        <v>4894</v>
      </c>
      <c r="J217" t="s">
        <v>4904</v>
      </c>
      <c r="K217" t="s">
        <v>4931</v>
      </c>
      <c r="L217" t="s">
        <v>4939</v>
      </c>
      <c r="M217" t="s">
        <v>4945</v>
      </c>
      <c r="N217" s="11">
        <v>6136.44</v>
      </c>
      <c r="O217" t="s">
        <v>4947</v>
      </c>
      <c r="P217" t="s">
        <v>4951</v>
      </c>
      <c r="Q217">
        <v>5</v>
      </c>
      <c r="S217" t="str">
        <f t="shared" si="9"/>
        <v>Middle-Aged</v>
      </c>
      <c r="T217" t="str">
        <f t="shared" si="10"/>
        <v>Medium</v>
      </c>
      <c r="U217" t="str">
        <f t="shared" si="11"/>
        <v>Short Days</v>
      </c>
    </row>
    <row r="218" spans="1:21">
      <c r="A218" t="s">
        <v>234</v>
      </c>
      <c r="B218" s="5">
        <v>45329</v>
      </c>
      <c r="C218" t="s">
        <v>3220</v>
      </c>
      <c r="D218" t="s">
        <v>4674</v>
      </c>
      <c r="E218" t="s">
        <v>4867</v>
      </c>
      <c r="F218">
        <v>40</v>
      </c>
      <c r="G218" t="s">
        <v>4870</v>
      </c>
      <c r="H218" t="s">
        <v>4885</v>
      </c>
      <c r="I218" t="s">
        <v>4899</v>
      </c>
      <c r="J218" t="s">
        <v>4912</v>
      </c>
      <c r="K218" t="s">
        <v>4932</v>
      </c>
      <c r="L218" t="s">
        <v>4941</v>
      </c>
      <c r="M218" t="s">
        <v>4944</v>
      </c>
      <c r="N218" s="11">
        <v>7334.58</v>
      </c>
      <c r="O218" t="s">
        <v>4948</v>
      </c>
      <c r="P218" t="s">
        <v>4951</v>
      </c>
      <c r="R218">
        <v>90</v>
      </c>
      <c r="S218" t="str">
        <f t="shared" si="9"/>
        <v>Adult</v>
      </c>
      <c r="T218" t="str">
        <f t="shared" si="10"/>
        <v>Medium</v>
      </c>
      <c r="U218" t="str">
        <f t="shared" si="11"/>
        <v>Short Days</v>
      </c>
    </row>
    <row r="219" spans="1:21">
      <c r="A219" t="s">
        <v>235</v>
      </c>
      <c r="B219" s="5">
        <v>45345</v>
      </c>
      <c r="C219" t="s">
        <v>3221</v>
      </c>
      <c r="D219" t="s">
        <v>4627</v>
      </c>
      <c r="E219" t="s">
        <v>4867</v>
      </c>
      <c r="F219">
        <v>55</v>
      </c>
      <c r="G219" t="s">
        <v>4877</v>
      </c>
      <c r="H219" t="s">
        <v>4888</v>
      </c>
      <c r="I219" t="s">
        <v>4896</v>
      </c>
      <c r="J219" t="s">
        <v>4906</v>
      </c>
      <c r="K219" t="s">
        <v>4927</v>
      </c>
      <c r="L219" t="s">
        <v>4940</v>
      </c>
      <c r="M219" t="s">
        <v>4944</v>
      </c>
      <c r="N219" s="11">
        <v>6179.28</v>
      </c>
      <c r="O219" t="s">
        <v>15</v>
      </c>
      <c r="P219" t="s">
        <v>4952</v>
      </c>
      <c r="R219">
        <v>30</v>
      </c>
      <c r="S219" t="str">
        <f t="shared" si="9"/>
        <v>Middle-Aged</v>
      </c>
      <c r="T219" t="str">
        <f t="shared" si="10"/>
        <v>Medium</v>
      </c>
      <c r="U219" t="str">
        <f t="shared" si="11"/>
        <v>Short Days</v>
      </c>
    </row>
    <row r="220" spans="1:21">
      <c r="A220" t="s">
        <v>236</v>
      </c>
      <c r="B220" s="5">
        <v>45683</v>
      </c>
      <c r="C220" t="s">
        <v>3222</v>
      </c>
      <c r="D220" t="s">
        <v>4624</v>
      </c>
      <c r="E220" t="s">
        <v>4867</v>
      </c>
      <c r="F220">
        <v>34</v>
      </c>
      <c r="G220" t="s">
        <v>4876</v>
      </c>
      <c r="H220" t="s">
        <v>4888</v>
      </c>
      <c r="I220" t="s">
        <v>4893</v>
      </c>
      <c r="J220" t="s">
        <v>4917</v>
      </c>
      <c r="K220" t="s">
        <v>4931</v>
      </c>
      <c r="L220" t="s">
        <v>4941</v>
      </c>
      <c r="M220" t="s">
        <v>4942</v>
      </c>
      <c r="N220" s="11">
        <v>6028.34</v>
      </c>
      <c r="O220" t="s">
        <v>4947</v>
      </c>
      <c r="P220" t="s">
        <v>4951</v>
      </c>
      <c r="S220" t="str">
        <f t="shared" si="9"/>
        <v>Adult</v>
      </c>
      <c r="T220" t="str">
        <f t="shared" si="10"/>
        <v>Medium</v>
      </c>
      <c r="U220" t="str">
        <f t="shared" si="11"/>
        <v>Short Days</v>
      </c>
    </row>
    <row r="221" spans="1:21">
      <c r="A221" t="s">
        <v>237</v>
      </c>
      <c r="B221" s="5">
        <v>45882</v>
      </c>
      <c r="C221" t="s">
        <v>3223</v>
      </c>
      <c r="D221" t="s">
        <v>4739</v>
      </c>
      <c r="E221" t="s">
        <v>4867</v>
      </c>
      <c r="F221">
        <v>1</v>
      </c>
      <c r="G221" t="s">
        <v>4877</v>
      </c>
      <c r="H221" t="s">
        <v>4888</v>
      </c>
      <c r="I221" t="s">
        <v>4894</v>
      </c>
      <c r="J221" t="s">
        <v>4910</v>
      </c>
      <c r="K221" t="s">
        <v>4924</v>
      </c>
      <c r="L221" t="s">
        <v>4940</v>
      </c>
      <c r="M221" t="s">
        <v>4942</v>
      </c>
      <c r="N221" s="11">
        <v>1568.99</v>
      </c>
      <c r="O221" t="s">
        <v>15</v>
      </c>
      <c r="P221" t="s">
        <v>4952</v>
      </c>
      <c r="S221" t="str">
        <f t="shared" si="9"/>
        <v>Child</v>
      </c>
      <c r="T221" t="str">
        <f t="shared" si="10"/>
        <v>Low</v>
      </c>
      <c r="U221" t="str">
        <f t="shared" si="11"/>
        <v>Short Days</v>
      </c>
    </row>
    <row r="222" spans="1:21">
      <c r="A222" t="s">
        <v>238</v>
      </c>
      <c r="B222" s="5">
        <v>45625</v>
      </c>
      <c r="C222" t="s">
        <v>3224</v>
      </c>
      <c r="D222" t="s">
        <v>4683</v>
      </c>
      <c r="E222" t="s">
        <v>4866</v>
      </c>
      <c r="F222">
        <v>0</v>
      </c>
      <c r="G222" t="s">
        <v>4875</v>
      </c>
      <c r="H222" t="s">
        <v>4889</v>
      </c>
      <c r="I222" t="s">
        <v>4900</v>
      </c>
      <c r="J222" t="s">
        <v>4919</v>
      </c>
      <c r="K222" t="s">
        <v>4925</v>
      </c>
      <c r="L222" t="s">
        <v>4937</v>
      </c>
      <c r="M222" t="s">
        <v>4942</v>
      </c>
      <c r="N222" s="11">
        <v>2910.93</v>
      </c>
      <c r="O222" t="s">
        <v>4949</v>
      </c>
      <c r="P222" t="s">
        <v>4951</v>
      </c>
      <c r="S222" t="str">
        <f t="shared" si="9"/>
        <v>Child</v>
      </c>
      <c r="T222" t="str">
        <f t="shared" si="10"/>
        <v>Low</v>
      </c>
      <c r="U222" t="str">
        <f t="shared" si="11"/>
        <v>Short Days</v>
      </c>
    </row>
    <row r="223" spans="1:21">
      <c r="A223" t="s">
        <v>239</v>
      </c>
      <c r="B223" s="5">
        <v>45780</v>
      </c>
      <c r="C223" t="s">
        <v>3225</v>
      </c>
      <c r="D223" t="s">
        <v>4657</v>
      </c>
      <c r="E223" t="s">
        <v>4867</v>
      </c>
      <c r="F223">
        <v>40</v>
      </c>
      <c r="G223" t="s">
        <v>4870</v>
      </c>
      <c r="H223" t="s">
        <v>4885</v>
      </c>
      <c r="I223" t="s">
        <v>4893</v>
      </c>
      <c r="J223" t="s">
        <v>4903</v>
      </c>
      <c r="K223" t="s">
        <v>4932</v>
      </c>
      <c r="L223" t="s">
        <v>4934</v>
      </c>
      <c r="M223" t="s">
        <v>4942</v>
      </c>
      <c r="N223" s="11">
        <v>763.61</v>
      </c>
      <c r="O223" t="s">
        <v>4948</v>
      </c>
      <c r="P223" t="s">
        <v>4951</v>
      </c>
      <c r="S223" t="str">
        <f t="shared" si="9"/>
        <v>Adult</v>
      </c>
      <c r="T223" t="str">
        <f t="shared" si="10"/>
        <v>Low</v>
      </c>
      <c r="U223" t="str">
        <f t="shared" si="11"/>
        <v>Short Days</v>
      </c>
    </row>
    <row r="224" spans="1:21">
      <c r="A224" t="s">
        <v>240</v>
      </c>
      <c r="B224" s="5">
        <v>45457</v>
      </c>
      <c r="C224" t="s">
        <v>3226</v>
      </c>
      <c r="D224" t="s">
        <v>4740</v>
      </c>
      <c r="E224" t="s">
        <v>4867</v>
      </c>
      <c r="F224">
        <v>53</v>
      </c>
      <c r="G224" t="s">
        <v>4883</v>
      </c>
      <c r="H224" t="s">
        <v>4892</v>
      </c>
      <c r="I224" t="s">
        <v>4894</v>
      </c>
      <c r="J224" t="s">
        <v>4904</v>
      </c>
      <c r="K224" t="s">
        <v>4928</v>
      </c>
      <c r="L224" t="s">
        <v>4936</v>
      </c>
      <c r="M224" t="s">
        <v>4942</v>
      </c>
      <c r="N224" s="11">
        <v>552.44000000000005</v>
      </c>
      <c r="O224" t="s">
        <v>4949</v>
      </c>
      <c r="P224" t="s">
        <v>4951</v>
      </c>
      <c r="R224">
        <v>14</v>
      </c>
      <c r="S224" t="str">
        <f t="shared" si="9"/>
        <v>Middle-Aged</v>
      </c>
      <c r="T224" t="str">
        <f t="shared" si="10"/>
        <v>Low</v>
      </c>
      <c r="U224" t="str">
        <f t="shared" si="11"/>
        <v>Short Days</v>
      </c>
    </row>
    <row r="225" spans="1:21">
      <c r="A225" t="s">
        <v>241</v>
      </c>
      <c r="B225" s="5">
        <v>45743</v>
      </c>
      <c r="C225" t="s">
        <v>3227</v>
      </c>
      <c r="D225" t="s">
        <v>4618</v>
      </c>
      <c r="E225" t="s">
        <v>4867</v>
      </c>
      <c r="F225">
        <v>52</v>
      </c>
      <c r="G225" t="s">
        <v>4872</v>
      </c>
      <c r="H225" t="s">
        <v>4887</v>
      </c>
      <c r="I225" t="s">
        <v>4895</v>
      </c>
      <c r="J225" t="s">
        <v>4915</v>
      </c>
      <c r="K225" t="s">
        <v>4926</v>
      </c>
      <c r="L225" t="s">
        <v>4934</v>
      </c>
      <c r="M225" t="s">
        <v>4942</v>
      </c>
      <c r="N225" s="11">
        <v>11457.05</v>
      </c>
      <c r="O225" t="s">
        <v>4950</v>
      </c>
      <c r="P225" t="s">
        <v>4951</v>
      </c>
      <c r="R225">
        <v>90</v>
      </c>
      <c r="S225" t="str">
        <f t="shared" si="9"/>
        <v>Middle-Aged</v>
      </c>
      <c r="T225" t="str">
        <f t="shared" si="10"/>
        <v>High</v>
      </c>
      <c r="U225" t="str">
        <f t="shared" si="11"/>
        <v>Short Days</v>
      </c>
    </row>
    <row r="226" spans="1:21">
      <c r="A226" t="s">
        <v>242</v>
      </c>
      <c r="B226" s="5">
        <v>45797</v>
      </c>
      <c r="C226" t="s">
        <v>3228</v>
      </c>
      <c r="D226" t="s">
        <v>4697</v>
      </c>
      <c r="E226" t="s">
        <v>4867</v>
      </c>
      <c r="F226">
        <v>23</v>
      </c>
      <c r="G226" t="s">
        <v>4883</v>
      </c>
      <c r="H226" t="s">
        <v>4892</v>
      </c>
      <c r="I226" t="s">
        <v>4901</v>
      </c>
      <c r="J226" t="s">
        <v>4914</v>
      </c>
      <c r="K226" t="s">
        <v>4931</v>
      </c>
      <c r="L226" t="s">
        <v>4941</v>
      </c>
      <c r="M226" t="s">
        <v>4942</v>
      </c>
      <c r="N226" s="11">
        <v>2305.6</v>
      </c>
      <c r="O226" t="s">
        <v>4949</v>
      </c>
      <c r="P226" t="s">
        <v>4951</v>
      </c>
      <c r="S226" t="str">
        <f t="shared" si="9"/>
        <v>Adult</v>
      </c>
      <c r="T226" t="str">
        <f t="shared" si="10"/>
        <v>Low</v>
      </c>
      <c r="U226" t="str">
        <f t="shared" si="11"/>
        <v>Short Days</v>
      </c>
    </row>
    <row r="227" spans="1:21">
      <c r="A227" t="s">
        <v>243</v>
      </c>
      <c r="B227" s="5">
        <v>45515</v>
      </c>
      <c r="C227" t="s">
        <v>3229</v>
      </c>
      <c r="D227" t="s">
        <v>4741</v>
      </c>
      <c r="E227" t="s">
        <v>4867</v>
      </c>
      <c r="F227">
        <v>34</v>
      </c>
      <c r="G227" t="s">
        <v>4878</v>
      </c>
      <c r="H227" t="s">
        <v>4889</v>
      </c>
      <c r="I227" t="s">
        <v>4896</v>
      </c>
      <c r="J227" t="s">
        <v>4906</v>
      </c>
      <c r="K227" t="s">
        <v>4927</v>
      </c>
      <c r="L227" t="s">
        <v>4941</v>
      </c>
      <c r="M227" t="s">
        <v>4942</v>
      </c>
      <c r="N227" s="11">
        <v>2317.91</v>
      </c>
      <c r="O227" t="s">
        <v>4947</v>
      </c>
      <c r="P227" t="s">
        <v>4951</v>
      </c>
      <c r="R227">
        <v>90</v>
      </c>
      <c r="S227" t="str">
        <f t="shared" si="9"/>
        <v>Adult</v>
      </c>
      <c r="T227" t="str">
        <f t="shared" si="10"/>
        <v>Low</v>
      </c>
      <c r="U227" t="str">
        <f t="shared" si="11"/>
        <v>Short Days</v>
      </c>
    </row>
    <row r="228" spans="1:21">
      <c r="A228" t="s">
        <v>244</v>
      </c>
      <c r="B228" s="5">
        <v>45319</v>
      </c>
      <c r="C228" t="s">
        <v>3230</v>
      </c>
      <c r="D228" t="s">
        <v>4742</v>
      </c>
      <c r="E228" t="s">
        <v>4866</v>
      </c>
      <c r="F228">
        <v>67</v>
      </c>
      <c r="G228" t="s">
        <v>4874</v>
      </c>
      <c r="H228" t="s">
        <v>4886</v>
      </c>
      <c r="I228" t="s">
        <v>4902</v>
      </c>
      <c r="J228" t="s">
        <v>4916</v>
      </c>
      <c r="K228" t="s">
        <v>4924</v>
      </c>
      <c r="L228" t="s">
        <v>4935</v>
      </c>
      <c r="M228" t="s">
        <v>4942</v>
      </c>
      <c r="N228" s="11">
        <v>160.36000000000001</v>
      </c>
      <c r="O228" t="s">
        <v>4946</v>
      </c>
      <c r="P228" t="s">
        <v>4951</v>
      </c>
      <c r="R228">
        <v>14</v>
      </c>
      <c r="S228" t="str">
        <f t="shared" si="9"/>
        <v>Senior</v>
      </c>
      <c r="T228" t="str">
        <f t="shared" si="10"/>
        <v>Low</v>
      </c>
      <c r="U228" t="str">
        <f t="shared" si="11"/>
        <v>Short Days</v>
      </c>
    </row>
    <row r="229" spans="1:21">
      <c r="A229" t="s">
        <v>245</v>
      </c>
      <c r="B229" s="5">
        <v>45516</v>
      </c>
      <c r="C229" t="s">
        <v>3231</v>
      </c>
      <c r="D229" t="s">
        <v>4743</v>
      </c>
      <c r="E229" t="s">
        <v>4867</v>
      </c>
      <c r="F229">
        <v>9</v>
      </c>
      <c r="G229" t="s">
        <v>4871</v>
      </c>
      <c r="H229" t="s">
        <v>4886</v>
      </c>
      <c r="I229" t="s">
        <v>4901</v>
      </c>
      <c r="J229" t="s">
        <v>4921</v>
      </c>
      <c r="K229" t="s">
        <v>4929</v>
      </c>
      <c r="L229" t="s">
        <v>4940</v>
      </c>
      <c r="M229" t="s">
        <v>4942</v>
      </c>
      <c r="N229" s="11">
        <v>17634.939999999999</v>
      </c>
      <c r="O229" t="s">
        <v>4949</v>
      </c>
      <c r="P229" t="s">
        <v>4951</v>
      </c>
      <c r="R229">
        <v>30</v>
      </c>
      <c r="S229" t="str">
        <f t="shared" si="9"/>
        <v>Child</v>
      </c>
      <c r="T229" t="str">
        <f t="shared" si="10"/>
        <v>High</v>
      </c>
      <c r="U229" t="str">
        <f t="shared" si="11"/>
        <v>Short Days</v>
      </c>
    </row>
    <row r="230" spans="1:21">
      <c r="A230" t="s">
        <v>246</v>
      </c>
      <c r="B230" s="5">
        <v>45509</v>
      </c>
      <c r="C230" t="s">
        <v>3232</v>
      </c>
      <c r="D230" t="s">
        <v>4671</v>
      </c>
      <c r="E230" t="s">
        <v>4866</v>
      </c>
      <c r="F230">
        <v>44</v>
      </c>
      <c r="G230" t="s">
        <v>4873</v>
      </c>
      <c r="H230" t="s">
        <v>4888</v>
      </c>
      <c r="I230" t="s">
        <v>4900</v>
      </c>
      <c r="J230" t="s">
        <v>4919</v>
      </c>
      <c r="K230" t="s">
        <v>4926</v>
      </c>
      <c r="L230" t="s">
        <v>4934</v>
      </c>
      <c r="M230" t="s">
        <v>4944</v>
      </c>
      <c r="N230" s="11">
        <v>21764.92</v>
      </c>
      <c r="O230" t="s">
        <v>4948</v>
      </c>
      <c r="P230" t="s">
        <v>4951</v>
      </c>
      <c r="S230" t="str">
        <f t="shared" si="9"/>
        <v>Middle-Aged</v>
      </c>
      <c r="T230" t="str">
        <f t="shared" si="10"/>
        <v>High</v>
      </c>
      <c r="U230" t="str">
        <f t="shared" si="11"/>
        <v>Short Days</v>
      </c>
    </row>
    <row r="231" spans="1:21">
      <c r="A231" t="s">
        <v>247</v>
      </c>
      <c r="B231" s="5">
        <v>45345</v>
      </c>
      <c r="C231" t="s">
        <v>3233</v>
      </c>
      <c r="D231" t="s">
        <v>4632</v>
      </c>
      <c r="E231" t="s">
        <v>4866</v>
      </c>
      <c r="F231">
        <v>29</v>
      </c>
      <c r="G231" t="s">
        <v>4874</v>
      </c>
      <c r="H231" t="s">
        <v>4886</v>
      </c>
      <c r="I231" t="s">
        <v>4896</v>
      </c>
      <c r="J231" t="s">
        <v>4906</v>
      </c>
      <c r="K231" t="s">
        <v>4930</v>
      </c>
      <c r="L231" t="s">
        <v>4935</v>
      </c>
      <c r="M231" t="s">
        <v>4944</v>
      </c>
      <c r="N231" s="11">
        <v>10411.27</v>
      </c>
      <c r="O231" t="s">
        <v>4949</v>
      </c>
      <c r="P231" t="s">
        <v>4951</v>
      </c>
      <c r="R231">
        <v>7</v>
      </c>
      <c r="S231" t="str">
        <f t="shared" si="9"/>
        <v>Adult</v>
      </c>
      <c r="T231" t="str">
        <f t="shared" si="10"/>
        <v>High</v>
      </c>
      <c r="U231" t="str">
        <f t="shared" si="11"/>
        <v>Short Days</v>
      </c>
    </row>
    <row r="232" spans="1:21">
      <c r="A232" t="s">
        <v>248</v>
      </c>
      <c r="B232" s="5">
        <v>45934</v>
      </c>
      <c r="C232" t="s">
        <v>3234</v>
      </c>
      <c r="D232" t="s">
        <v>4744</v>
      </c>
      <c r="E232" t="s">
        <v>4867</v>
      </c>
      <c r="F232">
        <v>29</v>
      </c>
      <c r="G232" t="s">
        <v>4878</v>
      </c>
      <c r="H232" t="s">
        <v>4889</v>
      </c>
      <c r="I232" t="s">
        <v>4902</v>
      </c>
      <c r="J232" t="s">
        <v>4920</v>
      </c>
      <c r="K232" t="s">
        <v>4929</v>
      </c>
      <c r="L232" t="s">
        <v>4940</v>
      </c>
      <c r="M232" t="s">
        <v>4942</v>
      </c>
      <c r="N232" s="11">
        <v>9729.65</v>
      </c>
      <c r="O232" t="s">
        <v>15</v>
      </c>
      <c r="P232" t="s">
        <v>4952</v>
      </c>
      <c r="R232">
        <v>14</v>
      </c>
      <c r="S232" t="str">
        <f t="shared" si="9"/>
        <v>Adult</v>
      </c>
      <c r="T232" t="str">
        <f t="shared" si="10"/>
        <v>Medium</v>
      </c>
      <c r="U232" t="str">
        <f t="shared" si="11"/>
        <v>Short Days</v>
      </c>
    </row>
    <row r="233" spans="1:21">
      <c r="A233" t="s">
        <v>249</v>
      </c>
      <c r="B233" s="5">
        <v>45566</v>
      </c>
      <c r="C233" t="s">
        <v>3235</v>
      </c>
      <c r="D233" t="s">
        <v>4745</v>
      </c>
      <c r="E233" t="s">
        <v>4867</v>
      </c>
      <c r="F233">
        <v>0</v>
      </c>
      <c r="G233" t="s">
        <v>4869</v>
      </c>
      <c r="H233" t="s">
        <v>4884</v>
      </c>
      <c r="I233" t="s">
        <v>4896</v>
      </c>
      <c r="J233" t="s">
        <v>4908</v>
      </c>
      <c r="K233" t="s">
        <v>4932</v>
      </c>
      <c r="L233" t="s">
        <v>4941</v>
      </c>
      <c r="M233" t="s">
        <v>4942</v>
      </c>
      <c r="N233" s="11">
        <v>443.78</v>
      </c>
      <c r="O233" t="s">
        <v>4948</v>
      </c>
      <c r="P233" t="s">
        <v>4951</v>
      </c>
      <c r="R233">
        <v>14</v>
      </c>
      <c r="S233" t="str">
        <f t="shared" si="9"/>
        <v>Child</v>
      </c>
      <c r="T233" t="str">
        <f t="shared" si="10"/>
        <v>Low</v>
      </c>
      <c r="U233" t="str">
        <f t="shared" si="11"/>
        <v>Short Days</v>
      </c>
    </row>
    <row r="234" spans="1:21">
      <c r="A234" t="s">
        <v>250</v>
      </c>
      <c r="B234" s="5">
        <v>45533</v>
      </c>
      <c r="C234" t="s">
        <v>3236</v>
      </c>
      <c r="D234" t="s">
        <v>4663</v>
      </c>
      <c r="E234" t="s">
        <v>4866</v>
      </c>
      <c r="F234">
        <v>37</v>
      </c>
      <c r="G234" t="s">
        <v>4876</v>
      </c>
      <c r="H234" t="s">
        <v>4888</v>
      </c>
      <c r="I234" t="s">
        <v>4894</v>
      </c>
      <c r="J234" t="s">
        <v>4904</v>
      </c>
      <c r="K234" t="s">
        <v>4925</v>
      </c>
      <c r="L234" t="s">
        <v>4938</v>
      </c>
      <c r="M234" t="s">
        <v>4943</v>
      </c>
      <c r="N234" s="11">
        <v>19469.009999999998</v>
      </c>
      <c r="O234" t="s">
        <v>15</v>
      </c>
      <c r="P234" t="s">
        <v>4952</v>
      </c>
      <c r="S234" t="str">
        <f t="shared" si="9"/>
        <v>Adult</v>
      </c>
      <c r="T234" t="str">
        <f t="shared" si="10"/>
        <v>High</v>
      </c>
      <c r="U234" t="str">
        <f t="shared" si="11"/>
        <v>Short Days</v>
      </c>
    </row>
    <row r="235" spans="1:21">
      <c r="A235" t="s">
        <v>251</v>
      </c>
      <c r="B235" s="5">
        <v>45911</v>
      </c>
      <c r="C235" t="s">
        <v>3237</v>
      </c>
      <c r="D235" t="s">
        <v>4746</v>
      </c>
      <c r="E235" t="s">
        <v>4866</v>
      </c>
      <c r="F235">
        <v>53</v>
      </c>
      <c r="G235" t="s">
        <v>4874</v>
      </c>
      <c r="H235" t="s">
        <v>4886</v>
      </c>
      <c r="I235" t="s">
        <v>4897</v>
      </c>
      <c r="J235" t="s">
        <v>4907</v>
      </c>
      <c r="K235" t="s">
        <v>4926</v>
      </c>
      <c r="L235" t="s">
        <v>4938</v>
      </c>
      <c r="M235" t="s">
        <v>4943</v>
      </c>
      <c r="N235" s="11">
        <v>9531.93</v>
      </c>
      <c r="O235" t="s">
        <v>4948</v>
      </c>
      <c r="P235" t="s">
        <v>4951</v>
      </c>
      <c r="R235">
        <v>7</v>
      </c>
      <c r="S235" t="str">
        <f t="shared" si="9"/>
        <v>Middle-Aged</v>
      </c>
      <c r="T235" t="str">
        <f t="shared" si="10"/>
        <v>Medium</v>
      </c>
      <c r="U235" t="str">
        <f t="shared" si="11"/>
        <v>Short Days</v>
      </c>
    </row>
    <row r="236" spans="1:21">
      <c r="A236" t="s">
        <v>252</v>
      </c>
      <c r="B236" s="5">
        <v>45875</v>
      </c>
      <c r="C236" t="s">
        <v>3238</v>
      </c>
      <c r="D236" t="s">
        <v>4658</v>
      </c>
      <c r="E236" t="s">
        <v>4867</v>
      </c>
      <c r="F236">
        <v>69</v>
      </c>
      <c r="G236" t="s">
        <v>4871</v>
      </c>
      <c r="H236" t="s">
        <v>4886</v>
      </c>
      <c r="I236" t="s">
        <v>4902</v>
      </c>
      <c r="J236" t="s">
        <v>4916</v>
      </c>
      <c r="K236" t="s">
        <v>4930</v>
      </c>
      <c r="L236" t="s">
        <v>4934</v>
      </c>
      <c r="M236" t="s">
        <v>4944</v>
      </c>
      <c r="N236" s="11">
        <v>6905.28</v>
      </c>
      <c r="O236" t="s">
        <v>15</v>
      </c>
      <c r="P236" t="s">
        <v>4952</v>
      </c>
      <c r="R236">
        <v>7</v>
      </c>
      <c r="S236" t="str">
        <f t="shared" si="9"/>
        <v>Senior</v>
      </c>
      <c r="T236" t="str">
        <f t="shared" si="10"/>
        <v>Medium</v>
      </c>
      <c r="U236" t="str">
        <f t="shared" si="11"/>
        <v>Short Days</v>
      </c>
    </row>
    <row r="237" spans="1:21">
      <c r="A237" t="s">
        <v>253</v>
      </c>
      <c r="B237" s="5">
        <v>45311</v>
      </c>
      <c r="C237" t="s">
        <v>3239</v>
      </c>
      <c r="D237" t="s">
        <v>4734</v>
      </c>
      <c r="E237" t="s">
        <v>4867</v>
      </c>
      <c r="F237">
        <v>41</v>
      </c>
      <c r="G237" t="s">
        <v>4869</v>
      </c>
      <c r="H237" t="s">
        <v>4884</v>
      </c>
      <c r="I237" t="s">
        <v>4901</v>
      </c>
      <c r="J237" t="s">
        <v>4921</v>
      </c>
      <c r="K237" t="s">
        <v>4927</v>
      </c>
      <c r="L237" t="s">
        <v>4935</v>
      </c>
      <c r="M237" t="s">
        <v>4945</v>
      </c>
      <c r="N237" s="11">
        <v>8128.83</v>
      </c>
      <c r="O237" t="s">
        <v>4946</v>
      </c>
      <c r="P237" t="s">
        <v>4951</v>
      </c>
      <c r="Q237">
        <v>5</v>
      </c>
      <c r="R237">
        <v>7</v>
      </c>
      <c r="S237" t="str">
        <f t="shared" si="9"/>
        <v>Middle-Aged</v>
      </c>
      <c r="T237" t="str">
        <f t="shared" si="10"/>
        <v>Medium</v>
      </c>
      <c r="U237" t="str">
        <f t="shared" si="11"/>
        <v>Short Days</v>
      </c>
    </row>
    <row r="238" spans="1:21">
      <c r="A238" t="s">
        <v>254</v>
      </c>
      <c r="B238" s="5">
        <v>45627</v>
      </c>
      <c r="C238" t="s">
        <v>3240</v>
      </c>
      <c r="D238" t="s">
        <v>4697</v>
      </c>
      <c r="E238" t="s">
        <v>4866</v>
      </c>
      <c r="F238">
        <v>11</v>
      </c>
      <c r="G238" t="s">
        <v>4882</v>
      </c>
      <c r="H238" t="s">
        <v>4891</v>
      </c>
      <c r="I238" t="s">
        <v>4895</v>
      </c>
      <c r="J238" t="s">
        <v>4915</v>
      </c>
      <c r="K238" t="s">
        <v>4929</v>
      </c>
      <c r="L238" t="s">
        <v>4937</v>
      </c>
      <c r="M238" t="s">
        <v>4944</v>
      </c>
      <c r="N238" s="11">
        <v>5924.2</v>
      </c>
      <c r="O238" t="s">
        <v>4947</v>
      </c>
      <c r="P238" t="s">
        <v>4951</v>
      </c>
      <c r="S238" t="str">
        <f t="shared" si="9"/>
        <v>Child</v>
      </c>
      <c r="T238" t="str">
        <f t="shared" si="10"/>
        <v>Medium</v>
      </c>
      <c r="U238" t="str">
        <f t="shared" si="11"/>
        <v>Short Days</v>
      </c>
    </row>
    <row r="239" spans="1:21">
      <c r="A239" t="s">
        <v>255</v>
      </c>
      <c r="B239" s="5">
        <v>45362</v>
      </c>
      <c r="C239" t="s">
        <v>3241</v>
      </c>
      <c r="D239" t="s">
        <v>4739</v>
      </c>
      <c r="E239" t="s">
        <v>4866</v>
      </c>
      <c r="F239">
        <v>12</v>
      </c>
      <c r="G239" t="s">
        <v>4874</v>
      </c>
      <c r="H239" t="s">
        <v>4886</v>
      </c>
      <c r="I239" t="s">
        <v>4894</v>
      </c>
      <c r="J239" t="s">
        <v>4910</v>
      </c>
      <c r="K239" t="s">
        <v>4929</v>
      </c>
      <c r="L239" t="s">
        <v>4938</v>
      </c>
      <c r="M239" t="s">
        <v>4942</v>
      </c>
      <c r="N239" s="11">
        <v>8628.6200000000008</v>
      </c>
      <c r="O239" t="s">
        <v>4949</v>
      </c>
      <c r="P239" t="s">
        <v>4951</v>
      </c>
      <c r="R239">
        <v>90</v>
      </c>
      <c r="S239" t="str">
        <f t="shared" si="9"/>
        <v>Child</v>
      </c>
      <c r="T239" t="str">
        <f t="shared" si="10"/>
        <v>Medium</v>
      </c>
      <c r="U239" t="str">
        <f t="shared" si="11"/>
        <v>Short Days</v>
      </c>
    </row>
    <row r="240" spans="1:21">
      <c r="A240" t="s">
        <v>256</v>
      </c>
      <c r="B240" s="5">
        <v>45517</v>
      </c>
      <c r="C240" t="s">
        <v>3179</v>
      </c>
      <c r="D240" t="s">
        <v>4747</v>
      </c>
      <c r="E240" t="s">
        <v>4867</v>
      </c>
      <c r="F240">
        <v>9</v>
      </c>
      <c r="G240" t="s">
        <v>4872</v>
      </c>
      <c r="H240" t="s">
        <v>4887</v>
      </c>
      <c r="I240" t="s">
        <v>4902</v>
      </c>
      <c r="J240" t="s">
        <v>4916</v>
      </c>
      <c r="K240" t="s">
        <v>4924</v>
      </c>
      <c r="L240" t="s">
        <v>4941</v>
      </c>
      <c r="M240" t="s">
        <v>4944</v>
      </c>
      <c r="N240" s="11">
        <v>11286.5</v>
      </c>
      <c r="O240" t="s">
        <v>4947</v>
      </c>
      <c r="P240" t="s">
        <v>4951</v>
      </c>
      <c r="S240" t="str">
        <f t="shared" si="9"/>
        <v>Child</v>
      </c>
      <c r="T240" t="str">
        <f t="shared" si="10"/>
        <v>High</v>
      </c>
      <c r="U240" t="str">
        <f t="shared" si="11"/>
        <v>Short Days</v>
      </c>
    </row>
    <row r="241" spans="1:21">
      <c r="A241" t="s">
        <v>257</v>
      </c>
      <c r="B241" s="5">
        <v>45436</v>
      </c>
      <c r="C241" t="s">
        <v>3224</v>
      </c>
      <c r="D241" t="s">
        <v>4748</v>
      </c>
      <c r="E241" t="s">
        <v>4867</v>
      </c>
      <c r="F241">
        <v>13</v>
      </c>
      <c r="G241" t="s">
        <v>4882</v>
      </c>
      <c r="H241" t="s">
        <v>4891</v>
      </c>
      <c r="I241" t="s">
        <v>4894</v>
      </c>
      <c r="J241" t="s">
        <v>4904</v>
      </c>
      <c r="K241" t="s">
        <v>4924</v>
      </c>
      <c r="L241" t="s">
        <v>4940</v>
      </c>
      <c r="M241" t="s">
        <v>4942</v>
      </c>
      <c r="N241" s="11">
        <v>3598.5</v>
      </c>
      <c r="O241" t="s">
        <v>4950</v>
      </c>
      <c r="P241" t="s">
        <v>4951</v>
      </c>
      <c r="R241">
        <v>14</v>
      </c>
      <c r="S241" t="str">
        <f t="shared" si="9"/>
        <v>Child</v>
      </c>
      <c r="T241" t="str">
        <f t="shared" si="10"/>
        <v>Low</v>
      </c>
      <c r="U241" t="str">
        <f t="shared" si="11"/>
        <v>Short Days</v>
      </c>
    </row>
    <row r="242" spans="1:21">
      <c r="A242" t="s">
        <v>258</v>
      </c>
      <c r="B242" s="5">
        <v>45600</v>
      </c>
      <c r="C242" t="s">
        <v>3242</v>
      </c>
      <c r="D242" t="s">
        <v>4749</v>
      </c>
      <c r="E242" t="s">
        <v>4867</v>
      </c>
      <c r="F242">
        <v>0</v>
      </c>
      <c r="G242" t="s">
        <v>4872</v>
      </c>
      <c r="H242" t="s">
        <v>4887</v>
      </c>
      <c r="I242" t="s">
        <v>4900</v>
      </c>
      <c r="J242" t="s">
        <v>4913</v>
      </c>
      <c r="K242" t="s">
        <v>4933</v>
      </c>
      <c r="L242" t="s">
        <v>4937</v>
      </c>
      <c r="M242" t="s">
        <v>4944</v>
      </c>
      <c r="N242" s="11">
        <v>6540.89</v>
      </c>
      <c r="O242" t="s">
        <v>4946</v>
      </c>
      <c r="P242" t="s">
        <v>4951</v>
      </c>
      <c r="S242" t="str">
        <f t="shared" si="9"/>
        <v>Child</v>
      </c>
      <c r="T242" t="str">
        <f t="shared" si="10"/>
        <v>Medium</v>
      </c>
      <c r="U242" t="str">
        <f t="shared" si="11"/>
        <v>Short Days</v>
      </c>
    </row>
    <row r="243" spans="1:21">
      <c r="A243" t="s">
        <v>259</v>
      </c>
      <c r="B243" s="5">
        <v>45961</v>
      </c>
      <c r="C243" t="s">
        <v>3243</v>
      </c>
      <c r="D243" t="s">
        <v>4739</v>
      </c>
      <c r="E243" t="s">
        <v>4866</v>
      </c>
      <c r="F243">
        <v>14</v>
      </c>
      <c r="G243" t="s">
        <v>4880</v>
      </c>
      <c r="H243" t="s">
        <v>4890</v>
      </c>
      <c r="I243" t="s">
        <v>4893</v>
      </c>
      <c r="J243" t="s">
        <v>4903</v>
      </c>
      <c r="K243" t="s">
        <v>4932</v>
      </c>
      <c r="L243" t="s">
        <v>4939</v>
      </c>
      <c r="M243" t="s">
        <v>4942</v>
      </c>
      <c r="N243" s="11">
        <v>6391.67</v>
      </c>
      <c r="O243" t="s">
        <v>4950</v>
      </c>
      <c r="P243" t="s">
        <v>4951</v>
      </c>
      <c r="R243">
        <v>90</v>
      </c>
      <c r="S243" t="str">
        <f t="shared" si="9"/>
        <v>Child</v>
      </c>
      <c r="T243" t="str">
        <f t="shared" si="10"/>
        <v>Medium</v>
      </c>
      <c r="U243" t="str">
        <f t="shared" si="11"/>
        <v>Short Days</v>
      </c>
    </row>
    <row r="244" spans="1:21">
      <c r="A244" t="s">
        <v>260</v>
      </c>
      <c r="B244" s="5">
        <v>45319</v>
      </c>
      <c r="C244" t="s">
        <v>3244</v>
      </c>
      <c r="D244" t="s">
        <v>4644</v>
      </c>
      <c r="E244" t="s">
        <v>4867</v>
      </c>
      <c r="F244">
        <v>50</v>
      </c>
      <c r="G244" t="s">
        <v>4876</v>
      </c>
      <c r="H244" t="s">
        <v>4888</v>
      </c>
      <c r="I244" t="s">
        <v>4900</v>
      </c>
      <c r="J244" t="s">
        <v>4913</v>
      </c>
      <c r="K244" t="s">
        <v>4932</v>
      </c>
      <c r="L244" t="s">
        <v>4941</v>
      </c>
      <c r="M244" t="s">
        <v>4944</v>
      </c>
      <c r="N244" s="11">
        <v>8479</v>
      </c>
      <c r="O244" t="s">
        <v>4949</v>
      </c>
      <c r="P244" t="s">
        <v>4951</v>
      </c>
      <c r="S244" t="str">
        <f t="shared" si="9"/>
        <v>Middle-Aged</v>
      </c>
      <c r="T244" t="str">
        <f t="shared" si="10"/>
        <v>Medium</v>
      </c>
      <c r="U244" t="str">
        <f t="shared" si="11"/>
        <v>Short Days</v>
      </c>
    </row>
    <row r="245" spans="1:21">
      <c r="A245" t="s">
        <v>261</v>
      </c>
      <c r="B245" s="5">
        <v>45479</v>
      </c>
      <c r="C245" t="s">
        <v>3245</v>
      </c>
      <c r="D245" t="s">
        <v>4717</v>
      </c>
      <c r="E245" t="s">
        <v>4867</v>
      </c>
      <c r="F245">
        <v>39</v>
      </c>
      <c r="G245" t="s">
        <v>4875</v>
      </c>
      <c r="H245" t="s">
        <v>4889</v>
      </c>
      <c r="I245" t="s">
        <v>4893</v>
      </c>
      <c r="J245" t="s">
        <v>4903</v>
      </c>
      <c r="K245" t="s">
        <v>4926</v>
      </c>
      <c r="L245" t="s">
        <v>4937</v>
      </c>
      <c r="M245" t="s">
        <v>4942</v>
      </c>
      <c r="N245" s="11">
        <v>6381.88</v>
      </c>
      <c r="O245" t="s">
        <v>4949</v>
      </c>
      <c r="P245" t="s">
        <v>4951</v>
      </c>
      <c r="R245">
        <v>90</v>
      </c>
      <c r="S245" t="str">
        <f t="shared" si="9"/>
        <v>Adult</v>
      </c>
      <c r="T245" t="str">
        <f t="shared" si="10"/>
        <v>Medium</v>
      </c>
      <c r="U245" t="str">
        <f t="shared" si="11"/>
        <v>Short Days</v>
      </c>
    </row>
    <row r="246" spans="1:21">
      <c r="A246" t="s">
        <v>262</v>
      </c>
      <c r="B246" s="5">
        <v>45658</v>
      </c>
      <c r="C246" t="s">
        <v>3246</v>
      </c>
      <c r="D246" t="s">
        <v>4750</v>
      </c>
      <c r="E246" t="s">
        <v>4867</v>
      </c>
      <c r="F246">
        <v>48</v>
      </c>
      <c r="G246" t="s">
        <v>4882</v>
      </c>
      <c r="H246" t="s">
        <v>4891</v>
      </c>
      <c r="I246" t="s">
        <v>4898</v>
      </c>
      <c r="J246" t="s">
        <v>4923</v>
      </c>
      <c r="K246" t="s">
        <v>4926</v>
      </c>
      <c r="L246" t="s">
        <v>4934</v>
      </c>
      <c r="M246" t="s">
        <v>4944</v>
      </c>
      <c r="N246" s="11">
        <v>5355.46</v>
      </c>
      <c r="O246" t="s">
        <v>4947</v>
      </c>
      <c r="P246" t="s">
        <v>4951</v>
      </c>
      <c r="S246" t="str">
        <f t="shared" si="9"/>
        <v>Middle-Aged</v>
      </c>
      <c r="T246" t="str">
        <f t="shared" si="10"/>
        <v>Medium</v>
      </c>
      <c r="U246" t="str">
        <f t="shared" si="11"/>
        <v>Short Days</v>
      </c>
    </row>
    <row r="247" spans="1:21">
      <c r="A247" t="s">
        <v>263</v>
      </c>
      <c r="B247" s="5">
        <v>45711</v>
      </c>
      <c r="C247" t="s">
        <v>3247</v>
      </c>
      <c r="D247" t="s">
        <v>4751</v>
      </c>
      <c r="E247" t="s">
        <v>4866</v>
      </c>
      <c r="F247">
        <v>49</v>
      </c>
      <c r="G247" t="s">
        <v>4880</v>
      </c>
      <c r="H247" t="s">
        <v>4890</v>
      </c>
      <c r="I247" t="s">
        <v>4901</v>
      </c>
      <c r="J247" t="s">
        <v>4914</v>
      </c>
      <c r="K247" t="s">
        <v>4926</v>
      </c>
      <c r="L247" t="s">
        <v>4938</v>
      </c>
      <c r="M247" t="s">
        <v>4944</v>
      </c>
      <c r="N247" s="11">
        <v>6926.5</v>
      </c>
      <c r="O247" t="s">
        <v>4947</v>
      </c>
      <c r="P247" t="s">
        <v>4951</v>
      </c>
      <c r="R247">
        <v>7</v>
      </c>
      <c r="S247" t="str">
        <f t="shared" si="9"/>
        <v>Middle-Aged</v>
      </c>
      <c r="T247" t="str">
        <f t="shared" si="10"/>
        <v>Medium</v>
      </c>
      <c r="U247" t="str">
        <f t="shared" si="11"/>
        <v>Short Days</v>
      </c>
    </row>
    <row r="248" spans="1:21">
      <c r="A248" t="s">
        <v>264</v>
      </c>
      <c r="B248" s="5">
        <v>45579</v>
      </c>
      <c r="C248" t="s">
        <v>3248</v>
      </c>
      <c r="D248" t="s">
        <v>4658</v>
      </c>
      <c r="E248" t="s">
        <v>4866</v>
      </c>
      <c r="F248">
        <v>43</v>
      </c>
      <c r="G248" t="s">
        <v>4871</v>
      </c>
      <c r="H248" t="s">
        <v>4886</v>
      </c>
      <c r="I248" t="s">
        <v>4894</v>
      </c>
      <c r="J248" t="s">
        <v>4904</v>
      </c>
      <c r="K248" t="s">
        <v>4927</v>
      </c>
      <c r="L248" t="s">
        <v>4940</v>
      </c>
      <c r="M248" t="s">
        <v>4942</v>
      </c>
      <c r="N248" s="11">
        <v>3668.97</v>
      </c>
      <c r="O248" t="s">
        <v>4947</v>
      </c>
      <c r="P248" t="s">
        <v>4951</v>
      </c>
      <c r="R248">
        <v>7</v>
      </c>
      <c r="S248" t="str">
        <f t="shared" si="9"/>
        <v>Middle-Aged</v>
      </c>
      <c r="T248" t="str">
        <f t="shared" si="10"/>
        <v>Low</v>
      </c>
      <c r="U248" t="str">
        <f t="shared" si="11"/>
        <v>Short Days</v>
      </c>
    </row>
    <row r="249" spans="1:21">
      <c r="A249" t="s">
        <v>265</v>
      </c>
      <c r="B249" s="5">
        <v>45615</v>
      </c>
      <c r="C249" t="s">
        <v>3249</v>
      </c>
      <c r="D249" t="s">
        <v>4705</v>
      </c>
      <c r="E249" t="s">
        <v>4866</v>
      </c>
      <c r="F249">
        <v>42</v>
      </c>
      <c r="G249" t="s">
        <v>4880</v>
      </c>
      <c r="H249" t="s">
        <v>4890</v>
      </c>
      <c r="I249" t="s">
        <v>4902</v>
      </c>
      <c r="J249" t="s">
        <v>4916</v>
      </c>
      <c r="K249" t="s">
        <v>4925</v>
      </c>
      <c r="L249" t="s">
        <v>4934</v>
      </c>
      <c r="M249" t="s">
        <v>4942</v>
      </c>
      <c r="N249" s="11">
        <v>8482.77</v>
      </c>
      <c r="O249" t="s">
        <v>4949</v>
      </c>
      <c r="P249" t="s">
        <v>4951</v>
      </c>
      <c r="R249">
        <v>14</v>
      </c>
      <c r="S249" t="str">
        <f t="shared" si="9"/>
        <v>Middle-Aged</v>
      </c>
      <c r="T249" t="str">
        <f t="shared" si="10"/>
        <v>Medium</v>
      </c>
      <c r="U249" t="str">
        <f t="shared" si="11"/>
        <v>Short Days</v>
      </c>
    </row>
    <row r="250" spans="1:21">
      <c r="A250" t="s">
        <v>266</v>
      </c>
      <c r="B250" s="5">
        <v>45779</v>
      </c>
      <c r="C250" t="s">
        <v>3250</v>
      </c>
      <c r="D250" t="s">
        <v>4752</v>
      </c>
      <c r="E250" t="s">
        <v>4866</v>
      </c>
      <c r="F250">
        <v>2</v>
      </c>
      <c r="G250" t="s">
        <v>4878</v>
      </c>
      <c r="H250" t="s">
        <v>4889</v>
      </c>
      <c r="I250" t="s">
        <v>4901</v>
      </c>
      <c r="J250" t="s">
        <v>4914</v>
      </c>
      <c r="K250" t="s">
        <v>4930</v>
      </c>
      <c r="L250" t="s">
        <v>4937</v>
      </c>
      <c r="M250" t="s">
        <v>4944</v>
      </c>
      <c r="N250" s="11">
        <v>7251.49</v>
      </c>
      <c r="O250" t="s">
        <v>4947</v>
      </c>
      <c r="P250" t="s">
        <v>4951</v>
      </c>
      <c r="S250" t="str">
        <f t="shared" si="9"/>
        <v>Child</v>
      </c>
      <c r="T250" t="str">
        <f t="shared" si="10"/>
        <v>Medium</v>
      </c>
      <c r="U250" t="str">
        <f t="shared" si="11"/>
        <v>Short Days</v>
      </c>
    </row>
    <row r="251" spans="1:21">
      <c r="A251" t="s">
        <v>267</v>
      </c>
      <c r="B251" s="5">
        <v>45436</v>
      </c>
      <c r="C251" t="s">
        <v>3251</v>
      </c>
      <c r="D251" t="s">
        <v>4688</v>
      </c>
      <c r="E251" t="s">
        <v>4867</v>
      </c>
      <c r="F251">
        <v>61</v>
      </c>
      <c r="G251" t="s">
        <v>4882</v>
      </c>
      <c r="H251" t="s">
        <v>4891</v>
      </c>
      <c r="I251" t="s">
        <v>4899</v>
      </c>
      <c r="J251" t="s">
        <v>4911</v>
      </c>
      <c r="K251" t="s">
        <v>4928</v>
      </c>
      <c r="L251" t="s">
        <v>4935</v>
      </c>
      <c r="M251" t="s">
        <v>4942</v>
      </c>
      <c r="N251" s="11">
        <v>4993.26</v>
      </c>
      <c r="O251" t="s">
        <v>4946</v>
      </c>
      <c r="P251" t="s">
        <v>4951</v>
      </c>
      <c r="R251">
        <v>30</v>
      </c>
      <c r="S251" t="str">
        <f t="shared" si="9"/>
        <v>Senior</v>
      </c>
      <c r="T251" t="str">
        <f t="shared" si="10"/>
        <v>Low</v>
      </c>
      <c r="U251" t="str">
        <f t="shared" si="11"/>
        <v>Short Days</v>
      </c>
    </row>
    <row r="252" spans="1:21">
      <c r="A252" t="s">
        <v>268</v>
      </c>
      <c r="B252" s="5">
        <v>45927</v>
      </c>
      <c r="C252" t="s">
        <v>3127</v>
      </c>
      <c r="D252" t="s">
        <v>4753</v>
      </c>
      <c r="E252" t="s">
        <v>4866</v>
      </c>
      <c r="F252">
        <v>52</v>
      </c>
      <c r="G252" t="s">
        <v>4876</v>
      </c>
      <c r="H252" t="s">
        <v>4888</v>
      </c>
      <c r="I252" t="s">
        <v>4901</v>
      </c>
      <c r="J252" t="s">
        <v>4921</v>
      </c>
      <c r="K252" t="s">
        <v>4932</v>
      </c>
      <c r="L252" t="s">
        <v>4940</v>
      </c>
      <c r="M252" t="s">
        <v>4944</v>
      </c>
      <c r="N252" s="11">
        <v>5691.28</v>
      </c>
      <c r="O252" t="s">
        <v>4948</v>
      </c>
      <c r="P252" t="s">
        <v>4951</v>
      </c>
      <c r="S252" t="str">
        <f t="shared" si="9"/>
        <v>Middle-Aged</v>
      </c>
      <c r="T252" t="str">
        <f t="shared" si="10"/>
        <v>Medium</v>
      </c>
      <c r="U252" t="str">
        <f t="shared" si="11"/>
        <v>Short Days</v>
      </c>
    </row>
    <row r="253" spans="1:21">
      <c r="A253" t="s">
        <v>269</v>
      </c>
      <c r="B253" s="5">
        <v>45292</v>
      </c>
      <c r="C253" t="s">
        <v>3252</v>
      </c>
      <c r="D253" t="s">
        <v>4594</v>
      </c>
      <c r="E253" t="s">
        <v>4867</v>
      </c>
      <c r="F253">
        <v>43</v>
      </c>
      <c r="G253" t="s">
        <v>4875</v>
      </c>
      <c r="H253" t="s">
        <v>4889</v>
      </c>
      <c r="I253" t="s">
        <v>4900</v>
      </c>
      <c r="J253" t="s">
        <v>4919</v>
      </c>
      <c r="K253" t="s">
        <v>4926</v>
      </c>
      <c r="L253" t="s">
        <v>4935</v>
      </c>
      <c r="M253" t="s">
        <v>4942</v>
      </c>
      <c r="N253" s="11">
        <v>5224.0200000000004</v>
      </c>
      <c r="O253" t="s">
        <v>4947</v>
      </c>
      <c r="P253" t="s">
        <v>4951</v>
      </c>
      <c r="R253">
        <v>14</v>
      </c>
      <c r="S253" t="str">
        <f t="shared" si="9"/>
        <v>Middle-Aged</v>
      </c>
      <c r="T253" t="str">
        <f t="shared" si="10"/>
        <v>Medium</v>
      </c>
      <c r="U253" t="str">
        <f t="shared" si="11"/>
        <v>Short Days</v>
      </c>
    </row>
    <row r="254" spans="1:21">
      <c r="A254" t="s">
        <v>270</v>
      </c>
      <c r="B254" s="5">
        <v>45452</v>
      </c>
      <c r="C254" t="s">
        <v>3253</v>
      </c>
      <c r="D254" t="s">
        <v>4754</v>
      </c>
      <c r="E254" t="s">
        <v>4867</v>
      </c>
      <c r="F254">
        <v>17</v>
      </c>
      <c r="G254" t="s">
        <v>4883</v>
      </c>
      <c r="H254" t="s">
        <v>4892</v>
      </c>
      <c r="I254" t="s">
        <v>4900</v>
      </c>
      <c r="J254" t="s">
        <v>4913</v>
      </c>
      <c r="K254" t="s">
        <v>4932</v>
      </c>
      <c r="L254" t="s">
        <v>4934</v>
      </c>
      <c r="M254" t="s">
        <v>4945</v>
      </c>
      <c r="N254" s="11">
        <v>7143.48</v>
      </c>
      <c r="O254" t="s">
        <v>4949</v>
      </c>
      <c r="P254" t="s">
        <v>4951</v>
      </c>
      <c r="Q254">
        <v>6</v>
      </c>
      <c r="R254">
        <v>30</v>
      </c>
      <c r="S254" t="str">
        <f t="shared" si="9"/>
        <v>Child</v>
      </c>
      <c r="T254" t="str">
        <f t="shared" si="10"/>
        <v>Medium</v>
      </c>
      <c r="U254" t="str">
        <f t="shared" si="11"/>
        <v>Long Days</v>
      </c>
    </row>
    <row r="255" spans="1:21">
      <c r="A255" t="s">
        <v>271</v>
      </c>
      <c r="B255" s="5">
        <v>45849</v>
      </c>
      <c r="C255" t="s">
        <v>3254</v>
      </c>
      <c r="D255" t="s">
        <v>4683</v>
      </c>
      <c r="E255" t="s">
        <v>4867</v>
      </c>
      <c r="F255">
        <v>49</v>
      </c>
      <c r="G255" t="s">
        <v>4877</v>
      </c>
      <c r="H255" t="s">
        <v>4888</v>
      </c>
      <c r="I255" t="s">
        <v>4894</v>
      </c>
      <c r="J255" t="s">
        <v>4910</v>
      </c>
      <c r="K255" t="s">
        <v>4927</v>
      </c>
      <c r="L255" t="s">
        <v>4940</v>
      </c>
      <c r="M255" t="s">
        <v>4942</v>
      </c>
      <c r="N255" s="11">
        <v>7441.59</v>
      </c>
      <c r="O255" t="s">
        <v>4947</v>
      </c>
      <c r="P255" t="s">
        <v>4951</v>
      </c>
      <c r="R255">
        <v>7</v>
      </c>
      <c r="S255" t="str">
        <f t="shared" si="9"/>
        <v>Middle-Aged</v>
      </c>
      <c r="T255" t="str">
        <f t="shared" si="10"/>
        <v>Medium</v>
      </c>
      <c r="U255" t="str">
        <f t="shared" si="11"/>
        <v>Short Days</v>
      </c>
    </row>
    <row r="256" spans="1:21">
      <c r="A256" t="s">
        <v>272</v>
      </c>
      <c r="B256" s="5">
        <v>45548</v>
      </c>
      <c r="C256" t="s">
        <v>3255</v>
      </c>
      <c r="D256" t="s">
        <v>4755</v>
      </c>
      <c r="E256" t="s">
        <v>4866</v>
      </c>
      <c r="F256">
        <v>46</v>
      </c>
      <c r="G256" t="s">
        <v>4871</v>
      </c>
      <c r="H256" t="s">
        <v>4886</v>
      </c>
      <c r="I256" t="s">
        <v>4897</v>
      </c>
      <c r="J256" t="s">
        <v>4907</v>
      </c>
      <c r="K256" t="s">
        <v>4929</v>
      </c>
      <c r="L256" t="s">
        <v>4934</v>
      </c>
      <c r="M256" t="s">
        <v>4944</v>
      </c>
      <c r="N256" s="11">
        <v>7419.16</v>
      </c>
      <c r="O256" t="s">
        <v>4946</v>
      </c>
      <c r="P256" t="s">
        <v>4951</v>
      </c>
      <c r="S256" t="str">
        <f t="shared" si="9"/>
        <v>Middle-Aged</v>
      </c>
      <c r="T256" t="str">
        <f t="shared" si="10"/>
        <v>Medium</v>
      </c>
      <c r="U256" t="str">
        <f t="shared" si="11"/>
        <v>Short Days</v>
      </c>
    </row>
    <row r="257" spans="1:21">
      <c r="A257" t="s">
        <v>273</v>
      </c>
      <c r="B257" s="5">
        <v>45948</v>
      </c>
      <c r="C257" t="s">
        <v>3256</v>
      </c>
      <c r="D257" t="s">
        <v>4594</v>
      </c>
      <c r="E257" t="s">
        <v>4867</v>
      </c>
      <c r="F257">
        <v>54</v>
      </c>
      <c r="G257" t="s">
        <v>4879</v>
      </c>
      <c r="H257" t="s">
        <v>4888</v>
      </c>
      <c r="I257" t="s">
        <v>4893</v>
      </c>
      <c r="J257" t="s">
        <v>4903</v>
      </c>
      <c r="K257" t="s">
        <v>4930</v>
      </c>
      <c r="L257" t="s">
        <v>4936</v>
      </c>
      <c r="M257" t="s">
        <v>4942</v>
      </c>
      <c r="N257" s="11">
        <v>172.95</v>
      </c>
      <c r="O257" t="s">
        <v>15</v>
      </c>
      <c r="P257" t="s">
        <v>4952</v>
      </c>
      <c r="S257" t="str">
        <f t="shared" si="9"/>
        <v>Middle-Aged</v>
      </c>
      <c r="T257" t="str">
        <f t="shared" si="10"/>
        <v>Low</v>
      </c>
      <c r="U257" t="str">
        <f t="shared" si="11"/>
        <v>Short Days</v>
      </c>
    </row>
    <row r="258" spans="1:21">
      <c r="A258" t="s">
        <v>274</v>
      </c>
      <c r="B258" s="5">
        <v>45636</v>
      </c>
      <c r="C258" t="s">
        <v>3257</v>
      </c>
      <c r="D258" t="s">
        <v>4592</v>
      </c>
      <c r="E258" t="s">
        <v>4867</v>
      </c>
      <c r="F258">
        <v>34</v>
      </c>
      <c r="G258" t="s">
        <v>4874</v>
      </c>
      <c r="H258" t="s">
        <v>4886</v>
      </c>
      <c r="I258" t="s">
        <v>4896</v>
      </c>
      <c r="J258" t="s">
        <v>4908</v>
      </c>
      <c r="K258" t="s">
        <v>4931</v>
      </c>
      <c r="L258" t="s">
        <v>4941</v>
      </c>
      <c r="M258" t="s">
        <v>4942</v>
      </c>
      <c r="N258" s="11">
        <v>2069.8200000000002</v>
      </c>
      <c r="O258" t="s">
        <v>4946</v>
      </c>
      <c r="P258" t="s">
        <v>4951</v>
      </c>
      <c r="R258">
        <v>30</v>
      </c>
      <c r="S258" t="str">
        <f t="shared" si="9"/>
        <v>Adult</v>
      </c>
      <c r="T258" t="str">
        <f t="shared" si="10"/>
        <v>Low</v>
      </c>
      <c r="U258" t="str">
        <f t="shared" si="11"/>
        <v>Short Days</v>
      </c>
    </row>
    <row r="259" spans="1:21">
      <c r="A259" t="s">
        <v>275</v>
      </c>
      <c r="B259" s="5">
        <v>45431</v>
      </c>
      <c r="C259" t="s">
        <v>3258</v>
      </c>
      <c r="D259" t="s">
        <v>4652</v>
      </c>
      <c r="E259" t="s">
        <v>4866</v>
      </c>
      <c r="F259">
        <v>54</v>
      </c>
      <c r="G259" t="s">
        <v>4874</v>
      </c>
      <c r="H259" t="s">
        <v>4886</v>
      </c>
      <c r="I259" t="s">
        <v>4899</v>
      </c>
      <c r="J259" t="s">
        <v>4912</v>
      </c>
      <c r="K259" t="s">
        <v>4930</v>
      </c>
      <c r="L259" t="s">
        <v>4935</v>
      </c>
      <c r="M259" t="s">
        <v>4942</v>
      </c>
      <c r="N259" s="11">
        <v>5412.25</v>
      </c>
      <c r="O259" t="s">
        <v>4946</v>
      </c>
      <c r="P259" t="s">
        <v>4951</v>
      </c>
      <c r="S259" t="str">
        <f t="shared" ref="S259:S322" si="12">IF(F259&lt;18,"Child",IF(F259&lt;=40,"Adult",IF(F259&lt;=60,"Middle-Aged",IF(F259,"Senior"))))</f>
        <v>Middle-Aged</v>
      </c>
      <c r="T259" t="str">
        <f t="shared" ref="T259:T322" si="13">IF(N259&lt;=5000,"Low",IF(N259&lt;=10000,"Medium","High"))</f>
        <v>Medium</v>
      </c>
      <c r="U259" t="str">
        <f t="shared" ref="U259:U322" si="14">IF(Q259&lt;=5,"Short Days","Long Days")</f>
        <v>Short Days</v>
      </c>
    </row>
    <row r="260" spans="1:21">
      <c r="A260" t="s">
        <v>276</v>
      </c>
      <c r="B260" s="5">
        <v>45611</v>
      </c>
      <c r="C260" t="s">
        <v>3259</v>
      </c>
      <c r="D260" t="s">
        <v>4634</v>
      </c>
      <c r="E260" t="s">
        <v>4866</v>
      </c>
      <c r="F260">
        <v>32</v>
      </c>
      <c r="G260" t="s">
        <v>4881</v>
      </c>
      <c r="H260" t="s">
        <v>4881</v>
      </c>
      <c r="I260" t="s">
        <v>4897</v>
      </c>
      <c r="J260" t="s">
        <v>4907</v>
      </c>
      <c r="K260" t="s">
        <v>4931</v>
      </c>
      <c r="L260" t="s">
        <v>4934</v>
      </c>
      <c r="M260" t="s">
        <v>4943</v>
      </c>
      <c r="N260" s="11">
        <v>6001.3</v>
      </c>
      <c r="O260" t="s">
        <v>4948</v>
      </c>
      <c r="P260" t="s">
        <v>4951</v>
      </c>
      <c r="R260">
        <v>90</v>
      </c>
      <c r="S260" t="str">
        <f t="shared" si="12"/>
        <v>Adult</v>
      </c>
      <c r="T260" t="str">
        <f t="shared" si="13"/>
        <v>Medium</v>
      </c>
      <c r="U260" t="str">
        <f t="shared" si="14"/>
        <v>Short Days</v>
      </c>
    </row>
    <row r="261" spans="1:21">
      <c r="A261" t="s">
        <v>277</v>
      </c>
      <c r="B261" s="5">
        <v>45410</v>
      </c>
      <c r="C261" t="s">
        <v>3253</v>
      </c>
      <c r="D261" t="s">
        <v>4723</v>
      </c>
      <c r="E261" t="s">
        <v>4868</v>
      </c>
      <c r="F261">
        <v>17</v>
      </c>
      <c r="G261" t="s">
        <v>4875</v>
      </c>
      <c r="H261" t="s">
        <v>4889</v>
      </c>
      <c r="I261" t="s">
        <v>4900</v>
      </c>
      <c r="J261" t="s">
        <v>4919</v>
      </c>
      <c r="K261" t="s">
        <v>4924</v>
      </c>
      <c r="L261" t="s">
        <v>4935</v>
      </c>
      <c r="M261" t="s">
        <v>4942</v>
      </c>
      <c r="N261" s="11">
        <v>6302.42</v>
      </c>
      <c r="O261" t="s">
        <v>4949</v>
      </c>
      <c r="P261" t="s">
        <v>4951</v>
      </c>
      <c r="R261">
        <v>7</v>
      </c>
      <c r="S261" t="str">
        <f t="shared" si="12"/>
        <v>Child</v>
      </c>
      <c r="T261" t="str">
        <f t="shared" si="13"/>
        <v>Medium</v>
      </c>
      <c r="U261" t="str">
        <f t="shared" si="14"/>
        <v>Short Days</v>
      </c>
    </row>
    <row r="262" spans="1:21">
      <c r="A262" t="s">
        <v>278</v>
      </c>
      <c r="B262" s="5">
        <v>45886</v>
      </c>
      <c r="C262" t="s">
        <v>3260</v>
      </c>
      <c r="D262" t="s">
        <v>4693</v>
      </c>
      <c r="E262" t="s">
        <v>4866</v>
      </c>
      <c r="F262">
        <v>8</v>
      </c>
      <c r="G262" t="s">
        <v>4875</v>
      </c>
      <c r="H262" t="s">
        <v>4889</v>
      </c>
      <c r="I262" t="s">
        <v>4898</v>
      </c>
      <c r="J262" t="s">
        <v>4923</v>
      </c>
      <c r="K262" t="s">
        <v>4931</v>
      </c>
      <c r="L262" t="s">
        <v>4938</v>
      </c>
      <c r="M262" t="s">
        <v>4942</v>
      </c>
      <c r="N262" s="11">
        <v>4932.22</v>
      </c>
      <c r="O262" t="s">
        <v>4946</v>
      </c>
      <c r="P262" t="s">
        <v>4951</v>
      </c>
      <c r="R262">
        <v>14</v>
      </c>
      <c r="S262" t="str">
        <f t="shared" si="12"/>
        <v>Child</v>
      </c>
      <c r="T262" t="str">
        <f t="shared" si="13"/>
        <v>Low</v>
      </c>
      <c r="U262" t="str">
        <f t="shared" si="14"/>
        <v>Short Days</v>
      </c>
    </row>
    <row r="263" spans="1:21">
      <c r="A263" t="s">
        <v>279</v>
      </c>
      <c r="B263" s="5">
        <v>45660</v>
      </c>
      <c r="C263" t="s">
        <v>3261</v>
      </c>
      <c r="D263" t="s">
        <v>4639</v>
      </c>
      <c r="E263" t="s">
        <v>4866</v>
      </c>
      <c r="F263">
        <v>57</v>
      </c>
      <c r="G263" t="s">
        <v>4872</v>
      </c>
      <c r="H263" t="s">
        <v>4887</v>
      </c>
      <c r="I263" t="s">
        <v>4896</v>
      </c>
      <c r="J263" t="s">
        <v>4906</v>
      </c>
      <c r="K263" t="s">
        <v>4925</v>
      </c>
      <c r="L263" t="s">
        <v>4941</v>
      </c>
      <c r="M263" t="s">
        <v>4942</v>
      </c>
      <c r="N263" s="11">
        <v>4055.23</v>
      </c>
      <c r="O263" t="s">
        <v>4946</v>
      </c>
      <c r="P263" t="s">
        <v>4951</v>
      </c>
      <c r="R263">
        <v>14</v>
      </c>
      <c r="S263" t="str">
        <f t="shared" si="12"/>
        <v>Middle-Aged</v>
      </c>
      <c r="T263" t="str">
        <f t="shared" si="13"/>
        <v>Low</v>
      </c>
      <c r="U263" t="str">
        <f t="shared" si="14"/>
        <v>Short Days</v>
      </c>
    </row>
    <row r="264" spans="1:21">
      <c r="A264" t="s">
        <v>280</v>
      </c>
      <c r="B264" s="5">
        <v>45476</v>
      </c>
      <c r="C264" t="s">
        <v>3262</v>
      </c>
      <c r="D264" t="s">
        <v>4595</v>
      </c>
      <c r="E264" t="s">
        <v>4867</v>
      </c>
      <c r="F264">
        <v>33</v>
      </c>
      <c r="G264" t="s">
        <v>4883</v>
      </c>
      <c r="H264" t="s">
        <v>4892</v>
      </c>
      <c r="I264" t="s">
        <v>4897</v>
      </c>
      <c r="J264" t="s">
        <v>4922</v>
      </c>
      <c r="K264" t="s">
        <v>4933</v>
      </c>
      <c r="L264" t="s">
        <v>4940</v>
      </c>
      <c r="M264" t="s">
        <v>4944</v>
      </c>
      <c r="N264" s="11">
        <v>12139.96</v>
      </c>
      <c r="O264" t="s">
        <v>15</v>
      </c>
      <c r="P264" t="s">
        <v>4952</v>
      </c>
      <c r="R264">
        <v>14</v>
      </c>
      <c r="S264" t="str">
        <f t="shared" si="12"/>
        <v>Adult</v>
      </c>
      <c r="T264" t="str">
        <f t="shared" si="13"/>
        <v>High</v>
      </c>
      <c r="U264" t="str">
        <f t="shared" si="14"/>
        <v>Short Days</v>
      </c>
    </row>
    <row r="265" spans="1:21">
      <c r="A265" t="s">
        <v>281</v>
      </c>
      <c r="B265" s="5">
        <v>45679</v>
      </c>
      <c r="C265" t="s">
        <v>3263</v>
      </c>
      <c r="D265" t="s">
        <v>4733</v>
      </c>
      <c r="E265" t="s">
        <v>4867</v>
      </c>
      <c r="F265">
        <v>47</v>
      </c>
      <c r="G265" t="s">
        <v>4869</v>
      </c>
      <c r="H265" t="s">
        <v>4884</v>
      </c>
      <c r="I265" t="s">
        <v>4902</v>
      </c>
      <c r="J265" t="s">
        <v>4916</v>
      </c>
      <c r="K265" t="s">
        <v>4927</v>
      </c>
      <c r="L265" t="s">
        <v>4937</v>
      </c>
      <c r="M265" t="s">
        <v>4942</v>
      </c>
      <c r="N265" s="11">
        <v>5379.05</v>
      </c>
      <c r="O265" t="s">
        <v>4946</v>
      </c>
      <c r="P265" t="s">
        <v>4951</v>
      </c>
      <c r="R265">
        <v>14</v>
      </c>
      <c r="S265" t="str">
        <f t="shared" si="12"/>
        <v>Middle-Aged</v>
      </c>
      <c r="T265" t="str">
        <f t="shared" si="13"/>
        <v>Medium</v>
      </c>
      <c r="U265" t="str">
        <f t="shared" si="14"/>
        <v>Short Days</v>
      </c>
    </row>
    <row r="266" spans="1:21">
      <c r="A266" t="s">
        <v>282</v>
      </c>
      <c r="B266" s="5">
        <v>45617</v>
      </c>
      <c r="C266" t="s">
        <v>3032</v>
      </c>
      <c r="D266" t="s">
        <v>4751</v>
      </c>
      <c r="E266" t="s">
        <v>4866</v>
      </c>
      <c r="F266">
        <v>37</v>
      </c>
      <c r="G266" t="s">
        <v>4870</v>
      </c>
      <c r="H266" t="s">
        <v>4885</v>
      </c>
      <c r="I266" t="s">
        <v>4897</v>
      </c>
      <c r="J266" t="s">
        <v>4922</v>
      </c>
      <c r="K266" t="s">
        <v>4926</v>
      </c>
      <c r="L266" t="s">
        <v>4936</v>
      </c>
      <c r="M266" t="s">
        <v>4942</v>
      </c>
      <c r="N266" s="11">
        <v>415.7</v>
      </c>
      <c r="O266" t="s">
        <v>4946</v>
      </c>
      <c r="P266" t="s">
        <v>4951</v>
      </c>
      <c r="R266">
        <v>7</v>
      </c>
      <c r="S266" t="str">
        <f t="shared" si="12"/>
        <v>Adult</v>
      </c>
      <c r="T266" t="str">
        <f t="shared" si="13"/>
        <v>Low</v>
      </c>
      <c r="U266" t="str">
        <f t="shared" si="14"/>
        <v>Short Days</v>
      </c>
    </row>
    <row r="267" spans="1:21">
      <c r="A267" t="s">
        <v>283</v>
      </c>
      <c r="B267" s="5">
        <v>45704</v>
      </c>
      <c r="C267" t="s">
        <v>3264</v>
      </c>
      <c r="D267" t="s">
        <v>4636</v>
      </c>
      <c r="E267" t="s">
        <v>4867</v>
      </c>
      <c r="F267">
        <v>51</v>
      </c>
      <c r="G267" t="s">
        <v>4876</v>
      </c>
      <c r="H267" t="s">
        <v>4888</v>
      </c>
      <c r="I267" t="s">
        <v>4893</v>
      </c>
      <c r="J267" t="s">
        <v>4917</v>
      </c>
      <c r="K267" t="s">
        <v>4928</v>
      </c>
      <c r="L267" t="s">
        <v>4940</v>
      </c>
      <c r="M267" t="s">
        <v>4942</v>
      </c>
      <c r="N267" s="11">
        <v>215.53</v>
      </c>
      <c r="O267" t="s">
        <v>4947</v>
      </c>
      <c r="P267" t="s">
        <v>4951</v>
      </c>
      <c r="R267">
        <v>14</v>
      </c>
      <c r="S267" t="str">
        <f t="shared" si="12"/>
        <v>Middle-Aged</v>
      </c>
      <c r="T267" t="str">
        <f t="shared" si="13"/>
        <v>Low</v>
      </c>
      <c r="U267" t="str">
        <f t="shared" si="14"/>
        <v>Short Days</v>
      </c>
    </row>
    <row r="268" spans="1:21">
      <c r="A268" t="s">
        <v>284</v>
      </c>
      <c r="B268" s="5">
        <v>45592</v>
      </c>
      <c r="C268" t="s">
        <v>3265</v>
      </c>
      <c r="D268" t="s">
        <v>4640</v>
      </c>
      <c r="E268" t="s">
        <v>4866</v>
      </c>
      <c r="F268">
        <v>45</v>
      </c>
      <c r="G268" t="s">
        <v>4876</v>
      </c>
      <c r="H268" t="s">
        <v>4888</v>
      </c>
      <c r="I268" t="s">
        <v>4897</v>
      </c>
      <c r="J268" t="s">
        <v>4907</v>
      </c>
      <c r="K268" t="s">
        <v>4926</v>
      </c>
      <c r="L268" t="s">
        <v>4936</v>
      </c>
      <c r="M268" t="s">
        <v>4944</v>
      </c>
      <c r="N268" s="11">
        <v>11417.9</v>
      </c>
      <c r="O268" t="s">
        <v>4947</v>
      </c>
      <c r="P268" t="s">
        <v>4951</v>
      </c>
      <c r="R268">
        <v>90</v>
      </c>
      <c r="S268" t="str">
        <f t="shared" si="12"/>
        <v>Middle-Aged</v>
      </c>
      <c r="T268" t="str">
        <f t="shared" si="13"/>
        <v>High</v>
      </c>
      <c r="U268" t="str">
        <f t="shared" si="14"/>
        <v>Short Days</v>
      </c>
    </row>
    <row r="269" spans="1:21">
      <c r="A269" t="s">
        <v>285</v>
      </c>
      <c r="B269" s="5">
        <v>45512</v>
      </c>
      <c r="C269" t="s">
        <v>3266</v>
      </c>
      <c r="D269" t="s">
        <v>4719</v>
      </c>
      <c r="E269" t="s">
        <v>4867</v>
      </c>
      <c r="F269">
        <v>8</v>
      </c>
      <c r="G269" t="s">
        <v>4881</v>
      </c>
      <c r="H269" t="s">
        <v>4881</v>
      </c>
      <c r="I269" t="s">
        <v>4900</v>
      </c>
      <c r="J269" t="s">
        <v>4913</v>
      </c>
      <c r="K269" t="s">
        <v>4931</v>
      </c>
      <c r="L269" t="s">
        <v>4938</v>
      </c>
      <c r="M269" t="s">
        <v>4942</v>
      </c>
      <c r="N269" s="11">
        <v>5905.97</v>
      </c>
      <c r="O269" t="s">
        <v>4946</v>
      </c>
      <c r="P269" t="s">
        <v>4951</v>
      </c>
      <c r="R269">
        <v>14</v>
      </c>
      <c r="S269" t="str">
        <f t="shared" si="12"/>
        <v>Child</v>
      </c>
      <c r="T269" t="str">
        <f t="shared" si="13"/>
        <v>Medium</v>
      </c>
      <c r="U269" t="str">
        <f t="shared" si="14"/>
        <v>Short Days</v>
      </c>
    </row>
    <row r="270" spans="1:21">
      <c r="A270" t="s">
        <v>286</v>
      </c>
      <c r="B270" s="5">
        <v>45917</v>
      </c>
      <c r="C270" t="s">
        <v>3267</v>
      </c>
      <c r="D270" t="s">
        <v>4716</v>
      </c>
      <c r="E270" t="s">
        <v>4867</v>
      </c>
      <c r="F270">
        <v>36</v>
      </c>
      <c r="G270" t="s">
        <v>4879</v>
      </c>
      <c r="H270" t="s">
        <v>4888</v>
      </c>
      <c r="I270" t="s">
        <v>4897</v>
      </c>
      <c r="J270" t="s">
        <v>4907</v>
      </c>
      <c r="K270" t="s">
        <v>4927</v>
      </c>
      <c r="L270" t="s">
        <v>4934</v>
      </c>
      <c r="M270" t="s">
        <v>4942</v>
      </c>
      <c r="N270" s="11">
        <v>2749.53</v>
      </c>
      <c r="O270" t="s">
        <v>4946</v>
      </c>
      <c r="P270" t="s">
        <v>4951</v>
      </c>
      <c r="R270">
        <v>30</v>
      </c>
      <c r="S270" t="str">
        <f t="shared" si="12"/>
        <v>Adult</v>
      </c>
      <c r="T270" t="str">
        <f t="shared" si="13"/>
        <v>Low</v>
      </c>
      <c r="U270" t="str">
        <f t="shared" si="14"/>
        <v>Short Days</v>
      </c>
    </row>
    <row r="271" spans="1:21">
      <c r="A271" t="s">
        <v>287</v>
      </c>
      <c r="B271" s="5">
        <v>45622</v>
      </c>
      <c r="C271" t="s">
        <v>3268</v>
      </c>
      <c r="D271" t="s">
        <v>4756</v>
      </c>
      <c r="E271" t="s">
        <v>4866</v>
      </c>
      <c r="F271">
        <v>19</v>
      </c>
      <c r="G271" t="s">
        <v>4869</v>
      </c>
      <c r="H271" t="s">
        <v>4884</v>
      </c>
      <c r="I271" t="s">
        <v>4895</v>
      </c>
      <c r="J271" t="s">
        <v>4915</v>
      </c>
      <c r="K271" t="s">
        <v>4927</v>
      </c>
      <c r="L271" t="s">
        <v>4936</v>
      </c>
      <c r="M271" t="s">
        <v>4942</v>
      </c>
      <c r="N271" s="11">
        <v>6979.38</v>
      </c>
      <c r="O271" t="s">
        <v>4946</v>
      </c>
      <c r="P271" t="s">
        <v>4951</v>
      </c>
      <c r="R271">
        <v>30</v>
      </c>
      <c r="S271" t="str">
        <f t="shared" si="12"/>
        <v>Adult</v>
      </c>
      <c r="T271" t="str">
        <f t="shared" si="13"/>
        <v>Medium</v>
      </c>
      <c r="U271" t="str">
        <f t="shared" si="14"/>
        <v>Short Days</v>
      </c>
    </row>
    <row r="272" spans="1:21">
      <c r="A272" t="s">
        <v>288</v>
      </c>
      <c r="B272" s="5">
        <v>45842</v>
      </c>
      <c r="C272" t="s">
        <v>3269</v>
      </c>
      <c r="D272" t="s">
        <v>4757</v>
      </c>
      <c r="E272" t="s">
        <v>4867</v>
      </c>
      <c r="F272">
        <v>71</v>
      </c>
      <c r="G272" t="s">
        <v>4881</v>
      </c>
      <c r="H272" t="s">
        <v>4881</v>
      </c>
      <c r="I272" t="s">
        <v>4901</v>
      </c>
      <c r="J272" t="s">
        <v>4921</v>
      </c>
      <c r="K272" t="s">
        <v>4931</v>
      </c>
      <c r="L272" t="s">
        <v>4937</v>
      </c>
      <c r="M272" t="s">
        <v>4943</v>
      </c>
      <c r="N272" s="11">
        <v>11900.88</v>
      </c>
      <c r="O272" t="s">
        <v>4949</v>
      </c>
      <c r="P272" t="s">
        <v>4951</v>
      </c>
      <c r="R272">
        <v>14</v>
      </c>
      <c r="S272" t="str">
        <f t="shared" si="12"/>
        <v>Senior</v>
      </c>
      <c r="T272" t="str">
        <f t="shared" si="13"/>
        <v>High</v>
      </c>
      <c r="U272" t="str">
        <f t="shared" si="14"/>
        <v>Short Days</v>
      </c>
    </row>
    <row r="273" spans="1:21">
      <c r="A273" t="s">
        <v>289</v>
      </c>
      <c r="B273" s="5">
        <v>45649</v>
      </c>
      <c r="C273" t="s">
        <v>3270</v>
      </c>
      <c r="D273" t="s">
        <v>4718</v>
      </c>
      <c r="E273" t="s">
        <v>4866</v>
      </c>
      <c r="F273">
        <v>0</v>
      </c>
      <c r="G273" t="s">
        <v>4880</v>
      </c>
      <c r="H273" t="s">
        <v>4890</v>
      </c>
      <c r="I273" t="s">
        <v>4900</v>
      </c>
      <c r="J273" t="s">
        <v>4919</v>
      </c>
      <c r="K273" t="s">
        <v>4925</v>
      </c>
      <c r="L273" t="s">
        <v>4939</v>
      </c>
      <c r="M273" t="s">
        <v>4942</v>
      </c>
      <c r="N273" s="11">
        <v>1770.11</v>
      </c>
      <c r="O273" t="s">
        <v>4946</v>
      </c>
      <c r="P273" t="s">
        <v>4951</v>
      </c>
      <c r="R273">
        <v>30</v>
      </c>
      <c r="S273" t="str">
        <f t="shared" si="12"/>
        <v>Child</v>
      </c>
      <c r="T273" t="str">
        <f t="shared" si="13"/>
        <v>Low</v>
      </c>
      <c r="U273" t="str">
        <f t="shared" si="14"/>
        <v>Short Days</v>
      </c>
    </row>
    <row r="274" spans="1:21">
      <c r="A274" t="s">
        <v>290</v>
      </c>
      <c r="B274" s="5">
        <v>45651</v>
      </c>
      <c r="C274" t="s">
        <v>3271</v>
      </c>
      <c r="D274" t="s">
        <v>4595</v>
      </c>
      <c r="E274" t="s">
        <v>4867</v>
      </c>
      <c r="F274">
        <v>49</v>
      </c>
      <c r="G274" t="s">
        <v>4881</v>
      </c>
      <c r="H274" t="s">
        <v>4881</v>
      </c>
      <c r="I274" t="s">
        <v>4899</v>
      </c>
      <c r="J274" t="s">
        <v>4911</v>
      </c>
      <c r="K274" t="s">
        <v>4925</v>
      </c>
      <c r="L274" t="s">
        <v>4936</v>
      </c>
      <c r="M274" t="s">
        <v>4942</v>
      </c>
      <c r="N274" s="11">
        <v>6828.37</v>
      </c>
      <c r="O274" t="s">
        <v>15</v>
      </c>
      <c r="P274" t="s">
        <v>4952</v>
      </c>
      <c r="R274">
        <v>7</v>
      </c>
      <c r="S274" t="str">
        <f t="shared" si="12"/>
        <v>Middle-Aged</v>
      </c>
      <c r="T274" t="str">
        <f t="shared" si="13"/>
        <v>Medium</v>
      </c>
      <c r="U274" t="str">
        <f t="shared" si="14"/>
        <v>Short Days</v>
      </c>
    </row>
    <row r="275" spans="1:21">
      <c r="A275" t="s">
        <v>291</v>
      </c>
      <c r="B275" s="5">
        <v>45886</v>
      </c>
      <c r="C275" t="s">
        <v>3272</v>
      </c>
      <c r="D275" t="s">
        <v>4738</v>
      </c>
      <c r="E275" t="s">
        <v>4867</v>
      </c>
      <c r="F275">
        <v>59</v>
      </c>
      <c r="G275" t="s">
        <v>4877</v>
      </c>
      <c r="H275" t="s">
        <v>4888</v>
      </c>
      <c r="I275" t="s">
        <v>4893</v>
      </c>
      <c r="J275" t="s">
        <v>4917</v>
      </c>
      <c r="K275" t="s">
        <v>4925</v>
      </c>
      <c r="L275" t="s">
        <v>4941</v>
      </c>
      <c r="M275" t="s">
        <v>4944</v>
      </c>
      <c r="N275" s="11">
        <v>5912.07</v>
      </c>
      <c r="O275" t="s">
        <v>4946</v>
      </c>
      <c r="P275" t="s">
        <v>4951</v>
      </c>
      <c r="R275">
        <v>14</v>
      </c>
      <c r="S275" t="str">
        <f t="shared" si="12"/>
        <v>Middle-Aged</v>
      </c>
      <c r="T275" t="str">
        <f t="shared" si="13"/>
        <v>Medium</v>
      </c>
      <c r="U275" t="str">
        <f t="shared" si="14"/>
        <v>Short Days</v>
      </c>
    </row>
    <row r="276" spans="1:21">
      <c r="A276" t="s">
        <v>292</v>
      </c>
      <c r="B276" s="5">
        <v>45488</v>
      </c>
      <c r="C276" t="s">
        <v>3066</v>
      </c>
      <c r="D276" t="s">
        <v>4758</v>
      </c>
      <c r="E276" t="s">
        <v>4866</v>
      </c>
      <c r="F276">
        <v>59</v>
      </c>
      <c r="G276" t="s">
        <v>4872</v>
      </c>
      <c r="H276" t="s">
        <v>4887</v>
      </c>
      <c r="I276" t="s">
        <v>4901</v>
      </c>
      <c r="J276" t="s">
        <v>4921</v>
      </c>
      <c r="K276" t="s">
        <v>4933</v>
      </c>
      <c r="L276" t="s">
        <v>4938</v>
      </c>
      <c r="M276" t="s">
        <v>4942</v>
      </c>
      <c r="N276" s="11">
        <v>3015.64</v>
      </c>
      <c r="O276" t="s">
        <v>4948</v>
      </c>
      <c r="P276" t="s">
        <v>4951</v>
      </c>
      <c r="R276">
        <v>30</v>
      </c>
      <c r="S276" t="str">
        <f t="shared" si="12"/>
        <v>Middle-Aged</v>
      </c>
      <c r="T276" t="str">
        <f t="shared" si="13"/>
        <v>Low</v>
      </c>
      <c r="U276" t="str">
        <f t="shared" si="14"/>
        <v>Short Days</v>
      </c>
    </row>
    <row r="277" spans="1:21">
      <c r="A277" t="s">
        <v>293</v>
      </c>
      <c r="B277" s="5">
        <v>45650</v>
      </c>
      <c r="C277" t="s">
        <v>3273</v>
      </c>
      <c r="D277" t="s">
        <v>4721</v>
      </c>
      <c r="E277" t="s">
        <v>4867</v>
      </c>
      <c r="F277">
        <v>53</v>
      </c>
      <c r="G277" t="s">
        <v>4872</v>
      </c>
      <c r="H277" t="s">
        <v>4887</v>
      </c>
      <c r="I277" t="s">
        <v>4900</v>
      </c>
      <c r="J277" t="s">
        <v>4913</v>
      </c>
      <c r="K277" t="s">
        <v>4925</v>
      </c>
      <c r="L277" t="s">
        <v>4934</v>
      </c>
      <c r="M277" t="s">
        <v>4942</v>
      </c>
      <c r="N277" s="11">
        <v>8636.82</v>
      </c>
      <c r="O277" t="s">
        <v>4948</v>
      </c>
      <c r="P277" t="s">
        <v>4951</v>
      </c>
      <c r="R277">
        <v>14</v>
      </c>
      <c r="S277" t="str">
        <f t="shared" si="12"/>
        <v>Middle-Aged</v>
      </c>
      <c r="T277" t="str">
        <f t="shared" si="13"/>
        <v>Medium</v>
      </c>
      <c r="U277" t="str">
        <f t="shared" si="14"/>
        <v>Short Days</v>
      </c>
    </row>
    <row r="278" spans="1:21">
      <c r="A278" t="s">
        <v>294</v>
      </c>
      <c r="B278" s="5">
        <v>45459</v>
      </c>
      <c r="C278" t="s">
        <v>3274</v>
      </c>
      <c r="D278" t="s">
        <v>4624</v>
      </c>
      <c r="E278" t="s">
        <v>4866</v>
      </c>
      <c r="F278">
        <f>AVERAGE(F271,F277)</f>
        <v>36</v>
      </c>
      <c r="G278" t="s">
        <v>4881</v>
      </c>
      <c r="H278" t="s">
        <v>4886</v>
      </c>
      <c r="I278" t="s">
        <v>4894</v>
      </c>
      <c r="J278" t="s">
        <v>4910</v>
      </c>
      <c r="K278" t="s">
        <v>4953</v>
      </c>
      <c r="L278" t="s">
        <v>4941</v>
      </c>
      <c r="M278" t="s">
        <v>4942</v>
      </c>
      <c r="N278" s="11">
        <v>11883.74</v>
      </c>
      <c r="O278" t="s">
        <v>4949</v>
      </c>
      <c r="P278" t="s">
        <v>4951</v>
      </c>
      <c r="R278">
        <v>30</v>
      </c>
      <c r="S278" t="str">
        <f t="shared" si="12"/>
        <v>Adult</v>
      </c>
      <c r="T278" t="str">
        <f t="shared" si="13"/>
        <v>High</v>
      </c>
      <c r="U278" t="str">
        <f t="shared" si="14"/>
        <v>Short Days</v>
      </c>
    </row>
    <row r="279" spans="1:21">
      <c r="A279" t="s">
        <v>295</v>
      </c>
      <c r="B279" s="5">
        <v>45693</v>
      </c>
      <c r="C279" t="s">
        <v>3275</v>
      </c>
      <c r="D279" t="s">
        <v>4717</v>
      </c>
      <c r="E279" t="s">
        <v>4867</v>
      </c>
      <c r="F279">
        <v>68</v>
      </c>
      <c r="G279" t="s">
        <v>4877</v>
      </c>
      <c r="H279" t="s">
        <v>4888</v>
      </c>
      <c r="I279" t="s">
        <v>4896</v>
      </c>
      <c r="J279" t="s">
        <v>4906</v>
      </c>
      <c r="K279" t="s">
        <v>4929</v>
      </c>
      <c r="L279" t="s">
        <v>4934</v>
      </c>
      <c r="M279" t="s">
        <v>4942</v>
      </c>
      <c r="N279" s="11">
        <v>7909.91</v>
      </c>
      <c r="O279" t="s">
        <v>4948</v>
      </c>
      <c r="P279" t="s">
        <v>4951</v>
      </c>
      <c r="R279">
        <v>30</v>
      </c>
      <c r="S279" t="str">
        <f t="shared" si="12"/>
        <v>Senior</v>
      </c>
      <c r="T279" t="str">
        <f t="shared" si="13"/>
        <v>Medium</v>
      </c>
      <c r="U279" t="str">
        <f t="shared" si="14"/>
        <v>Short Days</v>
      </c>
    </row>
    <row r="280" spans="1:21">
      <c r="A280" t="s">
        <v>296</v>
      </c>
      <c r="B280" s="5">
        <v>45378</v>
      </c>
      <c r="C280" t="s">
        <v>3276</v>
      </c>
      <c r="D280" t="s">
        <v>4640</v>
      </c>
      <c r="E280" t="s">
        <v>4866</v>
      </c>
      <c r="F280">
        <v>44</v>
      </c>
      <c r="G280" t="s">
        <v>4871</v>
      </c>
      <c r="H280" t="s">
        <v>4886</v>
      </c>
      <c r="I280" t="s">
        <v>4902</v>
      </c>
      <c r="J280" t="s">
        <v>4916</v>
      </c>
      <c r="K280" t="s">
        <v>4926</v>
      </c>
      <c r="L280" t="s">
        <v>4934</v>
      </c>
      <c r="M280" t="s">
        <v>4945</v>
      </c>
      <c r="N280" s="11">
        <v>5344.39</v>
      </c>
      <c r="O280" t="s">
        <v>4949</v>
      </c>
      <c r="P280" t="s">
        <v>4951</v>
      </c>
      <c r="Q280">
        <v>7</v>
      </c>
      <c r="R280">
        <v>30</v>
      </c>
      <c r="S280" t="str">
        <f t="shared" si="12"/>
        <v>Middle-Aged</v>
      </c>
      <c r="T280" t="str">
        <f t="shared" si="13"/>
        <v>Medium</v>
      </c>
      <c r="U280" t="str">
        <f t="shared" si="14"/>
        <v>Long Days</v>
      </c>
    </row>
    <row r="281" spans="1:21">
      <c r="A281" t="s">
        <v>297</v>
      </c>
      <c r="B281" s="5">
        <v>45575</v>
      </c>
      <c r="C281" t="s">
        <v>3277</v>
      </c>
      <c r="D281" t="s">
        <v>4759</v>
      </c>
      <c r="E281" t="s">
        <v>4867</v>
      </c>
      <c r="F281">
        <v>43</v>
      </c>
      <c r="G281" t="s">
        <v>4873</v>
      </c>
      <c r="H281" t="s">
        <v>4888</v>
      </c>
      <c r="I281" t="s">
        <v>4897</v>
      </c>
      <c r="J281" t="s">
        <v>4907</v>
      </c>
      <c r="K281" t="s">
        <v>4924</v>
      </c>
      <c r="L281" t="s">
        <v>4939</v>
      </c>
      <c r="M281" t="s">
        <v>4942</v>
      </c>
      <c r="N281" s="11">
        <v>100.19</v>
      </c>
      <c r="O281" t="s">
        <v>4946</v>
      </c>
      <c r="P281" t="s">
        <v>4951</v>
      </c>
      <c r="S281" t="str">
        <f t="shared" si="12"/>
        <v>Middle-Aged</v>
      </c>
      <c r="T281" t="str">
        <f t="shared" si="13"/>
        <v>Low</v>
      </c>
      <c r="U281" t="str">
        <f t="shared" si="14"/>
        <v>Short Days</v>
      </c>
    </row>
    <row r="282" spans="1:21">
      <c r="A282" t="s">
        <v>298</v>
      </c>
      <c r="B282" s="5">
        <v>45886</v>
      </c>
      <c r="C282" t="s">
        <v>3278</v>
      </c>
      <c r="D282" t="s">
        <v>4728</v>
      </c>
      <c r="E282" t="s">
        <v>4866</v>
      </c>
      <c r="F282">
        <v>52</v>
      </c>
      <c r="G282" t="s">
        <v>4873</v>
      </c>
      <c r="H282" t="s">
        <v>4888</v>
      </c>
      <c r="I282" t="s">
        <v>4899</v>
      </c>
      <c r="J282" t="s">
        <v>4912</v>
      </c>
      <c r="K282" t="s">
        <v>4930</v>
      </c>
      <c r="L282" t="s">
        <v>4940</v>
      </c>
      <c r="M282" t="s">
        <v>4942</v>
      </c>
      <c r="N282" s="11">
        <v>8737.75</v>
      </c>
      <c r="O282" t="s">
        <v>4947</v>
      </c>
      <c r="P282" t="s">
        <v>4951</v>
      </c>
      <c r="R282">
        <v>7</v>
      </c>
      <c r="S282" t="str">
        <f t="shared" si="12"/>
        <v>Middle-Aged</v>
      </c>
      <c r="T282" t="str">
        <f t="shared" si="13"/>
        <v>Medium</v>
      </c>
      <c r="U282" t="str">
        <f t="shared" si="14"/>
        <v>Short Days</v>
      </c>
    </row>
    <row r="283" spans="1:21">
      <c r="A283" t="s">
        <v>299</v>
      </c>
      <c r="B283" s="5">
        <v>45933</v>
      </c>
      <c r="C283" t="s">
        <v>3279</v>
      </c>
      <c r="D283" t="s">
        <v>4760</v>
      </c>
      <c r="E283" t="s">
        <v>4866</v>
      </c>
      <c r="F283">
        <v>55</v>
      </c>
      <c r="G283" t="s">
        <v>4869</v>
      </c>
      <c r="H283" t="s">
        <v>4884</v>
      </c>
      <c r="I283" t="s">
        <v>4899</v>
      </c>
      <c r="J283" t="s">
        <v>4911</v>
      </c>
      <c r="K283" t="s">
        <v>4927</v>
      </c>
      <c r="L283" t="s">
        <v>4934</v>
      </c>
      <c r="M283" t="s">
        <v>4943</v>
      </c>
      <c r="N283" s="11">
        <v>14538.77</v>
      </c>
      <c r="O283" t="s">
        <v>15</v>
      </c>
      <c r="P283" t="s">
        <v>4952</v>
      </c>
      <c r="R283">
        <v>7</v>
      </c>
      <c r="S283" t="str">
        <f t="shared" si="12"/>
        <v>Middle-Aged</v>
      </c>
      <c r="T283" t="str">
        <f t="shared" si="13"/>
        <v>High</v>
      </c>
      <c r="U283" t="str">
        <f t="shared" si="14"/>
        <v>Short Days</v>
      </c>
    </row>
    <row r="284" spans="1:21">
      <c r="A284" t="s">
        <v>300</v>
      </c>
      <c r="B284" s="5">
        <v>45534</v>
      </c>
      <c r="C284" t="s">
        <v>3280</v>
      </c>
      <c r="D284" t="s">
        <v>4761</v>
      </c>
      <c r="E284" t="s">
        <v>4867</v>
      </c>
      <c r="F284">
        <v>47</v>
      </c>
      <c r="G284" t="s">
        <v>4881</v>
      </c>
      <c r="H284" t="s">
        <v>4881</v>
      </c>
      <c r="I284" t="s">
        <v>4893</v>
      </c>
      <c r="J284" t="s">
        <v>4917</v>
      </c>
      <c r="K284" t="s">
        <v>4924</v>
      </c>
      <c r="L284" t="s">
        <v>4941</v>
      </c>
      <c r="M284" t="s">
        <v>4942</v>
      </c>
      <c r="N284" s="11">
        <v>9691.98</v>
      </c>
      <c r="O284" t="s">
        <v>4950</v>
      </c>
      <c r="P284" t="s">
        <v>4951</v>
      </c>
      <c r="S284" t="str">
        <f t="shared" si="12"/>
        <v>Middle-Aged</v>
      </c>
      <c r="T284" t="str">
        <f t="shared" si="13"/>
        <v>Medium</v>
      </c>
      <c r="U284" t="str">
        <f t="shared" si="14"/>
        <v>Short Days</v>
      </c>
    </row>
    <row r="285" spans="1:21">
      <c r="A285" t="s">
        <v>301</v>
      </c>
      <c r="B285" s="5">
        <v>45550</v>
      </c>
      <c r="C285" t="s">
        <v>3281</v>
      </c>
      <c r="D285" t="s">
        <v>4762</v>
      </c>
      <c r="E285" t="s">
        <v>4867</v>
      </c>
      <c r="F285">
        <v>15</v>
      </c>
      <c r="G285" t="s">
        <v>4869</v>
      </c>
      <c r="H285" t="s">
        <v>4884</v>
      </c>
      <c r="I285" t="s">
        <v>4893</v>
      </c>
      <c r="J285" t="s">
        <v>4903</v>
      </c>
      <c r="K285" t="s">
        <v>4930</v>
      </c>
      <c r="L285" t="s">
        <v>4936</v>
      </c>
      <c r="M285" t="s">
        <v>4944</v>
      </c>
      <c r="N285" s="11">
        <v>5917.99</v>
      </c>
      <c r="O285" t="s">
        <v>4948</v>
      </c>
      <c r="P285" t="s">
        <v>4951</v>
      </c>
      <c r="R285">
        <v>90</v>
      </c>
      <c r="S285" t="str">
        <f t="shared" si="12"/>
        <v>Child</v>
      </c>
      <c r="T285" t="str">
        <f t="shared" si="13"/>
        <v>Medium</v>
      </c>
      <c r="U285" t="str">
        <f t="shared" si="14"/>
        <v>Short Days</v>
      </c>
    </row>
    <row r="286" spans="1:21">
      <c r="A286" t="s">
        <v>302</v>
      </c>
      <c r="B286" s="5">
        <v>45454</v>
      </c>
      <c r="C286" t="s">
        <v>3230</v>
      </c>
      <c r="D286" t="s">
        <v>4740</v>
      </c>
      <c r="E286" t="s">
        <v>4867</v>
      </c>
      <c r="F286">
        <v>17</v>
      </c>
      <c r="G286" t="s">
        <v>4877</v>
      </c>
      <c r="H286" t="s">
        <v>4888</v>
      </c>
      <c r="I286" t="s">
        <v>4897</v>
      </c>
      <c r="J286" t="s">
        <v>4907</v>
      </c>
      <c r="K286" t="s">
        <v>4928</v>
      </c>
      <c r="L286" t="s">
        <v>4936</v>
      </c>
      <c r="M286" t="s">
        <v>4942</v>
      </c>
      <c r="N286" s="11">
        <v>15425.87</v>
      </c>
      <c r="O286" t="s">
        <v>15</v>
      </c>
      <c r="P286" t="s">
        <v>4952</v>
      </c>
      <c r="R286">
        <v>7</v>
      </c>
      <c r="S286" t="str">
        <f t="shared" si="12"/>
        <v>Child</v>
      </c>
      <c r="T286" t="str">
        <f t="shared" si="13"/>
        <v>High</v>
      </c>
      <c r="U286" t="str">
        <f t="shared" si="14"/>
        <v>Short Days</v>
      </c>
    </row>
    <row r="287" spans="1:21">
      <c r="A287" t="s">
        <v>303</v>
      </c>
      <c r="B287" s="5">
        <v>45501</v>
      </c>
      <c r="C287" t="s">
        <v>3282</v>
      </c>
      <c r="D287" t="s">
        <v>4713</v>
      </c>
      <c r="E287" t="s">
        <v>4867</v>
      </c>
      <c r="F287">
        <v>46</v>
      </c>
      <c r="G287" t="s">
        <v>4872</v>
      </c>
      <c r="H287" t="s">
        <v>4887</v>
      </c>
      <c r="I287" t="s">
        <v>4902</v>
      </c>
      <c r="J287" t="s">
        <v>4920</v>
      </c>
      <c r="K287" t="s">
        <v>4929</v>
      </c>
      <c r="L287" t="s">
        <v>4941</v>
      </c>
      <c r="M287" t="s">
        <v>4944</v>
      </c>
      <c r="N287" s="11">
        <v>6592.24</v>
      </c>
      <c r="O287" t="s">
        <v>4946</v>
      </c>
      <c r="P287" t="s">
        <v>4951</v>
      </c>
      <c r="R287">
        <v>7</v>
      </c>
      <c r="S287" t="str">
        <f t="shared" si="12"/>
        <v>Middle-Aged</v>
      </c>
      <c r="T287" t="str">
        <f t="shared" si="13"/>
        <v>Medium</v>
      </c>
      <c r="U287" t="str">
        <f t="shared" si="14"/>
        <v>Short Days</v>
      </c>
    </row>
    <row r="288" spans="1:21">
      <c r="A288" t="s">
        <v>304</v>
      </c>
      <c r="B288" s="5">
        <v>45881</v>
      </c>
      <c r="C288" t="s">
        <v>3283</v>
      </c>
      <c r="D288" t="s">
        <v>4600</v>
      </c>
      <c r="E288" t="s">
        <v>4867</v>
      </c>
      <c r="F288">
        <v>53</v>
      </c>
      <c r="G288" t="s">
        <v>4870</v>
      </c>
      <c r="H288" t="s">
        <v>4885</v>
      </c>
      <c r="I288" t="s">
        <v>4902</v>
      </c>
      <c r="J288" t="s">
        <v>4916</v>
      </c>
      <c r="K288" t="s">
        <v>4930</v>
      </c>
      <c r="L288" t="s">
        <v>4939</v>
      </c>
      <c r="M288" t="s">
        <v>4942</v>
      </c>
      <c r="N288" s="11">
        <v>5526.91</v>
      </c>
      <c r="O288" t="s">
        <v>15</v>
      </c>
      <c r="P288" t="s">
        <v>4952</v>
      </c>
      <c r="R288">
        <v>30</v>
      </c>
      <c r="S288" t="str">
        <f t="shared" si="12"/>
        <v>Middle-Aged</v>
      </c>
      <c r="T288" t="str">
        <f t="shared" si="13"/>
        <v>Medium</v>
      </c>
      <c r="U288" t="str">
        <f t="shared" si="14"/>
        <v>Short Days</v>
      </c>
    </row>
    <row r="289" spans="1:21">
      <c r="A289" t="s">
        <v>305</v>
      </c>
      <c r="B289" s="5">
        <v>45365</v>
      </c>
      <c r="C289" t="s">
        <v>3284</v>
      </c>
      <c r="D289" t="s">
        <v>4763</v>
      </c>
      <c r="E289" t="s">
        <v>4866</v>
      </c>
      <c r="F289">
        <v>45</v>
      </c>
      <c r="G289" t="s">
        <v>4878</v>
      </c>
      <c r="H289" t="s">
        <v>4889</v>
      </c>
      <c r="I289" t="s">
        <v>4898</v>
      </c>
      <c r="J289" t="s">
        <v>4918</v>
      </c>
      <c r="K289" t="s">
        <v>4926</v>
      </c>
      <c r="L289" t="s">
        <v>4937</v>
      </c>
      <c r="M289" t="s">
        <v>4942</v>
      </c>
      <c r="N289" s="11">
        <v>2057.84</v>
      </c>
      <c r="O289" t="s">
        <v>4946</v>
      </c>
      <c r="P289" t="s">
        <v>4951</v>
      </c>
      <c r="R289">
        <v>90</v>
      </c>
      <c r="S289" t="str">
        <f t="shared" si="12"/>
        <v>Middle-Aged</v>
      </c>
      <c r="T289" t="str">
        <f t="shared" si="13"/>
        <v>Low</v>
      </c>
      <c r="U289" t="str">
        <f t="shared" si="14"/>
        <v>Short Days</v>
      </c>
    </row>
    <row r="290" spans="1:21">
      <c r="A290" t="s">
        <v>306</v>
      </c>
      <c r="B290" s="5">
        <v>45447</v>
      </c>
      <c r="C290" t="s">
        <v>3285</v>
      </c>
      <c r="D290" t="s">
        <v>4764</v>
      </c>
      <c r="E290" t="s">
        <v>4867</v>
      </c>
      <c r="F290">
        <v>56</v>
      </c>
      <c r="G290" t="s">
        <v>4872</v>
      </c>
      <c r="H290" t="s">
        <v>4887</v>
      </c>
      <c r="I290" t="s">
        <v>4897</v>
      </c>
      <c r="J290" t="s">
        <v>4922</v>
      </c>
      <c r="K290" t="s">
        <v>4927</v>
      </c>
      <c r="L290" t="s">
        <v>4934</v>
      </c>
      <c r="M290" t="s">
        <v>4942</v>
      </c>
      <c r="N290" s="11">
        <v>5975.56</v>
      </c>
      <c r="O290" t="s">
        <v>4946</v>
      </c>
      <c r="P290" t="s">
        <v>4951</v>
      </c>
      <c r="R290">
        <v>30</v>
      </c>
      <c r="S290" t="str">
        <f t="shared" si="12"/>
        <v>Middle-Aged</v>
      </c>
      <c r="T290" t="str">
        <f t="shared" si="13"/>
        <v>Medium</v>
      </c>
      <c r="U290" t="str">
        <f t="shared" si="14"/>
        <v>Short Days</v>
      </c>
    </row>
    <row r="291" spans="1:21">
      <c r="A291" t="s">
        <v>307</v>
      </c>
      <c r="B291" s="5">
        <v>45922</v>
      </c>
      <c r="C291" t="s">
        <v>3286</v>
      </c>
      <c r="D291" t="s">
        <v>4765</v>
      </c>
      <c r="E291" t="s">
        <v>4866</v>
      </c>
      <c r="F291">
        <v>65</v>
      </c>
      <c r="G291" t="s">
        <v>4872</v>
      </c>
      <c r="H291" t="s">
        <v>4887</v>
      </c>
      <c r="I291" t="s">
        <v>4902</v>
      </c>
      <c r="J291" t="s">
        <v>4916</v>
      </c>
      <c r="K291" t="s">
        <v>4929</v>
      </c>
      <c r="L291" t="s">
        <v>4940</v>
      </c>
      <c r="M291" t="s">
        <v>4942</v>
      </c>
      <c r="N291" s="11">
        <v>1397.02</v>
      </c>
      <c r="O291" t="s">
        <v>4950</v>
      </c>
      <c r="P291" t="s">
        <v>4951</v>
      </c>
      <c r="R291">
        <v>7</v>
      </c>
      <c r="S291" t="str">
        <f t="shared" si="12"/>
        <v>Senior</v>
      </c>
      <c r="T291" t="str">
        <f t="shared" si="13"/>
        <v>Low</v>
      </c>
      <c r="U291" t="str">
        <f t="shared" si="14"/>
        <v>Short Days</v>
      </c>
    </row>
    <row r="292" spans="1:21">
      <c r="A292" t="s">
        <v>308</v>
      </c>
      <c r="B292" s="5">
        <v>45380</v>
      </c>
      <c r="C292" t="s">
        <v>3287</v>
      </c>
      <c r="D292" t="s">
        <v>4766</v>
      </c>
      <c r="E292" t="s">
        <v>4866</v>
      </c>
      <c r="F292">
        <v>52</v>
      </c>
      <c r="G292" t="s">
        <v>4872</v>
      </c>
      <c r="H292" t="s">
        <v>4887</v>
      </c>
      <c r="I292" t="s">
        <v>4893</v>
      </c>
      <c r="J292" t="s">
        <v>4917</v>
      </c>
      <c r="K292" t="s">
        <v>4925</v>
      </c>
      <c r="L292" t="s">
        <v>4936</v>
      </c>
      <c r="M292" t="s">
        <v>4942</v>
      </c>
      <c r="N292" s="11">
        <v>5561</v>
      </c>
      <c r="O292" t="s">
        <v>4946</v>
      </c>
      <c r="P292" t="s">
        <v>4951</v>
      </c>
      <c r="R292">
        <v>90</v>
      </c>
      <c r="S292" t="str">
        <f t="shared" si="12"/>
        <v>Middle-Aged</v>
      </c>
      <c r="T292" t="str">
        <f t="shared" si="13"/>
        <v>Medium</v>
      </c>
      <c r="U292" t="str">
        <f t="shared" si="14"/>
        <v>Short Days</v>
      </c>
    </row>
    <row r="293" spans="1:21">
      <c r="A293" t="s">
        <v>309</v>
      </c>
      <c r="B293" s="5">
        <v>45791</v>
      </c>
      <c r="C293" t="s">
        <v>3288</v>
      </c>
      <c r="D293" t="s">
        <v>4767</v>
      </c>
      <c r="E293" t="s">
        <v>4867</v>
      </c>
      <c r="F293">
        <v>63</v>
      </c>
      <c r="G293" t="s">
        <v>4875</v>
      </c>
      <c r="H293" t="s">
        <v>4889</v>
      </c>
      <c r="I293" t="s">
        <v>4899</v>
      </c>
      <c r="J293" t="s">
        <v>4912</v>
      </c>
      <c r="K293" t="s">
        <v>4928</v>
      </c>
      <c r="L293" t="s">
        <v>4940</v>
      </c>
      <c r="M293" t="s">
        <v>4942</v>
      </c>
      <c r="N293" s="11">
        <v>1911.62</v>
      </c>
      <c r="O293" t="s">
        <v>4947</v>
      </c>
      <c r="P293" t="s">
        <v>4951</v>
      </c>
      <c r="R293">
        <v>90</v>
      </c>
      <c r="S293" t="str">
        <f t="shared" si="12"/>
        <v>Senior</v>
      </c>
      <c r="T293" t="str">
        <f t="shared" si="13"/>
        <v>Low</v>
      </c>
      <c r="U293" t="str">
        <f t="shared" si="14"/>
        <v>Short Days</v>
      </c>
    </row>
    <row r="294" spans="1:21">
      <c r="A294" t="s">
        <v>310</v>
      </c>
      <c r="B294" s="5">
        <v>45533</v>
      </c>
      <c r="C294" t="s">
        <v>3265</v>
      </c>
      <c r="D294" t="s">
        <v>4768</v>
      </c>
      <c r="E294" t="s">
        <v>4867</v>
      </c>
      <c r="F294">
        <v>38</v>
      </c>
      <c r="G294" t="s">
        <v>4870</v>
      </c>
      <c r="H294" t="s">
        <v>4885</v>
      </c>
      <c r="I294" t="s">
        <v>4895</v>
      </c>
      <c r="J294" t="s">
        <v>4915</v>
      </c>
      <c r="K294" t="s">
        <v>4933</v>
      </c>
      <c r="L294" t="s">
        <v>4934</v>
      </c>
      <c r="M294" t="s">
        <v>4943</v>
      </c>
      <c r="N294" s="11">
        <v>9671.32</v>
      </c>
      <c r="O294" t="s">
        <v>4947</v>
      </c>
      <c r="P294" t="s">
        <v>4951</v>
      </c>
      <c r="R294">
        <v>90</v>
      </c>
      <c r="S294" t="str">
        <f t="shared" si="12"/>
        <v>Adult</v>
      </c>
      <c r="T294" t="str">
        <f t="shared" si="13"/>
        <v>Medium</v>
      </c>
      <c r="U294" t="str">
        <f t="shared" si="14"/>
        <v>Short Days</v>
      </c>
    </row>
    <row r="295" spans="1:21">
      <c r="A295" t="s">
        <v>311</v>
      </c>
      <c r="B295" s="5">
        <v>45938</v>
      </c>
      <c r="C295" t="s">
        <v>3289</v>
      </c>
      <c r="D295" t="s">
        <v>4757</v>
      </c>
      <c r="E295" t="s">
        <v>4866</v>
      </c>
      <c r="F295">
        <v>39</v>
      </c>
      <c r="G295" t="s">
        <v>4882</v>
      </c>
      <c r="H295" t="s">
        <v>4891</v>
      </c>
      <c r="I295" t="s">
        <v>4895</v>
      </c>
      <c r="J295" t="s">
        <v>4915</v>
      </c>
      <c r="K295" t="s">
        <v>4926</v>
      </c>
      <c r="L295" t="s">
        <v>4937</v>
      </c>
      <c r="M295" t="s">
        <v>4942</v>
      </c>
      <c r="N295" s="11">
        <v>317.48</v>
      </c>
      <c r="O295" t="s">
        <v>15</v>
      </c>
      <c r="P295" t="s">
        <v>4952</v>
      </c>
      <c r="R295">
        <v>14</v>
      </c>
      <c r="S295" t="str">
        <f t="shared" si="12"/>
        <v>Adult</v>
      </c>
      <c r="T295" t="str">
        <f t="shared" si="13"/>
        <v>Low</v>
      </c>
      <c r="U295" t="str">
        <f t="shared" si="14"/>
        <v>Short Days</v>
      </c>
    </row>
    <row r="296" spans="1:21">
      <c r="A296" t="s">
        <v>312</v>
      </c>
      <c r="B296" s="5">
        <v>45396</v>
      </c>
      <c r="C296" t="s">
        <v>3290</v>
      </c>
      <c r="D296" t="s">
        <v>4750</v>
      </c>
      <c r="E296" t="s">
        <v>4867</v>
      </c>
      <c r="F296">
        <v>55</v>
      </c>
      <c r="G296" t="s">
        <v>4871</v>
      </c>
      <c r="H296" t="s">
        <v>4886</v>
      </c>
      <c r="I296" t="s">
        <v>4894</v>
      </c>
      <c r="J296" t="s">
        <v>4904</v>
      </c>
      <c r="K296" t="s">
        <v>4932</v>
      </c>
      <c r="L296" t="s">
        <v>4934</v>
      </c>
      <c r="M296" t="s">
        <v>4942</v>
      </c>
      <c r="N296" s="11">
        <v>5672.39</v>
      </c>
      <c r="O296" t="s">
        <v>4949</v>
      </c>
      <c r="P296" t="s">
        <v>4951</v>
      </c>
      <c r="R296">
        <v>30</v>
      </c>
      <c r="S296" t="str">
        <f t="shared" si="12"/>
        <v>Middle-Aged</v>
      </c>
      <c r="T296" t="str">
        <f t="shared" si="13"/>
        <v>Medium</v>
      </c>
      <c r="U296" t="str">
        <f t="shared" si="14"/>
        <v>Short Days</v>
      </c>
    </row>
    <row r="297" spans="1:21">
      <c r="A297" t="s">
        <v>313</v>
      </c>
      <c r="B297" s="5">
        <v>45579</v>
      </c>
      <c r="C297" t="s">
        <v>3291</v>
      </c>
      <c r="D297" t="s">
        <v>4741</v>
      </c>
      <c r="E297" t="s">
        <v>4867</v>
      </c>
      <c r="F297">
        <v>42</v>
      </c>
      <c r="G297" t="s">
        <v>4872</v>
      </c>
      <c r="H297" t="s">
        <v>4887</v>
      </c>
      <c r="I297" t="s">
        <v>4899</v>
      </c>
      <c r="J297" t="s">
        <v>4911</v>
      </c>
      <c r="K297" t="s">
        <v>4928</v>
      </c>
      <c r="L297" t="s">
        <v>4940</v>
      </c>
      <c r="M297" t="s">
        <v>4942</v>
      </c>
      <c r="N297" s="11">
        <v>5406.62</v>
      </c>
      <c r="O297" t="s">
        <v>15</v>
      </c>
      <c r="P297" t="s">
        <v>4952</v>
      </c>
      <c r="R297">
        <v>7</v>
      </c>
      <c r="S297" t="str">
        <f t="shared" si="12"/>
        <v>Middle-Aged</v>
      </c>
      <c r="T297" t="str">
        <f t="shared" si="13"/>
        <v>Medium</v>
      </c>
      <c r="U297" t="str">
        <f t="shared" si="14"/>
        <v>Short Days</v>
      </c>
    </row>
    <row r="298" spans="1:21">
      <c r="A298" t="s">
        <v>314</v>
      </c>
      <c r="B298" s="5">
        <v>45689</v>
      </c>
      <c r="C298" t="s">
        <v>3292</v>
      </c>
      <c r="D298" t="s">
        <v>4701</v>
      </c>
      <c r="E298" t="s">
        <v>4866</v>
      </c>
      <c r="F298">
        <v>50</v>
      </c>
      <c r="G298" t="s">
        <v>4876</v>
      </c>
      <c r="H298" t="s">
        <v>4888</v>
      </c>
      <c r="I298" t="s">
        <v>4895</v>
      </c>
      <c r="J298" t="s">
        <v>4915</v>
      </c>
      <c r="K298" t="s">
        <v>4924</v>
      </c>
      <c r="L298" t="s">
        <v>4940</v>
      </c>
      <c r="M298" t="s">
        <v>4945</v>
      </c>
      <c r="N298" s="11">
        <v>17863.98</v>
      </c>
      <c r="O298" t="s">
        <v>4948</v>
      </c>
      <c r="P298" t="s">
        <v>4951</v>
      </c>
      <c r="Q298">
        <v>6</v>
      </c>
      <c r="S298" t="str">
        <f t="shared" si="12"/>
        <v>Middle-Aged</v>
      </c>
      <c r="T298" t="str">
        <f t="shared" si="13"/>
        <v>High</v>
      </c>
      <c r="U298" t="str">
        <f t="shared" si="14"/>
        <v>Long Days</v>
      </c>
    </row>
    <row r="299" spans="1:21">
      <c r="A299" t="s">
        <v>315</v>
      </c>
      <c r="B299" s="5">
        <v>45677</v>
      </c>
      <c r="C299" t="s">
        <v>3293</v>
      </c>
      <c r="D299" t="s">
        <v>4627</v>
      </c>
      <c r="E299" t="s">
        <v>4866</v>
      </c>
      <c r="F299">
        <v>27</v>
      </c>
      <c r="G299" t="s">
        <v>4875</v>
      </c>
      <c r="H299" t="s">
        <v>4889</v>
      </c>
      <c r="I299" t="s">
        <v>4896</v>
      </c>
      <c r="J299" t="s">
        <v>4908</v>
      </c>
      <c r="K299" t="s">
        <v>4931</v>
      </c>
      <c r="L299" t="s">
        <v>4940</v>
      </c>
      <c r="M299" t="s">
        <v>4942</v>
      </c>
      <c r="N299" s="11">
        <v>10265.370000000001</v>
      </c>
      <c r="O299" t="s">
        <v>4947</v>
      </c>
      <c r="P299" t="s">
        <v>4951</v>
      </c>
      <c r="R299">
        <v>90</v>
      </c>
      <c r="S299" t="str">
        <f t="shared" si="12"/>
        <v>Adult</v>
      </c>
      <c r="T299" t="str">
        <f t="shared" si="13"/>
        <v>High</v>
      </c>
      <c r="U299" t="str">
        <f t="shared" si="14"/>
        <v>Short Days</v>
      </c>
    </row>
    <row r="300" spans="1:21">
      <c r="A300" t="s">
        <v>316</v>
      </c>
      <c r="B300" s="5">
        <v>45449</v>
      </c>
      <c r="C300" t="s">
        <v>3294</v>
      </c>
      <c r="D300" t="s">
        <v>4726</v>
      </c>
      <c r="E300" t="s">
        <v>4866</v>
      </c>
      <c r="F300">
        <v>63</v>
      </c>
      <c r="G300" t="s">
        <v>4871</v>
      </c>
      <c r="H300" t="s">
        <v>4886</v>
      </c>
      <c r="I300" t="s">
        <v>4893</v>
      </c>
      <c r="J300" t="s">
        <v>4917</v>
      </c>
      <c r="K300" t="s">
        <v>4928</v>
      </c>
      <c r="L300" t="s">
        <v>4935</v>
      </c>
      <c r="M300" t="s">
        <v>4944</v>
      </c>
      <c r="N300" s="11">
        <v>23604.63</v>
      </c>
      <c r="O300" t="s">
        <v>4947</v>
      </c>
      <c r="P300" t="s">
        <v>4951</v>
      </c>
      <c r="R300">
        <v>90</v>
      </c>
      <c r="S300" t="str">
        <f t="shared" si="12"/>
        <v>Senior</v>
      </c>
      <c r="T300" t="str">
        <f t="shared" si="13"/>
        <v>High</v>
      </c>
      <c r="U300" t="str">
        <f t="shared" si="14"/>
        <v>Short Days</v>
      </c>
    </row>
    <row r="301" spans="1:21">
      <c r="A301" t="s">
        <v>317</v>
      </c>
      <c r="B301" s="5">
        <v>45927</v>
      </c>
      <c r="C301" t="s">
        <v>3295</v>
      </c>
      <c r="D301" t="s">
        <v>4696</v>
      </c>
      <c r="E301" t="s">
        <v>4866</v>
      </c>
      <c r="F301">
        <f>AVERAGE(F294,F300)</f>
        <v>50.5</v>
      </c>
      <c r="G301" t="s">
        <v>4881</v>
      </c>
      <c r="H301" t="s">
        <v>4892</v>
      </c>
      <c r="I301" t="s">
        <v>4895</v>
      </c>
      <c r="J301" t="s">
        <v>4905</v>
      </c>
      <c r="K301" t="s">
        <v>4953</v>
      </c>
      <c r="L301" t="s">
        <v>4941</v>
      </c>
      <c r="M301" t="s">
        <v>4942</v>
      </c>
      <c r="N301" s="11">
        <v>10901.74</v>
      </c>
      <c r="O301" t="s">
        <v>4949</v>
      </c>
      <c r="P301" t="s">
        <v>4951</v>
      </c>
      <c r="R301">
        <v>14</v>
      </c>
      <c r="S301" t="str">
        <f t="shared" si="12"/>
        <v>Middle-Aged</v>
      </c>
      <c r="T301" t="str">
        <f t="shared" si="13"/>
        <v>High</v>
      </c>
      <c r="U301" t="str">
        <f t="shared" si="14"/>
        <v>Short Days</v>
      </c>
    </row>
    <row r="302" spans="1:21">
      <c r="A302" t="s">
        <v>318</v>
      </c>
      <c r="B302" s="5">
        <v>45693</v>
      </c>
      <c r="C302" t="s">
        <v>3296</v>
      </c>
      <c r="D302" t="s">
        <v>4642</v>
      </c>
      <c r="E302" t="s">
        <v>4867</v>
      </c>
      <c r="F302">
        <v>48</v>
      </c>
      <c r="G302" t="s">
        <v>4869</v>
      </c>
      <c r="H302" t="s">
        <v>4884</v>
      </c>
      <c r="I302" t="s">
        <v>4902</v>
      </c>
      <c r="J302" t="s">
        <v>4920</v>
      </c>
      <c r="K302" t="s">
        <v>4929</v>
      </c>
      <c r="L302" t="s">
        <v>4940</v>
      </c>
      <c r="M302" t="s">
        <v>4943</v>
      </c>
      <c r="N302" s="11">
        <v>5554.48</v>
      </c>
      <c r="O302" t="s">
        <v>4949</v>
      </c>
      <c r="P302" t="s">
        <v>4951</v>
      </c>
      <c r="S302" t="str">
        <f t="shared" si="12"/>
        <v>Middle-Aged</v>
      </c>
      <c r="T302" t="str">
        <f t="shared" si="13"/>
        <v>Medium</v>
      </c>
      <c r="U302" t="str">
        <f t="shared" si="14"/>
        <v>Short Days</v>
      </c>
    </row>
    <row r="303" spans="1:21">
      <c r="A303" t="s">
        <v>319</v>
      </c>
      <c r="B303" s="5">
        <v>45644</v>
      </c>
      <c r="C303" t="s">
        <v>3297</v>
      </c>
      <c r="D303" t="s">
        <v>4754</v>
      </c>
      <c r="E303" t="s">
        <v>4867</v>
      </c>
      <c r="F303">
        <v>53</v>
      </c>
      <c r="G303" t="s">
        <v>4878</v>
      </c>
      <c r="H303" t="s">
        <v>4889</v>
      </c>
      <c r="I303" t="s">
        <v>4893</v>
      </c>
      <c r="J303" t="s">
        <v>4917</v>
      </c>
      <c r="K303" t="s">
        <v>4931</v>
      </c>
      <c r="L303" t="s">
        <v>4941</v>
      </c>
      <c r="M303" t="s">
        <v>4942</v>
      </c>
      <c r="N303" s="11">
        <v>3263.45</v>
      </c>
      <c r="O303" t="s">
        <v>4949</v>
      </c>
      <c r="P303" t="s">
        <v>4951</v>
      </c>
      <c r="R303">
        <v>90</v>
      </c>
      <c r="S303" t="str">
        <f t="shared" si="12"/>
        <v>Middle-Aged</v>
      </c>
      <c r="T303" t="str">
        <f t="shared" si="13"/>
        <v>Low</v>
      </c>
      <c r="U303" t="str">
        <f t="shared" si="14"/>
        <v>Short Days</v>
      </c>
    </row>
    <row r="304" spans="1:21">
      <c r="A304" t="s">
        <v>320</v>
      </c>
      <c r="B304" s="5">
        <v>45545</v>
      </c>
      <c r="C304" t="s">
        <v>3298</v>
      </c>
      <c r="D304" t="s">
        <v>4769</v>
      </c>
      <c r="E304" t="s">
        <v>4866</v>
      </c>
      <c r="F304">
        <v>70</v>
      </c>
      <c r="G304" t="s">
        <v>4871</v>
      </c>
      <c r="H304" t="s">
        <v>4886</v>
      </c>
      <c r="I304" t="s">
        <v>4902</v>
      </c>
      <c r="J304" t="s">
        <v>4916</v>
      </c>
      <c r="K304" t="s">
        <v>4928</v>
      </c>
      <c r="L304" t="s">
        <v>4935</v>
      </c>
      <c r="M304" t="s">
        <v>4942</v>
      </c>
      <c r="N304" s="11">
        <v>536.20000000000005</v>
      </c>
      <c r="O304" t="s">
        <v>4946</v>
      </c>
      <c r="P304" t="s">
        <v>4951</v>
      </c>
      <c r="R304">
        <v>90</v>
      </c>
      <c r="S304" t="str">
        <f t="shared" si="12"/>
        <v>Senior</v>
      </c>
      <c r="T304" t="str">
        <f t="shared" si="13"/>
        <v>Low</v>
      </c>
      <c r="U304" t="str">
        <f t="shared" si="14"/>
        <v>Short Days</v>
      </c>
    </row>
    <row r="305" spans="1:21">
      <c r="A305" t="s">
        <v>321</v>
      </c>
      <c r="B305" s="5">
        <v>45323</v>
      </c>
      <c r="C305" t="s">
        <v>3299</v>
      </c>
      <c r="D305" t="s">
        <v>4770</v>
      </c>
      <c r="E305" t="s">
        <v>4867</v>
      </c>
      <c r="F305">
        <v>42</v>
      </c>
      <c r="G305" t="s">
        <v>4874</v>
      </c>
      <c r="H305" t="s">
        <v>4886</v>
      </c>
      <c r="I305" t="s">
        <v>4900</v>
      </c>
      <c r="J305" t="s">
        <v>4913</v>
      </c>
      <c r="K305" t="s">
        <v>4926</v>
      </c>
      <c r="L305" t="s">
        <v>4940</v>
      </c>
      <c r="M305" t="s">
        <v>4943</v>
      </c>
      <c r="N305" s="11">
        <v>23402.75</v>
      </c>
      <c r="O305" t="s">
        <v>4946</v>
      </c>
      <c r="P305" t="s">
        <v>4951</v>
      </c>
      <c r="R305">
        <v>30</v>
      </c>
      <c r="S305" t="str">
        <f t="shared" si="12"/>
        <v>Middle-Aged</v>
      </c>
      <c r="T305" t="str">
        <f t="shared" si="13"/>
        <v>High</v>
      </c>
      <c r="U305" t="str">
        <f t="shared" si="14"/>
        <v>Short Days</v>
      </c>
    </row>
    <row r="306" spans="1:21">
      <c r="A306" t="s">
        <v>322</v>
      </c>
      <c r="B306" s="5">
        <v>45807</v>
      </c>
      <c r="C306" t="s">
        <v>3300</v>
      </c>
      <c r="D306" t="s">
        <v>4708</v>
      </c>
      <c r="E306" t="s">
        <v>4866</v>
      </c>
      <c r="F306">
        <v>25</v>
      </c>
      <c r="G306" t="s">
        <v>4872</v>
      </c>
      <c r="H306" t="s">
        <v>4887</v>
      </c>
      <c r="I306" t="s">
        <v>4896</v>
      </c>
      <c r="J306" t="s">
        <v>4906</v>
      </c>
      <c r="K306" t="s">
        <v>4925</v>
      </c>
      <c r="L306" t="s">
        <v>4936</v>
      </c>
      <c r="M306" t="s">
        <v>4942</v>
      </c>
      <c r="N306" s="11">
        <v>7094.03</v>
      </c>
      <c r="O306" t="s">
        <v>4947</v>
      </c>
      <c r="P306" t="s">
        <v>4951</v>
      </c>
      <c r="R306">
        <v>30</v>
      </c>
      <c r="S306" t="str">
        <f t="shared" si="12"/>
        <v>Adult</v>
      </c>
      <c r="T306" t="str">
        <f t="shared" si="13"/>
        <v>Medium</v>
      </c>
      <c r="U306" t="str">
        <f t="shared" si="14"/>
        <v>Short Days</v>
      </c>
    </row>
    <row r="307" spans="1:21">
      <c r="A307" t="s">
        <v>323</v>
      </c>
      <c r="B307" s="5">
        <v>45352</v>
      </c>
      <c r="C307" t="s">
        <v>3301</v>
      </c>
      <c r="D307" t="s">
        <v>4682</v>
      </c>
      <c r="E307" t="s">
        <v>4866</v>
      </c>
      <c r="F307">
        <v>38</v>
      </c>
      <c r="G307" t="s">
        <v>4871</v>
      </c>
      <c r="H307" t="s">
        <v>4886</v>
      </c>
      <c r="I307" t="s">
        <v>4896</v>
      </c>
      <c r="J307" t="s">
        <v>4906</v>
      </c>
      <c r="K307" t="s">
        <v>4933</v>
      </c>
      <c r="L307" t="s">
        <v>4937</v>
      </c>
      <c r="M307" t="s">
        <v>4942</v>
      </c>
      <c r="N307" s="11">
        <v>2846.28</v>
      </c>
      <c r="O307" t="s">
        <v>4949</v>
      </c>
      <c r="P307" t="s">
        <v>4951</v>
      </c>
      <c r="R307">
        <v>30</v>
      </c>
      <c r="S307" t="str">
        <f t="shared" si="12"/>
        <v>Adult</v>
      </c>
      <c r="T307" t="str">
        <f t="shared" si="13"/>
        <v>Low</v>
      </c>
      <c r="U307" t="str">
        <f t="shared" si="14"/>
        <v>Short Days</v>
      </c>
    </row>
    <row r="308" spans="1:21">
      <c r="A308" t="s">
        <v>324</v>
      </c>
      <c r="B308" s="5">
        <v>45476</v>
      </c>
      <c r="C308" t="s">
        <v>3302</v>
      </c>
      <c r="D308" t="s">
        <v>4697</v>
      </c>
      <c r="E308" t="s">
        <v>4866</v>
      </c>
      <c r="F308">
        <v>55</v>
      </c>
      <c r="G308" t="s">
        <v>4875</v>
      </c>
      <c r="H308" t="s">
        <v>4889</v>
      </c>
      <c r="I308" t="s">
        <v>4902</v>
      </c>
      <c r="J308" t="s">
        <v>4916</v>
      </c>
      <c r="K308" t="s">
        <v>4926</v>
      </c>
      <c r="L308" t="s">
        <v>4939</v>
      </c>
      <c r="M308" t="s">
        <v>4942</v>
      </c>
      <c r="N308" s="11">
        <v>10797.11</v>
      </c>
      <c r="O308" t="s">
        <v>4949</v>
      </c>
      <c r="P308" t="s">
        <v>4951</v>
      </c>
      <c r="R308">
        <v>90</v>
      </c>
      <c r="S308" t="str">
        <f t="shared" si="12"/>
        <v>Middle-Aged</v>
      </c>
      <c r="T308" t="str">
        <f t="shared" si="13"/>
        <v>High</v>
      </c>
      <c r="U308" t="str">
        <f t="shared" si="14"/>
        <v>Short Days</v>
      </c>
    </row>
    <row r="309" spans="1:21">
      <c r="A309" t="s">
        <v>325</v>
      </c>
      <c r="B309" s="5">
        <v>45433</v>
      </c>
      <c r="C309" t="s">
        <v>3303</v>
      </c>
      <c r="D309" t="s">
        <v>4764</v>
      </c>
      <c r="E309" t="s">
        <v>4866</v>
      </c>
      <c r="F309">
        <v>31</v>
      </c>
      <c r="G309" t="s">
        <v>4878</v>
      </c>
      <c r="H309" t="s">
        <v>4889</v>
      </c>
      <c r="I309" t="s">
        <v>4902</v>
      </c>
      <c r="J309" t="s">
        <v>4916</v>
      </c>
      <c r="K309" t="s">
        <v>4926</v>
      </c>
      <c r="L309" t="s">
        <v>4935</v>
      </c>
      <c r="M309" t="s">
        <v>4942</v>
      </c>
      <c r="N309" s="11">
        <v>4194.87</v>
      </c>
      <c r="O309" t="s">
        <v>4947</v>
      </c>
      <c r="P309" t="s">
        <v>4951</v>
      </c>
      <c r="R309">
        <v>7</v>
      </c>
      <c r="S309" t="str">
        <f t="shared" si="12"/>
        <v>Adult</v>
      </c>
      <c r="T309" t="str">
        <f t="shared" si="13"/>
        <v>Low</v>
      </c>
      <c r="U309" t="str">
        <f t="shared" si="14"/>
        <v>Short Days</v>
      </c>
    </row>
    <row r="310" spans="1:21">
      <c r="A310" t="s">
        <v>326</v>
      </c>
      <c r="B310" s="5">
        <v>45315</v>
      </c>
      <c r="C310" t="s">
        <v>3025</v>
      </c>
      <c r="D310" t="s">
        <v>4614</v>
      </c>
      <c r="E310" t="s">
        <v>4866</v>
      </c>
      <c r="F310">
        <v>36</v>
      </c>
      <c r="G310" t="s">
        <v>4871</v>
      </c>
      <c r="H310" t="s">
        <v>4886</v>
      </c>
      <c r="I310" t="s">
        <v>4902</v>
      </c>
      <c r="J310" t="s">
        <v>4916</v>
      </c>
      <c r="K310" t="s">
        <v>4929</v>
      </c>
      <c r="L310" t="s">
        <v>4936</v>
      </c>
      <c r="M310" t="s">
        <v>4942</v>
      </c>
      <c r="N310" s="11">
        <v>14101.39</v>
      </c>
      <c r="O310" t="s">
        <v>4947</v>
      </c>
      <c r="P310" t="s">
        <v>4951</v>
      </c>
      <c r="R310">
        <v>90</v>
      </c>
      <c r="S310" t="str">
        <f t="shared" si="12"/>
        <v>Adult</v>
      </c>
      <c r="T310" t="str">
        <f t="shared" si="13"/>
        <v>High</v>
      </c>
      <c r="U310" t="str">
        <f t="shared" si="14"/>
        <v>Short Days</v>
      </c>
    </row>
    <row r="311" spans="1:21">
      <c r="A311" t="s">
        <v>327</v>
      </c>
      <c r="B311" s="5">
        <v>45713</v>
      </c>
      <c r="C311" t="s">
        <v>3304</v>
      </c>
      <c r="D311" t="s">
        <v>4727</v>
      </c>
      <c r="E311" t="s">
        <v>4866</v>
      </c>
      <c r="F311">
        <v>47</v>
      </c>
      <c r="G311" t="s">
        <v>4883</v>
      </c>
      <c r="H311" t="s">
        <v>4892</v>
      </c>
      <c r="I311" t="s">
        <v>4899</v>
      </c>
      <c r="J311" t="s">
        <v>4911</v>
      </c>
      <c r="K311" t="s">
        <v>4933</v>
      </c>
      <c r="L311" t="s">
        <v>4941</v>
      </c>
      <c r="M311" t="s">
        <v>4942</v>
      </c>
      <c r="N311" s="11">
        <v>4027.07</v>
      </c>
      <c r="O311" t="s">
        <v>4947</v>
      </c>
      <c r="P311" t="s">
        <v>4951</v>
      </c>
      <c r="S311" t="str">
        <f t="shared" si="12"/>
        <v>Middle-Aged</v>
      </c>
      <c r="T311" t="str">
        <f t="shared" si="13"/>
        <v>Low</v>
      </c>
      <c r="U311" t="str">
        <f t="shared" si="14"/>
        <v>Short Days</v>
      </c>
    </row>
    <row r="312" spans="1:21">
      <c r="A312" t="s">
        <v>328</v>
      </c>
      <c r="B312" s="5">
        <v>45773</v>
      </c>
      <c r="C312" t="s">
        <v>3305</v>
      </c>
      <c r="D312" t="s">
        <v>4586</v>
      </c>
      <c r="E312" t="s">
        <v>4867</v>
      </c>
      <c r="F312">
        <v>56</v>
      </c>
      <c r="G312" t="s">
        <v>4881</v>
      </c>
      <c r="H312" t="s">
        <v>4881</v>
      </c>
      <c r="I312" t="s">
        <v>4900</v>
      </c>
      <c r="J312" t="s">
        <v>4913</v>
      </c>
      <c r="K312" t="s">
        <v>4927</v>
      </c>
      <c r="L312" t="s">
        <v>4938</v>
      </c>
      <c r="M312" t="s">
        <v>4944</v>
      </c>
      <c r="N312" s="11">
        <v>14808.42</v>
      </c>
      <c r="O312" t="s">
        <v>4948</v>
      </c>
      <c r="P312" t="s">
        <v>4951</v>
      </c>
      <c r="R312">
        <v>14</v>
      </c>
      <c r="S312" t="str">
        <f t="shared" si="12"/>
        <v>Middle-Aged</v>
      </c>
      <c r="T312" t="str">
        <f t="shared" si="13"/>
        <v>High</v>
      </c>
      <c r="U312" t="str">
        <f t="shared" si="14"/>
        <v>Short Days</v>
      </c>
    </row>
    <row r="313" spans="1:21">
      <c r="A313" t="s">
        <v>329</v>
      </c>
      <c r="B313" s="5">
        <v>45915</v>
      </c>
      <c r="C313" t="s">
        <v>3306</v>
      </c>
      <c r="D313" t="s">
        <v>4640</v>
      </c>
      <c r="E313" t="s">
        <v>4866</v>
      </c>
      <c r="F313">
        <v>39</v>
      </c>
      <c r="G313" t="s">
        <v>4879</v>
      </c>
      <c r="H313" t="s">
        <v>4888</v>
      </c>
      <c r="I313" t="s">
        <v>4895</v>
      </c>
      <c r="J313" t="s">
        <v>4915</v>
      </c>
      <c r="K313" t="s">
        <v>4925</v>
      </c>
      <c r="L313" t="s">
        <v>4934</v>
      </c>
      <c r="M313" t="s">
        <v>4942</v>
      </c>
      <c r="N313" s="11">
        <v>1967.87</v>
      </c>
      <c r="O313" t="s">
        <v>4947</v>
      </c>
      <c r="P313" t="s">
        <v>4951</v>
      </c>
      <c r="R313">
        <v>30</v>
      </c>
      <c r="S313" t="str">
        <f t="shared" si="12"/>
        <v>Adult</v>
      </c>
      <c r="T313" t="str">
        <f t="shared" si="13"/>
        <v>Low</v>
      </c>
      <c r="U313" t="str">
        <f t="shared" si="14"/>
        <v>Short Days</v>
      </c>
    </row>
    <row r="314" spans="1:21">
      <c r="A314" t="s">
        <v>330</v>
      </c>
      <c r="B314" s="5">
        <v>45803</v>
      </c>
      <c r="C314" t="s">
        <v>3300</v>
      </c>
      <c r="D314" t="s">
        <v>4771</v>
      </c>
      <c r="E314" t="s">
        <v>4867</v>
      </c>
      <c r="F314">
        <v>55</v>
      </c>
      <c r="G314" t="s">
        <v>4880</v>
      </c>
      <c r="H314" t="s">
        <v>4890</v>
      </c>
      <c r="I314" t="s">
        <v>4901</v>
      </c>
      <c r="J314" t="s">
        <v>4921</v>
      </c>
      <c r="K314" t="s">
        <v>4953</v>
      </c>
      <c r="L314" t="s">
        <v>4941</v>
      </c>
      <c r="M314" t="s">
        <v>4943</v>
      </c>
      <c r="N314" s="11">
        <v>8185.84</v>
      </c>
      <c r="O314" t="s">
        <v>15</v>
      </c>
      <c r="P314" t="s">
        <v>4952</v>
      </c>
      <c r="R314">
        <v>14</v>
      </c>
      <c r="S314" t="str">
        <f t="shared" si="12"/>
        <v>Middle-Aged</v>
      </c>
      <c r="T314" t="str">
        <f t="shared" si="13"/>
        <v>Medium</v>
      </c>
      <c r="U314" t="str">
        <f t="shared" si="14"/>
        <v>Short Days</v>
      </c>
    </row>
    <row r="315" spans="1:21">
      <c r="A315" t="s">
        <v>331</v>
      </c>
      <c r="B315" s="5">
        <v>45670</v>
      </c>
      <c r="C315" t="s">
        <v>3307</v>
      </c>
      <c r="D315" t="s">
        <v>4694</v>
      </c>
      <c r="E315" t="s">
        <v>4866</v>
      </c>
      <c r="F315">
        <v>36</v>
      </c>
      <c r="G315" t="s">
        <v>4883</v>
      </c>
      <c r="H315" t="s">
        <v>4892</v>
      </c>
      <c r="I315" t="s">
        <v>4894</v>
      </c>
      <c r="J315" t="s">
        <v>4910</v>
      </c>
      <c r="K315" t="s">
        <v>4930</v>
      </c>
      <c r="L315" t="s">
        <v>4941</v>
      </c>
      <c r="M315" t="s">
        <v>4944</v>
      </c>
      <c r="N315" s="11">
        <v>5372.11</v>
      </c>
      <c r="O315" t="s">
        <v>4947</v>
      </c>
      <c r="P315" t="s">
        <v>4951</v>
      </c>
      <c r="R315">
        <v>90</v>
      </c>
      <c r="S315" t="str">
        <f t="shared" si="12"/>
        <v>Adult</v>
      </c>
      <c r="T315" t="str">
        <f t="shared" si="13"/>
        <v>Medium</v>
      </c>
      <c r="U315" t="str">
        <f t="shared" si="14"/>
        <v>Short Days</v>
      </c>
    </row>
    <row r="316" spans="1:21">
      <c r="A316" t="s">
        <v>332</v>
      </c>
      <c r="B316" s="5">
        <v>45903</v>
      </c>
      <c r="C316" t="s">
        <v>3308</v>
      </c>
      <c r="D316" t="s">
        <v>4772</v>
      </c>
      <c r="E316" t="s">
        <v>4866</v>
      </c>
      <c r="F316">
        <v>60</v>
      </c>
      <c r="G316" t="s">
        <v>4872</v>
      </c>
      <c r="H316" t="s">
        <v>4887</v>
      </c>
      <c r="I316" t="s">
        <v>4894</v>
      </c>
      <c r="J316" t="s">
        <v>4904</v>
      </c>
      <c r="K316" t="s">
        <v>4927</v>
      </c>
      <c r="L316" t="s">
        <v>4938</v>
      </c>
      <c r="M316" t="s">
        <v>4942</v>
      </c>
      <c r="N316" s="11">
        <v>2139.1999999999998</v>
      </c>
      <c r="O316" t="s">
        <v>4948</v>
      </c>
      <c r="P316" t="s">
        <v>4951</v>
      </c>
      <c r="R316">
        <v>30</v>
      </c>
      <c r="S316" t="str">
        <f t="shared" si="12"/>
        <v>Middle-Aged</v>
      </c>
      <c r="T316" t="str">
        <f t="shared" si="13"/>
        <v>Low</v>
      </c>
      <c r="U316" t="str">
        <f t="shared" si="14"/>
        <v>Short Days</v>
      </c>
    </row>
    <row r="317" spans="1:21">
      <c r="A317" t="s">
        <v>333</v>
      </c>
      <c r="B317" s="5">
        <v>45512</v>
      </c>
      <c r="C317" t="s">
        <v>3309</v>
      </c>
      <c r="D317" t="s">
        <v>4694</v>
      </c>
      <c r="E317" t="s">
        <v>4867</v>
      </c>
      <c r="F317">
        <v>22</v>
      </c>
      <c r="G317" t="s">
        <v>4871</v>
      </c>
      <c r="H317" t="s">
        <v>4886</v>
      </c>
      <c r="I317" t="s">
        <v>4893</v>
      </c>
      <c r="J317" t="s">
        <v>4903</v>
      </c>
      <c r="K317" t="s">
        <v>4929</v>
      </c>
      <c r="L317" t="s">
        <v>4936</v>
      </c>
      <c r="M317" t="s">
        <v>4942</v>
      </c>
      <c r="N317" s="11">
        <v>5911.31</v>
      </c>
      <c r="O317" t="s">
        <v>15</v>
      </c>
      <c r="P317" t="s">
        <v>4952</v>
      </c>
      <c r="R317">
        <v>90</v>
      </c>
      <c r="S317" t="str">
        <f t="shared" si="12"/>
        <v>Adult</v>
      </c>
      <c r="T317" t="str">
        <f t="shared" si="13"/>
        <v>Medium</v>
      </c>
      <c r="U317" t="str">
        <f t="shared" si="14"/>
        <v>Short Days</v>
      </c>
    </row>
    <row r="318" spans="1:21">
      <c r="A318" t="s">
        <v>334</v>
      </c>
      <c r="B318" s="5">
        <v>45492</v>
      </c>
      <c r="C318" t="s">
        <v>3310</v>
      </c>
      <c r="D318" t="s">
        <v>4680</v>
      </c>
      <c r="E318" t="s">
        <v>4866</v>
      </c>
      <c r="F318">
        <v>29</v>
      </c>
      <c r="G318" t="s">
        <v>4882</v>
      </c>
      <c r="H318" t="s">
        <v>4891</v>
      </c>
      <c r="I318" t="s">
        <v>4896</v>
      </c>
      <c r="J318" t="s">
        <v>4908</v>
      </c>
      <c r="K318" t="s">
        <v>4930</v>
      </c>
      <c r="L318" t="s">
        <v>4941</v>
      </c>
      <c r="M318" t="s">
        <v>4944</v>
      </c>
      <c r="N318" s="11">
        <v>11529.82</v>
      </c>
      <c r="O318" t="s">
        <v>4947</v>
      </c>
      <c r="P318" t="s">
        <v>4951</v>
      </c>
      <c r="S318" t="str">
        <f t="shared" si="12"/>
        <v>Adult</v>
      </c>
      <c r="T318" t="str">
        <f t="shared" si="13"/>
        <v>High</v>
      </c>
      <c r="U318" t="str">
        <f t="shared" si="14"/>
        <v>Short Days</v>
      </c>
    </row>
    <row r="319" spans="1:21">
      <c r="A319" t="s">
        <v>335</v>
      </c>
      <c r="B319" s="5">
        <v>45297</v>
      </c>
      <c r="C319" t="s">
        <v>3311</v>
      </c>
      <c r="D319" t="s">
        <v>4632</v>
      </c>
      <c r="E319" t="s">
        <v>4867</v>
      </c>
      <c r="F319">
        <v>38</v>
      </c>
      <c r="G319" t="s">
        <v>4872</v>
      </c>
      <c r="H319" t="s">
        <v>4887</v>
      </c>
      <c r="I319" t="s">
        <v>4893</v>
      </c>
      <c r="J319" t="s">
        <v>4917</v>
      </c>
      <c r="K319" t="s">
        <v>4926</v>
      </c>
      <c r="L319" t="s">
        <v>4935</v>
      </c>
      <c r="M319" t="s">
        <v>4942</v>
      </c>
      <c r="N319" s="11">
        <v>10820.96</v>
      </c>
      <c r="O319" t="s">
        <v>4947</v>
      </c>
      <c r="P319" t="s">
        <v>4951</v>
      </c>
      <c r="R319">
        <v>90</v>
      </c>
      <c r="S319" t="str">
        <f t="shared" si="12"/>
        <v>Adult</v>
      </c>
      <c r="T319" t="str">
        <f t="shared" si="13"/>
        <v>High</v>
      </c>
      <c r="U319" t="str">
        <f t="shared" si="14"/>
        <v>Short Days</v>
      </c>
    </row>
    <row r="320" spans="1:21">
      <c r="A320" t="s">
        <v>336</v>
      </c>
      <c r="B320" s="5">
        <v>45379</v>
      </c>
      <c r="C320" t="s">
        <v>3312</v>
      </c>
      <c r="D320" t="s">
        <v>4702</v>
      </c>
      <c r="E320" t="s">
        <v>4867</v>
      </c>
      <c r="F320">
        <v>64</v>
      </c>
      <c r="G320" t="s">
        <v>4882</v>
      </c>
      <c r="H320" t="s">
        <v>4891</v>
      </c>
      <c r="I320" t="s">
        <v>4894</v>
      </c>
      <c r="J320" t="s">
        <v>4904</v>
      </c>
      <c r="K320" t="s">
        <v>4929</v>
      </c>
      <c r="L320" t="s">
        <v>4938</v>
      </c>
      <c r="M320" t="s">
        <v>4942</v>
      </c>
      <c r="N320" s="11">
        <v>1819.66</v>
      </c>
      <c r="O320" t="s">
        <v>4946</v>
      </c>
      <c r="P320" t="s">
        <v>4951</v>
      </c>
      <c r="R320">
        <v>14</v>
      </c>
      <c r="S320" t="str">
        <f t="shared" si="12"/>
        <v>Senior</v>
      </c>
      <c r="T320" t="str">
        <f t="shared" si="13"/>
        <v>Low</v>
      </c>
      <c r="U320" t="str">
        <f t="shared" si="14"/>
        <v>Short Days</v>
      </c>
    </row>
    <row r="321" spans="1:21">
      <c r="A321" t="s">
        <v>337</v>
      </c>
      <c r="B321" s="5">
        <v>45376</v>
      </c>
      <c r="C321" t="s">
        <v>3313</v>
      </c>
      <c r="D321" t="s">
        <v>4627</v>
      </c>
      <c r="E321" t="s">
        <v>4867</v>
      </c>
      <c r="F321">
        <v>23</v>
      </c>
      <c r="G321" t="s">
        <v>4883</v>
      </c>
      <c r="H321" t="s">
        <v>4892</v>
      </c>
      <c r="I321" t="s">
        <v>4900</v>
      </c>
      <c r="J321" t="s">
        <v>4919</v>
      </c>
      <c r="K321" t="s">
        <v>4924</v>
      </c>
      <c r="L321" t="s">
        <v>4941</v>
      </c>
      <c r="M321" t="s">
        <v>4942</v>
      </c>
      <c r="N321" s="11">
        <v>684.29</v>
      </c>
      <c r="O321" t="s">
        <v>4946</v>
      </c>
      <c r="P321" t="s">
        <v>4951</v>
      </c>
      <c r="S321" t="str">
        <f t="shared" si="12"/>
        <v>Adult</v>
      </c>
      <c r="T321" t="str">
        <f t="shared" si="13"/>
        <v>Low</v>
      </c>
      <c r="U321" t="str">
        <f t="shared" si="14"/>
        <v>Short Days</v>
      </c>
    </row>
    <row r="322" spans="1:21">
      <c r="A322" t="s">
        <v>338</v>
      </c>
      <c r="B322" s="5">
        <v>45351</v>
      </c>
      <c r="C322" t="s">
        <v>3314</v>
      </c>
      <c r="D322" t="s">
        <v>4657</v>
      </c>
      <c r="E322" t="s">
        <v>4867</v>
      </c>
      <c r="F322">
        <v>17</v>
      </c>
      <c r="G322" t="s">
        <v>4882</v>
      </c>
      <c r="H322" t="s">
        <v>4891</v>
      </c>
      <c r="I322" t="s">
        <v>4900</v>
      </c>
      <c r="J322" t="s">
        <v>4919</v>
      </c>
      <c r="K322" t="s">
        <v>4931</v>
      </c>
      <c r="L322" t="s">
        <v>4941</v>
      </c>
      <c r="M322" t="s">
        <v>4942</v>
      </c>
      <c r="N322" s="11">
        <v>5988.57</v>
      </c>
      <c r="O322" t="s">
        <v>4946</v>
      </c>
      <c r="P322" t="s">
        <v>4951</v>
      </c>
      <c r="R322">
        <v>14</v>
      </c>
      <c r="S322" t="str">
        <f t="shared" si="12"/>
        <v>Child</v>
      </c>
      <c r="T322" t="str">
        <f t="shared" si="13"/>
        <v>Medium</v>
      </c>
      <c r="U322" t="str">
        <f t="shared" si="14"/>
        <v>Short Days</v>
      </c>
    </row>
    <row r="323" spans="1:21">
      <c r="A323" t="s">
        <v>339</v>
      </c>
      <c r="B323" s="5">
        <v>45958</v>
      </c>
      <c r="C323" t="s">
        <v>3315</v>
      </c>
      <c r="D323" t="s">
        <v>4773</v>
      </c>
      <c r="E323" t="s">
        <v>4867</v>
      </c>
      <c r="F323">
        <v>48</v>
      </c>
      <c r="G323" t="s">
        <v>4878</v>
      </c>
      <c r="H323" t="s">
        <v>4889</v>
      </c>
      <c r="I323" t="s">
        <v>4898</v>
      </c>
      <c r="J323" t="s">
        <v>4909</v>
      </c>
      <c r="K323" t="s">
        <v>4927</v>
      </c>
      <c r="L323" t="s">
        <v>4941</v>
      </c>
      <c r="M323" t="s">
        <v>4943</v>
      </c>
      <c r="N323" s="11">
        <v>19065.080000000002</v>
      </c>
      <c r="O323" t="s">
        <v>4947</v>
      </c>
      <c r="P323" t="s">
        <v>4951</v>
      </c>
      <c r="R323">
        <v>30</v>
      </c>
      <c r="S323" t="str">
        <f t="shared" ref="S323:S386" si="15">IF(F323&lt;18,"Child",IF(F323&lt;=40,"Adult",IF(F323&lt;=60,"Middle-Aged",IF(F323,"Senior"))))</f>
        <v>Middle-Aged</v>
      </c>
      <c r="T323" t="str">
        <f t="shared" ref="T323:T386" si="16">IF(N323&lt;=5000,"Low",IF(N323&lt;=10000,"Medium","High"))</f>
        <v>High</v>
      </c>
      <c r="U323" t="str">
        <f t="shared" ref="U323:U386" si="17">IF(Q323&lt;=5,"Short Days","Long Days")</f>
        <v>Short Days</v>
      </c>
    </row>
    <row r="324" spans="1:21">
      <c r="A324" t="s">
        <v>340</v>
      </c>
      <c r="B324" s="5">
        <v>45949</v>
      </c>
      <c r="C324" t="s">
        <v>3029</v>
      </c>
      <c r="D324" t="s">
        <v>4637</v>
      </c>
      <c r="E324" t="s">
        <v>4867</v>
      </c>
      <c r="F324">
        <v>54</v>
      </c>
      <c r="G324" t="s">
        <v>4875</v>
      </c>
      <c r="H324" t="s">
        <v>4889</v>
      </c>
      <c r="I324" t="s">
        <v>4895</v>
      </c>
      <c r="J324" t="s">
        <v>4915</v>
      </c>
      <c r="K324" t="s">
        <v>4932</v>
      </c>
      <c r="L324" t="s">
        <v>4940</v>
      </c>
      <c r="M324" t="s">
        <v>4942</v>
      </c>
      <c r="N324" s="11">
        <v>3762.27</v>
      </c>
      <c r="O324" t="s">
        <v>4949</v>
      </c>
      <c r="P324" t="s">
        <v>4951</v>
      </c>
      <c r="S324" t="str">
        <f t="shared" si="15"/>
        <v>Middle-Aged</v>
      </c>
      <c r="T324" t="str">
        <f t="shared" si="16"/>
        <v>Low</v>
      </c>
      <c r="U324" t="str">
        <f t="shared" si="17"/>
        <v>Short Days</v>
      </c>
    </row>
    <row r="325" spans="1:21">
      <c r="A325" t="s">
        <v>341</v>
      </c>
      <c r="B325" s="5">
        <v>45751</v>
      </c>
      <c r="C325" t="s">
        <v>3316</v>
      </c>
      <c r="D325" t="s">
        <v>4773</v>
      </c>
      <c r="E325" t="s">
        <v>4868</v>
      </c>
      <c r="F325">
        <v>42</v>
      </c>
      <c r="G325" t="s">
        <v>4877</v>
      </c>
      <c r="H325" t="s">
        <v>4888</v>
      </c>
      <c r="I325" t="s">
        <v>4897</v>
      </c>
      <c r="J325" t="s">
        <v>4907</v>
      </c>
      <c r="K325" t="s">
        <v>4927</v>
      </c>
      <c r="L325" t="s">
        <v>4940</v>
      </c>
      <c r="M325" t="s">
        <v>4942</v>
      </c>
      <c r="N325" s="11">
        <v>1541.82</v>
      </c>
      <c r="O325" t="s">
        <v>4946</v>
      </c>
      <c r="P325" t="s">
        <v>4951</v>
      </c>
      <c r="R325">
        <v>90</v>
      </c>
      <c r="S325" t="str">
        <f t="shared" si="15"/>
        <v>Middle-Aged</v>
      </c>
      <c r="T325" t="str">
        <f t="shared" si="16"/>
        <v>Low</v>
      </c>
      <c r="U325" t="str">
        <f t="shared" si="17"/>
        <v>Short Days</v>
      </c>
    </row>
    <row r="326" spans="1:21">
      <c r="A326" t="s">
        <v>342</v>
      </c>
      <c r="B326" s="5">
        <v>45707</v>
      </c>
      <c r="C326" t="s">
        <v>3317</v>
      </c>
      <c r="D326" t="s">
        <v>4639</v>
      </c>
      <c r="E326" t="s">
        <v>4866</v>
      </c>
      <c r="F326">
        <v>50</v>
      </c>
      <c r="G326" t="s">
        <v>4875</v>
      </c>
      <c r="H326" t="s">
        <v>4889</v>
      </c>
      <c r="I326" t="s">
        <v>4893</v>
      </c>
      <c r="J326" t="s">
        <v>4917</v>
      </c>
      <c r="K326" t="s">
        <v>4932</v>
      </c>
      <c r="L326" t="s">
        <v>4940</v>
      </c>
      <c r="M326" t="s">
        <v>4942</v>
      </c>
      <c r="N326" s="11">
        <v>592.89</v>
      </c>
      <c r="O326" t="s">
        <v>4947</v>
      </c>
      <c r="P326" t="s">
        <v>4951</v>
      </c>
      <c r="S326" t="str">
        <f t="shared" si="15"/>
        <v>Middle-Aged</v>
      </c>
      <c r="T326" t="str">
        <f t="shared" si="16"/>
        <v>Low</v>
      </c>
      <c r="U326" t="str">
        <f t="shared" si="17"/>
        <v>Short Days</v>
      </c>
    </row>
    <row r="327" spans="1:21">
      <c r="A327" t="s">
        <v>343</v>
      </c>
      <c r="B327" s="5">
        <v>45612</v>
      </c>
      <c r="C327" t="s">
        <v>3318</v>
      </c>
      <c r="D327" t="s">
        <v>4774</v>
      </c>
      <c r="E327" t="s">
        <v>4867</v>
      </c>
      <c r="F327">
        <v>22</v>
      </c>
      <c r="G327" t="s">
        <v>4873</v>
      </c>
      <c r="H327" t="s">
        <v>4888</v>
      </c>
      <c r="I327" t="s">
        <v>4899</v>
      </c>
      <c r="J327" t="s">
        <v>4912</v>
      </c>
      <c r="K327" t="s">
        <v>4932</v>
      </c>
      <c r="L327" t="s">
        <v>4935</v>
      </c>
      <c r="M327" t="s">
        <v>4942</v>
      </c>
      <c r="N327" s="11">
        <v>5080.16</v>
      </c>
      <c r="O327" t="s">
        <v>15</v>
      </c>
      <c r="P327" t="s">
        <v>4952</v>
      </c>
      <c r="R327">
        <v>14</v>
      </c>
      <c r="S327" t="str">
        <f t="shared" si="15"/>
        <v>Adult</v>
      </c>
      <c r="T327" t="str">
        <f t="shared" si="16"/>
        <v>Medium</v>
      </c>
      <c r="U327" t="str">
        <f t="shared" si="17"/>
        <v>Short Days</v>
      </c>
    </row>
    <row r="328" spans="1:21">
      <c r="A328" t="s">
        <v>344</v>
      </c>
      <c r="B328" s="5">
        <v>45955</v>
      </c>
      <c r="C328" t="s">
        <v>3319</v>
      </c>
      <c r="D328" t="s">
        <v>4775</v>
      </c>
      <c r="E328" t="s">
        <v>4866</v>
      </c>
      <c r="F328">
        <v>64</v>
      </c>
      <c r="G328" t="s">
        <v>4874</v>
      </c>
      <c r="H328" t="s">
        <v>4886</v>
      </c>
      <c r="I328" t="s">
        <v>4897</v>
      </c>
      <c r="J328" t="s">
        <v>4907</v>
      </c>
      <c r="K328" t="s">
        <v>4932</v>
      </c>
      <c r="L328" t="s">
        <v>4935</v>
      </c>
      <c r="M328" t="s">
        <v>4942</v>
      </c>
      <c r="N328" s="11">
        <v>6113.19</v>
      </c>
      <c r="O328" t="s">
        <v>15</v>
      </c>
      <c r="P328" t="s">
        <v>4952</v>
      </c>
      <c r="R328">
        <v>7</v>
      </c>
      <c r="S328" t="str">
        <f t="shared" si="15"/>
        <v>Senior</v>
      </c>
      <c r="T328" t="str">
        <f t="shared" si="16"/>
        <v>Medium</v>
      </c>
      <c r="U328" t="str">
        <f t="shared" si="17"/>
        <v>Short Days</v>
      </c>
    </row>
    <row r="329" spans="1:21">
      <c r="A329" t="s">
        <v>345</v>
      </c>
      <c r="B329" s="5">
        <v>45527</v>
      </c>
      <c r="C329" t="s">
        <v>3320</v>
      </c>
      <c r="D329" t="s">
        <v>4758</v>
      </c>
      <c r="E329" t="s">
        <v>4866</v>
      </c>
      <c r="F329">
        <v>29</v>
      </c>
      <c r="G329" t="s">
        <v>4869</v>
      </c>
      <c r="H329" t="s">
        <v>4884</v>
      </c>
      <c r="I329" t="s">
        <v>4893</v>
      </c>
      <c r="J329" t="s">
        <v>4903</v>
      </c>
      <c r="K329" t="s">
        <v>4932</v>
      </c>
      <c r="L329" t="s">
        <v>4940</v>
      </c>
      <c r="M329" t="s">
        <v>4942</v>
      </c>
      <c r="N329" s="11">
        <v>3587.42</v>
      </c>
      <c r="O329" t="s">
        <v>4947</v>
      </c>
      <c r="P329" t="s">
        <v>4951</v>
      </c>
      <c r="R329">
        <v>90</v>
      </c>
      <c r="S329" t="str">
        <f t="shared" si="15"/>
        <v>Adult</v>
      </c>
      <c r="T329" t="str">
        <f t="shared" si="16"/>
        <v>Low</v>
      </c>
      <c r="U329" t="str">
        <f t="shared" si="17"/>
        <v>Short Days</v>
      </c>
    </row>
    <row r="330" spans="1:21">
      <c r="A330" t="s">
        <v>346</v>
      </c>
      <c r="B330" s="5">
        <v>45792</v>
      </c>
      <c r="C330" t="s">
        <v>3253</v>
      </c>
      <c r="D330" t="s">
        <v>4646</v>
      </c>
      <c r="E330" t="s">
        <v>4866</v>
      </c>
      <c r="F330">
        <v>16</v>
      </c>
      <c r="G330" t="s">
        <v>4881</v>
      </c>
      <c r="H330" t="s">
        <v>4881</v>
      </c>
      <c r="I330" t="s">
        <v>4896</v>
      </c>
      <c r="J330" t="s">
        <v>4908</v>
      </c>
      <c r="K330" t="s">
        <v>4929</v>
      </c>
      <c r="L330" t="s">
        <v>4939</v>
      </c>
      <c r="M330" t="s">
        <v>4942</v>
      </c>
      <c r="N330" s="11">
        <v>2588.63</v>
      </c>
      <c r="O330" t="s">
        <v>15</v>
      </c>
      <c r="P330" t="s">
        <v>4952</v>
      </c>
      <c r="R330">
        <v>30</v>
      </c>
      <c r="S330" t="str">
        <f t="shared" si="15"/>
        <v>Child</v>
      </c>
      <c r="T330" t="str">
        <f t="shared" si="16"/>
        <v>Low</v>
      </c>
      <c r="U330" t="str">
        <f t="shared" si="17"/>
        <v>Short Days</v>
      </c>
    </row>
    <row r="331" spans="1:21">
      <c r="A331" t="s">
        <v>347</v>
      </c>
      <c r="B331" s="5">
        <v>45440</v>
      </c>
      <c r="C331" t="s">
        <v>3321</v>
      </c>
      <c r="D331" t="s">
        <v>4739</v>
      </c>
      <c r="E331" t="s">
        <v>4866</v>
      </c>
      <c r="F331">
        <v>47</v>
      </c>
      <c r="G331" t="s">
        <v>4878</v>
      </c>
      <c r="H331" t="s">
        <v>4889</v>
      </c>
      <c r="I331" t="s">
        <v>4896</v>
      </c>
      <c r="J331" t="s">
        <v>4906</v>
      </c>
      <c r="K331" t="s">
        <v>4927</v>
      </c>
      <c r="L331" t="s">
        <v>4939</v>
      </c>
      <c r="M331" t="s">
        <v>4944</v>
      </c>
      <c r="N331" s="11">
        <v>7331.67</v>
      </c>
      <c r="O331" t="s">
        <v>4946</v>
      </c>
      <c r="P331" t="s">
        <v>4951</v>
      </c>
      <c r="S331" t="str">
        <f t="shared" si="15"/>
        <v>Middle-Aged</v>
      </c>
      <c r="T331" t="str">
        <f t="shared" si="16"/>
        <v>Medium</v>
      </c>
      <c r="U331" t="str">
        <f t="shared" si="17"/>
        <v>Short Days</v>
      </c>
    </row>
    <row r="332" spans="1:21">
      <c r="A332" t="s">
        <v>348</v>
      </c>
      <c r="B332" s="5">
        <v>45631</v>
      </c>
      <c r="C332" t="s">
        <v>3322</v>
      </c>
      <c r="D332" t="s">
        <v>4771</v>
      </c>
      <c r="E332" t="s">
        <v>4867</v>
      </c>
      <c r="F332">
        <v>24</v>
      </c>
      <c r="G332" t="s">
        <v>4871</v>
      </c>
      <c r="H332" t="s">
        <v>4886</v>
      </c>
      <c r="I332" t="s">
        <v>4902</v>
      </c>
      <c r="J332" t="s">
        <v>4916</v>
      </c>
      <c r="K332" t="s">
        <v>4931</v>
      </c>
      <c r="L332" t="s">
        <v>4937</v>
      </c>
      <c r="M332" t="s">
        <v>4942</v>
      </c>
      <c r="N332" s="11">
        <v>1094.73</v>
      </c>
      <c r="O332" t="s">
        <v>4946</v>
      </c>
      <c r="P332" t="s">
        <v>4951</v>
      </c>
      <c r="R332">
        <v>7</v>
      </c>
      <c r="S332" t="str">
        <f t="shared" si="15"/>
        <v>Adult</v>
      </c>
      <c r="T332" t="str">
        <f t="shared" si="16"/>
        <v>Low</v>
      </c>
      <c r="U332" t="str">
        <f t="shared" si="17"/>
        <v>Short Days</v>
      </c>
    </row>
    <row r="333" spans="1:21">
      <c r="A333" t="s">
        <v>349</v>
      </c>
      <c r="B333" s="5">
        <v>45956</v>
      </c>
      <c r="C333" t="s">
        <v>3323</v>
      </c>
      <c r="D333" t="s">
        <v>4604</v>
      </c>
      <c r="E333" t="s">
        <v>4867</v>
      </c>
      <c r="F333">
        <v>15</v>
      </c>
      <c r="G333" t="s">
        <v>4878</v>
      </c>
      <c r="H333" t="s">
        <v>4889</v>
      </c>
      <c r="I333" t="s">
        <v>4900</v>
      </c>
      <c r="J333" t="s">
        <v>4919</v>
      </c>
      <c r="K333" t="s">
        <v>4925</v>
      </c>
      <c r="L333" t="s">
        <v>4937</v>
      </c>
      <c r="M333" t="s">
        <v>4944</v>
      </c>
      <c r="N333" s="11">
        <v>7994.97</v>
      </c>
      <c r="O333" t="s">
        <v>4947</v>
      </c>
      <c r="P333" t="s">
        <v>4951</v>
      </c>
      <c r="R333">
        <v>90</v>
      </c>
      <c r="S333" t="str">
        <f t="shared" si="15"/>
        <v>Child</v>
      </c>
      <c r="T333" t="str">
        <f t="shared" si="16"/>
        <v>Medium</v>
      </c>
      <c r="U333" t="str">
        <f t="shared" si="17"/>
        <v>Short Days</v>
      </c>
    </row>
    <row r="334" spans="1:21">
      <c r="A334" t="s">
        <v>350</v>
      </c>
      <c r="B334" s="5">
        <v>45333</v>
      </c>
      <c r="C334" t="s">
        <v>3324</v>
      </c>
      <c r="D334" t="s">
        <v>4692</v>
      </c>
      <c r="E334" t="s">
        <v>4867</v>
      </c>
      <c r="F334">
        <v>37</v>
      </c>
      <c r="G334" t="s">
        <v>4880</v>
      </c>
      <c r="H334" t="s">
        <v>4890</v>
      </c>
      <c r="I334" t="s">
        <v>4894</v>
      </c>
      <c r="J334" t="s">
        <v>4910</v>
      </c>
      <c r="K334" t="s">
        <v>4924</v>
      </c>
      <c r="L334" t="s">
        <v>4936</v>
      </c>
      <c r="M334" t="s">
        <v>4943</v>
      </c>
      <c r="N334" s="11">
        <v>12615.83</v>
      </c>
      <c r="O334" t="s">
        <v>4947</v>
      </c>
      <c r="P334" t="s">
        <v>4951</v>
      </c>
      <c r="R334">
        <v>7</v>
      </c>
      <c r="S334" t="str">
        <f t="shared" si="15"/>
        <v>Adult</v>
      </c>
      <c r="T334" t="str">
        <f t="shared" si="16"/>
        <v>High</v>
      </c>
      <c r="U334" t="str">
        <f t="shared" si="17"/>
        <v>Short Days</v>
      </c>
    </row>
    <row r="335" spans="1:21">
      <c r="A335" t="s">
        <v>351</v>
      </c>
      <c r="B335" s="5">
        <v>45766</v>
      </c>
      <c r="C335" t="s">
        <v>3325</v>
      </c>
      <c r="D335" t="s">
        <v>4607</v>
      </c>
      <c r="E335" t="s">
        <v>4867</v>
      </c>
      <c r="F335">
        <v>36</v>
      </c>
      <c r="G335" t="s">
        <v>4883</v>
      </c>
      <c r="H335" t="s">
        <v>4892</v>
      </c>
      <c r="I335" t="s">
        <v>4897</v>
      </c>
      <c r="J335" t="s">
        <v>4922</v>
      </c>
      <c r="K335" t="s">
        <v>4925</v>
      </c>
      <c r="L335" t="s">
        <v>4941</v>
      </c>
      <c r="M335" t="s">
        <v>4942</v>
      </c>
      <c r="N335" s="11">
        <v>269.58999999999997</v>
      </c>
      <c r="O335" t="s">
        <v>4948</v>
      </c>
      <c r="P335" t="s">
        <v>4951</v>
      </c>
      <c r="R335">
        <v>30</v>
      </c>
      <c r="S335" t="str">
        <f t="shared" si="15"/>
        <v>Adult</v>
      </c>
      <c r="T335" t="str">
        <f t="shared" si="16"/>
        <v>Low</v>
      </c>
      <c r="U335" t="str">
        <f t="shared" si="17"/>
        <v>Short Days</v>
      </c>
    </row>
    <row r="336" spans="1:21">
      <c r="A336" t="s">
        <v>352</v>
      </c>
      <c r="B336" s="5">
        <v>45464</v>
      </c>
      <c r="C336" t="s">
        <v>3326</v>
      </c>
      <c r="D336" t="s">
        <v>4647</v>
      </c>
      <c r="E336" t="s">
        <v>4867</v>
      </c>
      <c r="F336">
        <v>29</v>
      </c>
      <c r="G336" t="s">
        <v>4869</v>
      </c>
      <c r="H336" t="s">
        <v>4884</v>
      </c>
      <c r="I336" t="s">
        <v>4897</v>
      </c>
      <c r="J336" t="s">
        <v>4907</v>
      </c>
      <c r="K336" t="s">
        <v>4931</v>
      </c>
      <c r="L336" t="s">
        <v>4941</v>
      </c>
      <c r="M336" t="s">
        <v>4944</v>
      </c>
      <c r="N336" s="11">
        <v>16766.45</v>
      </c>
      <c r="O336" t="s">
        <v>4948</v>
      </c>
      <c r="P336" t="s">
        <v>4951</v>
      </c>
      <c r="R336">
        <v>90</v>
      </c>
      <c r="S336" t="str">
        <f t="shared" si="15"/>
        <v>Adult</v>
      </c>
      <c r="T336" t="str">
        <f t="shared" si="16"/>
        <v>High</v>
      </c>
      <c r="U336" t="str">
        <f t="shared" si="17"/>
        <v>Short Days</v>
      </c>
    </row>
    <row r="337" spans="1:21">
      <c r="A337" t="s">
        <v>353</v>
      </c>
      <c r="B337" s="5">
        <v>45806</v>
      </c>
      <c r="C337" t="s">
        <v>3327</v>
      </c>
      <c r="D337" t="s">
        <v>4619</v>
      </c>
      <c r="E337" t="s">
        <v>4867</v>
      </c>
      <c r="F337">
        <v>23</v>
      </c>
      <c r="G337" t="s">
        <v>4882</v>
      </c>
      <c r="H337" t="s">
        <v>4891</v>
      </c>
      <c r="I337" t="s">
        <v>4894</v>
      </c>
      <c r="J337" t="s">
        <v>4910</v>
      </c>
      <c r="K337" t="s">
        <v>4930</v>
      </c>
      <c r="L337" t="s">
        <v>4935</v>
      </c>
      <c r="M337" t="s">
        <v>4944</v>
      </c>
      <c r="N337" s="11">
        <v>13277.13</v>
      </c>
      <c r="O337" t="s">
        <v>4947</v>
      </c>
      <c r="P337" t="s">
        <v>4951</v>
      </c>
      <c r="R337">
        <v>14</v>
      </c>
      <c r="S337" t="str">
        <f t="shared" si="15"/>
        <v>Adult</v>
      </c>
      <c r="T337" t="str">
        <f t="shared" si="16"/>
        <v>High</v>
      </c>
      <c r="U337" t="str">
        <f t="shared" si="17"/>
        <v>Short Days</v>
      </c>
    </row>
    <row r="338" spans="1:21">
      <c r="A338" t="s">
        <v>354</v>
      </c>
      <c r="B338" s="5">
        <v>45816</v>
      </c>
      <c r="C338" t="s">
        <v>3328</v>
      </c>
      <c r="D338" t="s">
        <v>4686</v>
      </c>
      <c r="E338" t="s">
        <v>4867</v>
      </c>
      <c r="F338">
        <v>43</v>
      </c>
      <c r="G338" t="s">
        <v>4874</v>
      </c>
      <c r="H338" t="s">
        <v>4886</v>
      </c>
      <c r="I338" t="s">
        <v>4897</v>
      </c>
      <c r="J338" t="s">
        <v>4907</v>
      </c>
      <c r="K338" t="s">
        <v>4925</v>
      </c>
      <c r="L338" t="s">
        <v>4938</v>
      </c>
      <c r="M338" t="s">
        <v>4944</v>
      </c>
      <c r="N338" s="11">
        <v>7264.26</v>
      </c>
      <c r="O338" t="s">
        <v>15</v>
      </c>
      <c r="P338" t="s">
        <v>4952</v>
      </c>
      <c r="S338" t="str">
        <f t="shared" si="15"/>
        <v>Middle-Aged</v>
      </c>
      <c r="T338" t="str">
        <f t="shared" si="16"/>
        <v>Medium</v>
      </c>
      <c r="U338" t="str">
        <f t="shared" si="17"/>
        <v>Short Days</v>
      </c>
    </row>
    <row r="339" spans="1:21">
      <c r="A339" t="s">
        <v>355</v>
      </c>
      <c r="B339" s="5">
        <v>45832</v>
      </c>
      <c r="C339" t="s">
        <v>3329</v>
      </c>
      <c r="D339" t="s">
        <v>4693</v>
      </c>
      <c r="E339" t="s">
        <v>4866</v>
      </c>
      <c r="F339">
        <v>51</v>
      </c>
      <c r="G339" t="s">
        <v>4875</v>
      </c>
      <c r="H339" t="s">
        <v>4889</v>
      </c>
      <c r="I339" t="s">
        <v>4896</v>
      </c>
      <c r="J339" t="s">
        <v>4906</v>
      </c>
      <c r="K339" t="s">
        <v>4933</v>
      </c>
      <c r="L339" t="s">
        <v>4937</v>
      </c>
      <c r="M339" t="s">
        <v>4942</v>
      </c>
      <c r="N339" s="11">
        <v>2308.9699999999998</v>
      </c>
      <c r="O339" t="s">
        <v>4946</v>
      </c>
      <c r="P339" t="s">
        <v>4951</v>
      </c>
      <c r="S339" t="str">
        <f t="shared" si="15"/>
        <v>Middle-Aged</v>
      </c>
      <c r="T339" t="str">
        <f t="shared" si="16"/>
        <v>Low</v>
      </c>
      <c r="U339" t="str">
        <f t="shared" si="17"/>
        <v>Short Days</v>
      </c>
    </row>
    <row r="340" spans="1:21">
      <c r="A340" t="s">
        <v>356</v>
      </c>
      <c r="B340" s="5">
        <v>45364</v>
      </c>
      <c r="C340" t="s">
        <v>3330</v>
      </c>
      <c r="D340" t="s">
        <v>4776</v>
      </c>
      <c r="E340" t="s">
        <v>4867</v>
      </c>
      <c r="F340">
        <v>41</v>
      </c>
      <c r="G340" t="s">
        <v>4871</v>
      </c>
      <c r="H340" t="s">
        <v>4886</v>
      </c>
      <c r="I340" t="s">
        <v>4896</v>
      </c>
      <c r="J340" t="s">
        <v>4906</v>
      </c>
      <c r="K340" t="s">
        <v>4932</v>
      </c>
      <c r="L340" t="s">
        <v>4936</v>
      </c>
      <c r="M340" t="s">
        <v>4942</v>
      </c>
      <c r="N340" s="11">
        <v>52.97</v>
      </c>
      <c r="O340" t="s">
        <v>15</v>
      </c>
      <c r="P340" t="s">
        <v>4952</v>
      </c>
      <c r="S340" t="str">
        <f t="shared" si="15"/>
        <v>Middle-Aged</v>
      </c>
      <c r="T340" t="str">
        <f t="shared" si="16"/>
        <v>Low</v>
      </c>
      <c r="U340" t="str">
        <f t="shared" si="17"/>
        <v>Short Days</v>
      </c>
    </row>
    <row r="341" spans="1:21">
      <c r="A341" t="s">
        <v>357</v>
      </c>
      <c r="B341" s="5">
        <v>45840</v>
      </c>
      <c r="C341" t="s">
        <v>3331</v>
      </c>
      <c r="D341" t="s">
        <v>4713</v>
      </c>
      <c r="E341" t="s">
        <v>4867</v>
      </c>
      <c r="F341">
        <v>0</v>
      </c>
      <c r="G341" t="s">
        <v>4881</v>
      </c>
      <c r="H341" t="s">
        <v>4881</v>
      </c>
      <c r="I341" t="s">
        <v>4902</v>
      </c>
      <c r="J341" t="s">
        <v>4920</v>
      </c>
      <c r="K341" t="s">
        <v>4925</v>
      </c>
      <c r="L341" t="s">
        <v>4934</v>
      </c>
      <c r="M341" t="s">
        <v>4942</v>
      </c>
      <c r="N341" s="11">
        <v>1137.93</v>
      </c>
      <c r="O341" t="s">
        <v>4947</v>
      </c>
      <c r="P341" t="s">
        <v>4951</v>
      </c>
      <c r="S341" t="str">
        <f t="shared" si="15"/>
        <v>Child</v>
      </c>
      <c r="T341" t="str">
        <f t="shared" si="16"/>
        <v>Low</v>
      </c>
      <c r="U341" t="str">
        <f t="shared" si="17"/>
        <v>Short Days</v>
      </c>
    </row>
    <row r="342" spans="1:21">
      <c r="A342" t="s">
        <v>358</v>
      </c>
      <c r="B342" s="5">
        <v>45722</v>
      </c>
      <c r="C342" t="s">
        <v>3332</v>
      </c>
      <c r="D342" t="s">
        <v>4777</v>
      </c>
      <c r="E342" t="s">
        <v>4866</v>
      </c>
      <c r="F342">
        <v>53</v>
      </c>
      <c r="G342" t="s">
        <v>4880</v>
      </c>
      <c r="H342" t="s">
        <v>4890</v>
      </c>
      <c r="I342" t="s">
        <v>4898</v>
      </c>
      <c r="J342" t="s">
        <v>4909</v>
      </c>
      <c r="K342" t="s">
        <v>4924</v>
      </c>
      <c r="L342" t="s">
        <v>4937</v>
      </c>
      <c r="M342" t="s">
        <v>4942</v>
      </c>
      <c r="N342" s="11">
        <v>11124.48</v>
      </c>
      <c r="O342" t="s">
        <v>4949</v>
      </c>
      <c r="P342" t="s">
        <v>4951</v>
      </c>
      <c r="R342">
        <v>7</v>
      </c>
      <c r="S342" t="str">
        <f t="shared" si="15"/>
        <v>Middle-Aged</v>
      </c>
      <c r="T342" t="str">
        <f t="shared" si="16"/>
        <v>High</v>
      </c>
      <c r="U342" t="str">
        <f t="shared" si="17"/>
        <v>Short Days</v>
      </c>
    </row>
    <row r="343" spans="1:21">
      <c r="A343" t="s">
        <v>359</v>
      </c>
      <c r="B343" s="5">
        <v>45794</v>
      </c>
      <c r="C343" t="s">
        <v>3333</v>
      </c>
      <c r="D343" t="s">
        <v>4771</v>
      </c>
      <c r="E343" t="s">
        <v>4866</v>
      </c>
      <c r="F343">
        <v>11</v>
      </c>
      <c r="G343" t="s">
        <v>4882</v>
      </c>
      <c r="H343" t="s">
        <v>4891</v>
      </c>
      <c r="I343" t="s">
        <v>4894</v>
      </c>
      <c r="J343" t="s">
        <v>4904</v>
      </c>
      <c r="K343" t="s">
        <v>4930</v>
      </c>
      <c r="L343" t="s">
        <v>4935</v>
      </c>
      <c r="M343" t="s">
        <v>4943</v>
      </c>
      <c r="N343" s="11">
        <v>7507.43</v>
      </c>
      <c r="O343" t="s">
        <v>4947</v>
      </c>
      <c r="P343" t="s">
        <v>4951</v>
      </c>
      <c r="R343">
        <v>90</v>
      </c>
      <c r="S343" t="str">
        <f t="shared" si="15"/>
        <v>Child</v>
      </c>
      <c r="T343" t="str">
        <f t="shared" si="16"/>
        <v>Medium</v>
      </c>
      <c r="U343" t="str">
        <f t="shared" si="17"/>
        <v>Short Days</v>
      </c>
    </row>
    <row r="344" spans="1:21">
      <c r="A344" t="s">
        <v>360</v>
      </c>
      <c r="B344" s="5">
        <v>45486</v>
      </c>
      <c r="C344" t="s">
        <v>3334</v>
      </c>
      <c r="D344" t="s">
        <v>4778</v>
      </c>
      <c r="E344" t="s">
        <v>4867</v>
      </c>
      <c r="F344">
        <v>48</v>
      </c>
      <c r="G344" t="s">
        <v>4872</v>
      </c>
      <c r="H344" t="s">
        <v>4887</v>
      </c>
      <c r="I344" t="s">
        <v>4895</v>
      </c>
      <c r="J344" t="s">
        <v>4915</v>
      </c>
      <c r="K344" t="s">
        <v>4928</v>
      </c>
      <c r="L344" t="s">
        <v>4934</v>
      </c>
      <c r="M344" t="s">
        <v>4944</v>
      </c>
      <c r="N344" s="11">
        <v>7874.74</v>
      </c>
      <c r="O344" t="s">
        <v>4948</v>
      </c>
      <c r="P344" t="s">
        <v>4951</v>
      </c>
      <c r="R344">
        <v>90</v>
      </c>
      <c r="S344" t="str">
        <f t="shared" si="15"/>
        <v>Middle-Aged</v>
      </c>
      <c r="T344" t="str">
        <f t="shared" si="16"/>
        <v>Medium</v>
      </c>
      <c r="U344" t="str">
        <f t="shared" si="17"/>
        <v>Short Days</v>
      </c>
    </row>
    <row r="345" spans="1:21">
      <c r="A345" t="s">
        <v>361</v>
      </c>
      <c r="B345" s="5">
        <v>45565</v>
      </c>
      <c r="C345" t="s">
        <v>3335</v>
      </c>
      <c r="D345" t="s">
        <v>4717</v>
      </c>
      <c r="E345" t="s">
        <v>4866</v>
      </c>
      <c r="F345">
        <v>61</v>
      </c>
      <c r="G345" t="s">
        <v>4878</v>
      </c>
      <c r="H345" t="s">
        <v>4889</v>
      </c>
      <c r="I345" t="s">
        <v>4893</v>
      </c>
      <c r="J345" t="s">
        <v>4903</v>
      </c>
      <c r="K345" t="s">
        <v>4925</v>
      </c>
      <c r="L345" t="s">
        <v>4940</v>
      </c>
      <c r="M345" t="s">
        <v>4942</v>
      </c>
      <c r="N345" s="11">
        <v>1675.83</v>
      </c>
      <c r="O345" t="s">
        <v>4947</v>
      </c>
      <c r="P345" t="s">
        <v>4951</v>
      </c>
      <c r="R345">
        <v>90</v>
      </c>
      <c r="S345" t="str">
        <f t="shared" si="15"/>
        <v>Senior</v>
      </c>
      <c r="T345" t="str">
        <f t="shared" si="16"/>
        <v>Low</v>
      </c>
      <c r="U345" t="str">
        <f t="shared" si="17"/>
        <v>Short Days</v>
      </c>
    </row>
    <row r="346" spans="1:21">
      <c r="A346" t="s">
        <v>362</v>
      </c>
      <c r="B346" s="5">
        <v>45727</v>
      </c>
      <c r="C346" t="s">
        <v>3336</v>
      </c>
      <c r="D346" t="s">
        <v>4659</v>
      </c>
      <c r="E346" t="s">
        <v>4866</v>
      </c>
      <c r="F346">
        <v>50</v>
      </c>
      <c r="G346" t="s">
        <v>4879</v>
      </c>
      <c r="H346" t="s">
        <v>4888</v>
      </c>
      <c r="I346" t="s">
        <v>4893</v>
      </c>
      <c r="J346" t="s">
        <v>4903</v>
      </c>
      <c r="K346" t="s">
        <v>4932</v>
      </c>
      <c r="L346" t="s">
        <v>4939</v>
      </c>
      <c r="M346" t="s">
        <v>4944</v>
      </c>
      <c r="N346" s="11">
        <v>5139.6499999999996</v>
      </c>
      <c r="O346" t="s">
        <v>15</v>
      </c>
      <c r="P346" t="s">
        <v>4952</v>
      </c>
      <c r="R346">
        <v>90</v>
      </c>
      <c r="S346" t="str">
        <f t="shared" si="15"/>
        <v>Middle-Aged</v>
      </c>
      <c r="T346" t="str">
        <f t="shared" si="16"/>
        <v>Medium</v>
      </c>
      <c r="U346" t="str">
        <f t="shared" si="17"/>
        <v>Short Days</v>
      </c>
    </row>
    <row r="347" spans="1:21">
      <c r="A347" t="s">
        <v>363</v>
      </c>
      <c r="B347" s="5">
        <v>45773</v>
      </c>
      <c r="C347" t="s">
        <v>3337</v>
      </c>
      <c r="D347" t="s">
        <v>4779</v>
      </c>
      <c r="E347" t="s">
        <v>4866</v>
      </c>
      <c r="F347">
        <v>48</v>
      </c>
      <c r="G347" t="s">
        <v>4872</v>
      </c>
      <c r="H347" t="s">
        <v>4887</v>
      </c>
      <c r="I347" t="s">
        <v>4894</v>
      </c>
      <c r="J347" t="s">
        <v>4904</v>
      </c>
      <c r="K347" t="s">
        <v>4925</v>
      </c>
      <c r="L347" t="s">
        <v>4935</v>
      </c>
      <c r="M347" t="s">
        <v>4942</v>
      </c>
      <c r="N347" s="11">
        <v>1747.6</v>
      </c>
      <c r="O347" t="s">
        <v>4948</v>
      </c>
      <c r="P347" t="s">
        <v>4951</v>
      </c>
      <c r="R347">
        <v>14</v>
      </c>
      <c r="S347" t="str">
        <f t="shared" si="15"/>
        <v>Middle-Aged</v>
      </c>
      <c r="T347" t="str">
        <f t="shared" si="16"/>
        <v>Low</v>
      </c>
      <c r="U347" t="str">
        <f t="shared" si="17"/>
        <v>Short Days</v>
      </c>
    </row>
    <row r="348" spans="1:21">
      <c r="A348" t="s">
        <v>364</v>
      </c>
      <c r="B348" s="5">
        <v>45356</v>
      </c>
      <c r="C348" t="s">
        <v>3338</v>
      </c>
      <c r="D348" t="s">
        <v>4780</v>
      </c>
      <c r="E348" t="s">
        <v>4866</v>
      </c>
      <c r="F348">
        <v>7</v>
      </c>
      <c r="G348" t="s">
        <v>4882</v>
      </c>
      <c r="H348" t="s">
        <v>4891</v>
      </c>
      <c r="I348" t="s">
        <v>4895</v>
      </c>
      <c r="J348" t="s">
        <v>4905</v>
      </c>
      <c r="K348" t="s">
        <v>4927</v>
      </c>
      <c r="L348" t="s">
        <v>4940</v>
      </c>
      <c r="M348" t="s">
        <v>4944</v>
      </c>
      <c r="N348" s="11">
        <v>9178.1200000000008</v>
      </c>
      <c r="O348" t="s">
        <v>4946</v>
      </c>
      <c r="P348" t="s">
        <v>4951</v>
      </c>
      <c r="R348">
        <v>30</v>
      </c>
      <c r="S348" t="str">
        <f t="shared" si="15"/>
        <v>Child</v>
      </c>
      <c r="T348" t="str">
        <f t="shared" si="16"/>
        <v>Medium</v>
      </c>
      <c r="U348" t="str">
        <f t="shared" si="17"/>
        <v>Short Days</v>
      </c>
    </row>
    <row r="349" spans="1:21">
      <c r="A349" t="s">
        <v>365</v>
      </c>
      <c r="B349" s="5">
        <v>45436</v>
      </c>
      <c r="C349" t="s">
        <v>3339</v>
      </c>
      <c r="D349" t="s">
        <v>4669</v>
      </c>
      <c r="E349" t="s">
        <v>4867</v>
      </c>
      <c r="F349">
        <v>40</v>
      </c>
      <c r="G349" t="s">
        <v>4874</v>
      </c>
      <c r="H349" t="s">
        <v>4886</v>
      </c>
      <c r="I349" t="s">
        <v>4902</v>
      </c>
      <c r="J349" t="s">
        <v>4920</v>
      </c>
      <c r="K349" t="s">
        <v>4932</v>
      </c>
      <c r="L349" t="s">
        <v>4936</v>
      </c>
      <c r="M349" t="s">
        <v>4942</v>
      </c>
      <c r="N349" s="11">
        <v>327.33</v>
      </c>
      <c r="O349" t="s">
        <v>4946</v>
      </c>
      <c r="P349" t="s">
        <v>4951</v>
      </c>
      <c r="S349" t="str">
        <f t="shared" si="15"/>
        <v>Adult</v>
      </c>
      <c r="T349" t="str">
        <f t="shared" si="16"/>
        <v>Low</v>
      </c>
      <c r="U349" t="str">
        <f t="shared" si="17"/>
        <v>Short Days</v>
      </c>
    </row>
    <row r="350" spans="1:21">
      <c r="A350" t="s">
        <v>366</v>
      </c>
      <c r="B350" s="5">
        <v>45929</v>
      </c>
      <c r="C350" t="s">
        <v>3340</v>
      </c>
      <c r="D350" t="s">
        <v>4643</v>
      </c>
      <c r="E350" t="s">
        <v>4867</v>
      </c>
      <c r="F350">
        <v>60</v>
      </c>
      <c r="G350" t="s">
        <v>4878</v>
      </c>
      <c r="H350" t="s">
        <v>4889</v>
      </c>
      <c r="I350" t="s">
        <v>4897</v>
      </c>
      <c r="J350" t="s">
        <v>4922</v>
      </c>
      <c r="K350" t="s">
        <v>4924</v>
      </c>
      <c r="L350" t="s">
        <v>4934</v>
      </c>
      <c r="M350" t="s">
        <v>4942</v>
      </c>
      <c r="N350" s="11">
        <v>1277.29</v>
      </c>
      <c r="O350" t="s">
        <v>4949</v>
      </c>
      <c r="P350" t="s">
        <v>4951</v>
      </c>
      <c r="R350">
        <v>30</v>
      </c>
      <c r="S350" t="str">
        <f t="shared" si="15"/>
        <v>Middle-Aged</v>
      </c>
      <c r="T350" t="str">
        <f t="shared" si="16"/>
        <v>Low</v>
      </c>
      <c r="U350" t="str">
        <f t="shared" si="17"/>
        <v>Short Days</v>
      </c>
    </row>
    <row r="351" spans="1:21">
      <c r="A351" t="s">
        <v>367</v>
      </c>
      <c r="B351" s="5">
        <v>45334</v>
      </c>
      <c r="C351" t="s">
        <v>3341</v>
      </c>
      <c r="D351" t="s">
        <v>4773</v>
      </c>
      <c r="E351" t="s">
        <v>4868</v>
      </c>
      <c r="F351">
        <v>52</v>
      </c>
      <c r="G351" t="s">
        <v>4870</v>
      </c>
      <c r="H351" t="s">
        <v>4885</v>
      </c>
      <c r="I351" t="s">
        <v>4894</v>
      </c>
      <c r="J351" t="s">
        <v>4910</v>
      </c>
      <c r="K351" t="s">
        <v>4928</v>
      </c>
      <c r="L351" t="s">
        <v>4938</v>
      </c>
      <c r="M351" t="s">
        <v>4942</v>
      </c>
      <c r="N351" s="11">
        <v>2150.36</v>
      </c>
      <c r="O351" t="s">
        <v>4948</v>
      </c>
      <c r="P351" t="s">
        <v>4951</v>
      </c>
      <c r="S351" t="str">
        <f t="shared" si="15"/>
        <v>Middle-Aged</v>
      </c>
      <c r="T351" t="str">
        <f t="shared" si="16"/>
        <v>Low</v>
      </c>
      <c r="U351" t="str">
        <f t="shared" si="17"/>
        <v>Short Days</v>
      </c>
    </row>
    <row r="352" spans="1:21">
      <c r="A352" t="s">
        <v>368</v>
      </c>
      <c r="B352" s="5">
        <v>45529</v>
      </c>
      <c r="C352" t="s">
        <v>3342</v>
      </c>
      <c r="D352" t="s">
        <v>4781</v>
      </c>
      <c r="E352" t="s">
        <v>4866</v>
      </c>
      <c r="F352">
        <v>43</v>
      </c>
      <c r="G352" t="s">
        <v>4872</v>
      </c>
      <c r="H352" t="s">
        <v>4887</v>
      </c>
      <c r="I352" t="s">
        <v>4902</v>
      </c>
      <c r="J352" t="s">
        <v>4916</v>
      </c>
      <c r="K352" t="s">
        <v>4930</v>
      </c>
      <c r="L352" t="s">
        <v>4939</v>
      </c>
      <c r="M352" t="s">
        <v>4943</v>
      </c>
      <c r="N352" s="11">
        <v>6932.99</v>
      </c>
      <c r="O352" t="s">
        <v>4946</v>
      </c>
      <c r="P352" t="s">
        <v>4951</v>
      </c>
      <c r="R352">
        <v>7</v>
      </c>
      <c r="S352" t="str">
        <f t="shared" si="15"/>
        <v>Middle-Aged</v>
      </c>
      <c r="T352" t="str">
        <f t="shared" si="16"/>
        <v>Medium</v>
      </c>
      <c r="U352" t="str">
        <f t="shared" si="17"/>
        <v>Short Days</v>
      </c>
    </row>
    <row r="353" spans="1:21">
      <c r="A353" t="s">
        <v>369</v>
      </c>
      <c r="B353" s="5">
        <v>45779</v>
      </c>
      <c r="C353" t="s">
        <v>3343</v>
      </c>
      <c r="D353" t="s">
        <v>4782</v>
      </c>
      <c r="E353" t="s">
        <v>4867</v>
      </c>
      <c r="F353">
        <v>22</v>
      </c>
      <c r="G353" t="s">
        <v>4878</v>
      </c>
      <c r="H353" t="s">
        <v>4889</v>
      </c>
      <c r="I353" t="s">
        <v>4901</v>
      </c>
      <c r="J353" t="s">
        <v>4914</v>
      </c>
      <c r="K353" t="s">
        <v>4929</v>
      </c>
      <c r="L353" t="s">
        <v>4939</v>
      </c>
      <c r="M353" t="s">
        <v>4944</v>
      </c>
      <c r="N353" s="11">
        <v>12410.12</v>
      </c>
      <c r="O353" t="s">
        <v>4947</v>
      </c>
      <c r="P353" t="s">
        <v>4951</v>
      </c>
      <c r="R353">
        <v>7</v>
      </c>
      <c r="S353" t="str">
        <f t="shared" si="15"/>
        <v>Adult</v>
      </c>
      <c r="T353" t="str">
        <f t="shared" si="16"/>
        <v>High</v>
      </c>
      <c r="U353" t="str">
        <f t="shared" si="17"/>
        <v>Short Days</v>
      </c>
    </row>
    <row r="354" spans="1:21">
      <c r="A354" t="s">
        <v>370</v>
      </c>
      <c r="B354" s="5">
        <v>45602</v>
      </c>
      <c r="C354" t="s">
        <v>3344</v>
      </c>
      <c r="D354" t="s">
        <v>4712</v>
      </c>
      <c r="E354" t="s">
        <v>4867</v>
      </c>
      <c r="F354">
        <v>48</v>
      </c>
      <c r="G354" t="s">
        <v>4873</v>
      </c>
      <c r="H354" t="s">
        <v>4888</v>
      </c>
      <c r="I354" t="s">
        <v>4899</v>
      </c>
      <c r="J354" t="s">
        <v>4911</v>
      </c>
      <c r="K354" t="s">
        <v>4925</v>
      </c>
      <c r="L354" t="s">
        <v>4937</v>
      </c>
      <c r="M354" t="s">
        <v>4942</v>
      </c>
      <c r="N354" s="11">
        <v>7570.35</v>
      </c>
      <c r="O354" t="s">
        <v>4946</v>
      </c>
      <c r="P354" t="s">
        <v>4951</v>
      </c>
      <c r="S354" t="str">
        <f t="shared" si="15"/>
        <v>Middle-Aged</v>
      </c>
      <c r="T354" t="str">
        <f t="shared" si="16"/>
        <v>Medium</v>
      </c>
      <c r="U354" t="str">
        <f t="shared" si="17"/>
        <v>Short Days</v>
      </c>
    </row>
    <row r="355" spans="1:21">
      <c r="A355" t="s">
        <v>371</v>
      </c>
      <c r="B355" s="5">
        <v>45536</v>
      </c>
      <c r="C355" t="s">
        <v>3345</v>
      </c>
      <c r="D355" t="s">
        <v>4681</v>
      </c>
      <c r="E355" t="s">
        <v>4867</v>
      </c>
      <c r="F355">
        <v>41</v>
      </c>
      <c r="G355" t="s">
        <v>4879</v>
      </c>
      <c r="H355" t="s">
        <v>4888</v>
      </c>
      <c r="I355" t="s">
        <v>4899</v>
      </c>
      <c r="J355" t="s">
        <v>4912</v>
      </c>
      <c r="K355" t="s">
        <v>4925</v>
      </c>
      <c r="L355" t="s">
        <v>4935</v>
      </c>
      <c r="M355" t="s">
        <v>4942</v>
      </c>
      <c r="N355" s="11">
        <v>131.25</v>
      </c>
      <c r="O355" t="s">
        <v>4949</v>
      </c>
      <c r="P355" t="s">
        <v>4951</v>
      </c>
      <c r="S355" t="str">
        <f t="shared" si="15"/>
        <v>Middle-Aged</v>
      </c>
      <c r="T355" t="str">
        <f t="shared" si="16"/>
        <v>Low</v>
      </c>
      <c r="U355" t="str">
        <f t="shared" si="17"/>
        <v>Short Days</v>
      </c>
    </row>
    <row r="356" spans="1:21">
      <c r="A356" t="s">
        <v>372</v>
      </c>
      <c r="B356" s="5">
        <v>45564</v>
      </c>
      <c r="C356" t="s">
        <v>3346</v>
      </c>
      <c r="D356" t="s">
        <v>4783</v>
      </c>
      <c r="E356" t="s">
        <v>4867</v>
      </c>
      <c r="F356">
        <v>54</v>
      </c>
      <c r="G356" t="s">
        <v>4878</v>
      </c>
      <c r="H356" t="s">
        <v>4889</v>
      </c>
      <c r="I356" t="s">
        <v>4899</v>
      </c>
      <c r="J356" t="s">
        <v>4911</v>
      </c>
      <c r="K356" t="s">
        <v>4924</v>
      </c>
      <c r="L356" t="s">
        <v>4939</v>
      </c>
      <c r="M356" t="s">
        <v>4942</v>
      </c>
      <c r="N356" s="11">
        <v>15303.24</v>
      </c>
      <c r="O356" t="s">
        <v>4946</v>
      </c>
      <c r="P356" t="s">
        <v>4951</v>
      </c>
      <c r="S356" t="str">
        <f t="shared" si="15"/>
        <v>Middle-Aged</v>
      </c>
      <c r="T356" t="str">
        <f t="shared" si="16"/>
        <v>High</v>
      </c>
      <c r="U356" t="str">
        <f t="shared" si="17"/>
        <v>Short Days</v>
      </c>
    </row>
    <row r="357" spans="1:21">
      <c r="A357" t="s">
        <v>373</v>
      </c>
      <c r="B357" s="5">
        <v>45298</v>
      </c>
      <c r="C357" t="s">
        <v>3347</v>
      </c>
      <c r="D357" t="s">
        <v>4674</v>
      </c>
      <c r="E357" t="s">
        <v>4868</v>
      </c>
      <c r="F357">
        <v>14</v>
      </c>
      <c r="G357" t="s">
        <v>4882</v>
      </c>
      <c r="H357" t="s">
        <v>4891</v>
      </c>
      <c r="I357" t="s">
        <v>4899</v>
      </c>
      <c r="J357" t="s">
        <v>4912</v>
      </c>
      <c r="K357" t="s">
        <v>4925</v>
      </c>
      <c r="L357" t="s">
        <v>4940</v>
      </c>
      <c r="M357" t="s">
        <v>4944</v>
      </c>
      <c r="N357" s="11">
        <v>6508.63</v>
      </c>
      <c r="O357" t="s">
        <v>15</v>
      </c>
      <c r="P357" t="s">
        <v>4952</v>
      </c>
      <c r="S357" t="str">
        <f t="shared" si="15"/>
        <v>Child</v>
      </c>
      <c r="T357" t="str">
        <f t="shared" si="16"/>
        <v>Medium</v>
      </c>
      <c r="U357" t="str">
        <f t="shared" si="17"/>
        <v>Short Days</v>
      </c>
    </row>
    <row r="358" spans="1:21">
      <c r="A358" t="s">
        <v>374</v>
      </c>
      <c r="B358" s="5">
        <v>45903</v>
      </c>
      <c r="C358" t="s">
        <v>3234</v>
      </c>
      <c r="D358" t="s">
        <v>4734</v>
      </c>
      <c r="E358" t="s">
        <v>4866</v>
      </c>
      <c r="F358">
        <v>44</v>
      </c>
      <c r="G358" t="s">
        <v>4875</v>
      </c>
      <c r="H358" t="s">
        <v>4889</v>
      </c>
      <c r="I358" t="s">
        <v>4901</v>
      </c>
      <c r="J358" t="s">
        <v>4914</v>
      </c>
      <c r="K358" t="s">
        <v>4933</v>
      </c>
      <c r="L358" t="s">
        <v>4935</v>
      </c>
      <c r="M358" t="s">
        <v>4942</v>
      </c>
      <c r="N358" s="11">
        <v>11778.82</v>
      </c>
      <c r="O358" t="s">
        <v>4948</v>
      </c>
      <c r="P358" t="s">
        <v>4951</v>
      </c>
      <c r="R358">
        <v>14</v>
      </c>
      <c r="S358" t="str">
        <f t="shared" si="15"/>
        <v>Middle-Aged</v>
      </c>
      <c r="T358" t="str">
        <f t="shared" si="16"/>
        <v>High</v>
      </c>
      <c r="U358" t="str">
        <f t="shared" si="17"/>
        <v>Short Days</v>
      </c>
    </row>
    <row r="359" spans="1:21">
      <c r="A359" t="s">
        <v>375</v>
      </c>
      <c r="B359" s="5">
        <v>45664</v>
      </c>
      <c r="C359" t="s">
        <v>3348</v>
      </c>
      <c r="D359" t="s">
        <v>4620</v>
      </c>
      <c r="E359" t="s">
        <v>4866</v>
      </c>
      <c r="F359">
        <v>41</v>
      </c>
      <c r="G359" t="s">
        <v>4880</v>
      </c>
      <c r="H359" t="s">
        <v>4890</v>
      </c>
      <c r="I359" t="s">
        <v>4897</v>
      </c>
      <c r="J359" t="s">
        <v>4922</v>
      </c>
      <c r="K359" t="s">
        <v>4924</v>
      </c>
      <c r="L359" t="s">
        <v>4938</v>
      </c>
      <c r="M359" t="s">
        <v>4942</v>
      </c>
      <c r="N359" s="11">
        <v>15598.96</v>
      </c>
      <c r="O359" t="s">
        <v>15</v>
      </c>
      <c r="P359" t="s">
        <v>4952</v>
      </c>
      <c r="S359" t="str">
        <f t="shared" si="15"/>
        <v>Middle-Aged</v>
      </c>
      <c r="T359" t="str">
        <f t="shared" si="16"/>
        <v>High</v>
      </c>
      <c r="U359" t="str">
        <f t="shared" si="17"/>
        <v>Short Days</v>
      </c>
    </row>
    <row r="360" spans="1:21">
      <c r="A360" t="s">
        <v>376</v>
      </c>
      <c r="B360" s="5">
        <v>45518</v>
      </c>
      <c r="C360" t="s">
        <v>3349</v>
      </c>
      <c r="D360" t="s">
        <v>4596</v>
      </c>
      <c r="E360" t="s">
        <v>4867</v>
      </c>
      <c r="F360">
        <v>57</v>
      </c>
      <c r="G360" t="s">
        <v>4873</v>
      </c>
      <c r="H360" t="s">
        <v>4888</v>
      </c>
      <c r="I360" t="s">
        <v>4895</v>
      </c>
      <c r="J360" t="s">
        <v>4915</v>
      </c>
      <c r="K360" t="s">
        <v>4930</v>
      </c>
      <c r="L360" t="s">
        <v>4937</v>
      </c>
      <c r="M360" t="s">
        <v>4942</v>
      </c>
      <c r="N360" s="11">
        <v>1873.87</v>
      </c>
      <c r="O360" t="s">
        <v>4946</v>
      </c>
      <c r="P360" t="s">
        <v>4951</v>
      </c>
      <c r="S360" t="str">
        <f t="shared" si="15"/>
        <v>Middle-Aged</v>
      </c>
      <c r="T360" t="str">
        <f t="shared" si="16"/>
        <v>Low</v>
      </c>
      <c r="U360" t="str">
        <f t="shared" si="17"/>
        <v>Short Days</v>
      </c>
    </row>
    <row r="361" spans="1:21">
      <c r="A361" t="s">
        <v>377</v>
      </c>
      <c r="B361" s="5">
        <v>45478</v>
      </c>
      <c r="C361" t="s">
        <v>3350</v>
      </c>
      <c r="D361" t="s">
        <v>4588</v>
      </c>
      <c r="E361" t="s">
        <v>4867</v>
      </c>
      <c r="F361">
        <v>12</v>
      </c>
      <c r="G361" t="s">
        <v>4877</v>
      </c>
      <c r="H361" t="s">
        <v>4888</v>
      </c>
      <c r="I361" t="s">
        <v>4893</v>
      </c>
      <c r="J361" t="s">
        <v>4903</v>
      </c>
      <c r="K361" t="s">
        <v>4929</v>
      </c>
      <c r="L361" t="s">
        <v>4940</v>
      </c>
      <c r="M361" t="s">
        <v>4942</v>
      </c>
      <c r="N361" s="11">
        <v>6155.18</v>
      </c>
      <c r="O361" t="s">
        <v>4950</v>
      </c>
      <c r="P361" t="s">
        <v>4951</v>
      </c>
      <c r="R361">
        <v>30</v>
      </c>
      <c r="S361" t="str">
        <f t="shared" si="15"/>
        <v>Child</v>
      </c>
      <c r="T361" t="str">
        <f t="shared" si="16"/>
        <v>Medium</v>
      </c>
      <c r="U361" t="str">
        <f t="shared" si="17"/>
        <v>Short Days</v>
      </c>
    </row>
    <row r="362" spans="1:21">
      <c r="A362" t="s">
        <v>378</v>
      </c>
      <c r="B362" s="5">
        <v>45595</v>
      </c>
      <c r="C362" t="s">
        <v>3351</v>
      </c>
      <c r="D362" t="s">
        <v>4658</v>
      </c>
      <c r="E362" t="s">
        <v>4867</v>
      </c>
      <c r="F362">
        <v>46</v>
      </c>
      <c r="G362" t="s">
        <v>4872</v>
      </c>
      <c r="H362" t="s">
        <v>4887</v>
      </c>
      <c r="I362" t="s">
        <v>4901</v>
      </c>
      <c r="J362" t="s">
        <v>4914</v>
      </c>
      <c r="K362" t="s">
        <v>4929</v>
      </c>
      <c r="L362" t="s">
        <v>4936</v>
      </c>
      <c r="M362" t="s">
        <v>4942</v>
      </c>
      <c r="N362" s="11">
        <v>1763.06</v>
      </c>
      <c r="O362" t="s">
        <v>4946</v>
      </c>
      <c r="P362" t="s">
        <v>4951</v>
      </c>
      <c r="S362" t="str">
        <f t="shared" si="15"/>
        <v>Middle-Aged</v>
      </c>
      <c r="T362" t="str">
        <f t="shared" si="16"/>
        <v>Low</v>
      </c>
      <c r="U362" t="str">
        <f t="shared" si="17"/>
        <v>Short Days</v>
      </c>
    </row>
    <row r="363" spans="1:21">
      <c r="A363" t="s">
        <v>379</v>
      </c>
      <c r="B363" s="5">
        <v>45795</v>
      </c>
      <c r="C363" t="s">
        <v>3352</v>
      </c>
      <c r="D363" t="s">
        <v>4671</v>
      </c>
      <c r="E363" t="s">
        <v>4867</v>
      </c>
      <c r="F363">
        <v>27</v>
      </c>
      <c r="G363" t="s">
        <v>4880</v>
      </c>
      <c r="H363" t="s">
        <v>4890</v>
      </c>
      <c r="I363" t="s">
        <v>4895</v>
      </c>
      <c r="J363" t="s">
        <v>4905</v>
      </c>
      <c r="K363" t="s">
        <v>4930</v>
      </c>
      <c r="L363" t="s">
        <v>4936</v>
      </c>
      <c r="M363" t="s">
        <v>4945</v>
      </c>
      <c r="N363" s="11">
        <v>6882.97</v>
      </c>
      <c r="O363" t="s">
        <v>4949</v>
      </c>
      <c r="P363" t="s">
        <v>4951</v>
      </c>
      <c r="Q363">
        <v>7</v>
      </c>
      <c r="R363">
        <v>7</v>
      </c>
      <c r="S363" t="str">
        <f t="shared" si="15"/>
        <v>Adult</v>
      </c>
      <c r="T363" t="str">
        <f t="shared" si="16"/>
        <v>Medium</v>
      </c>
      <c r="U363" t="str">
        <f t="shared" si="17"/>
        <v>Long Days</v>
      </c>
    </row>
    <row r="364" spans="1:21">
      <c r="A364" t="s">
        <v>380</v>
      </c>
      <c r="B364" s="5">
        <v>45504</v>
      </c>
      <c r="C364" t="s">
        <v>3353</v>
      </c>
      <c r="D364" t="s">
        <v>4596</v>
      </c>
      <c r="E364" t="s">
        <v>4867</v>
      </c>
      <c r="F364">
        <v>0</v>
      </c>
      <c r="G364" t="s">
        <v>4880</v>
      </c>
      <c r="H364" t="s">
        <v>4890</v>
      </c>
      <c r="I364" t="s">
        <v>4895</v>
      </c>
      <c r="J364" t="s">
        <v>4905</v>
      </c>
      <c r="K364" t="s">
        <v>4933</v>
      </c>
      <c r="L364" t="s">
        <v>4938</v>
      </c>
      <c r="M364" t="s">
        <v>4944</v>
      </c>
      <c r="N364" s="11">
        <v>6379.04</v>
      </c>
      <c r="O364" t="s">
        <v>4947</v>
      </c>
      <c r="P364" t="s">
        <v>4951</v>
      </c>
      <c r="R364">
        <v>90</v>
      </c>
      <c r="S364" t="str">
        <f t="shared" si="15"/>
        <v>Child</v>
      </c>
      <c r="T364" t="str">
        <f t="shared" si="16"/>
        <v>Medium</v>
      </c>
      <c r="U364" t="str">
        <f t="shared" si="17"/>
        <v>Short Days</v>
      </c>
    </row>
    <row r="365" spans="1:21">
      <c r="A365" t="s">
        <v>381</v>
      </c>
      <c r="B365" s="5">
        <v>45948</v>
      </c>
      <c r="C365" t="s">
        <v>3354</v>
      </c>
      <c r="D365" t="s">
        <v>4659</v>
      </c>
      <c r="E365" t="s">
        <v>4866</v>
      </c>
      <c r="F365">
        <v>48</v>
      </c>
      <c r="G365" t="s">
        <v>4877</v>
      </c>
      <c r="H365" t="s">
        <v>4888</v>
      </c>
      <c r="I365" t="s">
        <v>4900</v>
      </c>
      <c r="J365" t="s">
        <v>4913</v>
      </c>
      <c r="K365" t="s">
        <v>4927</v>
      </c>
      <c r="L365" t="s">
        <v>4940</v>
      </c>
      <c r="M365" t="s">
        <v>4942</v>
      </c>
      <c r="N365" s="11">
        <v>4875.83</v>
      </c>
      <c r="O365" t="s">
        <v>4948</v>
      </c>
      <c r="P365" t="s">
        <v>4951</v>
      </c>
      <c r="R365">
        <v>30</v>
      </c>
      <c r="S365" t="str">
        <f t="shared" si="15"/>
        <v>Middle-Aged</v>
      </c>
      <c r="T365" t="str">
        <f t="shared" si="16"/>
        <v>Low</v>
      </c>
      <c r="U365" t="str">
        <f t="shared" si="17"/>
        <v>Short Days</v>
      </c>
    </row>
    <row r="366" spans="1:21">
      <c r="A366" t="s">
        <v>382</v>
      </c>
      <c r="B366" s="5">
        <v>45894</v>
      </c>
      <c r="C366" t="s">
        <v>3355</v>
      </c>
      <c r="D366" t="s">
        <v>4777</v>
      </c>
      <c r="E366" t="s">
        <v>4867</v>
      </c>
      <c r="F366">
        <v>57</v>
      </c>
      <c r="G366" t="s">
        <v>4873</v>
      </c>
      <c r="H366" t="s">
        <v>4888</v>
      </c>
      <c r="I366" t="s">
        <v>4897</v>
      </c>
      <c r="J366" t="s">
        <v>4907</v>
      </c>
      <c r="K366" t="s">
        <v>4927</v>
      </c>
      <c r="L366" t="s">
        <v>4936</v>
      </c>
      <c r="M366" t="s">
        <v>4942</v>
      </c>
      <c r="N366" s="11">
        <v>4373.8</v>
      </c>
      <c r="O366" t="s">
        <v>4948</v>
      </c>
      <c r="P366" t="s">
        <v>4951</v>
      </c>
      <c r="R366">
        <v>7</v>
      </c>
      <c r="S366" t="str">
        <f t="shared" si="15"/>
        <v>Middle-Aged</v>
      </c>
      <c r="T366" t="str">
        <f t="shared" si="16"/>
        <v>Low</v>
      </c>
      <c r="U366" t="str">
        <f t="shared" si="17"/>
        <v>Short Days</v>
      </c>
    </row>
    <row r="367" spans="1:21">
      <c r="A367" t="s">
        <v>383</v>
      </c>
      <c r="B367" s="5">
        <v>45390</v>
      </c>
      <c r="C367" t="s">
        <v>3226</v>
      </c>
      <c r="D367" t="s">
        <v>4779</v>
      </c>
      <c r="E367" t="s">
        <v>4866</v>
      </c>
      <c r="F367">
        <v>30</v>
      </c>
      <c r="G367" t="s">
        <v>4881</v>
      </c>
      <c r="H367" t="s">
        <v>4881</v>
      </c>
      <c r="I367" t="s">
        <v>4901</v>
      </c>
      <c r="J367" t="s">
        <v>4914</v>
      </c>
      <c r="K367" t="s">
        <v>4932</v>
      </c>
      <c r="L367" t="s">
        <v>4937</v>
      </c>
      <c r="M367" t="s">
        <v>4944</v>
      </c>
      <c r="N367" s="11">
        <v>13612.21</v>
      </c>
      <c r="O367" t="s">
        <v>4947</v>
      </c>
      <c r="P367" t="s">
        <v>4951</v>
      </c>
      <c r="R367">
        <v>90</v>
      </c>
      <c r="S367" t="str">
        <f t="shared" si="15"/>
        <v>Adult</v>
      </c>
      <c r="T367" t="str">
        <f t="shared" si="16"/>
        <v>High</v>
      </c>
      <c r="U367" t="str">
        <f t="shared" si="17"/>
        <v>Short Days</v>
      </c>
    </row>
    <row r="368" spans="1:21">
      <c r="A368" t="s">
        <v>384</v>
      </c>
      <c r="B368" s="5">
        <v>45504</v>
      </c>
      <c r="C368" t="s">
        <v>3356</v>
      </c>
      <c r="D368" t="s">
        <v>4757</v>
      </c>
      <c r="E368" t="s">
        <v>4866</v>
      </c>
      <c r="F368">
        <v>58</v>
      </c>
      <c r="G368" t="s">
        <v>4870</v>
      </c>
      <c r="H368" t="s">
        <v>4885</v>
      </c>
      <c r="I368" t="s">
        <v>4901</v>
      </c>
      <c r="J368" t="s">
        <v>4921</v>
      </c>
      <c r="K368" t="s">
        <v>4929</v>
      </c>
      <c r="L368" t="s">
        <v>4935</v>
      </c>
      <c r="M368" t="s">
        <v>4942</v>
      </c>
      <c r="N368" s="11">
        <v>12935.95</v>
      </c>
      <c r="O368" t="s">
        <v>4948</v>
      </c>
      <c r="P368" t="s">
        <v>4951</v>
      </c>
      <c r="R368">
        <v>90</v>
      </c>
      <c r="S368" t="str">
        <f t="shared" si="15"/>
        <v>Middle-Aged</v>
      </c>
      <c r="T368" t="str">
        <f t="shared" si="16"/>
        <v>High</v>
      </c>
      <c r="U368" t="str">
        <f t="shared" si="17"/>
        <v>Short Days</v>
      </c>
    </row>
    <row r="369" spans="1:21">
      <c r="A369" t="s">
        <v>385</v>
      </c>
      <c r="B369" s="5">
        <v>45347</v>
      </c>
      <c r="C369" t="s">
        <v>3357</v>
      </c>
      <c r="D369" t="s">
        <v>4613</v>
      </c>
      <c r="E369" t="s">
        <v>4866</v>
      </c>
      <c r="F369">
        <v>13</v>
      </c>
      <c r="G369" t="s">
        <v>4878</v>
      </c>
      <c r="H369" t="s">
        <v>4889</v>
      </c>
      <c r="I369" t="s">
        <v>4898</v>
      </c>
      <c r="J369" t="s">
        <v>4918</v>
      </c>
      <c r="K369" t="s">
        <v>4930</v>
      </c>
      <c r="L369" t="s">
        <v>4939</v>
      </c>
      <c r="M369" t="s">
        <v>4942</v>
      </c>
      <c r="N369" s="11">
        <v>4294.88</v>
      </c>
      <c r="O369" t="s">
        <v>4947</v>
      </c>
      <c r="P369" t="s">
        <v>4951</v>
      </c>
      <c r="S369" t="str">
        <f t="shared" si="15"/>
        <v>Child</v>
      </c>
      <c r="T369" t="str">
        <f t="shared" si="16"/>
        <v>Low</v>
      </c>
      <c r="U369" t="str">
        <f t="shared" si="17"/>
        <v>Short Days</v>
      </c>
    </row>
    <row r="370" spans="1:21">
      <c r="A370" t="s">
        <v>386</v>
      </c>
      <c r="B370" s="5">
        <v>45635</v>
      </c>
      <c r="C370" t="s">
        <v>3358</v>
      </c>
      <c r="D370" t="s">
        <v>4622</v>
      </c>
      <c r="E370" t="s">
        <v>4867</v>
      </c>
      <c r="F370">
        <v>55</v>
      </c>
      <c r="G370" t="s">
        <v>4870</v>
      </c>
      <c r="H370" t="s">
        <v>4885</v>
      </c>
      <c r="I370" t="s">
        <v>4893</v>
      </c>
      <c r="J370" t="s">
        <v>4917</v>
      </c>
      <c r="K370" t="s">
        <v>4933</v>
      </c>
      <c r="L370" t="s">
        <v>4940</v>
      </c>
      <c r="M370" t="s">
        <v>4943</v>
      </c>
      <c r="N370" s="11">
        <v>7745.61</v>
      </c>
      <c r="O370" t="s">
        <v>4946</v>
      </c>
      <c r="P370" t="s">
        <v>4951</v>
      </c>
      <c r="R370">
        <v>14</v>
      </c>
      <c r="S370" t="str">
        <f t="shared" si="15"/>
        <v>Middle-Aged</v>
      </c>
      <c r="T370" t="str">
        <f t="shared" si="16"/>
        <v>Medium</v>
      </c>
      <c r="U370" t="str">
        <f t="shared" si="17"/>
        <v>Short Days</v>
      </c>
    </row>
    <row r="371" spans="1:21">
      <c r="A371" t="s">
        <v>387</v>
      </c>
      <c r="B371" s="5">
        <v>45335</v>
      </c>
      <c r="C371" t="s">
        <v>3359</v>
      </c>
      <c r="D371" t="s">
        <v>4702</v>
      </c>
      <c r="E371" t="s">
        <v>4867</v>
      </c>
      <c r="F371">
        <v>15</v>
      </c>
      <c r="G371" t="s">
        <v>4879</v>
      </c>
      <c r="H371" t="s">
        <v>4888</v>
      </c>
      <c r="I371" t="s">
        <v>4898</v>
      </c>
      <c r="J371" t="s">
        <v>4909</v>
      </c>
      <c r="K371" t="s">
        <v>4929</v>
      </c>
      <c r="L371" t="s">
        <v>4938</v>
      </c>
      <c r="M371" t="s">
        <v>4943</v>
      </c>
      <c r="N371" s="11">
        <v>12963.25</v>
      </c>
      <c r="O371" t="s">
        <v>4946</v>
      </c>
      <c r="P371" t="s">
        <v>4951</v>
      </c>
      <c r="S371" t="str">
        <f t="shared" si="15"/>
        <v>Child</v>
      </c>
      <c r="T371" t="str">
        <f t="shared" si="16"/>
        <v>High</v>
      </c>
      <c r="U371" t="str">
        <f t="shared" si="17"/>
        <v>Short Days</v>
      </c>
    </row>
    <row r="372" spans="1:21">
      <c r="A372" t="s">
        <v>388</v>
      </c>
      <c r="B372" s="5">
        <v>45527</v>
      </c>
      <c r="C372" t="s">
        <v>3360</v>
      </c>
      <c r="D372" t="s">
        <v>4779</v>
      </c>
      <c r="E372" t="s">
        <v>4866</v>
      </c>
      <c r="F372">
        <v>50</v>
      </c>
      <c r="G372" t="s">
        <v>4880</v>
      </c>
      <c r="H372" t="s">
        <v>4890</v>
      </c>
      <c r="I372" t="s">
        <v>4902</v>
      </c>
      <c r="J372" t="s">
        <v>4916</v>
      </c>
      <c r="K372" t="s">
        <v>4933</v>
      </c>
      <c r="L372" t="s">
        <v>4936</v>
      </c>
      <c r="M372" t="s">
        <v>4942</v>
      </c>
      <c r="N372" s="11">
        <v>328.09</v>
      </c>
      <c r="O372" t="s">
        <v>4947</v>
      </c>
      <c r="P372" t="s">
        <v>4951</v>
      </c>
      <c r="S372" t="str">
        <f t="shared" si="15"/>
        <v>Middle-Aged</v>
      </c>
      <c r="T372" t="str">
        <f t="shared" si="16"/>
        <v>Low</v>
      </c>
      <c r="U372" t="str">
        <f t="shared" si="17"/>
        <v>Short Days</v>
      </c>
    </row>
    <row r="373" spans="1:21">
      <c r="A373" t="s">
        <v>389</v>
      </c>
      <c r="B373" s="5">
        <v>45839</v>
      </c>
      <c r="C373" t="s">
        <v>3361</v>
      </c>
      <c r="D373" t="s">
        <v>4737</v>
      </c>
      <c r="E373" t="s">
        <v>4867</v>
      </c>
      <c r="F373">
        <v>20</v>
      </c>
      <c r="G373" t="s">
        <v>4872</v>
      </c>
      <c r="H373" t="s">
        <v>4887</v>
      </c>
      <c r="I373" t="s">
        <v>4895</v>
      </c>
      <c r="J373" t="s">
        <v>4915</v>
      </c>
      <c r="K373" t="s">
        <v>4925</v>
      </c>
      <c r="L373" t="s">
        <v>4937</v>
      </c>
      <c r="M373" t="s">
        <v>4943</v>
      </c>
      <c r="N373" s="11">
        <v>7570.91</v>
      </c>
      <c r="O373" t="s">
        <v>4947</v>
      </c>
      <c r="P373" t="s">
        <v>4951</v>
      </c>
      <c r="R373">
        <v>30</v>
      </c>
      <c r="S373" t="str">
        <f t="shared" si="15"/>
        <v>Adult</v>
      </c>
      <c r="T373" t="str">
        <f t="shared" si="16"/>
        <v>Medium</v>
      </c>
      <c r="U373" t="str">
        <f t="shared" si="17"/>
        <v>Short Days</v>
      </c>
    </row>
    <row r="374" spans="1:21">
      <c r="A374" t="s">
        <v>390</v>
      </c>
      <c r="B374" s="5">
        <v>45626</v>
      </c>
      <c r="C374" t="s">
        <v>3362</v>
      </c>
      <c r="D374" t="s">
        <v>4784</v>
      </c>
      <c r="E374" t="s">
        <v>4866</v>
      </c>
      <c r="F374">
        <v>50</v>
      </c>
      <c r="G374" t="s">
        <v>4874</v>
      </c>
      <c r="H374" t="s">
        <v>4886</v>
      </c>
      <c r="I374" t="s">
        <v>4895</v>
      </c>
      <c r="J374" t="s">
        <v>4905</v>
      </c>
      <c r="K374" t="s">
        <v>4930</v>
      </c>
      <c r="L374" t="s">
        <v>4938</v>
      </c>
      <c r="M374" t="s">
        <v>4942</v>
      </c>
      <c r="N374" s="11">
        <v>5711.38</v>
      </c>
      <c r="O374" t="s">
        <v>4946</v>
      </c>
      <c r="P374" t="s">
        <v>4951</v>
      </c>
      <c r="S374" t="str">
        <f t="shared" si="15"/>
        <v>Middle-Aged</v>
      </c>
      <c r="T374" t="str">
        <f t="shared" si="16"/>
        <v>Medium</v>
      </c>
      <c r="U374" t="str">
        <f t="shared" si="17"/>
        <v>Short Days</v>
      </c>
    </row>
    <row r="375" spans="1:21">
      <c r="A375" t="s">
        <v>391</v>
      </c>
      <c r="B375" s="5">
        <v>45956</v>
      </c>
      <c r="C375" t="s">
        <v>3363</v>
      </c>
      <c r="D375" t="s">
        <v>4677</v>
      </c>
      <c r="E375" t="s">
        <v>4867</v>
      </c>
      <c r="F375">
        <v>49</v>
      </c>
      <c r="G375" t="s">
        <v>4882</v>
      </c>
      <c r="H375" t="s">
        <v>4891</v>
      </c>
      <c r="I375" t="s">
        <v>4893</v>
      </c>
      <c r="J375" t="s">
        <v>4917</v>
      </c>
      <c r="K375" t="s">
        <v>4927</v>
      </c>
      <c r="L375" t="s">
        <v>4937</v>
      </c>
      <c r="M375" t="s">
        <v>4942</v>
      </c>
      <c r="N375" s="11">
        <v>10094.52</v>
      </c>
      <c r="O375" t="s">
        <v>4946</v>
      </c>
      <c r="P375" t="s">
        <v>4951</v>
      </c>
      <c r="R375">
        <v>14</v>
      </c>
      <c r="S375" t="str">
        <f t="shared" si="15"/>
        <v>Middle-Aged</v>
      </c>
      <c r="T375" t="str">
        <f t="shared" si="16"/>
        <v>High</v>
      </c>
      <c r="U375" t="str">
        <f t="shared" si="17"/>
        <v>Short Days</v>
      </c>
    </row>
    <row r="376" spans="1:21">
      <c r="A376" t="s">
        <v>392</v>
      </c>
      <c r="B376" s="5">
        <v>45570</v>
      </c>
      <c r="C376" t="s">
        <v>3364</v>
      </c>
      <c r="D376" t="s">
        <v>4640</v>
      </c>
      <c r="E376" t="s">
        <v>4867</v>
      </c>
      <c r="F376">
        <v>67</v>
      </c>
      <c r="G376" t="s">
        <v>4882</v>
      </c>
      <c r="H376" t="s">
        <v>4891</v>
      </c>
      <c r="I376" t="s">
        <v>4897</v>
      </c>
      <c r="J376" t="s">
        <v>4922</v>
      </c>
      <c r="K376" t="s">
        <v>4928</v>
      </c>
      <c r="L376" t="s">
        <v>4937</v>
      </c>
      <c r="M376" t="s">
        <v>4942</v>
      </c>
      <c r="N376" s="11">
        <v>11091.32</v>
      </c>
      <c r="O376" t="s">
        <v>4948</v>
      </c>
      <c r="P376" t="s">
        <v>4951</v>
      </c>
      <c r="R376">
        <v>14</v>
      </c>
      <c r="S376" t="str">
        <f t="shared" si="15"/>
        <v>Senior</v>
      </c>
      <c r="T376" t="str">
        <f t="shared" si="16"/>
        <v>High</v>
      </c>
      <c r="U376" t="str">
        <f t="shared" si="17"/>
        <v>Short Days</v>
      </c>
    </row>
    <row r="377" spans="1:21">
      <c r="A377" t="s">
        <v>393</v>
      </c>
      <c r="B377" s="5">
        <v>45520</v>
      </c>
      <c r="C377" t="s">
        <v>3219</v>
      </c>
      <c r="D377" t="s">
        <v>4785</v>
      </c>
      <c r="E377" t="s">
        <v>4867</v>
      </c>
      <c r="F377">
        <v>24</v>
      </c>
      <c r="G377" t="s">
        <v>4881</v>
      </c>
      <c r="H377" t="s">
        <v>4881</v>
      </c>
      <c r="I377" t="s">
        <v>4896</v>
      </c>
      <c r="J377" t="s">
        <v>4906</v>
      </c>
      <c r="K377" t="s">
        <v>4926</v>
      </c>
      <c r="L377" t="s">
        <v>4940</v>
      </c>
      <c r="M377" t="s">
        <v>4942</v>
      </c>
      <c r="N377" s="11">
        <v>1694.63</v>
      </c>
      <c r="O377" t="s">
        <v>4946</v>
      </c>
      <c r="P377" t="s">
        <v>4951</v>
      </c>
      <c r="R377">
        <v>14</v>
      </c>
      <c r="S377" t="str">
        <f t="shared" si="15"/>
        <v>Adult</v>
      </c>
      <c r="T377" t="str">
        <f t="shared" si="16"/>
        <v>Low</v>
      </c>
      <c r="U377" t="str">
        <f t="shared" si="17"/>
        <v>Short Days</v>
      </c>
    </row>
    <row r="378" spans="1:21">
      <c r="A378" t="s">
        <v>394</v>
      </c>
      <c r="B378" s="5">
        <v>45490</v>
      </c>
      <c r="C378" t="s">
        <v>3365</v>
      </c>
      <c r="D378" t="s">
        <v>4760</v>
      </c>
      <c r="E378" t="s">
        <v>4866</v>
      </c>
      <c r="F378">
        <v>3</v>
      </c>
      <c r="G378" t="s">
        <v>4880</v>
      </c>
      <c r="H378" t="s">
        <v>4890</v>
      </c>
      <c r="I378" t="s">
        <v>4895</v>
      </c>
      <c r="J378" t="s">
        <v>4915</v>
      </c>
      <c r="K378" t="s">
        <v>4927</v>
      </c>
      <c r="L378" t="s">
        <v>4938</v>
      </c>
      <c r="M378" t="s">
        <v>4942</v>
      </c>
      <c r="N378" s="11">
        <v>3631.33</v>
      </c>
      <c r="O378" t="s">
        <v>15</v>
      </c>
      <c r="P378" t="s">
        <v>4952</v>
      </c>
      <c r="R378">
        <v>30</v>
      </c>
      <c r="S378" t="str">
        <f t="shared" si="15"/>
        <v>Child</v>
      </c>
      <c r="T378" t="str">
        <f t="shared" si="16"/>
        <v>Low</v>
      </c>
      <c r="U378" t="str">
        <f t="shared" si="17"/>
        <v>Short Days</v>
      </c>
    </row>
    <row r="379" spans="1:21">
      <c r="A379" t="s">
        <v>395</v>
      </c>
      <c r="B379" s="5">
        <v>45855</v>
      </c>
      <c r="C379" t="s">
        <v>3366</v>
      </c>
      <c r="D379" t="s">
        <v>4786</v>
      </c>
      <c r="E379" t="s">
        <v>4866</v>
      </c>
      <c r="F379">
        <v>58</v>
      </c>
      <c r="G379" t="s">
        <v>4869</v>
      </c>
      <c r="H379" t="s">
        <v>4884</v>
      </c>
      <c r="I379" t="s">
        <v>4898</v>
      </c>
      <c r="J379" t="s">
        <v>4909</v>
      </c>
      <c r="K379" t="s">
        <v>4927</v>
      </c>
      <c r="L379" t="s">
        <v>4937</v>
      </c>
      <c r="M379" t="s">
        <v>4942</v>
      </c>
      <c r="N379" s="11">
        <v>1098.69</v>
      </c>
      <c r="O379" t="s">
        <v>4949</v>
      </c>
      <c r="P379" t="s">
        <v>4951</v>
      </c>
      <c r="S379" t="str">
        <f t="shared" si="15"/>
        <v>Middle-Aged</v>
      </c>
      <c r="T379" t="str">
        <f t="shared" si="16"/>
        <v>Low</v>
      </c>
      <c r="U379" t="str">
        <f t="shared" si="17"/>
        <v>Short Days</v>
      </c>
    </row>
    <row r="380" spans="1:21">
      <c r="A380" t="s">
        <v>396</v>
      </c>
      <c r="B380" s="5">
        <v>45925</v>
      </c>
      <c r="C380" t="s">
        <v>3367</v>
      </c>
      <c r="D380" t="s">
        <v>4675</v>
      </c>
      <c r="E380" t="s">
        <v>4866</v>
      </c>
      <c r="F380">
        <v>45</v>
      </c>
      <c r="G380" t="s">
        <v>4883</v>
      </c>
      <c r="H380" t="s">
        <v>4892</v>
      </c>
      <c r="I380" t="s">
        <v>4898</v>
      </c>
      <c r="J380" t="s">
        <v>4909</v>
      </c>
      <c r="K380" t="s">
        <v>4928</v>
      </c>
      <c r="L380" t="s">
        <v>4940</v>
      </c>
      <c r="M380" t="s">
        <v>4942</v>
      </c>
      <c r="N380" s="11">
        <v>284.91000000000003</v>
      </c>
      <c r="O380" t="s">
        <v>4947</v>
      </c>
      <c r="P380" t="s">
        <v>4951</v>
      </c>
      <c r="R380">
        <v>90</v>
      </c>
      <c r="S380" t="str">
        <f t="shared" si="15"/>
        <v>Middle-Aged</v>
      </c>
      <c r="T380" t="str">
        <f t="shared" si="16"/>
        <v>Low</v>
      </c>
      <c r="U380" t="str">
        <f t="shared" si="17"/>
        <v>Short Days</v>
      </c>
    </row>
    <row r="381" spans="1:21">
      <c r="A381" t="s">
        <v>397</v>
      </c>
      <c r="B381" s="5">
        <v>45877</v>
      </c>
      <c r="C381" t="s">
        <v>3368</v>
      </c>
      <c r="D381" t="s">
        <v>4612</v>
      </c>
      <c r="E381" t="s">
        <v>4867</v>
      </c>
      <c r="F381">
        <v>44</v>
      </c>
      <c r="G381" t="s">
        <v>4881</v>
      </c>
      <c r="H381" t="s">
        <v>4881</v>
      </c>
      <c r="I381" t="s">
        <v>4897</v>
      </c>
      <c r="J381" t="s">
        <v>4922</v>
      </c>
      <c r="K381" t="s">
        <v>4928</v>
      </c>
      <c r="L381" t="s">
        <v>4934</v>
      </c>
      <c r="M381" t="s">
        <v>4942</v>
      </c>
      <c r="N381" s="11">
        <v>4458.26</v>
      </c>
      <c r="O381" t="s">
        <v>15</v>
      </c>
      <c r="P381" t="s">
        <v>4952</v>
      </c>
      <c r="S381" t="str">
        <f t="shared" si="15"/>
        <v>Middle-Aged</v>
      </c>
      <c r="T381" t="str">
        <f t="shared" si="16"/>
        <v>Low</v>
      </c>
      <c r="U381" t="str">
        <f t="shared" si="17"/>
        <v>Short Days</v>
      </c>
    </row>
    <row r="382" spans="1:21">
      <c r="A382" t="s">
        <v>398</v>
      </c>
      <c r="B382" s="5">
        <v>45430</v>
      </c>
      <c r="C382" t="s">
        <v>3369</v>
      </c>
      <c r="D382" t="s">
        <v>4618</v>
      </c>
      <c r="E382" t="s">
        <v>4867</v>
      </c>
      <c r="F382">
        <v>38</v>
      </c>
      <c r="G382" t="s">
        <v>4872</v>
      </c>
      <c r="H382" t="s">
        <v>4887</v>
      </c>
      <c r="I382" t="s">
        <v>4897</v>
      </c>
      <c r="J382" t="s">
        <v>4922</v>
      </c>
      <c r="K382" t="s">
        <v>4925</v>
      </c>
      <c r="L382" t="s">
        <v>4940</v>
      </c>
      <c r="M382" t="s">
        <v>4942</v>
      </c>
      <c r="N382" s="11">
        <v>7443.51</v>
      </c>
      <c r="O382" t="s">
        <v>15</v>
      </c>
      <c r="P382" t="s">
        <v>4952</v>
      </c>
      <c r="R382">
        <v>30</v>
      </c>
      <c r="S382" t="str">
        <f t="shared" si="15"/>
        <v>Adult</v>
      </c>
      <c r="T382" t="str">
        <f t="shared" si="16"/>
        <v>Medium</v>
      </c>
      <c r="U382" t="str">
        <f t="shared" si="17"/>
        <v>Short Days</v>
      </c>
    </row>
    <row r="383" spans="1:21">
      <c r="A383" t="s">
        <v>399</v>
      </c>
      <c r="B383" s="5">
        <v>45654</v>
      </c>
      <c r="C383" t="s">
        <v>3370</v>
      </c>
      <c r="D383" t="s">
        <v>4787</v>
      </c>
      <c r="E383" t="s">
        <v>4866</v>
      </c>
      <c r="F383">
        <v>20</v>
      </c>
      <c r="G383" t="s">
        <v>4880</v>
      </c>
      <c r="H383" t="s">
        <v>4890</v>
      </c>
      <c r="I383" t="s">
        <v>4896</v>
      </c>
      <c r="J383" t="s">
        <v>4908</v>
      </c>
      <c r="K383" t="s">
        <v>4932</v>
      </c>
      <c r="L383" t="s">
        <v>4939</v>
      </c>
      <c r="M383" t="s">
        <v>4942</v>
      </c>
      <c r="N383" s="11">
        <v>5919.25</v>
      </c>
      <c r="O383" t="s">
        <v>4949</v>
      </c>
      <c r="P383" t="s">
        <v>4951</v>
      </c>
      <c r="S383" t="str">
        <f t="shared" si="15"/>
        <v>Adult</v>
      </c>
      <c r="T383" t="str">
        <f t="shared" si="16"/>
        <v>Medium</v>
      </c>
      <c r="U383" t="str">
        <f t="shared" si="17"/>
        <v>Short Days</v>
      </c>
    </row>
    <row r="384" spans="1:21">
      <c r="A384" t="s">
        <v>400</v>
      </c>
      <c r="B384" s="5">
        <v>45684</v>
      </c>
      <c r="C384" t="s">
        <v>3371</v>
      </c>
      <c r="D384" t="s">
        <v>4788</v>
      </c>
      <c r="E384" t="s">
        <v>4866</v>
      </c>
      <c r="F384">
        <v>27</v>
      </c>
      <c r="G384" t="s">
        <v>4880</v>
      </c>
      <c r="H384" t="s">
        <v>4890</v>
      </c>
      <c r="I384" t="s">
        <v>4900</v>
      </c>
      <c r="J384" t="s">
        <v>4913</v>
      </c>
      <c r="K384" t="s">
        <v>4926</v>
      </c>
      <c r="L384" t="s">
        <v>4935</v>
      </c>
      <c r="M384" t="s">
        <v>4943</v>
      </c>
      <c r="N384" s="11">
        <v>5653.59</v>
      </c>
      <c r="O384" t="s">
        <v>4949</v>
      </c>
      <c r="P384" t="s">
        <v>4951</v>
      </c>
      <c r="R384">
        <v>7</v>
      </c>
      <c r="S384" t="str">
        <f t="shared" si="15"/>
        <v>Adult</v>
      </c>
      <c r="T384" t="str">
        <f t="shared" si="16"/>
        <v>Medium</v>
      </c>
      <c r="U384" t="str">
        <f t="shared" si="17"/>
        <v>Short Days</v>
      </c>
    </row>
    <row r="385" spans="1:21">
      <c r="A385" t="s">
        <v>401</v>
      </c>
      <c r="B385" s="5">
        <v>45909</v>
      </c>
      <c r="C385" t="s">
        <v>3372</v>
      </c>
      <c r="D385" t="s">
        <v>4741</v>
      </c>
      <c r="E385" t="s">
        <v>4867</v>
      </c>
      <c r="F385">
        <v>15</v>
      </c>
      <c r="G385" t="s">
        <v>4878</v>
      </c>
      <c r="H385" t="s">
        <v>4889</v>
      </c>
      <c r="I385" t="s">
        <v>4898</v>
      </c>
      <c r="J385" t="s">
        <v>4909</v>
      </c>
      <c r="K385" t="s">
        <v>4933</v>
      </c>
      <c r="L385" t="s">
        <v>4937</v>
      </c>
      <c r="M385" t="s">
        <v>4942</v>
      </c>
      <c r="N385" s="11">
        <v>12493.13</v>
      </c>
      <c r="O385" t="s">
        <v>4949</v>
      </c>
      <c r="P385" t="s">
        <v>4951</v>
      </c>
      <c r="R385">
        <v>30</v>
      </c>
      <c r="S385" t="str">
        <f t="shared" si="15"/>
        <v>Child</v>
      </c>
      <c r="T385" t="str">
        <f t="shared" si="16"/>
        <v>High</v>
      </c>
      <c r="U385" t="str">
        <f t="shared" si="17"/>
        <v>Short Days</v>
      </c>
    </row>
    <row r="386" spans="1:21">
      <c r="A386" t="s">
        <v>402</v>
      </c>
      <c r="B386" s="5">
        <v>45660</v>
      </c>
      <c r="C386" t="s">
        <v>3373</v>
      </c>
      <c r="D386" t="s">
        <v>4763</v>
      </c>
      <c r="E386" t="s">
        <v>4866</v>
      </c>
      <c r="F386">
        <v>56</v>
      </c>
      <c r="G386" t="s">
        <v>4880</v>
      </c>
      <c r="H386" t="s">
        <v>4890</v>
      </c>
      <c r="I386" t="s">
        <v>4901</v>
      </c>
      <c r="J386" t="s">
        <v>4914</v>
      </c>
      <c r="K386" t="s">
        <v>4931</v>
      </c>
      <c r="L386" t="s">
        <v>4941</v>
      </c>
      <c r="M386" t="s">
        <v>4944</v>
      </c>
      <c r="N386" s="11">
        <v>7654.89</v>
      </c>
      <c r="O386" t="s">
        <v>4949</v>
      </c>
      <c r="P386" t="s">
        <v>4951</v>
      </c>
      <c r="R386">
        <v>14</v>
      </c>
      <c r="S386" t="str">
        <f t="shared" si="15"/>
        <v>Middle-Aged</v>
      </c>
      <c r="T386" t="str">
        <f t="shared" si="16"/>
        <v>Medium</v>
      </c>
      <c r="U386" t="str">
        <f t="shared" si="17"/>
        <v>Short Days</v>
      </c>
    </row>
    <row r="387" spans="1:21">
      <c r="A387" t="s">
        <v>403</v>
      </c>
      <c r="B387" s="5">
        <v>45666</v>
      </c>
      <c r="C387" t="s">
        <v>3295</v>
      </c>
      <c r="D387" t="s">
        <v>4734</v>
      </c>
      <c r="E387" t="s">
        <v>4866</v>
      </c>
      <c r="F387">
        <v>77</v>
      </c>
      <c r="G387" t="s">
        <v>4874</v>
      </c>
      <c r="H387" t="s">
        <v>4886</v>
      </c>
      <c r="I387" t="s">
        <v>4898</v>
      </c>
      <c r="J387" t="s">
        <v>4923</v>
      </c>
      <c r="K387" t="s">
        <v>4929</v>
      </c>
      <c r="L387" t="s">
        <v>4934</v>
      </c>
      <c r="M387" t="s">
        <v>4942</v>
      </c>
      <c r="N387" s="11">
        <v>9536.8799999999992</v>
      </c>
      <c r="O387" t="s">
        <v>4949</v>
      </c>
      <c r="P387" t="s">
        <v>4951</v>
      </c>
      <c r="R387">
        <v>90</v>
      </c>
      <c r="S387" t="str">
        <f t="shared" ref="S387:S450" si="18">IF(F387&lt;18,"Child",IF(F387&lt;=40,"Adult",IF(F387&lt;=60,"Middle-Aged",IF(F387,"Senior"))))</f>
        <v>Senior</v>
      </c>
      <c r="T387" t="str">
        <f t="shared" ref="T387:T450" si="19">IF(N387&lt;=5000,"Low",IF(N387&lt;=10000,"Medium","High"))</f>
        <v>Medium</v>
      </c>
      <c r="U387" t="str">
        <f t="shared" ref="U387:U450" si="20">IF(Q387&lt;=5,"Short Days","Long Days")</f>
        <v>Short Days</v>
      </c>
    </row>
    <row r="388" spans="1:21">
      <c r="A388" t="s">
        <v>404</v>
      </c>
      <c r="B388" s="5">
        <v>45925</v>
      </c>
      <c r="C388" t="s">
        <v>3374</v>
      </c>
      <c r="D388" t="s">
        <v>4789</v>
      </c>
      <c r="E388" t="s">
        <v>4866</v>
      </c>
      <c r="F388">
        <v>56</v>
      </c>
      <c r="G388" t="s">
        <v>4875</v>
      </c>
      <c r="H388" t="s">
        <v>4889</v>
      </c>
      <c r="I388" t="s">
        <v>4897</v>
      </c>
      <c r="J388" t="s">
        <v>4922</v>
      </c>
      <c r="K388" t="s">
        <v>4925</v>
      </c>
      <c r="L388" t="s">
        <v>4938</v>
      </c>
      <c r="M388" t="s">
        <v>4942</v>
      </c>
      <c r="N388" s="11">
        <v>1749.53</v>
      </c>
      <c r="O388" t="s">
        <v>4946</v>
      </c>
      <c r="P388" t="s">
        <v>4951</v>
      </c>
      <c r="R388">
        <v>7</v>
      </c>
      <c r="S388" t="str">
        <f t="shared" si="18"/>
        <v>Middle-Aged</v>
      </c>
      <c r="T388" t="str">
        <f t="shared" si="19"/>
        <v>Low</v>
      </c>
      <c r="U388" t="str">
        <f t="shared" si="20"/>
        <v>Short Days</v>
      </c>
    </row>
    <row r="389" spans="1:21">
      <c r="A389" t="s">
        <v>405</v>
      </c>
      <c r="B389" s="5">
        <v>45373</v>
      </c>
      <c r="C389" t="s">
        <v>3182</v>
      </c>
      <c r="D389" t="s">
        <v>4637</v>
      </c>
      <c r="E389" t="s">
        <v>4867</v>
      </c>
      <c r="F389">
        <v>44</v>
      </c>
      <c r="G389" t="s">
        <v>4873</v>
      </c>
      <c r="H389" t="s">
        <v>4888</v>
      </c>
      <c r="I389" t="s">
        <v>4898</v>
      </c>
      <c r="J389" t="s">
        <v>4909</v>
      </c>
      <c r="K389" t="s">
        <v>4928</v>
      </c>
      <c r="L389" t="s">
        <v>4936</v>
      </c>
      <c r="M389" t="s">
        <v>4942</v>
      </c>
      <c r="N389" s="11">
        <v>14201.51</v>
      </c>
      <c r="O389" t="s">
        <v>4950</v>
      </c>
      <c r="P389" t="s">
        <v>4951</v>
      </c>
      <c r="S389" t="str">
        <f t="shared" si="18"/>
        <v>Middle-Aged</v>
      </c>
      <c r="T389" t="str">
        <f t="shared" si="19"/>
        <v>High</v>
      </c>
      <c r="U389" t="str">
        <f t="shared" si="20"/>
        <v>Short Days</v>
      </c>
    </row>
    <row r="390" spans="1:21">
      <c r="A390" t="s">
        <v>406</v>
      </c>
      <c r="B390" s="5">
        <v>45927</v>
      </c>
      <c r="C390" t="s">
        <v>3375</v>
      </c>
      <c r="D390" t="s">
        <v>4698</v>
      </c>
      <c r="E390" t="s">
        <v>4867</v>
      </c>
      <c r="F390">
        <v>38</v>
      </c>
      <c r="G390" t="s">
        <v>4874</v>
      </c>
      <c r="H390" t="s">
        <v>4886</v>
      </c>
      <c r="I390" t="s">
        <v>4900</v>
      </c>
      <c r="J390" t="s">
        <v>4913</v>
      </c>
      <c r="K390" t="s">
        <v>4930</v>
      </c>
      <c r="L390" t="s">
        <v>4940</v>
      </c>
      <c r="M390" t="s">
        <v>4944</v>
      </c>
      <c r="N390" s="11">
        <v>6513.68</v>
      </c>
      <c r="O390" t="s">
        <v>4946</v>
      </c>
      <c r="P390" t="s">
        <v>4951</v>
      </c>
      <c r="R390">
        <v>30</v>
      </c>
      <c r="S390" t="str">
        <f t="shared" si="18"/>
        <v>Adult</v>
      </c>
      <c r="T390" t="str">
        <f t="shared" si="19"/>
        <v>Medium</v>
      </c>
      <c r="U390" t="str">
        <f t="shared" si="20"/>
        <v>Short Days</v>
      </c>
    </row>
    <row r="391" spans="1:21">
      <c r="A391" t="s">
        <v>407</v>
      </c>
      <c r="B391" s="5">
        <v>45844</v>
      </c>
      <c r="C391" t="s">
        <v>3376</v>
      </c>
      <c r="D391" t="s">
        <v>4790</v>
      </c>
      <c r="E391" t="s">
        <v>4867</v>
      </c>
      <c r="F391">
        <v>29</v>
      </c>
      <c r="G391" t="s">
        <v>4869</v>
      </c>
      <c r="H391" t="s">
        <v>4884</v>
      </c>
      <c r="I391" t="s">
        <v>4895</v>
      </c>
      <c r="J391" t="s">
        <v>4915</v>
      </c>
      <c r="K391" t="s">
        <v>4931</v>
      </c>
      <c r="L391" t="s">
        <v>4935</v>
      </c>
      <c r="M391" t="s">
        <v>4943</v>
      </c>
      <c r="N391" s="11">
        <v>5191.0600000000004</v>
      </c>
      <c r="O391" t="s">
        <v>4949</v>
      </c>
      <c r="P391" t="s">
        <v>4951</v>
      </c>
      <c r="R391">
        <v>90</v>
      </c>
      <c r="S391" t="str">
        <f t="shared" si="18"/>
        <v>Adult</v>
      </c>
      <c r="T391" t="str">
        <f t="shared" si="19"/>
        <v>Medium</v>
      </c>
      <c r="U391" t="str">
        <f t="shared" si="20"/>
        <v>Short Days</v>
      </c>
    </row>
    <row r="392" spans="1:21">
      <c r="A392" t="s">
        <v>408</v>
      </c>
      <c r="B392" s="5">
        <v>45510</v>
      </c>
      <c r="C392" t="s">
        <v>3276</v>
      </c>
      <c r="D392" t="s">
        <v>4588</v>
      </c>
      <c r="E392" t="s">
        <v>4866</v>
      </c>
      <c r="F392">
        <v>35</v>
      </c>
      <c r="G392" t="s">
        <v>4871</v>
      </c>
      <c r="H392" t="s">
        <v>4886</v>
      </c>
      <c r="I392" t="s">
        <v>4898</v>
      </c>
      <c r="J392" t="s">
        <v>4918</v>
      </c>
      <c r="K392" t="s">
        <v>4931</v>
      </c>
      <c r="L392" t="s">
        <v>4939</v>
      </c>
      <c r="M392" t="s">
        <v>4942</v>
      </c>
      <c r="N392" s="11">
        <v>7159.4</v>
      </c>
      <c r="O392" t="s">
        <v>4947</v>
      </c>
      <c r="P392" t="s">
        <v>4951</v>
      </c>
      <c r="S392" t="str">
        <f t="shared" si="18"/>
        <v>Adult</v>
      </c>
      <c r="T392" t="str">
        <f t="shared" si="19"/>
        <v>Medium</v>
      </c>
      <c r="U392" t="str">
        <f t="shared" si="20"/>
        <v>Short Days</v>
      </c>
    </row>
    <row r="393" spans="1:21">
      <c r="A393" t="s">
        <v>409</v>
      </c>
      <c r="B393" s="5">
        <v>45379</v>
      </c>
      <c r="C393" t="s">
        <v>3377</v>
      </c>
      <c r="D393" t="s">
        <v>4652</v>
      </c>
      <c r="E393" t="s">
        <v>4867</v>
      </c>
      <c r="F393">
        <v>31</v>
      </c>
      <c r="G393" t="s">
        <v>4870</v>
      </c>
      <c r="H393" t="s">
        <v>4885</v>
      </c>
      <c r="I393" t="s">
        <v>4898</v>
      </c>
      <c r="J393" t="s">
        <v>4918</v>
      </c>
      <c r="K393" t="s">
        <v>4933</v>
      </c>
      <c r="L393" t="s">
        <v>4939</v>
      </c>
      <c r="M393" t="s">
        <v>4942</v>
      </c>
      <c r="N393" s="11">
        <v>1209.98</v>
      </c>
      <c r="O393" t="s">
        <v>15</v>
      </c>
      <c r="P393" t="s">
        <v>4952</v>
      </c>
      <c r="S393" t="str">
        <f t="shared" si="18"/>
        <v>Adult</v>
      </c>
      <c r="T393" t="str">
        <f t="shared" si="19"/>
        <v>Low</v>
      </c>
      <c r="U393" t="str">
        <f t="shared" si="20"/>
        <v>Short Days</v>
      </c>
    </row>
    <row r="394" spans="1:21">
      <c r="A394" t="s">
        <v>410</v>
      </c>
      <c r="B394" s="5">
        <v>45919</v>
      </c>
      <c r="C394" t="s">
        <v>3378</v>
      </c>
      <c r="D394" t="s">
        <v>4625</v>
      </c>
      <c r="E394" t="s">
        <v>4866</v>
      </c>
      <c r="F394">
        <v>39</v>
      </c>
      <c r="G394" t="s">
        <v>4872</v>
      </c>
      <c r="H394" t="s">
        <v>4887</v>
      </c>
      <c r="I394" t="s">
        <v>4896</v>
      </c>
      <c r="J394" t="s">
        <v>4908</v>
      </c>
      <c r="K394" t="s">
        <v>4925</v>
      </c>
      <c r="L394" t="s">
        <v>4937</v>
      </c>
      <c r="M394" t="s">
        <v>4945</v>
      </c>
      <c r="N394" s="11">
        <v>6627.49</v>
      </c>
      <c r="O394" t="s">
        <v>15</v>
      </c>
      <c r="P394" t="s">
        <v>4952</v>
      </c>
      <c r="Q394">
        <v>9</v>
      </c>
      <c r="R394">
        <v>90</v>
      </c>
      <c r="S394" t="str">
        <f t="shared" si="18"/>
        <v>Adult</v>
      </c>
      <c r="T394" t="str">
        <f t="shared" si="19"/>
        <v>Medium</v>
      </c>
      <c r="U394" t="str">
        <f t="shared" si="20"/>
        <v>Long Days</v>
      </c>
    </row>
    <row r="395" spans="1:21">
      <c r="A395" t="s">
        <v>411</v>
      </c>
      <c r="B395" s="5">
        <v>45730</v>
      </c>
      <c r="C395" t="s">
        <v>3379</v>
      </c>
      <c r="D395" t="s">
        <v>4599</v>
      </c>
      <c r="E395" t="s">
        <v>4866</v>
      </c>
      <c r="F395">
        <v>32</v>
      </c>
      <c r="G395" t="s">
        <v>4870</v>
      </c>
      <c r="H395" t="s">
        <v>4885</v>
      </c>
      <c r="I395" t="s">
        <v>4893</v>
      </c>
      <c r="J395" t="s">
        <v>4903</v>
      </c>
      <c r="K395" t="s">
        <v>4924</v>
      </c>
      <c r="L395" t="s">
        <v>4941</v>
      </c>
      <c r="M395" t="s">
        <v>4942</v>
      </c>
      <c r="N395" s="11">
        <v>6821.31</v>
      </c>
      <c r="O395" t="s">
        <v>4946</v>
      </c>
      <c r="P395" t="s">
        <v>4951</v>
      </c>
      <c r="S395" t="str">
        <f t="shared" si="18"/>
        <v>Adult</v>
      </c>
      <c r="T395" t="str">
        <f t="shared" si="19"/>
        <v>Medium</v>
      </c>
      <c r="U395" t="str">
        <f t="shared" si="20"/>
        <v>Short Days</v>
      </c>
    </row>
    <row r="396" spans="1:21">
      <c r="A396" t="s">
        <v>412</v>
      </c>
      <c r="B396" s="5">
        <v>45598</v>
      </c>
      <c r="C396" t="s">
        <v>3380</v>
      </c>
      <c r="D396" t="s">
        <v>4761</v>
      </c>
      <c r="E396" t="s">
        <v>4868</v>
      </c>
      <c r="F396">
        <v>51</v>
      </c>
      <c r="G396" t="s">
        <v>4876</v>
      </c>
      <c r="H396" t="s">
        <v>4888</v>
      </c>
      <c r="I396" t="s">
        <v>4898</v>
      </c>
      <c r="J396" t="s">
        <v>4918</v>
      </c>
      <c r="K396" t="s">
        <v>4932</v>
      </c>
      <c r="L396" t="s">
        <v>4934</v>
      </c>
      <c r="M396" t="s">
        <v>4942</v>
      </c>
      <c r="N396" s="11">
        <v>3802.7</v>
      </c>
      <c r="O396" t="s">
        <v>4946</v>
      </c>
      <c r="P396" t="s">
        <v>4951</v>
      </c>
      <c r="R396">
        <v>90</v>
      </c>
      <c r="S396" t="str">
        <f t="shared" si="18"/>
        <v>Middle-Aged</v>
      </c>
      <c r="T396" t="str">
        <f t="shared" si="19"/>
        <v>Low</v>
      </c>
      <c r="U396" t="str">
        <f t="shared" si="20"/>
        <v>Short Days</v>
      </c>
    </row>
    <row r="397" spans="1:21">
      <c r="A397" t="s">
        <v>413</v>
      </c>
      <c r="B397" s="5">
        <v>45676</v>
      </c>
      <c r="C397" t="s">
        <v>3381</v>
      </c>
      <c r="D397" t="s">
        <v>4716</v>
      </c>
      <c r="E397" t="s">
        <v>4866</v>
      </c>
      <c r="F397">
        <v>34</v>
      </c>
      <c r="G397" t="s">
        <v>4875</v>
      </c>
      <c r="H397" t="s">
        <v>4889</v>
      </c>
      <c r="I397" t="s">
        <v>4901</v>
      </c>
      <c r="J397" t="s">
        <v>4914</v>
      </c>
      <c r="K397" t="s">
        <v>4925</v>
      </c>
      <c r="L397" t="s">
        <v>4939</v>
      </c>
      <c r="M397" t="s">
        <v>4942</v>
      </c>
      <c r="N397" s="11">
        <v>13587.59</v>
      </c>
      <c r="O397" t="s">
        <v>4946</v>
      </c>
      <c r="P397" t="s">
        <v>4951</v>
      </c>
      <c r="R397">
        <v>14</v>
      </c>
      <c r="S397" t="str">
        <f t="shared" si="18"/>
        <v>Adult</v>
      </c>
      <c r="T397" t="str">
        <f t="shared" si="19"/>
        <v>High</v>
      </c>
      <c r="U397" t="str">
        <f t="shared" si="20"/>
        <v>Short Days</v>
      </c>
    </row>
    <row r="398" spans="1:21">
      <c r="A398" t="s">
        <v>414</v>
      </c>
      <c r="B398" s="5">
        <v>45456</v>
      </c>
      <c r="C398" t="s">
        <v>3382</v>
      </c>
      <c r="D398" t="s">
        <v>4643</v>
      </c>
      <c r="E398" t="s">
        <v>4866</v>
      </c>
      <c r="F398">
        <v>50</v>
      </c>
      <c r="G398" t="s">
        <v>4870</v>
      </c>
      <c r="H398" t="s">
        <v>4885</v>
      </c>
      <c r="I398" t="s">
        <v>4899</v>
      </c>
      <c r="J398" t="s">
        <v>4912</v>
      </c>
      <c r="K398" t="s">
        <v>4929</v>
      </c>
      <c r="L398" t="s">
        <v>4937</v>
      </c>
      <c r="M398" t="s">
        <v>4942</v>
      </c>
      <c r="N398" s="11">
        <v>2315.4699999999998</v>
      </c>
      <c r="O398" t="s">
        <v>15</v>
      </c>
      <c r="P398" t="s">
        <v>4952</v>
      </c>
      <c r="R398">
        <v>7</v>
      </c>
      <c r="S398" t="str">
        <f t="shared" si="18"/>
        <v>Middle-Aged</v>
      </c>
      <c r="T398" t="str">
        <f t="shared" si="19"/>
        <v>Low</v>
      </c>
      <c r="U398" t="str">
        <f t="shared" si="20"/>
        <v>Short Days</v>
      </c>
    </row>
    <row r="399" spans="1:21">
      <c r="A399" t="s">
        <v>415</v>
      </c>
      <c r="B399" s="5">
        <v>45615</v>
      </c>
      <c r="C399" t="s">
        <v>3383</v>
      </c>
      <c r="D399" t="s">
        <v>4587</v>
      </c>
      <c r="E399" t="s">
        <v>4866</v>
      </c>
      <c r="F399">
        <v>43</v>
      </c>
      <c r="G399" t="s">
        <v>4877</v>
      </c>
      <c r="H399" t="s">
        <v>4888</v>
      </c>
      <c r="I399" t="s">
        <v>4895</v>
      </c>
      <c r="J399" t="s">
        <v>4905</v>
      </c>
      <c r="K399" t="s">
        <v>4931</v>
      </c>
      <c r="L399" t="s">
        <v>4934</v>
      </c>
      <c r="M399" t="s">
        <v>4944</v>
      </c>
      <c r="N399" s="11">
        <v>18822.080000000002</v>
      </c>
      <c r="O399" t="s">
        <v>15</v>
      </c>
      <c r="P399" t="s">
        <v>4952</v>
      </c>
      <c r="R399">
        <v>90</v>
      </c>
      <c r="S399" t="str">
        <f t="shared" si="18"/>
        <v>Middle-Aged</v>
      </c>
      <c r="T399" t="str">
        <f t="shared" si="19"/>
        <v>High</v>
      </c>
      <c r="U399" t="str">
        <f t="shared" si="20"/>
        <v>Short Days</v>
      </c>
    </row>
    <row r="400" spans="1:21">
      <c r="A400" t="s">
        <v>416</v>
      </c>
      <c r="B400" s="5">
        <v>45296</v>
      </c>
      <c r="C400" t="s">
        <v>3384</v>
      </c>
      <c r="D400" t="s">
        <v>4695</v>
      </c>
      <c r="E400" t="s">
        <v>4867</v>
      </c>
      <c r="F400">
        <v>61</v>
      </c>
      <c r="G400" t="s">
        <v>4879</v>
      </c>
      <c r="H400" t="s">
        <v>4888</v>
      </c>
      <c r="I400" t="s">
        <v>4895</v>
      </c>
      <c r="J400" t="s">
        <v>4915</v>
      </c>
      <c r="K400" t="s">
        <v>4932</v>
      </c>
      <c r="L400" t="s">
        <v>4940</v>
      </c>
      <c r="M400" t="s">
        <v>4942</v>
      </c>
      <c r="N400" s="11">
        <v>5242.12</v>
      </c>
      <c r="O400" t="s">
        <v>4948</v>
      </c>
      <c r="P400" t="s">
        <v>4951</v>
      </c>
      <c r="S400" t="str">
        <f t="shared" si="18"/>
        <v>Senior</v>
      </c>
      <c r="T400" t="str">
        <f t="shared" si="19"/>
        <v>Medium</v>
      </c>
      <c r="U400" t="str">
        <f t="shared" si="20"/>
        <v>Short Days</v>
      </c>
    </row>
    <row r="401" spans="1:21">
      <c r="A401" t="s">
        <v>417</v>
      </c>
      <c r="B401" s="5">
        <v>45798</v>
      </c>
      <c r="C401" t="s">
        <v>3385</v>
      </c>
      <c r="D401" t="s">
        <v>4746</v>
      </c>
      <c r="E401" t="s">
        <v>4867</v>
      </c>
      <c r="F401">
        <v>25</v>
      </c>
      <c r="G401" t="s">
        <v>4876</v>
      </c>
      <c r="H401" t="s">
        <v>4888</v>
      </c>
      <c r="I401" t="s">
        <v>4894</v>
      </c>
      <c r="J401" t="s">
        <v>4910</v>
      </c>
      <c r="K401" t="s">
        <v>4924</v>
      </c>
      <c r="L401" t="s">
        <v>4938</v>
      </c>
      <c r="M401" t="s">
        <v>4942</v>
      </c>
      <c r="N401" s="11">
        <v>5540.97</v>
      </c>
      <c r="O401" t="s">
        <v>4949</v>
      </c>
      <c r="P401" t="s">
        <v>4951</v>
      </c>
      <c r="R401">
        <v>90</v>
      </c>
      <c r="S401" t="str">
        <f t="shared" si="18"/>
        <v>Adult</v>
      </c>
      <c r="T401" t="str">
        <f t="shared" si="19"/>
        <v>Medium</v>
      </c>
      <c r="U401" t="str">
        <f t="shared" si="20"/>
        <v>Short Days</v>
      </c>
    </row>
    <row r="402" spans="1:21">
      <c r="A402" t="s">
        <v>418</v>
      </c>
      <c r="B402" s="5">
        <v>45327</v>
      </c>
      <c r="C402" t="s">
        <v>3386</v>
      </c>
      <c r="D402" t="s">
        <v>4702</v>
      </c>
      <c r="E402" t="s">
        <v>4867</v>
      </c>
      <c r="F402">
        <v>39</v>
      </c>
      <c r="G402" t="s">
        <v>4881</v>
      </c>
      <c r="H402" t="s">
        <v>4881</v>
      </c>
      <c r="I402" t="s">
        <v>4902</v>
      </c>
      <c r="J402" t="s">
        <v>4920</v>
      </c>
      <c r="K402" t="s">
        <v>4930</v>
      </c>
      <c r="L402" t="s">
        <v>4937</v>
      </c>
      <c r="M402" t="s">
        <v>4942</v>
      </c>
      <c r="N402" s="11">
        <v>1226.44</v>
      </c>
      <c r="O402" t="s">
        <v>4947</v>
      </c>
      <c r="P402" t="s">
        <v>4951</v>
      </c>
      <c r="R402">
        <v>7</v>
      </c>
      <c r="S402" t="str">
        <f t="shared" si="18"/>
        <v>Adult</v>
      </c>
      <c r="T402" t="str">
        <f t="shared" si="19"/>
        <v>Low</v>
      </c>
      <c r="U402" t="str">
        <f t="shared" si="20"/>
        <v>Short Days</v>
      </c>
    </row>
    <row r="403" spans="1:21">
      <c r="A403" t="s">
        <v>419</v>
      </c>
      <c r="B403" s="5">
        <v>45855</v>
      </c>
      <c r="C403" t="s">
        <v>3387</v>
      </c>
      <c r="D403" t="s">
        <v>4791</v>
      </c>
      <c r="E403" t="s">
        <v>4867</v>
      </c>
      <c r="F403">
        <v>27</v>
      </c>
      <c r="G403" t="s">
        <v>4876</v>
      </c>
      <c r="H403" t="s">
        <v>4888</v>
      </c>
      <c r="I403" t="s">
        <v>4893</v>
      </c>
      <c r="J403" t="s">
        <v>4903</v>
      </c>
      <c r="K403" t="s">
        <v>4933</v>
      </c>
      <c r="L403" t="s">
        <v>4934</v>
      </c>
      <c r="M403" t="s">
        <v>4942</v>
      </c>
      <c r="N403" s="11">
        <v>5717.5</v>
      </c>
      <c r="O403" t="s">
        <v>4946</v>
      </c>
      <c r="P403" t="s">
        <v>4951</v>
      </c>
      <c r="R403">
        <v>90</v>
      </c>
      <c r="S403" t="str">
        <f t="shared" si="18"/>
        <v>Adult</v>
      </c>
      <c r="T403" t="str">
        <f t="shared" si="19"/>
        <v>Medium</v>
      </c>
      <c r="U403" t="str">
        <f t="shared" si="20"/>
        <v>Short Days</v>
      </c>
    </row>
    <row r="404" spans="1:21">
      <c r="A404" t="s">
        <v>420</v>
      </c>
      <c r="B404" s="5">
        <v>45426</v>
      </c>
      <c r="C404" t="s">
        <v>3039</v>
      </c>
      <c r="D404" t="s">
        <v>4792</v>
      </c>
      <c r="E404" t="s">
        <v>4867</v>
      </c>
      <c r="F404">
        <v>28</v>
      </c>
      <c r="G404" t="s">
        <v>4872</v>
      </c>
      <c r="H404" t="s">
        <v>4887</v>
      </c>
      <c r="I404" t="s">
        <v>4899</v>
      </c>
      <c r="J404" t="s">
        <v>4912</v>
      </c>
      <c r="K404" t="s">
        <v>4928</v>
      </c>
      <c r="L404" t="s">
        <v>4934</v>
      </c>
      <c r="M404" t="s">
        <v>4942</v>
      </c>
      <c r="N404" s="11">
        <v>18173.84</v>
      </c>
      <c r="O404" t="s">
        <v>4946</v>
      </c>
      <c r="P404" t="s">
        <v>4951</v>
      </c>
      <c r="R404">
        <v>90</v>
      </c>
      <c r="S404" t="str">
        <f t="shared" si="18"/>
        <v>Adult</v>
      </c>
      <c r="T404" t="str">
        <f t="shared" si="19"/>
        <v>High</v>
      </c>
      <c r="U404" t="str">
        <f t="shared" si="20"/>
        <v>Short Days</v>
      </c>
    </row>
    <row r="405" spans="1:21">
      <c r="A405" t="s">
        <v>421</v>
      </c>
      <c r="B405" s="5">
        <v>45549</v>
      </c>
      <c r="C405" t="s">
        <v>3388</v>
      </c>
      <c r="D405" t="s">
        <v>4700</v>
      </c>
      <c r="E405" t="s">
        <v>4866</v>
      </c>
      <c r="F405">
        <v>23</v>
      </c>
      <c r="G405" t="s">
        <v>4871</v>
      </c>
      <c r="H405" t="s">
        <v>4886</v>
      </c>
      <c r="I405" t="s">
        <v>4902</v>
      </c>
      <c r="J405" t="s">
        <v>4920</v>
      </c>
      <c r="K405" t="s">
        <v>4933</v>
      </c>
      <c r="L405" t="s">
        <v>4935</v>
      </c>
      <c r="M405" t="s">
        <v>4944</v>
      </c>
      <c r="N405" s="11">
        <v>5672.36</v>
      </c>
      <c r="O405" t="s">
        <v>4947</v>
      </c>
      <c r="P405" t="s">
        <v>4951</v>
      </c>
      <c r="R405">
        <v>14</v>
      </c>
      <c r="S405" t="str">
        <f t="shared" si="18"/>
        <v>Adult</v>
      </c>
      <c r="T405" t="str">
        <f t="shared" si="19"/>
        <v>Medium</v>
      </c>
      <c r="U405" t="str">
        <f t="shared" si="20"/>
        <v>Short Days</v>
      </c>
    </row>
    <row r="406" spans="1:21">
      <c r="A406" t="s">
        <v>422</v>
      </c>
      <c r="B406" s="5">
        <v>45854</v>
      </c>
      <c r="C406" t="s">
        <v>3389</v>
      </c>
      <c r="D406" t="s">
        <v>4793</v>
      </c>
      <c r="E406" t="s">
        <v>4866</v>
      </c>
      <c r="F406">
        <v>50</v>
      </c>
      <c r="G406" t="s">
        <v>4871</v>
      </c>
      <c r="H406" t="s">
        <v>4886</v>
      </c>
      <c r="I406" t="s">
        <v>4893</v>
      </c>
      <c r="J406" t="s">
        <v>4917</v>
      </c>
      <c r="K406" t="s">
        <v>4933</v>
      </c>
      <c r="L406" t="s">
        <v>4941</v>
      </c>
      <c r="M406" t="s">
        <v>4944</v>
      </c>
      <c r="N406" s="11">
        <v>40662.39</v>
      </c>
      <c r="O406" t="s">
        <v>4946</v>
      </c>
      <c r="P406" t="s">
        <v>4951</v>
      </c>
      <c r="S406" t="str">
        <f t="shared" si="18"/>
        <v>Middle-Aged</v>
      </c>
      <c r="T406" t="str">
        <f t="shared" si="19"/>
        <v>High</v>
      </c>
      <c r="U406" t="str">
        <f t="shared" si="20"/>
        <v>Short Days</v>
      </c>
    </row>
    <row r="407" spans="1:21">
      <c r="A407" t="s">
        <v>423</v>
      </c>
      <c r="B407" s="5">
        <v>45341</v>
      </c>
      <c r="C407" t="s">
        <v>3390</v>
      </c>
      <c r="D407" t="s">
        <v>4631</v>
      </c>
      <c r="E407" t="s">
        <v>4867</v>
      </c>
      <c r="F407">
        <v>48</v>
      </c>
      <c r="G407" t="s">
        <v>4878</v>
      </c>
      <c r="H407" t="s">
        <v>4889</v>
      </c>
      <c r="I407" t="s">
        <v>4898</v>
      </c>
      <c r="J407" t="s">
        <v>4909</v>
      </c>
      <c r="K407" t="s">
        <v>4924</v>
      </c>
      <c r="L407" t="s">
        <v>4935</v>
      </c>
      <c r="M407" t="s">
        <v>4945</v>
      </c>
      <c r="N407" s="11">
        <v>8378.41</v>
      </c>
      <c r="O407" t="s">
        <v>4947</v>
      </c>
      <c r="P407" t="s">
        <v>4951</v>
      </c>
      <c r="Q407">
        <v>5</v>
      </c>
      <c r="R407">
        <v>7</v>
      </c>
      <c r="S407" t="str">
        <f t="shared" si="18"/>
        <v>Middle-Aged</v>
      </c>
      <c r="T407" t="str">
        <f t="shared" si="19"/>
        <v>Medium</v>
      </c>
      <c r="U407" t="str">
        <f t="shared" si="20"/>
        <v>Short Days</v>
      </c>
    </row>
    <row r="408" spans="1:21">
      <c r="A408" t="s">
        <v>424</v>
      </c>
      <c r="B408" s="5">
        <v>45610</v>
      </c>
      <c r="C408" t="s">
        <v>3391</v>
      </c>
      <c r="D408" t="s">
        <v>4767</v>
      </c>
      <c r="E408" t="s">
        <v>4866</v>
      </c>
      <c r="F408">
        <v>25</v>
      </c>
      <c r="G408" t="s">
        <v>4878</v>
      </c>
      <c r="H408" t="s">
        <v>4889</v>
      </c>
      <c r="I408" t="s">
        <v>4902</v>
      </c>
      <c r="J408" t="s">
        <v>4920</v>
      </c>
      <c r="K408" t="s">
        <v>4930</v>
      </c>
      <c r="L408" t="s">
        <v>4935</v>
      </c>
      <c r="M408" t="s">
        <v>4942</v>
      </c>
      <c r="N408" s="11">
        <v>11511.82</v>
      </c>
      <c r="O408" t="s">
        <v>15</v>
      </c>
      <c r="P408" t="s">
        <v>4952</v>
      </c>
      <c r="R408">
        <v>90</v>
      </c>
      <c r="S408" t="str">
        <f t="shared" si="18"/>
        <v>Adult</v>
      </c>
      <c r="T408" t="str">
        <f t="shared" si="19"/>
        <v>High</v>
      </c>
      <c r="U408" t="str">
        <f t="shared" si="20"/>
        <v>Short Days</v>
      </c>
    </row>
    <row r="409" spans="1:21">
      <c r="A409" t="s">
        <v>425</v>
      </c>
      <c r="B409" s="5">
        <v>45562</v>
      </c>
      <c r="C409" t="s">
        <v>3392</v>
      </c>
      <c r="D409" t="s">
        <v>4794</v>
      </c>
      <c r="E409" t="s">
        <v>4866</v>
      </c>
      <c r="F409">
        <v>43</v>
      </c>
      <c r="G409" t="s">
        <v>4876</v>
      </c>
      <c r="H409" t="s">
        <v>4888</v>
      </c>
      <c r="I409" t="s">
        <v>4893</v>
      </c>
      <c r="J409" t="s">
        <v>4917</v>
      </c>
      <c r="K409" t="s">
        <v>4924</v>
      </c>
      <c r="L409" t="s">
        <v>4936</v>
      </c>
      <c r="M409" t="s">
        <v>4942</v>
      </c>
      <c r="N409" s="11">
        <v>392.26</v>
      </c>
      <c r="O409" t="s">
        <v>15</v>
      </c>
      <c r="P409" t="s">
        <v>4952</v>
      </c>
      <c r="R409">
        <v>14</v>
      </c>
      <c r="S409" t="str">
        <f t="shared" si="18"/>
        <v>Middle-Aged</v>
      </c>
      <c r="T409" t="str">
        <f t="shared" si="19"/>
        <v>Low</v>
      </c>
      <c r="U409" t="str">
        <f t="shared" si="20"/>
        <v>Short Days</v>
      </c>
    </row>
    <row r="410" spans="1:21">
      <c r="A410" t="s">
        <v>426</v>
      </c>
      <c r="B410" s="5">
        <v>45867</v>
      </c>
      <c r="C410" t="s">
        <v>3393</v>
      </c>
      <c r="D410" t="s">
        <v>4679</v>
      </c>
      <c r="E410" t="s">
        <v>4867</v>
      </c>
      <c r="F410">
        <v>55</v>
      </c>
      <c r="G410" t="s">
        <v>4872</v>
      </c>
      <c r="H410" t="s">
        <v>4887</v>
      </c>
      <c r="I410" t="s">
        <v>4894</v>
      </c>
      <c r="J410" t="s">
        <v>4904</v>
      </c>
      <c r="K410" t="s">
        <v>4924</v>
      </c>
      <c r="L410" t="s">
        <v>4937</v>
      </c>
      <c r="M410" t="s">
        <v>4944</v>
      </c>
      <c r="N410" s="11">
        <v>15145.03</v>
      </c>
      <c r="O410" t="s">
        <v>4946</v>
      </c>
      <c r="P410" t="s">
        <v>4951</v>
      </c>
      <c r="S410" t="str">
        <f t="shared" si="18"/>
        <v>Middle-Aged</v>
      </c>
      <c r="T410" t="str">
        <f t="shared" si="19"/>
        <v>High</v>
      </c>
      <c r="U410" t="str">
        <f t="shared" si="20"/>
        <v>Short Days</v>
      </c>
    </row>
    <row r="411" spans="1:21">
      <c r="A411" t="s">
        <v>427</v>
      </c>
      <c r="B411" s="5">
        <v>45869</v>
      </c>
      <c r="C411" t="s">
        <v>3078</v>
      </c>
      <c r="D411" t="s">
        <v>4627</v>
      </c>
      <c r="E411" t="s">
        <v>4867</v>
      </c>
      <c r="F411">
        <v>19</v>
      </c>
      <c r="G411" t="s">
        <v>4882</v>
      </c>
      <c r="H411" t="s">
        <v>4891</v>
      </c>
      <c r="I411" t="s">
        <v>4900</v>
      </c>
      <c r="J411" t="s">
        <v>4919</v>
      </c>
      <c r="K411" t="s">
        <v>4932</v>
      </c>
      <c r="L411" t="s">
        <v>4935</v>
      </c>
      <c r="M411" t="s">
        <v>4942</v>
      </c>
      <c r="N411" s="11">
        <v>1464.03</v>
      </c>
      <c r="O411" t="s">
        <v>15</v>
      </c>
      <c r="P411" t="s">
        <v>4952</v>
      </c>
      <c r="R411">
        <v>7</v>
      </c>
      <c r="S411" t="str">
        <f t="shared" si="18"/>
        <v>Adult</v>
      </c>
      <c r="T411" t="str">
        <f t="shared" si="19"/>
        <v>Low</v>
      </c>
      <c r="U411" t="str">
        <f t="shared" si="20"/>
        <v>Short Days</v>
      </c>
    </row>
    <row r="412" spans="1:21">
      <c r="A412" t="s">
        <v>428</v>
      </c>
      <c r="B412" s="5">
        <v>45876</v>
      </c>
      <c r="C412" t="s">
        <v>3394</v>
      </c>
      <c r="D412" t="s">
        <v>4795</v>
      </c>
      <c r="E412" t="s">
        <v>4866</v>
      </c>
      <c r="F412">
        <v>41</v>
      </c>
      <c r="G412" t="s">
        <v>4881</v>
      </c>
      <c r="H412" t="s">
        <v>4881</v>
      </c>
      <c r="I412" t="s">
        <v>4894</v>
      </c>
      <c r="J412" t="s">
        <v>4904</v>
      </c>
      <c r="K412" t="s">
        <v>4931</v>
      </c>
      <c r="L412" t="s">
        <v>4937</v>
      </c>
      <c r="M412" t="s">
        <v>4942</v>
      </c>
      <c r="N412" s="11">
        <v>3160.26</v>
      </c>
      <c r="O412" t="s">
        <v>15</v>
      </c>
      <c r="P412" t="s">
        <v>4952</v>
      </c>
      <c r="S412" t="str">
        <f t="shared" si="18"/>
        <v>Middle-Aged</v>
      </c>
      <c r="T412" t="str">
        <f t="shared" si="19"/>
        <v>Low</v>
      </c>
      <c r="U412" t="str">
        <f t="shared" si="20"/>
        <v>Short Days</v>
      </c>
    </row>
    <row r="413" spans="1:21">
      <c r="A413" t="s">
        <v>429</v>
      </c>
      <c r="B413" s="5">
        <v>45856</v>
      </c>
      <c r="C413" t="s">
        <v>3395</v>
      </c>
      <c r="D413" t="s">
        <v>4779</v>
      </c>
      <c r="E413" t="s">
        <v>4866</v>
      </c>
      <c r="F413">
        <v>38</v>
      </c>
      <c r="G413" t="s">
        <v>4879</v>
      </c>
      <c r="H413" t="s">
        <v>4888</v>
      </c>
      <c r="I413" t="s">
        <v>4896</v>
      </c>
      <c r="J413" t="s">
        <v>4906</v>
      </c>
      <c r="K413" t="s">
        <v>4933</v>
      </c>
      <c r="L413" t="s">
        <v>4941</v>
      </c>
      <c r="M413" t="s">
        <v>4942</v>
      </c>
      <c r="N413" s="11">
        <v>29644.91</v>
      </c>
      <c r="O413" t="s">
        <v>4947</v>
      </c>
      <c r="P413" t="s">
        <v>4951</v>
      </c>
      <c r="R413">
        <v>90</v>
      </c>
      <c r="S413" t="str">
        <f t="shared" si="18"/>
        <v>Adult</v>
      </c>
      <c r="T413" t="str">
        <f t="shared" si="19"/>
        <v>High</v>
      </c>
      <c r="U413" t="str">
        <f t="shared" si="20"/>
        <v>Short Days</v>
      </c>
    </row>
    <row r="414" spans="1:21">
      <c r="A414" t="s">
        <v>430</v>
      </c>
      <c r="B414" s="5">
        <v>45425</v>
      </c>
      <c r="C414" t="s">
        <v>3396</v>
      </c>
      <c r="D414" t="s">
        <v>4730</v>
      </c>
      <c r="E414" t="s">
        <v>4867</v>
      </c>
      <c r="F414">
        <v>45</v>
      </c>
      <c r="G414" t="s">
        <v>4875</v>
      </c>
      <c r="H414" t="s">
        <v>4889</v>
      </c>
      <c r="I414" t="s">
        <v>4894</v>
      </c>
      <c r="J414" t="s">
        <v>4904</v>
      </c>
      <c r="K414" t="s">
        <v>4926</v>
      </c>
      <c r="L414" t="s">
        <v>4935</v>
      </c>
      <c r="M414" t="s">
        <v>4944</v>
      </c>
      <c r="N414" s="11">
        <v>14892.75</v>
      </c>
      <c r="O414" t="s">
        <v>4946</v>
      </c>
      <c r="P414" t="s">
        <v>4951</v>
      </c>
      <c r="S414" t="str">
        <f t="shared" si="18"/>
        <v>Middle-Aged</v>
      </c>
      <c r="T414" t="str">
        <f t="shared" si="19"/>
        <v>High</v>
      </c>
      <c r="U414" t="str">
        <f t="shared" si="20"/>
        <v>Short Days</v>
      </c>
    </row>
    <row r="415" spans="1:21">
      <c r="A415" t="s">
        <v>431</v>
      </c>
      <c r="B415" s="5">
        <v>45645</v>
      </c>
      <c r="C415" t="s">
        <v>3397</v>
      </c>
      <c r="D415" t="s">
        <v>4724</v>
      </c>
      <c r="E415" t="s">
        <v>4867</v>
      </c>
      <c r="F415">
        <v>55</v>
      </c>
      <c r="G415" t="s">
        <v>4869</v>
      </c>
      <c r="H415" t="s">
        <v>4884</v>
      </c>
      <c r="I415" t="s">
        <v>4899</v>
      </c>
      <c r="J415" t="s">
        <v>4911</v>
      </c>
      <c r="K415" t="s">
        <v>4928</v>
      </c>
      <c r="L415" t="s">
        <v>4940</v>
      </c>
      <c r="M415" t="s">
        <v>4942</v>
      </c>
      <c r="N415" s="11">
        <v>2572.91</v>
      </c>
      <c r="O415" t="s">
        <v>4946</v>
      </c>
      <c r="P415" t="s">
        <v>4951</v>
      </c>
      <c r="S415" t="str">
        <f t="shared" si="18"/>
        <v>Middle-Aged</v>
      </c>
      <c r="T415" t="str">
        <f t="shared" si="19"/>
        <v>Low</v>
      </c>
      <c r="U415" t="str">
        <f t="shared" si="20"/>
        <v>Short Days</v>
      </c>
    </row>
    <row r="416" spans="1:21">
      <c r="A416" t="s">
        <v>432</v>
      </c>
      <c r="B416" s="5">
        <v>45717</v>
      </c>
      <c r="C416" t="s">
        <v>3398</v>
      </c>
      <c r="D416" t="s">
        <v>4753</v>
      </c>
      <c r="E416" t="s">
        <v>4867</v>
      </c>
      <c r="F416">
        <v>26</v>
      </c>
      <c r="G416" t="s">
        <v>4879</v>
      </c>
      <c r="H416" t="s">
        <v>4888</v>
      </c>
      <c r="I416" t="s">
        <v>4895</v>
      </c>
      <c r="J416" t="s">
        <v>4915</v>
      </c>
      <c r="K416" t="s">
        <v>4928</v>
      </c>
      <c r="L416" t="s">
        <v>4934</v>
      </c>
      <c r="M416" t="s">
        <v>4943</v>
      </c>
      <c r="N416" s="11">
        <v>14238.08</v>
      </c>
      <c r="O416" t="s">
        <v>4948</v>
      </c>
      <c r="P416" t="s">
        <v>4951</v>
      </c>
      <c r="R416">
        <v>14</v>
      </c>
      <c r="S416" t="str">
        <f t="shared" si="18"/>
        <v>Adult</v>
      </c>
      <c r="T416" t="str">
        <f t="shared" si="19"/>
        <v>High</v>
      </c>
      <c r="U416" t="str">
        <f t="shared" si="20"/>
        <v>Short Days</v>
      </c>
    </row>
    <row r="417" spans="1:21">
      <c r="A417" t="s">
        <v>433</v>
      </c>
      <c r="B417" s="5">
        <v>45873</v>
      </c>
      <c r="C417" t="s">
        <v>3399</v>
      </c>
      <c r="D417" t="s">
        <v>4796</v>
      </c>
      <c r="E417" t="s">
        <v>4867</v>
      </c>
      <c r="F417">
        <v>52</v>
      </c>
      <c r="G417" t="s">
        <v>4873</v>
      </c>
      <c r="H417" t="s">
        <v>4888</v>
      </c>
      <c r="I417" t="s">
        <v>4896</v>
      </c>
      <c r="J417" t="s">
        <v>4906</v>
      </c>
      <c r="K417" t="s">
        <v>4930</v>
      </c>
      <c r="L417" t="s">
        <v>4936</v>
      </c>
      <c r="M417" t="s">
        <v>4942</v>
      </c>
      <c r="N417" s="11">
        <v>786.09</v>
      </c>
      <c r="O417" t="s">
        <v>4946</v>
      </c>
      <c r="P417" t="s">
        <v>4951</v>
      </c>
      <c r="R417">
        <v>30</v>
      </c>
      <c r="S417" t="str">
        <f t="shared" si="18"/>
        <v>Middle-Aged</v>
      </c>
      <c r="T417" t="str">
        <f t="shared" si="19"/>
        <v>Low</v>
      </c>
      <c r="U417" t="str">
        <f t="shared" si="20"/>
        <v>Short Days</v>
      </c>
    </row>
    <row r="418" spans="1:21">
      <c r="A418" t="s">
        <v>434</v>
      </c>
      <c r="B418" s="5">
        <v>45763</v>
      </c>
      <c r="C418" t="s">
        <v>3282</v>
      </c>
      <c r="D418" t="s">
        <v>4693</v>
      </c>
      <c r="E418" t="s">
        <v>4867</v>
      </c>
      <c r="F418">
        <v>13</v>
      </c>
      <c r="G418" t="s">
        <v>4880</v>
      </c>
      <c r="H418" t="s">
        <v>4890</v>
      </c>
      <c r="I418" t="s">
        <v>4897</v>
      </c>
      <c r="J418" t="s">
        <v>4907</v>
      </c>
      <c r="K418" t="s">
        <v>4928</v>
      </c>
      <c r="L418" t="s">
        <v>4934</v>
      </c>
      <c r="M418" t="s">
        <v>4945</v>
      </c>
      <c r="N418" s="11">
        <v>6660.52</v>
      </c>
      <c r="O418" t="s">
        <v>15</v>
      </c>
      <c r="P418" t="s">
        <v>4952</v>
      </c>
      <c r="Q418">
        <v>4</v>
      </c>
      <c r="R418">
        <v>30</v>
      </c>
      <c r="S418" t="str">
        <f t="shared" si="18"/>
        <v>Child</v>
      </c>
      <c r="T418" t="str">
        <f t="shared" si="19"/>
        <v>Medium</v>
      </c>
      <c r="U418" t="str">
        <f t="shared" si="20"/>
        <v>Short Days</v>
      </c>
    </row>
    <row r="419" spans="1:21">
      <c r="A419" t="s">
        <v>435</v>
      </c>
      <c r="B419" s="5">
        <v>45900</v>
      </c>
      <c r="C419" t="s">
        <v>3400</v>
      </c>
      <c r="D419" t="s">
        <v>4663</v>
      </c>
      <c r="E419" t="s">
        <v>4866</v>
      </c>
      <c r="F419">
        <v>48</v>
      </c>
      <c r="G419" t="s">
        <v>4870</v>
      </c>
      <c r="H419" t="s">
        <v>4885</v>
      </c>
      <c r="I419" t="s">
        <v>4895</v>
      </c>
      <c r="J419" t="s">
        <v>4905</v>
      </c>
      <c r="K419" t="s">
        <v>4924</v>
      </c>
      <c r="L419" t="s">
        <v>4936</v>
      </c>
      <c r="M419" t="s">
        <v>4942</v>
      </c>
      <c r="N419" s="11">
        <v>2553.81</v>
      </c>
      <c r="O419" t="s">
        <v>15</v>
      </c>
      <c r="P419" t="s">
        <v>4952</v>
      </c>
      <c r="R419">
        <v>14</v>
      </c>
      <c r="S419" t="str">
        <f t="shared" si="18"/>
        <v>Middle-Aged</v>
      </c>
      <c r="T419" t="str">
        <f t="shared" si="19"/>
        <v>Low</v>
      </c>
      <c r="U419" t="str">
        <f t="shared" si="20"/>
        <v>Short Days</v>
      </c>
    </row>
    <row r="420" spans="1:21">
      <c r="A420" t="s">
        <v>436</v>
      </c>
      <c r="B420" s="5">
        <v>45862</v>
      </c>
      <c r="C420" t="s">
        <v>3401</v>
      </c>
      <c r="D420" t="s">
        <v>4737</v>
      </c>
      <c r="E420" t="s">
        <v>4866</v>
      </c>
      <c r="F420">
        <v>7</v>
      </c>
      <c r="G420" t="s">
        <v>4869</v>
      </c>
      <c r="H420" t="s">
        <v>4884</v>
      </c>
      <c r="I420" t="s">
        <v>4895</v>
      </c>
      <c r="J420" t="s">
        <v>4915</v>
      </c>
      <c r="K420" t="s">
        <v>4927</v>
      </c>
      <c r="L420" t="s">
        <v>4939</v>
      </c>
      <c r="M420" t="s">
        <v>4942</v>
      </c>
      <c r="N420" s="11">
        <v>1740.12</v>
      </c>
      <c r="O420" t="s">
        <v>4949</v>
      </c>
      <c r="P420" t="s">
        <v>4951</v>
      </c>
      <c r="S420" t="str">
        <f t="shared" si="18"/>
        <v>Child</v>
      </c>
      <c r="T420" t="str">
        <f t="shared" si="19"/>
        <v>Low</v>
      </c>
      <c r="U420" t="str">
        <f t="shared" si="20"/>
        <v>Short Days</v>
      </c>
    </row>
    <row r="421" spans="1:21">
      <c r="A421" t="s">
        <v>437</v>
      </c>
      <c r="B421" s="5">
        <v>45359</v>
      </c>
      <c r="C421" t="s">
        <v>3402</v>
      </c>
      <c r="D421" t="s">
        <v>4797</v>
      </c>
      <c r="E421" t="s">
        <v>4866</v>
      </c>
      <c r="F421">
        <v>42</v>
      </c>
      <c r="G421" t="s">
        <v>4875</v>
      </c>
      <c r="H421" t="s">
        <v>4889</v>
      </c>
      <c r="I421" t="s">
        <v>4895</v>
      </c>
      <c r="J421" t="s">
        <v>4905</v>
      </c>
      <c r="K421" t="s">
        <v>4932</v>
      </c>
      <c r="L421" t="s">
        <v>4939</v>
      </c>
      <c r="M421" t="s">
        <v>4942</v>
      </c>
      <c r="N421" s="11">
        <v>1305.4100000000001</v>
      </c>
      <c r="O421" t="s">
        <v>4946</v>
      </c>
      <c r="P421" t="s">
        <v>4951</v>
      </c>
      <c r="R421">
        <v>7</v>
      </c>
      <c r="S421" t="str">
        <f t="shared" si="18"/>
        <v>Middle-Aged</v>
      </c>
      <c r="T421" t="str">
        <f t="shared" si="19"/>
        <v>Low</v>
      </c>
      <c r="U421" t="str">
        <f t="shared" si="20"/>
        <v>Short Days</v>
      </c>
    </row>
    <row r="422" spans="1:21">
      <c r="A422" t="s">
        <v>438</v>
      </c>
      <c r="B422" s="5">
        <v>45293</v>
      </c>
      <c r="C422" t="s">
        <v>3302</v>
      </c>
      <c r="D422" t="s">
        <v>4719</v>
      </c>
      <c r="E422" t="s">
        <v>4866</v>
      </c>
      <c r="F422">
        <v>45</v>
      </c>
      <c r="G422" t="s">
        <v>4871</v>
      </c>
      <c r="H422" t="s">
        <v>4886</v>
      </c>
      <c r="I422" t="s">
        <v>4893</v>
      </c>
      <c r="J422" t="s">
        <v>4903</v>
      </c>
      <c r="K422" t="s">
        <v>4924</v>
      </c>
      <c r="L422" t="s">
        <v>4936</v>
      </c>
      <c r="M422" t="s">
        <v>4942</v>
      </c>
      <c r="N422" s="11">
        <v>776.42</v>
      </c>
      <c r="O422" t="s">
        <v>4949</v>
      </c>
      <c r="P422" t="s">
        <v>4951</v>
      </c>
      <c r="R422">
        <v>7</v>
      </c>
      <c r="S422" t="str">
        <f t="shared" si="18"/>
        <v>Middle-Aged</v>
      </c>
      <c r="T422" t="str">
        <f t="shared" si="19"/>
        <v>Low</v>
      </c>
      <c r="U422" t="str">
        <f t="shared" si="20"/>
        <v>Short Days</v>
      </c>
    </row>
    <row r="423" spans="1:21">
      <c r="A423" t="s">
        <v>439</v>
      </c>
      <c r="B423" s="5">
        <v>45583</v>
      </c>
      <c r="C423" t="s">
        <v>3393</v>
      </c>
      <c r="D423" t="s">
        <v>4798</v>
      </c>
      <c r="E423" t="s">
        <v>4867</v>
      </c>
      <c r="F423">
        <v>45</v>
      </c>
      <c r="G423" t="s">
        <v>4871</v>
      </c>
      <c r="H423" t="s">
        <v>4886</v>
      </c>
      <c r="I423" t="s">
        <v>4898</v>
      </c>
      <c r="J423" t="s">
        <v>4923</v>
      </c>
      <c r="K423" t="s">
        <v>4930</v>
      </c>
      <c r="L423" t="s">
        <v>4934</v>
      </c>
      <c r="M423" t="s">
        <v>4944</v>
      </c>
      <c r="N423" s="11">
        <v>5854.11</v>
      </c>
      <c r="O423" t="s">
        <v>4947</v>
      </c>
      <c r="P423" t="s">
        <v>4951</v>
      </c>
      <c r="R423">
        <v>90</v>
      </c>
      <c r="S423" t="str">
        <f t="shared" si="18"/>
        <v>Middle-Aged</v>
      </c>
      <c r="T423" t="str">
        <f t="shared" si="19"/>
        <v>Medium</v>
      </c>
      <c r="U423" t="str">
        <f t="shared" si="20"/>
        <v>Short Days</v>
      </c>
    </row>
    <row r="424" spans="1:21">
      <c r="A424" t="s">
        <v>440</v>
      </c>
      <c r="B424" s="5">
        <v>45662</v>
      </c>
      <c r="C424" t="s">
        <v>3403</v>
      </c>
      <c r="D424" t="s">
        <v>4799</v>
      </c>
      <c r="E424" t="s">
        <v>4866</v>
      </c>
      <c r="F424">
        <v>33</v>
      </c>
      <c r="G424" t="s">
        <v>4882</v>
      </c>
      <c r="H424" t="s">
        <v>4891</v>
      </c>
      <c r="I424" t="s">
        <v>4896</v>
      </c>
      <c r="J424" t="s">
        <v>4906</v>
      </c>
      <c r="K424" t="s">
        <v>4928</v>
      </c>
      <c r="L424" t="s">
        <v>4939</v>
      </c>
      <c r="M424" t="s">
        <v>4942</v>
      </c>
      <c r="N424" s="11">
        <v>1774.82</v>
      </c>
      <c r="O424" t="s">
        <v>15</v>
      </c>
      <c r="P424" t="s">
        <v>4952</v>
      </c>
      <c r="R424">
        <v>14</v>
      </c>
      <c r="S424" t="str">
        <f t="shared" si="18"/>
        <v>Adult</v>
      </c>
      <c r="T424" t="str">
        <f t="shared" si="19"/>
        <v>Low</v>
      </c>
      <c r="U424" t="str">
        <f t="shared" si="20"/>
        <v>Short Days</v>
      </c>
    </row>
    <row r="425" spans="1:21">
      <c r="A425" t="s">
        <v>441</v>
      </c>
      <c r="B425" s="5">
        <v>45941</v>
      </c>
      <c r="C425" t="s">
        <v>3404</v>
      </c>
      <c r="D425" t="s">
        <v>4684</v>
      </c>
      <c r="E425" t="s">
        <v>4866</v>
      </c>
      <c r="F425">
        <v>50</v>
      </c>
      <c r="G425" t="s">
        <v>4870</v>
      </c>
      <c r="H425" t="s">
        <v>4885</v>
      </c>
      <c r="I425" t="s">
        <v>4899</v>
      </c>
      <c r="J425" t="s">
        <v>4912</v>
      </c>
      <c r="K425" t="s">
        <v>4932</v>
      </c>
      <c r="L425" t="s">
        <v>4936</v>
      </c>
      <c r="M425" t="s">
        <v>4944</v>
      </c>
      <c r="N425" s="11">
        <v>5514.28</v>
      </c>
      <c r="O425" t="s">
        <v>15</v>
      </c>
      <c r="P425" t="s">
        <v>4952</v>
      </c>
      <c r="S425" t="str">
        <f t="shared" si="18"/>
        <v>Middle-Aged</v>
      </c>
      <c r="T425" t="str">
        <f t="shared" si="19"/>
        <v>Medium</v>
      </c>
      <c r="U425" t="str">
        <f t="shared" si="20"/>
        <v>Short Days</v>
      </c>
    </row>
    <row r="426" spans="1:21">
      <c r="A426" t="s">
        <v>442</v>
      </c>
      <c r="B426" s="5">
        <v>45511</v>
      </c>
      <c r="C426" t="s">
        <v>3405</v>
      </c>
      <c r="D426" t="s">
        <v>4639</v>
      </c>
      <c r="E426" t="s">
        <v>4866</v>
      </c>
      <c r="F426">
        <v>37</v>
      </c>
      <c r="G426" t="s">
        <v>4873</v>
      </c>
      <c r="H426" t="s">
        <v>4888</v>
      </c>
      <c r="I426" t="s">
        <v>4900</v>
      </c>
      <c r="J426" t="s">
        <v>4913</v>
      </c>
      <c r="K426" t="s">
        <v>4932</v>
      </c>
      <c r="L426" t="s">
        <v>4941</v>
      </c>
      <c r="M426" t="s">
        <v>4942</v>
      </c>
      <c r="N426" s="11">
        <v>253.66</v>
      </c>
      <c r="O426" t="s">
        <v>4946</v>
      </c>
      <c r="P426" t="s">
        <v>4951</v>
      </c>
      <c r="R426">
        <v>30</v>
      </c>
      <c r="S426" t="str">
        <f t="shared" si="18"/>
        <v>Adult</v>
      </c>
      <c r="T426" t="str">
        <f t="shared" si="19"/>
        <v>Low</v>
      </c>
      <c r="U426" t="str">
        <f t="shared" si="20"/>
        <v>Short Days</v>
      </c>
    </row>
    <row r="427" spans="1:21">
      <c r="A427" t="s">
        <v>443</v>
      </c>
      <c r="B427" s="5">
        <v>45493</v>
      </c>
      <c r="C427" t="s">
        <v>3406</v>
      </c>
      <c r="D427" t="s">
        <v>4800</v>
      </c>
      <c r="E427" t="s">
        <v>4866</v>
      </c>
      <c r="F427">
        <v>69</v>
      </c>
      <c r="G427" t="s">
        <v>4881</v>
      </c>
      <c r="H427" t="s">
        <v>4881</v>
      </c>
      <c r="I427" t="s">
        <v>4896</v>
      </c>
      <c r="J427" t="s">
        <v>4906</v>
      </c>
      <c r="K427" t="s">
        <v>4930</v>
      </c>
      <c r="L427" t="s">
        <v>4939</v>
      </c>
      <c r="M427" t="s">
        <v>4942</v>
      </c>
      <c r="N427" s="11">
        <v>18888.71</v>
      </c>
      <c r="O427" t="s">
        <v>4949</v>
      </c>
      <c r="P427" t="s">
        <v>4951</v>
      </c>
      <c r="R427">
        <v>90</v>
      </c>
      <c r="S427" t="str">
        <f t="shared" si="18"/>
        <v>Senior</v>
      </c>
      <c r="T427" t="str">
        <f t="shared" si="19"/>
        <v>High</v>
      </c>
      <c r="U427" t="str">
        <f t="shared" si="20"/>
        <v>Short Days</v>
      </c>
    </row>
    <row r="428" spans="1:21">
      <c r="A428" t="s">
        <v>444</v>
      </c>
      <c r="B428" s="5">
        <v>45709</v>
      </c>
      <c r="C428" t="s">
        <v>3407</v>
      </c>
      <c r="D428" t="s">
        <v>4718</v>
      </c>
      <c r="E428" t="s">
        <v>4867</v>
      </c>
      <c r="F428">
        <v>5</v>
      </c>
      <c r="G428" t="s">
        <v>4879</v>
      </c>
      <c r="H428" t="s">
        <v>4888</v>
      </c>
      <c r="I428" t="s">
        <v>4897</v>
      </c>
      <c r="J428" t="s">
        <v>4922</v>
      </c>
      <c r="K428" t="s">
        <v>4924</v>
      </c>
      <c r="L428" t="s">
        <v>4939</v>
      </c>
      <c r="M428" t="s">
        <v>4945</v>
      </c>
      <c r="N428" s="11">
        <v>6515.13</v>
      </c>
      <c r="O428" t="s">
        <v>4946</v>
      </c>
      <c r="P428" t="s">
        <v>4951</v>
      </c>
      <c r="Q428">
        <v>6</v>
      </c>
      <c r="R428">
        <v>90</v>
      </c>
      <c r="S428" t="str">
        <f t="shared" si="18"/>
        <v>Child</v>
      </c>
      <c r="T428" t="str">
        <f t="shared" si="19"/>
        <v>Medium</v>
      </c>
      <c r="U428" t="str">
        <f t="shared" si="20"/>
        <v>Long Days</v>
      </c>
    </row>
    <row r="429" spans="1:21">
      <c r="A429" t="s">
        <v>445</v>
      </c>
      <c r="B429" s="5">
        <v>45853</v>
      </c>
      <c r="C429" t="s">
        <v>3408</v>
      </c>
      <c r="D429" t="s">
        <v>4801</v>
      </c>
      <c r="E429" t="s">
        <v>4867</v>
      </c>
      <c r="F429">
        <v>39</v>
      </c>
      <c r="G429" t="s">
        <v>4878</v>
      </c>
      <c r="H429" t="s">
        <v>4889</v>
      </c>
      <c r="I429" t="s">
        <v>4899</v>
      </c>
      <c r="J429" t="s">
        <v>4912</v>
      </c>
      <c r="K429" t="s">
        <v>4929</v>
      </c>
      <c r="L429" t="s">
        <v>4935</v>
      </c>
      <c r="M429" t="s">
        <v>4944</v>
      </c>
      <c r="N429" s="11">
        <v>9835.9599999999991</v>
      </c>
      <c r="O429" t="s">
        <v>15</v>
      </c>
      <c r="P429" t="s">
        <v>4952</v>
      </c>
      <c r="R429">
        <v>14</v>
      </c>
      <c r="S429" t="str">
        <f t="shared" si="18"/>
        <v>Adult</v>
      </c>
      <c r="T429" t="str">
        <f t="shared" si="19"/>
        <v>Medium</v>
      </c>
      <c r="U429" t="str">
        <f t="shared" si="20"/>
        <v>Short Days</v>
      </c>
    </row>
    <row r="430" spans="1:21">
      <c r="A430" t="s">
        <v>446</v>
      </c>
      <c r="B430" s="5">
        <v>45922</v>
      </c>
      <c r="C430" t="s">
        <v>3409</v>
      </c>
      <c r="D430" t="s">
        <v>4604</v>
      </c>
      <c r="E430" t="s">
        <v>4866</v>
      </c>
      <c r="F430">
        <v>23</v>
      </c>
      <c r="G430" t="s">
        <v>4879</v>
      </c>
      <c r="H430" t="s">
        <v>4888</v>
      </c>
      <c r="I430" t="s">
        <v>4898</v>
      </c>
      <c r="J430" t="s">
        <v>4918</v>
      </c>
      <c r="K430" t="s">
        <v>4933</v>
      </c>
      <c r="L430" t="s">
        <v>4937</v>
      </c>
      <c r="M430" t="s">
        <v>4942</v>
      </c>
      <c r="N430" s="11">
        <v>3738.78</v>
      </c>
      <c r="O430" t="s">
        <v>15</v>
      </c>
      <c r="P430" t="s">
        <v>4952</v>
      </c>
      <c r="S430" t="str">
        <f t="shared" si="18"/>
        <v>Adult</v>
      </c>
      <c r="T430" t="str">
        <f t="shared" si="19"/>
        <v>Low</v>
      </c>
      <c r="U430" t="str">
        <f t="shared" si="20"/>
        <v>Short Days</v>
      </c>
    </row>
    <row r="431" spans="1:21">
      <c r="A431" t="s">
        <v>447</v>
      </c>
      <c r="B431" s="5">
        <v>45462</v>
      </c>
      <c r="C431" t="s">
        <v>3410</v>
      </c>
      <c r="D431" t="s">
        <v>4699</v>
      </c>
      <c r="E431" t="s">
        <v>4867</v>
      </c>
      <c r="F431">
        <v>61</v>
      </c>
      <c r="G431" t="s">
        <v>4877</v>
      </c>
      <c r="H431" t="s">
        <v>4888</v>
      </c>
      <c r="I431" t="s">
        <v>4899</v>
      </c>
      <c r="J431" t="s">
        <v>4912</v>
      </c>
      <c r="K431" t="s">
        <v>4924</v>
      </c>
      <c r="L431" t="s">
        <v>4941</v>
      </c>
      <c r="M431" t="s">
        <v>4942</v>
      </c>
      <c r="N431" s="11">
        <v>34585.599999999999</v>
      </c>
      <c r="O431" t="s">
        <v>4948</v>
      </c>
      <c r="P431" t="s">
        <v>4951</v>
      </c>
      <c r="S431" t="str">
        <f t="shared" si="18"/>
        <v>Senior</v>
      </c>
      <c r="T431" t="str">
        <f t="shared" si="19"/>
        <v>High</v>
      </c>
      <c r="U431" t="str">
        <f t="shared" si="20"/>
        <v>Short Days</v>
      </c>
    </row>
    <row r="432" spans="1:21">
      <c r="A432" t="s">
        <v>448</v>
      </c>
      <c r="B432" s="5">
        <v>45364</v>
      </c>
      <c r="C432" t="s">
        <v>3411</v>
      </c>
      <c r="D432" t="s">
        <v>4802</v>
      </c>
      <c r="E432" t="s">
        <v>4866</v>
      </c>
      <c r="F432">
        <v>11</v>
      </c>
      <c r="G432" t="s">
        <v>4870</v>
      </c>
      <c r="H432" t="s">
        <v>4885</v>
      </c>
      <c r="I432" t="s">
        <v>4900</v>
      </c>
      <c r="J432" t="s">
        <v>4913</v>
      </c>
      <c r="K432" t="s">
        <v>4924</v>
      </c>
      <c r="L432" t="s">
        <v>4934</v>
      </c>
      <c r="M432" t="s">
        <v>4942</v>
      </c>
      <c r="N432" s="11">
        <v>10776.71</v>
      </c>
      <c r="O432" t="s">
        <v>4946</v>
      </c>
      <c r="P432" t="s">
        <v>4951</v>
      </c>
      <c r="R432">
        <v>90</v>
      </c>
      <c r="S432" t="str">
        <f t="shared" si="18"/>
        <v>Child</v>
      </c>
      <c r="T432" t="str">
        <f t="shared" si="19"/>
        <v>High</v>
      </c>
      <c r="U432" t="str">
        <f t="shared" si="20"/>
        <v>Short Days</v>
      </c>
    </row>
    <row r="433" spans="1:21">
      <c r="A433" t="s">
        <v>449</v>
      </c>
      <c r="B433" s="5">
        <v>45576</v>
      </c>
      <c r="C433" t="s">
        <v>3412</v>
      </c>
      <c r="D433" t="s">
        <v>4718</v>
      </c>
      <c r="E433" t="s">
        <v>4867</v>
      </c>
      <c r="F433">
        <v>37</v>
      </c>
      <c r="G433" t="s">
        <v>4874</v>
      </c>
      <c r="H433" t="s">
        <v>4886</v>
      </c>
      <c r="I433" t="s">
        <v>4898</v>
      </c>
      <c r="J433" t="s">
        <v>4918</v>
      </c>
      <c r="K433" t="s">
        <v>4929</v>
      </c>
      <c r="L433" t="s">
        <v>4940</v>
      </c>
      <c r="M433" t="s">
        <v>4945</v>
      </c>
      <c r="N433" s="11">
        <v>13806.71</v>
      </c>
      <c r="O433" t="s">
        <v>15</v>
      </c>
      <c r="P433" t="s">
        <v>4952</v>
      </c>
      <c r="Q433">
        <v>6</v>
      </c>
      <c r="R433">
        <v>90</v>
      </c>
      <c r="S433" t="str">
        <f t="shared" si="18"/>
        <v>Adult</v>
      </c>
      <c r="T433" t="str">
        <f t="shared" si="19"/>
        <v>High</v>
      </c>
      <c r="U433" t="str">
        <f t="shared" si="20"/>
        <v>Long Days</v>
      </c>
    </row>
    <row r="434" spans="1:21">
      <c r="A434" t="s">
        <v>450</v>
      </c>
      <c r="B434" s="5">
        <v>45467</v>
      </c>
      <c r="C434" t="s">
        <v>3413</v>
      </c>
      <c r="D434" t="s">
        <v>4803</v>
      </c>
      <c r="E434" t="s">
        <v>4867</v>
      </c>
      <c r="F434">
        <v>13</v>
      </c>
      <c r="G434" t="s">
        <v>4881</v>
      </c>
      <c r="H434" t="s">
        <v>4881</v>
      </c>
      <c r="I434" t="s">
        <v>4894</v>
      </c>
      <c r="J434" t="s">
        <v>4910</v>
      </c>
      <c r="K434" t="s">
        <v>4929</v>
      </c>
      <c r="L434" t="s">
        <v>4936</v>
      </c>
      <c r="M434" t="s">
        <v>4944</v>
      </c>
      <c r="N434" s="11">
        <v>11725.73</v>
      </c>
      <c r="O434" t="s">
        <v>4946</v>
      </c>
      <c r="P434" t="s">
        <v>4951</v>
      </c>
      <c r="R434">
        <v>7</v>
      </c>
      <c r="S434" t="str">
        <f t="shared" si="18"/>
        <v>Child</v>
      </c>
      <c r="T434" t="str">
        <f t="shared" si="19"/>
        <v>High</v>
      </c>
      <c r="U434" t="str">
        <f t="shared" si="20"/>
        <v>Short Days</v>
      </c>
    </row>
    <row r="435" spans="1:21">
      <c r="A435" t="s">
        <v>451</v>
      </c>
      <c r="B435" s="5">
        <v>45337</v>
      </c>
      <c r="C435" t="s">
        <v>3414</v>
      </c>
      <c r="D435" t="s">
        <v>4630</v>
      </c>
      <c r="E435" t="s">
        <v>4867</v>
      </c>
      <c r="F435">
        <v>25</v>
      </c>
      <c r="G435" t="s">
        <v>4882</v>
      </c>
      <c r="H435" t="s">
        <v>4891</v>
      </c>
      <c r="I435" t="s">
        <v>4896</v>
      </c>
      <c r="J435" t="s">
        <v>4906</v>
      </c>
      <c r="K435" t="s">
        <v>4930</v>
      </c>
      <c r="L435" t="s">
        <v>4941</v>
      </c>
      <c r="M435" t="s">
        <v>4942</v>
      </c>
      <c r="N435" s="11">
        <v>431.61</v>
      </c>
      <c r="O435" t="s">
        <v>4946</v>
      </c>
      <c r="P435" t="s">
        <v>4951</v>
      </c>
      <c r="R435">
        <v>14</v>
      </c>
      <c r="S435" t="str">
        <f t="shared" si="18"/>
        <v>Adult</v>
      </c>
      <c r="T435" t="str">
        <f t="shared" si="19"/>
        <v>Low</v>
      </c>
      <c r="U435" t="str">
        <f t="shared" si="20"/>
        <v>Short Days</v>
      </c>
    </row>
    <row r="436" spans="1:21">
      <c r="A436" t="s">
        <v>452</v>
      </c>
      <c r="B436" s="5">
        <v>45370</v>
      </c>
      <c r="C436" t="s">
        <v>3415</v>
      </c>
      <c r="D436" t="s">
        <v>4798</v>
      </c>
      <c r="E436" t="s">
        <v>4867</v>
      </c>
      <c r="F436">
        <v>69</v>
      </c>
      <c r="G436" t="s">
        <v>4878</v>
      </c>
      <c r="H436" t="s">
        <v>4889</v>
      </c>
      <c r="I436" t="s">
        <v>4900</v>
      </c>
      <c r="J436" t="s">
        <v>4913</v>
      </c>
      <c r="K436" t="s">
        <v>4931</v>
      </c>
      <c r="L436" t="s">
        <v>4938</v>
      </c>
      <c r="M436" t="s">
        <v>4944</v>
      </c>
      <c r="N436" s="11">
        <v>12286.74</v>
      </c>
      <c r="O436" t="s">
        <v>4949</v>
      </c>
      <c r="P436" t="s">
        <v>4951</v>
      </c>
      <c r="R436">
        <v>14</v>
      </c>
      <c r="S436" t="str">
        <f t="shared" si="18"/>
        <v>Senior</v>
      </c>
      <c r="T436" t="str">
        <f t="shared" si="19"/>
        <v>High</v>
      </c>
      <c r="U436" t="str">
        <f t="shared" si="20"/>
        <v>Short Days</v>
      </c>
    </row>
    <row r="437" spans="1:21">
      <c r="A437" t="s">
        <v>453</v>
      </c>
      <c r="B437" s="5">
        <v>45591</v>
      </c>
      <c r="C437" t="s">
        <v>3416</v>
      </c>
      <c r="D437" t="s">
        <v>4592</v>
      </c>
      <c r="E437" t="s">
        <v>4867</v>
      </c>
      <c r="F437">
        <v>10</v>
      </c>
      <c r="G437" t="s">
        <v>4879</v>
      </c>
      <c r="H437" t="s">
        <v>4888</v>
      </c>
      <c r="I437" t="s">
        <v>4894</v>
      </c>
      <c r="J437" t="s">
        <v>4910</v>
      </c>
      <c r="K437" t="s">
        <v>4927</v>
      </c>
      <c r="L437" t="s">
        <v>4935</v>
      </c>
      <c r="M437" t="s">
        <v>4942</v>
      </c>
      <c r="N437" s="11">
        <v>1329.63</v>
      </c>
      <c r="O437" t="s">
        <v>4947</v>
      </c>
      <c r="P437" t="s">
        <v>4951</v>
      </c>
      <c r="R437">
        <v>14</v>
      </c>
      <c r="S437" t="str">
        <f t="shared" si="18"/>
        <v>Child</v>
      </c>
      <c r="T437" t="str">
        <f t="shared" si="19"/>
        <v>Low</v>
      </c>
      <c r="U437" t="str">
        <f t="shared" si="20"/>
        <v>Short Days</v>
      </c>
    </row>
    <row r="438" spans="1:21">
      <c r="A438" t="s">
        <v>454</v>
      </c>
      <c r="B438" s="5">
        <v>45742</v>
      </c>
      <c r="C438" t="s">
        <v>3417</v>
      </c>
      <c r="D438" t="s">
        <v>4804</v>
      </c>
      <c r="E438" t="s">
        <v>4867</v>
      </c>
      <c r="F438">
        <v>26</v>
      </c>
      <c r="G438" t="s">
        <v>4869</v>
      </c>
      <c r="H438" t="s">
        <v>4884</v>
      </c>
      <c r="I438" t="s">
        <v>4896</v>
      </c>
      <c r="J438" t="s">
        <v>4906</v>
      </c>
      <c r="K438" t="s">
        <v>4924</v>
      </c>
      <c r="L438" t="s">
        <v>4938</v>
      </c>
      <c r="M438" t="s">
        <v>4942</v>
      </c>
      <c r="N438" s="11">
        <v>3220.21</v>
      </c>
      <c r="O438" t="s">
        <v>4947</v>
      </c>
      <c r="P438" t="s">
        <v>4951</v>
      </c>
      <c r="R438">
        <v>7</v>
      </c>
      <c r="S438" t="str">
        <f t="shared" si="18"/>
        <v>Adult</v>
      </c>
      <c r="T438" t="str">
        <f t="shared" si="19"/>
        <v>Low</v>
      </c>
      <c r="U438" t="str">
        <f t="shared" si="20"/>
        <v>Short Days</v>
      </c>
    </row>
    <row r="439" spans="1:21">
      <c r="A439" t="s">
        <v>455</v>
      </c>
      <c r="B439" s="5">
        <v>45811</v>
      </c>
      <c r="C439" t="s">
        <v>3201</v>
      </c>
      <c r="D439" t="s">
        <v>4805</v>
      </c>
      <c r="E439" t="s">
        <v>4867</v>
      </c>
      <c r="F439">
        <v>82</v>
      </c>
      <c r="G439" t="s">
        <v>4880</v>
      </c>
      <c r="H439" t="s">
        <v>4890</v>
      </c>
      <c r="I439" t="s">
        <v>4898</v>
      </c>
      <c r="J439" t="s">
        <v>4918</v>
      </c>
      <c r="K439" t="s">
        <v>4925</v>
      </c>
      <c r="L439" t="s">
        <v>4936</v>
      </c>
      <c r="M439" t="s">
        <v>4942</v>
      </c>
      <c r="N439" s="11">
        <v>112.9</v>
      </c>
      <c r="O439" t="s">
        <v>4948</v>
      </c>
      <c r="P439" t="s">
        <v>4951</v>
      </c>
      <c r="R439">
        <v>90</v>
      </c>
      <c r="S439" t="str">
        <f t="shared" si="18"/>
        <v>Senior</v>
      </c>
      <c r="T439" t="str">
        <f t="shared" si="19"/>
        <v>Low</v>
      </c>
      <c r="U439" t="str">
        <f t="shared" si="20"/>
        <v>Short Days</v>
      </c>
    </row>
    <row r="440" spans="1:21">
      <c r="A440" t="s">
        <v>456</v>
      </c>
      <c r="B440" s="5">
        <v>45558</v>
      </c>
      <c r="C440" t="s">
        <v>3099</v>
      </c>
      <c r="D440" t="s">
        <v>4701</v>
      </c>
      <c r="E440" t="s">
        <v>4867</v>
      </c>
      <c r="F440">
        <v>15</v>
      </c>
      <c r="G440" t="s">
        <v>4882</v>
      </c>
      <c r="H440" t="s">
        <v>4891</v>
      </c>
      <c r="I440" t="s">
        <v>4893</v>
      </c>
      <c r="J440" t="s">
        <v>4903</v>
      </c>
      <c r="K440" t="s">
        <v>4932</v>
      </c>
      <c r="L440" t="s">
        <v>4939</v>
      </c>
      <c r="M440" t="s">
        <v>4943</v>
      </c>
      <c r="N440" s="11">
        <v>11782.73</v>
      </c>
      <c r="O440" t="s">
        <v>4948</v>
      </c>
      <c r="P440" t="s">
        <v>4951</v>
      </c>
      <c r="R440">
        <v>90</v>
      </c>
      <c r="S440" t="str">
        <f t="shared" si="18"/>
        <v>Child</v>
      </c>
      <c r="T440" t="str">
        <f t="shared" si="19"/>
        <v>High</v>
      </c>
      <c r="U440" t="str">
        <f t="shared" si="20"/>
        <v>Short Days</v>
      </c>
    </row>
    <row r="441" spans="1:21">
      <c r="A441" t="s">
        <v>457</v>
      </c>
      <c r="B441" s="5">
        <v>45471</v>
      </c>
      <c r="C441" t="s">
        <v>3418</v>
      </c>
      <c r="D441" t="s">
        <v>4621</v>
      </c>
      <c r="E441" t="s">
        <v>4866</v>
      </c>
      <c r="F441">
        <v>58</v>
      </c>
      <c r="G441" t="s">
        <v>4878</v>
      </c>
      <c r="H441" t="s">
        <v>4889</v>
      </c>
      <c r="I441" t="s">
        <v>4897</v>
      </c>
      <c r="J441" t="s">
        <v>4907</v>
      </c>
      <c r="K441" t="s">
        <v>4924</v>
      </c>
      <c r="L441" t="s">
        <v>4941</v>
      </c>
      <c r="M441" t="s">
        <v>4944</v>
      </c>
      <c r="N441" s="11">
        <v>6312.65</v>
      </c>
      <c r="O441" t="s">
        <v>4946</v>
      </c>
      <c r="P441" t="s">
        <v>4951</v>
      </c>
      <c r="R441">
        <v>30</v>
      </c>
      <c r="S441" t="str">
        <f t="shared" si="18"/>
        <v>Middle-Aged</v>
      </c>
      <c r="T441" t="str">
        <f t="shared" si="19"/>
        <v>Medium</v>
      </c>
      <c r="U441" t="str">
        <f t="shared" si="20"/>
        <v>Short Days</v>
      </c>
    </row>
    <row r="442" spans="1:21">
      <c r="A442" t="s">
        <v>458</v>
      </c>
      <c r="B442" s="5">
        <v>45384</v>
      </c>
      <c r="C442" t="s">
        <v>3419</v>
      </c>
      <c r="D442" t="s">
        <v>4806</v>
      </c>
      <c r="E442" t="s">
        <v>4867</v>
      </c>
      <c r="F442">
        <v>14</v>
      </c>
      <c r="G442" t="s">
        <v>4880</v>
      </c>
      <c r="H442" t="s">
        <v>4890</v>
      </c>
      <c r="I442" t="s">
        <v>4894</v>
      </c>
      <c r="J442" t="s">
        <v>4904</v>
      </c>
      <c r="K442" t="s">
        <v>4929</v>
      </c>
      <c r="L442" t="s">
        <v>4935</v>
      </c>
      <c r="M442" t="s">
        <v>4944</v>
      </c>
      <c r="N442" s="11">
        <v>5350.2</v>
      </c>
      <c r="O442" t="s">
        <v>4946</v>
      </c>
      <c r="P442" t="s">
        <v>4951</v>
      </c>
      <c r="S442" t="str">
        <f t="shared" si="18"/>
        <v>Child</v>
      </c>
      <c r="T442" t="str">
        <f t="shared" si="19"/>
        <v>Medium</v>
      </c>
      <c r="U442" t="str">
        <f t="shared" si="20"/>
        <v>Short Days</v>
      </c>
    </row>
    <row r="443" spans="1:21">
      <c r="A443" t="s">
        <v>459</v>
      </c>
      <c r="B443" s="5">
        <v>45739</v>
      </c>
      <c r="C443" t="s">
        <v>3059</v>
      </c>
      <c r="D443" t="s">
        <v>4807</v>
      </c>
      <c r="E443" t="s">
        <v>4866</v>
      </c>
      <c r="F443">
        <v>5</v>
      </c>
      <c r="G443" t="s">
        <v>4877</v>
      </c>
      <c r="H443" t="s">
        <v>4888</v>
      </c>
      <c r="I443" t="s">
        <v>4894</v>
      </c>
      <c r="J443" t="s">
        <v>4910</v>
      </c>
      <c r="K443" t="s">
        <v>4925</v>
      </c>
      <c r="L443" t="s">
        <v>4935</v>
      </c>
      <c r="M443" t="s">
        <v>4942</v>
      </c>
      <c r="N443" s="11">
        <v>7292.89</v>
      </c>
      <c r="O443" t="s">
        <v>4949</v>
      </c>
      <c r="P443" t="s">
        <v>4951</v>
      </c>
      <c r="R443">
        <v>30</v>
      </c>
      <c r="S443" t="str">
        <f t="shared" si="18"/>
        <v>Child</v>
      </c>
      <c r="T443" t="str">
        <f t="shared" si="19"/>
        <v>Medium</v>
      </c>
      <c r="U443" t="str">
        <f t="shared" si="20"/>
        <v>Short Days</v>
      </c>
    </row>
    <row r="444" spans="1:21">
      <c r="A444" t="s">
        <v>460</v>
      </c>
      <c r="B444" s="5">
        <v>45420</v>
      </c>
      <c r="C444" t="s">
        <v>3420</v>
      </c>
      <c r="D444" t="s">
        <v>4731</v>
      </c>
      <c r="E444" t="s">
        <v>4866</v>
      </c>
      <c r="F444">
        <v>63</v>
      </c>
      <c r="G444" t="s">
        <v>4871</v>
      </c>
      <c r="H444" t="s">
        <v>4886</v>
      </c>
      <c r="I444" t="s">
        <v>4901</v>
      </c>
      <c r="J444" t="s">
        <v>4914</v>
      </c>
      <c r="K444" t="s">
        <v>4928</v>
      </c>
      <c r="L444" t="s">
        <v>4937</v>
      </c>
      <c r="M444" t="s">
        <v>4942</v>
      </c>
      <c r="N444" s="11">
        <v>9878.4599999999991</v>
      </c>
      <c r="O444" t="s">
        <v>4947</v>
      </c>
      <c r="P444" t="s">
        <v>4951</v>
      </c>
      <c r="S444" t="str">
        <f t="shared" si="18"/>
        <v>Senior</v>
      </c>
      <c r="T444" t="str">
        <f t="shared" si="19"/>
        <v>Medium</v>
      </c>
      <c r="U444" t="str">
        <f t="shared" si="20"/>
        <v>Short Days</v>
      </c>
    </row>
    <row r="445" spans="1:21">
      <c r="A445" t="s">
        <v>461</v>
      </c>
      <c r="B445" s="5">
        <v>45744</v>
      </c>
      <c r="C445" t="s">
        <v>3421</v>
      </c>
      <c r="D445" t="s">
        <v>4699</v>
      </c>
      <c r="E445" t="s">
        <v>4866</v>
      </c>
      <c r="F445">
        <v>44</v>
      </c>
      <c r="G445" t="s">
        <v>4869</v>
      </c>
      <c r="H445" t="s">
        <v>4884</v>
      </c>
      <c r="I445" t="s">
        <v>4897</v>
      </c>
      <c r="J445" t="s">
        <v>4922</v>
      </c>
      <c r="K445" t="s">
        <v>4925</v>
      </c>
      <c r="L445" t="s">
        <v>4937</v>
      </c>
      <c r="M445" t="s">
        <v>4942</v>
      </c>
      <c r="N445" s="11">
        <v>14054.77</v>
      </c>
      <c r="O445" t="s">
        <v>15</v>
      </c>
      <c r="P445" t="s">
        <v>4952</v>
      </c>
      <c r="R445">
        <v>7</v>
      </c>
      <c r="S445" t="str">
        <f t="shared" si="18"/>
        <v>Middle-Aged</v>
      </c>
      <c r="T445" t="str">
        <f t="shared" si="19"/>
        <v>High</v>
      </c>
      <c r="U445" t="str">
        <f t="shared" si="20"/>
        <v>Short Days</v>
      </c>
    </row>
    <row r="446" spans="1:21">
      <c r="A446" t="s">
        <v>462</v>
      </c>
      <c r="B446" s="5">
        <v>45730</v>
      </c>
      <c r="C446" t="s">
        <v>3270</v>
      </c>
      <c r="D446" t="s">
        <v>4803</v>
      </c>
      <c r="E446" t="s">
        <v>4866</v>
      </c>
      <c r="F446">
        <v>82</v>
      </c>
      <c r="G446" t="s">
        <v>4876</v>
      </c>
      <c r="H446" t="s">
        <v>4888</v>
      </c>
      <c r="I446" t="s">
        <v>4893</v>
      </c>
      <c r="J446" t="s">
        <v>4917</v>
      </c>
      <c r="K446" t="s">
        <v>4926</v>
      </c>
      <c r="L446" t="s">
        <v>4938</v>
      </c>
      <c r="M446" t="s">
        <v>4942</v>
      </c>
      <c r="N446" s="11">
        <v>9324</v>
      </c>
      <c r="O446" t="s">
        <v>15</v>
      </c>
      <c r="P446" t="s">
        <v>4952</v>
      </c>
      <c r="R446">
        <v>90</v>
      </c>
      <c r="S446" t="str">
        <f t="shared" si="18"/>
        <v>Senior</v>
      </c>
      <c r="T446" t="str">
        <f t="shared" si="19"/>
        <v>Medium</v>
      </c>
      <c r="U446" t="str">
        <f t="shared" si="20"/>
        <v>Short Days</v>
      </c>
    </row>
    <row r="447" spans="1:21">
      <c r="A447" t="s">
        <v>463</v>
      </c>
      <c r="B447" s="5">
        <v>45599</v>
      </c>
      <c r="C447" t="s">
        <v>3422</v>
      </c>
      <c r="D447" t="s">
        <v>4621</v>
      </c>
      <c r="E447" t="s">
        <v>4866</v>
      </c>
      <c r="F447">
        <v>40</v>
      </c>
      <c r="G447" t="s">
        <v>4879</v>
      </c>
      <c r="H447" t="s">
        <v>4888</v>
      </c>
      <c r="I447" t="s">
        <v>4895</v>
      </c>
      <c r="J447" t="s">
        <v>4905</v>
      </c>
      <c r="K447" t="s">
        <v>4924</v>
      </c>
      <c r="L447" t="s">
        <v>4937</v>
      </c>
      <c r="M447" t="s">
        <v>4942</v>
      </c>
      <c r="N447" s="11">
        <v>12406.86</v>
      </c>
      <c r="O447" t="s">
        <v>4950</v>
      </c>
      <c r="P447" t="s">
        <v>4951</v>
      </c>
      <c r="S447" t="str">
        <f t="shared" si="18"/>
        <v>Adult</v>
      </c>
      <c r="T447" t="str">
        <f t="shared" si="19"/>
        <v>High</v>
      </c>
      <c r="U447" t="str">
        <f t="shared" si="20"/>
        <v>Short Days</v>
      </c>
    </row>
    <row r="448" spans="1:21">
      <c r="A448" t="s">
        <v>464</v>
      </c>
      <c r="B448" s="5">
        <v>45510</v>
      </c>
      <c r="C448" t="s">
        <v>3423</v>
      </c>
      <c r="D448" t="s">
        <v>4808</v>
      </c>
      <c r="E448" t="s">
        <v>4867</v>
      </c>
      <c r="F448">
        <v>8</v>
      </c>
      <c r="G448" t="s">
        <v>4878</v>
      </c>
      <c r="H448" t="s">
        <v>4889</v>
      </c>
      <c r="I448" t="s">
        <v>4898</v>
      </c>
      <c r="J448" t="s">
        <v>4909</v>
      </c>
      <c r="K448" t="s">
        <v>4933</v>
      </c>
      <c r="L448" t="s">
        <v>4936</v>
      </c>
      <c r="M448" t="s">
        <v>4943</v>
      </c>
      <c r="N448" s="11">
        <v>10388.16</v>
      </c>
      <c r="O448" t="s">
        <v>4946</v>
      </c>
      <c r="P448" t="s">
        <v>4951</v>
      </c>
      <c r="R448">
        <v>90</v>
      </c>
      <c r="S448" t="str">
        <f t="shared" si="18"/>
        <v>Child</v>
      </c>
      <c r="T448" t="str">
        <f t="shared" si="19"/>
        <v>High</v>
      </c>
      <c r="U448" t="str">
        <f t="shared" si="20"/>
        <v>Short Days</v>
      </c>
    </row>
    <row r="449" spans="1:21">
      <c r="A449" t="s">
        <v>465</v>
      </c>
      <c r="B449" s="5">
        <v>45563</v>
      </c>
      <c r="C449" t="s">
        <v>3382</v>
      </c>
      <c r="D449" t="s">
        <v>4782</v>
      </c>
      <c r="E449" t="s">
        <v>4867</v>
      </c>
      <c r="F449">
        <v>5</v>
      </c>
      <c r="G449" t="s">
        <v>4877</v>
      </c>
      <c r="H449" t="s">
        <v>4888</v>
      </c>
      <c r="I449" t="s">
        <v>4893</v>
      </c>
      <c r="J449" t="s">
        <v>4903</v>
      </c>
      <c r="K449" t="s">
        <v>4931</v>
      </c>
      <c r="L449" t="s">
        <v>4934</v>
      </c>
      <c r="M449" t="s">
        <v>4942</v>
      </c>
      <c r="N449" s="11">
        <v>1828.11</v>
      </c>
      <c r="O449" t="s">
        <v>4949</v>
      </c>
      <c r="P449" t="s">
        <v>4951</v>
      </c>
      <c r="R449">
        <v>30</v>
      </c>
      <c r="S449" t="str">
        <f t="shared" si="18"/>
        <v>Child</v>
      </c>
      <c r="T449" t="str">
        <f t="shared" si="19"/>
        <v>Low</v>
      </c>
      <c r="U449" t="str">
        <f t="shared" si="20"/>
        <v>Short Days</v>
      </c>
    </row>
    <row r="450" spans="1:21">
      <c r="A450" t="s">
        <v>466</v>
      </c>
      <c r="B450" s="5">
        <v>45909</v>
      </c>
      <c r="C450" t="s">
        <v>3424</v>
      </c>
      <c r="D450" t="s">
        <v>4602</v>
      </c>
      <c r="E450" t="s">
        <v>4868</v>
      </c>
      <c r="F450">
        <v>35</v>
      </c>
      <c r="G450" t="s">
        <v>4877</v>
      </c>
      <c r="H450" t="s">
        <v>4888</v>
      </c>
      <c r="I450" t="s">
        <v>4900</v>
      </c>
      <c r="J450" t="s">
        <v>4913</v>
      </c>
      <c r="K450" t="s">
        <v>4933</v>
      </c>
      <c r="L450" t="s">
        <v>4934</v>
      </c>
      <c r="M450" t="s">
        <v>4942</v>
      </c>
      <c r="N450" s="11">
        <v>17865.310000000001</v>
      </c>
      <c r="O450" t="s">
        <v>15</v>
      </c>
      <c r="P450" t="s">
        <v>4952</v>
      </c>
      <c r="R450">
        <v>7</v>
      </c>
      <c r="S450" t="str">
        <f t="shared" si="18"/>
        <v>Adult</v>
      </c>
      <c r="T450" t="str">
        <f t="shared" si="19"/>
        <v>High</v>
      </c>
      <c r="U450" t="str">
        <f t="shared" si="20"/>
        <v>Short Days</v>
      </c>
    </row>
    <row r="451" spans="1:21">
      <c r="A451" t="s">
        <v>467</v>
      </c>
      <c r="B451" s="5">
        <v>45642</v>
      </c>
      <c r="C451" t="s">
        <v>3425</v>
      </c>
      <c r="D451" t="s">
        <v>4672</v>
      </c>
      <c r="E451" t="s">
        <v>4867</v>
      </c>
      <c r="F451">
        <v>30</v>
      </c>
      <c r="G451" t="s">
        <v>4878</v>
      </c>
      <c r="H451" t="s">
        <v>4889</v>
      </c>
      <c r="I451" t="s">
        <v>4900</v>
      </c>
      <c r="J451" t="s">
        <v>4919</v>
      </c>
      <c r="K451" t="s">
        <v>4927</v>
      </c>
      <c r="L451" t="s">
        <v>4937</v>
      </c>
      <c r="M451" t="s">
        <v>4942</v>
      </c>
      <c r="N451" s="11">
        <v>6785.57</v>
      </c>
      <c r="O451" t="s">
        <v>4949</v>
      </c>
      <c r="P451" t="s">
        <v>4951</v>
      </c>
      <c r="R451">
        <v>7</v>
      </c>
      <c r="S451" t="str">
        <f t="shared" ref="S451:S514" si="21">IF(F451&lt;18,"Child",IF(F451&lt;=40,"Adult",IF(F451&lt;=60,"Middle-Aged",IF(F451,"Senior"))))</f>
        <v>Adult</v>
      </c>
      <c r="T451" t="str">
        <f t="shared" ref="T451:T514" si="22">IF(N451&lt;=5000,"Low",IF(N451&lt;=10000,"Medium","High"))</f>
        <v>Medium</v>
      </c>
      <c r="U451" t="str">
        <f t="shared" ref="U451:U514" si="23">IF(Q451&lt;=5,"Short Days","Long Days")</f>
        <v>Short Days</v>
      </c>
    </row>
    <row r="452" spans="1:21">
      <c r="A452" t="s">
        <v>468</v>
      </c>
      <c r="B452" s="5">
        <v>45558</v>
      </c>
      <c r="C452" t="s">
        <v>3426</v>
      </c>
      <c r="D452" t="s">
        <v>4808</v>
      </c>
      <c r="E452" t="s">
        <v>4866</v>
      </c>
      <c r="F452">
        <v>38</v>
      </c>
      <c r="G452" t="s">
        <v>4870</v>
      </c>
      <c r="H452" t="s">
        <v>4885</v>
      </c>
      <c r="I452" t="s">
        <v>4901</v>
      </c>
      <c r="J452" t="s">
        <v>4921</v>
      </c>
      <c r="K452" t="s">
        <v>4930</v>
      </c>
      <c r="L452" t="s">
        <v>4934</v>
      </c>
      <c r="M452" t="s">
        <v>4942</v>
      </c>
      <c r="N452" s="11">
        <v>3095.57</v>
      </c>
      <c r="O452" t="s">
        <v>4948</v>
      </c>
      <c r="P452" t="s">
        <v>4951</v>
      </c>
      <c r="R452">
        <v>14</v>
      </c>
      <c r="S452" t="str">
        <f t="shared" si="21"/>
        <v>Adult</v>
      </c>
      <c r="T452" t="str">
        <f t="shared" si="22"/>
        <v>Low</v>
      </c>
      <c r="U452" t="str">
        <f t="shared" si="23"/>
        <v>Short Days</v>
      </c>
    </row>
    <row r="453" spans="1:21">
      <c r="A453" t="s">
        <v>469</v>
      </c>
      <c r="B453" s="5">
        <v>45533</v>
      </c>
      <c r="C453" t="s">
        <v>3427</v>
      </c>
      <c r="D453" t="s">
        <v>4768</v>
      </c>
      <c r="E453" t="s">
        <v>4866</v>
      </c>
      <c r="F453">
        <v>65</v>
      </c>
      <c r="G453" t="s">
        <v>4872</v>
      </c>
      <c r="H453" t="s">
        <v>4887</v>
      </c>
      <c r="I453" t="s">
        <v>4895</v>
      </c>
      <c r="J453" t="s">
        <v>4915</v>
      </c>
      <c r="K453" t="s">
        <v>4933</v>
      </c>
      <c r="L453" t="s">
        <v>4939</v>
      </c>
      <c r="M453" t="s">
        <v>4943</v>
      </c>
      <c r="N453" s="11">
        <v>5759.93</v>
      </c>
      <c r="O453" t="s">
        <v>4949</v>
      </c>
      <c r="P453" t="s">
        <v>4951</v>
      </c>
      <c r="S453" t="str">
        <f t="shared" si="21"/>
        <v>Senior</v>
      </c>
      <c r="T453" t="str">
        <f t="shared" si="22"/>
        <v>Medium</v>
      </c>
      <c r="U453" t="str">
        <f t="shared" si="23"/>
        <v>Short Days</v>
      </c>
    </row>
    <row r="454" spans="1:21">
      <c r="A454" t="s">
        <v>470</v>
      </c>
      <c r="B454" s="5">
        <v>45713</v>
      </c>
      <c r="C454" t="s">
        <v>3428</v>
      </c>
      <c r="D454" t="s">
        <v>4590</v>
      </c>
      <c r="E454" t="s">
        <v>4866</v>
      </c>
      <c r="F454">
        <v>7</v>
      </c>
      <c r="G454" t="s">
        <v>4881</v>
      </c>
      <c r="H454" t="s">
        <v>4881</v>
      </c>
      <c r="I454" t="s">
        <v>4898</v>
      </c>
      <c r="J454" t="s">
        <v>4923</v>
      </c>
      <c r="K454" t="s">
        <v>4929</v>
      </c>
      <c r="L454" t="s">
        <v>4934</v>
      </c>
      <c r="M454" t="s">
        <v>4944</v>
      </c>
      <c r="N454" s="11">
        <v>6189.94</v>
      </c>
      <c r="O454" t="s">
        <v>15</v>
      </c>
      <c r="P454" t="s">
        <v>4952</v>
      </c>
      <c r="S454" t="str">
        <f t="shared" si="21"/>
        <v>Child</v>
      </c>
      <c r="T454" t="str">
        <f t="shared" si="22"/>
        <v>Medium</v>
      </c>
      <c r="U454" t="str">
        <f t="shared" si="23"/>
        <v>Short Days</v>
      </c>
    </row>
    <row r="455" spans="1:21">
      <c r="A455" t="s">
        <v>471</v>
      </c>
      <c r="B455" s="5">
        <v>45887</v>
      </c>
      <c r="C455" t="s">
        <v>3429</v>
      </c>
      <c r="D455" t="s">
        <v>4716</v>
      </c>
      <c r="E455" t="s">
        <v>4867</v>
      </c>
      <c r="F455">
        <v>36</v>
      </c>
      <c r="G455" t="s">
        <v>4881</v>
      </c>
      <c r="H455" t="s">
        <v>4881</v>
      </c>
      <c r="I455" t="s">
        <v>4901</v>
      </c>
      <c r="J455" t="s">
        <v>4921</v>
      </c>
      <c r="K455" t="s">
        <v>4933</v>
      </c>
      <c r="L455" t="s">
        <v>4937</v>
      </c>
      <c r="M455" t="s">
        <v>4944</v>
      </c>
      <c r="N455" s="11">
        <v>10051.64</v>
      </c>
      <c r="O455" t="s">
        <v>4946</v>
      </c>
      <c r="P455" t="s">
        <v>4951</v>
      </c>
      <c r="R455">
        <v>14</v>
      </c>
      <c r="S455" t="str">
        <f t="shared" si="21"/>
        <v>Adult</v>
      </c>
      <c r="T455" t="str">
        <f t="shared" si="22"/>
        <v>High</v>
      </c>
      <c r="U455" t="str">
        <f t="shared" si="23"/>
        <v>Short Days</v>
      </c>
    </row>
    <row r="456" spans="1:21">
      <c r="A456" t="s">
        <v>472</v>
      </c>
      <c r="B456" s="5">
        <v>45691</v>
      </c>
      <c r="C456" t="s">
        <v>3430</v>
      </c>
      <c r="D456" t="s">
        <v>4794</v>
      </c>
      <c r="E456" t="s">
        <v>4867</v>
      </c>
      <c r="F456">
        <v>11</v>
      </c>
      <c r="G456" t="s">
        <v>4869</v>
      </c>
      <c r="H456" t="s">
        <v>4884</v>
      </c>
      <c r="I456" t="s">
        <v>4898</v>
      </c>
      <c r="J456" t="s">
        <v>4909</v>
      </c>
      <c r="K456" t="s">
        <v>4927</v>
      </c>
      <c r="L456" t="s">
        <v>4941</v>
      </c>
      <c r="M456" t="s">
        <v>4942</v>
      </c>
      <c r="N456" s="11">
        <v>14818.28</v>
      </c>
      <c r="O456" t="s">
        <v>15</v>
      </c>
      <c r="P456" t="s">
        <v>4952</v>
      </c>
      <c r="S456" t="str">
        <f t="shared" si="21"/>
        <v>Child</v>
      </c>
      <c r="T456" t="str">
        <f t="shared" si="22"/>
        <v>High</v>
      </c>
      <c r="U456" t="str">
        <f t="shared" si="23"/>
        <v>Short Days</v>
      </c>
    </row>
    <row r="457" spans="1:21">
      <c r="A457" t="s">
        <v>473</v>
      </c>
      <c r="B457" s="5">
        <v>45737</v>
      </c>
      <c r="C457" t="s">
        <v>3431</v>
      </c>
      <c r="D457" t="s">
        <v>4713</v>
      </c>
      <c r="E457" t="s">
        <v>4866</v>
      </c>
      <c r="F457">
        <v>37</v>
      </c>
      <c r="G457" t="s">
        <v>4883</v>
      </c>
      <c r="H457" t="s">
        <v>4892</v>
      </c>
      <c r="I457" t="s">
        <v>4899</v>
      </c>
      <c r="J457" t="s">
        <v>4911</v>
      </c>
      <c r="K457" t="s">
        <v>4928</v>
      </c>
      <c r="L457" t="s">
        <v>4940</v>
      </c>
      <c r="M457" t="s">
        <v>4942</v>
      </c>
      <c r="N457" s="11">
        <v>2172.5100000000002</v>
      </c>
      <c r="O457" t="s">
        <v>4947</v>
      </c>
      <c r="P457" t="s">
        <v>4951</v>
      </c>
      <c r="S457" t="str">
        <f t="shared" si="21"/>
        <v>Adult</v>
      </c>
      <c r="T457" t="str">
        <f t="shared" si="22"/>
        <v>Low</v>
      </c>
      <c r="U457" t="str">
        <f t="shared" si="23"/>
        <v>Short Days</v>
      </c>
    </row>
    <row r="458" spans="1:21">
      <c r="A458" t="s">
        <v>474</v>
      </c>
      <c r="B458" s="5">
        <v>45292</v>
      </c>
      <c r="C458" t="s">
        <v>3432</v>
      </c>
      <c r="D458" t="s">
        <v>4635</v>
      </c>
      <c r="E458" t="s">
        <v>4867</v>
      </c>
      <c r="F458">
        <v>19</v>
      </c>
      <c r="G458" t="s">
        <v>4883</v>
      </c>
      <c r="H458" t="s">
        <v>4892</v>
      </c>
      <c r="I458" t="s">
        <v>4898</v>
      </c>
      <c r="J458" t="s">
        <v>4918</v>
      </c>
      <c r="K458" t="s">
        <v>4926</v>
      </c>
      <c r="L458" t="s">
        <v>4937</v>
      </c>
      <c r="M458" t="s">
        <v>4942</v>
      </c>
      <c r="N458" s="11">
        <v>6757.3</v>
      </c>
      <c r="O458" t="s">
        <v>15</v>
      </c>
      <c r="P458" t="s">
        <v>4952</v>
      </c>
      <c r="R458">
        <v>30</v>
      </c>
      <c r="S458" t="str">
        <f t="shared" si="21"/>
        <v>Adult</v>
      </c>
      <c r="T458" t="str">
        <f t="shared" si="22"/>
        <v>Medium</v>
      </c>
      <c r="U458" t="str">
        <f t="shared" si="23"/>
        <v>Short Days</v>
      </c>
    </row>
    <row r="459" spans="1:21">
      <c r="A459" t="s">
        <v>475</v>
      </c>
      <c r="B459" s="5">
        <v>45488</v>
      </c>
      <c r="C459" t="s">
        <v>3433</v>
      </c>
      <c r="D459" t="s">
        <v>4656</v>
      </c>
      <c r="E459" t="s">
        <v>4867</v>
      </c>
      <c r="F459">
        <v>47</v>
      </c>
      <c r="G459" t="s">
        <v>4882</v>
      </c>
      <c r="H459" t="s">
        <v>4891</v>
      </c>
      <c r="I459" t="s">
        <v>4896</v>
      </c>
      <c r="J459" t="s">
        <v>4908</v>
      </c>
      <c r="K459" t="s">
        <v>4926</v>
      </c>
      <c r="L459" t="s">
        <v>4939</v>
      </c>
      <c r="M459" t="s">
        <v>4944</v>
      </c>
      <c r="N459" s="11">
        <v>6014.21</v>
      </c>
      <c r="O459" t="s">
        <v>4947</v>
      </c>
      <c r="P459" t="s">
        <v>4951</v>
      </c>
      <c r="R459">
        <v>7</v>
      </c>
      <c r="S459" t="str">
        <f t="shared" si="21"/>
        <v>Middle-Aged</v>
      </c>
      <c r="T459" t="str">
        <f t="shared" si="22"/>
        <v>Medium</v>
      </c>
      <c r="U459" t="str">
        <f t="shared" si="23"/>
        <v>Short Days</v>
      </c>
    </row>
    <row r="460" spans="1:21">
      <c r="A460" t="s">
        <v>476</v>
      </c>
      <c r="B460" s="5">
        <v>45320</v>
      </c>
      <c r="C460" t="s">
        <v>3125</v>
      </c>
      <c r="D460" t="s">
        <v>4765</v>
      </c>
      <c r="E460" t="s">
        <v>4867</v>
      </c>
      <c r="F460">
        <v>69</v>
      </c>
      <c r="G460" t="s">
        <v>4870</v>
      </c>
      <c r="H460" t="s">
        <v>4885</v>
      </c>
      <c r="I460" t="s">
        <v>4893</v>
      </c>
      <c r="J460" t="s">
        <v>4917</v>
      </c>
      <c r="K460" t="s">
        <v>4933</v>
      </c>
      <c r="L460" t="s">
        <v>4936</v>
      </c>
      <c r="M460" t="s">
        <v>4942</v>
      </c>
      <c r="N460" s="11">
        <v>3537.3</v>
      </c>
      <c r="O460" t="s">
        <v>4946</v>
      </c>
      <c r="P460" t="s">
        <v>4951</v>
      </c>
      <c r="R460">
        <v>14</v>
      </c>
      <c r="S460" t="str">
        <f t="shared" si="21"/>
        <v>Senior</v>
      </c>
      <c r="T460" t="str">
        <f t="shared" si="22"/>
        <v>Low</v>
      </c>
      <c r="U460" t="str">
        <f t="shared" si="23"/>
        <v>Short Days</v>
      </c>
    </row>
    <row r="461" spans="1:21">
      <c r="A461" t="s">
        <v>477</v>
      </c>
      <c r="B461" s="5">
        <v>45854</v>
      </c>
      <c r="C461" t="s">
        <v>3434</v>
      </c>
      <c r="D461" t="s">
        <v>4599</v>
      </c>
      <c r="E461" t="s">
        <v>4866</v>
      </c>
      <c r="F461">
        <v>20</v>
      </c>
      <c r="G461" t="s">
        <v>4869</v>
      </c>
      <c r="H461" t="s">
        <v>4884</v>
      </c>
      <c r="I461" t="s">
        <v>4897</v>
      </c>
      <c r="J461" t="s">
        <v>4907</v>
      </c>
      <c r="K461" t="s">
        <v>4929</v>
      </c>
      <c r="L461" t="s">
        <v>4937</v>
      </c>
      <c r="M461" t="s">
        <v>4942</v>
      </c>
      <c r="N461" s="11">
        <v>12628.26</v>
      </c>
      <c r="O461" t="s">
        <v>4949</v>
      </c>
      <c r="P461" t="s">
        <v>4951</v>
      </c>
      <c r="S461" t="str">
        <f t="shared" si="21"/>
        <v>Adult</v>
      </c>
      <c r="T461" t="str">
        <f t="shared" si="22"/>
        <v>High</v>
      </c>
      <c r="U461" t="str">
        <f t="shared" si="23"/>
        <v>Short Days</v>
      </c>
    </row>
    <row r="462" spans="1:21">
      <c r="A462" t="s">
        <v>478</v>
      </c>
      <c r="B462" s="5">
        <v>45295</v>
      </c>
      <c r="C462" t="s">
        <v>3435</v>
      </c>
      <c r="D462" t="s">
        <v>4809</v>
      </c>
      <c r="E462" t="s">
        <v>4866</v>
      </c>
      <c r="F462">
        <v>50</v>
      </c>
      <c r="G462" t="s">
        <v>4881</v>
      </c>
      <c r="H462" t="s">
        <v>4881</v>
      </c>
      <c r="I462" t="s">
        <v>4895</v>
      </c>
      <c r="J462" t="s">
        <v>4915</v>
      </c>
      <c r="K462" t="s">
        <v>4924</v>
      </c>
      <c r="L462" t="s">
        <v>4937</v>
      </c>
      <c r="M462" t="s">
        <v>4942</v>
      </c>
      <c r="N462" s="11">
        <v>243.41</v>
      </c>
      <c r="O462" t="s">
        <v>4946</v>
      </c>
      <c r="P462" t="s">
        <v>4951</v>
      </c>
      <c r="R462">
        <v>7</v>
      </c>
      <c r="S462" t="str">
        <f t="shared" si="21"/>
        <v>Middle-Aged</v>
      </c>
      <c r="T462" t="str">
        <f t="shared" si="22"/>
        <v>Low</v>
      </c>
      <c r="U462" t="str">
        <f t="shared" si="23"/>
        <v>Short Days</v>
      </c>
    </row>
    <row r="463" spans="1:21">
      <c r="A463" t="s">
        <v>479</v>
      </c>
      <c r="B463" s="5">
        <v>45546</v>
      </c>
      <c r="C463" t="s">
        <v>3436</v>
      </c>
      <c r="D463" t="s">
        <v>4659</v>
      </c>
      <c r="E463" t="s">
        <v>4866</v>
      </c>
      <c r="F463">
        <v>22</v>
      </c>
      <c r="G463" t="s">
        <v>4878</v>
      </c>
      <c r="H463" t="s">
        <v>4889</v>
      </c>
      <c r="I463" t="s">
        <v>4898</v>
      </c>
      <c r="J463" t="s">
        <v>4909</v>
      </c>
      <c r="K463" t="s">
        <v>4928</v>
      </c>
      <c r="L463" t="s">
        <v>4935</v>
      </c>
      <c r="M463" t="s">
        <v>4942</v>
      </c>
      <c r="N463" s="11">
        <v>1703.24</v>
      </c>
      <c r="O463" t="s">
        <v>4950</v>
      </c>
      <c r="P463" t="s">
        <v>4951</v>
      </c>
      <c r="R463">
        <v>90</v>
      </c>
      <c r="S463" t="str">
        <f t="shared" si="21"/>
        <v>Adult</v>
      </c>
      <c r="T463" t="str">
        <f t="shared" si="22"/>
        <v>Low</v>
      </c>
      <c r="U463" t="str">
        <f t="shared" si="23"/>
        <v>Short Days</v>
      </c>
    </row>
    <row r="464" spans="1:21">
      <c r="A464" t="s">
        <v>480</v>
      </c>
      <c r="B464" s="5">
        <v>45643</v>
      </c>
      <c r="C464" t="s">
        <v>3437</v>
      </c>
      <c r="D464" t="s">
        <v>4618</v>
      </c>
      <c r="E464" t="s">
        <v>4867</v>
      </c>
      <c r="F464">
        <v>55</v>
      </c>
      <c r="G464" t="s">
        <v>4876</v>
      </c>
      <c r="H464" t="s">
        <v>4888</v>
      </c>
      <c r="I464" t="s">
        <v>4897</v>
      </c>
      <c r="J464" t="s">
        <v>4907</v>
      </c>
      <c r="K464" t="s">
        <v>4924</v>
      </c>
      <c r="L464" t="s">
        <v>4940</v>
      </c>
      <c r="M464" t="s">
        <v>4943</v>
      </c>
      <c r="N464" s="11">
        <v>6649.19</v>
      </c>
      <c r="O464" t="s">
        <v>4948</v>
      </c>
      <c r="P464" t="s">
        <v>4951</v>
      </c>
      <c r="R464">
        <v>14</v>
      </c>
      <c r="S464" t="str">
        <f t="shared" si="21"/>
        <v>Middle-Aged</v>
      </c>
      <c r="T464" t="str">
        <f t="shared" si="22"/>
        <v>Medium</v>
      </c>
      <c r="U464" t="str">
        <f t="shared" si="23"/>
        <v>Short Days</v>
      </c>
    </row>
    <row r="465" spans="1:21">
      <c r="A465" t="s">
        <v>481</v>
      </c>
      <c r="B465" s="5">
        <v>45335</v>
      </c>
      <c r="C465" t="s">
        <v>3438</v>
      </c>
      <c r="D465" t="s">
        <v>4787</v>
      </c>
      <c r="E465" t="s">
        <v>4866</v>
      </c>
      <c r="F465">
        <v>25</v>
      </c>
      <c r="G465" t="s">
        <v>4869</v>
      </c>
      <c r="H465" t="s">
        <v>4884</v>
      </c>
      <c r="I465" t="s">
        <v>4900</v>
      </c>
      <c r="J465" t="s">
        <v>4913</v>
      </c>
      <c r="K465" t="s">
        <v>4933</v>
      </c>
      <c r="L465" t="s">
        <v>4936</v>
      </c>
      <c r="M465" t="s">
        <v>4944</v>
      </c>
      <c r="N465" s="11">
        <v>10777.7</v>
      </c>
      <c r="O465" t="s">
        <v>4947</v>
      </c>
      <c r="P465" t="s">
        <v>4951</v>
      </c>
      <c r="R465">
        <v>14</v>
      </c>
      <c r="S465" t="str">
        <f t="shared" si="21"/>
        <v>Adult</v>
      </c>
      <c r="T465" t="str">
        <f t="shared" si="22"/>
        <v>High</v>
      </c>
      <c r="U465" t="str">
        <f t="shared" si="23"/>
        <v>Short Days</v>
      </c>
    </row>
    <row r="466" spans="1:21">
      <c r="A466" t="s">
        <v>482</v>
      </c>
      <c r="B466" s="5">
        <v>45305</v>
      </c>
      <c r="C466" t="s">
        <v>3113</v>
      </c>
      <c r="D466" t="s">
        <v>4699</v>
      </c>
      <c r="E466" t="s">
        <v>4867</v>
      </c>
      <c r="F466">
        <v>14</v>
      </c>
      <c r="G466" t="s">
        <v>4874</v>
      </c>
      <c r="H466" t="s">
        <v>4886</v>
      </c>
      <c r="I466" t="s">
        <v>4900</v>
      </c>
      <c r="J466" t="s">
        <v>4919</v>
      </c>
      <c r="K466" t="s">
        <v>4926</v>
      </c>
      <c r="L466" t="s">
        <v>4940</v>
      </c>
      <c r="M466" t="s">
        <v>4942</v>
      </c>
      <c r="N466" s="11">
        <v>17488.04</v>
      </c>
      <c r="O466" t="s">
        <v>4947</v>
      </c>
      <c r="P466" t="s">
        <v>4951</v>
      </c>
      <c r="S466" t="str">
        <f t="shared" si="21"/>
        <v>Child</v>
      </c>
      <c r="T466" t="str">
        <f t="shared" si="22"/>
        <v>High</v>
      </c>
      <c r="U466" t="str">
        <f t="shared" si="23"/>
        <v>Short Days</v>
      </c>
    </row>
    <row r="467" spans="1:21">
      <c r="A467" t="s">
        <v>483</v>
      </c>
      <c r="B467" s="5">
        <v>45740</v>
      </c>
      <c r="C467" t="s">
        <v>3439</v>
      </c>
      <c r="D467" t="s">
        <v>4613</v>
      </c>
      <c r="E467" t="s">
        <v>4866</v>
      </c>
      <c r="F467">
        <v>22</v>
      </c>
      <c r="G467" t="s">
        <v>4873</v>
      </c>
      <c r="H467" t="s">
        <v>4888</v>
      </c>
      <c r="I467" t="s">
        <v>4900</v>
      </c>
      <c r="J467" t="s">
        <v>4919</v>
      </c>
      <c r="K467" t="s">
        <v>4932</v>
      </c>
      <c r="L467" t="s">
        <v>4940</v>
      </c>
      <c r="M467" t="s">
        <v>4945</v>
      </c>
      <c r="N467" s="11">
        <v>5676.76</v>
      </c>
      <c r="O467" t="s">
        <v>4947</v>
      </c>
      <c r="P467" t="s">
        <v>4951</v>
      </c>
      <c r="Q467">
        <v>6</v>
      </c>
      <c r="R467">
        <v>30</v>
      </c>
      <c r="S467" t="str">
        <f t="shared" si="21"/>
        <v>Adult</v>
      </c>
      <c r="T467" t="str">
        <f t="shared" si="22"/>
        <v>Medium</v>
      </c>
      <c r="U467" t="str">
        <f t="shared" si="23"/>
        <v>Long Days</v>
      </c>
    </row>
    <row r="468" spans="1:21">
      <c r="A468" t="s">
        <v>484</v>
      </c>
      <c r="B468" s="5">
        <v>45656</v>
      </c>
      <c r="C468" t="s">
        <v>3440</v>
      </c>
      <c r="D468" t="s">
        <v>4810</v>
      </c>
      <c r="E468" t="s">
        <v>4867</v>
      </c>
      <c r="F468">
        <v>20</v>
      </c>
      <c r="G468" t="s">
        <v>4872</v>
      </c>
      <c r="H468" t="s">
        <v>4887</v>
      </c>
      <c r="I468" t="s">
        <v>4900</v>
      </c>
      <c r="J468" t="s">
        <v>4913</v>
      </c>
      <c r="K468" t="s">
        <v>4928</v>
      </c>
      <c r="L468" t="s">
        <v>4937</v>
      </c>
      <c r="M468" t="s">
        <v>4944</v>
      </c>
      <c r="N468" s="11">
        <v>5617.98</v>
      </c>
      <c r="O468" t="s">
        <v>15</v>
      </c>
      <c r="P468" t="s">
        <v>4952</v>
      </c>
      <c r="R468">
        <v>14</v>
      </c>
      <c r="S468" t="str">
        <f t="shared" si="21"/>
        <v>Adult</v>
      </c>
      <c r="T468" t="str">
        <f t="shared" si="22"/>
        <v>Medium</v>
      </c>
      <c r="U468" t="str">
        <f t="shared" si="23"/>
        <v>Short Days</v>
      </c>
    </row>
    <row r="469" spans="1:21">
      <c r="A469" t="s">
        <v>485</v>
      </c>
      <c r="B469" s="5">
        <v>45460</v>
      </c>
      <c r="C469" t="s">
        <v>3238</v>
      </c>
      <c r="D469" t="s">
        <v>4748</v>
      </c>
      <c r="E469" t="s">
        <v>4866</v>
      </c>
      <c r="F469">
        <v>41</v>
      </c>
      <c r="G469" t="s">
        <v>4873</v>
      </c>
      <c r="H469" t="s">
        <v>4888</v>
      </c>
      <c r="I469" t="s">
        <v>4895</v>
      </c>
      <c r="J469" t="s">
        <v>4905</v>
      </c>
      <c r="K469" t="s">
        <v>4928</v>
      </c>
      <c r="L469" t="s">
        <v>4938</v>
      </c>
      <c r="M469" t="s">
        <v>4944</v>
      </c>
      <c r="N469" s="11">
        <v>9802.2099999999991</v>
      </c>
      <c r="O469" t="s">
        <v>4946</v>
      </c>
      <c r="P469" t="s">
        <v>4951</v>
      </c>
      <c r="R469">
        <v>14</v>
      </c>
      <c r="S469" t="str">
        <f t="shared" si="21"/>
        <v>Middle-Aged</v>
      </c>
      <c r="T469" t="str">
        <f t="shared" si="22"/>
        <v>Medium</v>
      </c>
      <c r="U469" t="str">
        <f t="shared" si="23"/>
        <v>Short Days</v>
      </c>
    </row>
    <row r="470" spans="1:21">
      <c r="A470" t="s">
        <v>486</v>
      </c>
      <c r="B470" s="5">
        <v>45298</v>
      </c>
      <c r="C470" t="s">
        <v>3441</v>
      </c>
      <c r="D470" t="s">
        <v>4752</v>
      </c>
      <c r="E470" t="s">
        <v>4866</v>
      </c>
      <c r="F470">
        <v>31</v>
      </c>
      <c r="G470" t="s">
        <v>4872</v>
      </c>
      <c r="H470" t="s">
        <v>4887</v>
      </c>
      <c r="I470" t="s">
        <v>4897</v>
      </c>
      <c r="J470" t="s">
        <v>4922</v>
      </c>
      <c r="K470" t="s">
        <v>4928</v>
      </c>
      <c r="L470" t="s">
        <v>4937</v>
      </c>
      <c r="M470" t="s">
        <v>4944</v>
      </c>
      <c r="N470" s="11">
        <v>5651.39</v>
      </c>
      <c r="O470" t="s">
        <v>4946</v>
      </c>
      <c r="P470" t="s">
        <v>4951</v>
      </c>
      <c r="R470">
        <v>7</v>
      </c>
      <c r="S470" t="str">
        <f t="shared" si="21"/>
        <v>Adult</v>
      </c>
      <c r="T470" t="str">
        <f t="shared" si="22"/>
        <v>Medium</v>
      </c>
      <c r="U470" t="str">
        <f t="shared" si="23"/>
        <v>Short Days</v>
      </c>
    </row>
    <row r="471" spans="1:21">
      <c r="A471" t="s">
        <v>487</v>
      </c>
      <c r="B471" s="5">
        <v>45578</v>
      </c>
      <c r="C471" t="s">
        <v>3395</v>
      </c>
      <c r="D471" t="s">
        <v>4733</v>
      </c>
      <c r="E471" t="s">
        <v>4866</v>
      </c>
      <c r="F471">
        <v>63</v>
      </c>
      <c r="G471" t="s">
        <v>4869</v>
      </c>
      <c r="H471" t="s">
        <v>4884</v>
      </c>
      <c r="I471" t="s">
        <v>4902</v>
      </c>
      <c r="J471" t="s">
        <v>4920</v>
      </c>
      <c r="K471" t="s">
        <v>4927</v>
      </c>
      <c r="L471" t="s">
        <v>4936</v>
      </c>
      <c r="M471" t="s">
        <v>4942</v>
      </c>
      <c r="N471" s="11">
        <v>4520.18</v>
      </c>
      <c r="O471" t="s">
        <v>4946</v>
      </c>
      <c r="P471" t="s">
        <v>4951</v>
      </c>
      <c r="S471" t="str">
        <f t="shared" si="21"/>
        <v>Senior</v>
      </c>
      <c r="T471" t="str">
        <f t="shared" si="22"/>
        <v>Low</v>
      </c>
      <c r="U471" t="str">
        <f t="shared" si="23"/>
        <v>Short Days</v>
      </c>
    </row>
    <row r="472" spans="1:21">
      <c r="A472" t="s">
        <v>488</v>
      </c>
      <c r="B472" s="5">
        <v>45335</v>
      </c>
      <c r="C472" t="s">
        <v>3442</v>
      </c>
      <c r="D472" t="s">
        <v>4811</v>
      </c>
      <c r="E472" t="s">
        <v>4866</v>
      </c>
      <c r="F472">
        <v>51</v>
      </c>
      <c r="G472" t="s">
        <v>4873</v>
      </c>
      <c r="H472" t="s">
        <v>4888</v>
      </c>
      <c r="I472" t="s">
        <v>4899</v>
      </c>
      <c r="J472" t="s">
        <v>4911</v>
      </c>
      <c r="K472" t="s">
        <v>4929</v>
      </c>
      <c r="L472" t="s">
        <v>4939</v>
      </c>
      <c r="M472" t="s">
        <v>4942</v>
      </c>
      <c r="N472" s="11">
        <v>5232.74</v>
      </c>
      <c r="O472" t="s">
        <v>4947</v>
      </c>
      <c r="P472" t="s">
        <v>4951</v>
      </c>
      <c r="R472">
        <v>14</v>
      </c>
      <c r="S472" t="str">
        <f t="shared" si="21"/>
        <v>Middle-Aged</v>
      </c>
      <c r="T472" t="str">
        <f t="shared" si="22"/>
        <v>Medium</v>
      </c>
      <c r="U472" t="str">
        <f t="shared" si="23"/>
        <v>Short Days</v>
      </c>
    </row>
    <row r="473" spans="1:21">
      <c r="A473" t="s">
        <v>489</v>
      </c>
      <c r="B473" s="5">
        <v>45587</v>
      </c>
      <c r="C473" t="s">
        <v>3318</v>
      </c>
      <c r="D473" t="s">
        <v>4762</v>
      </c>
      <c r="E473" t="s">
        <v>4867</v>
      </c>
      <c r="F473">
        <v>63</v>
      </c>
      <c r="G473" t="s">
        <v>4873</v>
      </c>
      <c r="H473" t="s">
        <v>4888</v>
      </c>
      <c r="I473" t="s">
        <v>4898</v>
      </c>
      <c r="J473" t="s">
        <v>4909</v>
      </c>
      <c r="K473" t="s">
        <v>4928</v>
      </c>
      <c r="L473" t="s">
        <v>4940</v>
      </c>
      <c r="M473" t="s">
        <v>4942</v>
      </c>
      <c r="N473" s="11">
        <v>5945.02</v>
      </c>
      <c r="O473" t="s">
        <v>4947</v>
      </c>
      <c r="P473" t="s">
        <v>4951</v>
      </c>
      <c r="R473">
        <v>14</v>
      </c>
      <c r="S473" t="str">
        <f t="shared" si="21"/>
        <v>Senior</v>
      </c>
      <c r="T473" t="str">
        <f t="shared" si="22"/>
        <v>Medium</v>
      </c>
      <c r="U473" t="str">
        <f t="shared" si="23"/>
        <v>Short Days</v>
      </c>
    </row>
    <row r="474" spans="1:21">
      <c r="A474" t="s">
        <v>490</v>
      </c>
      <c r="B474" s="5">
        <v>45626</v>
      </c>
      <c r="C474" t="s">
        <v>3443</v>
      </c>
      <c r="D474" t="s">
        <v>4642</v>
      </c>
      <c r="E474" t="s">
        <v>4866</v>
      </c>
      <c r="F474">
        <v>37</v>
      </c>
      <c r="G474" t="s">
        <v>4872</v>
      </c>
      <c r="H474" t="s">
        <v>4887</v>
      </c>
      <c r="I474" t="s">
        <v>4898</v>
      </c>
      <c r="J474" t="s">
        <v>4918</v>
      </c>
      <c r="K474" t="s">
        <v>4930</v>
      </c>
      <c r="L474" t="s">
        <v>4940</v>
      </c>
      <c r="M474" t="s">
        <v>4942</v>
      </c>
      <c r="N474" s="11">
        <v>1253.46</v>
      </c>
      <c r="O474" t="s">
        <v>4946</v>
      </c>
      <c r="P474" t="s">
        <v>4951</v>
      </c>
      <c r="S474" t="str">
        <f t="shared" si="21"/>
        <v>Adult</v>
      </c>
      <c r="T474" t="str">
        <f t="shared" si="22"/>
        <v>Low</v>
      </c>
      <c r="U474" t="str">
        <f t="shared" si="23"/>
        <v>Short Days</v>
      </c>
    </row>
    <row r="475" spans="1:21">
      <c r="A475" t="s">
        <v>491</v>
      </c>
      <c r="B475" s="5">
        <v>45734</v>
      </c>
      <c r="C475" t="s">
        <v>3242</v>
      </c>
      <c r="D475" t="s">
        <v>4659</v>
      </c>
      <c r="E475" t="s">
        <v>4866</v>
      </c>
      <c r="F475">
        <v>42</v>
      </c>
      <c r="G475" t="s">
        <v>4869</v>
      </c>
      <c r="H475" t="s">
        <v>4884</v>
      </c>
      <c r="I475" t="s">
        <v>4893</v>
      </c>
      <c r="J475" t="s">
        <v>4903</v>
      </c>
      <c r="K475" t="s">
        <v>4931</v>
      </c>
      <c r="L475" t="s">
        <v>4941</v>
      </c>
      <c r="M475" t="s">
        <v>4942</v>
      </c>
      <c r="N475" s="11">
        <v>1190.31</v>
      </c>
      <c r="O475" t="s">
        <v>15</v>
      </c>
      <c r="P475" t="s">
        <v>4952</v>
      </c>
      <c r="R475">
        <v>90</v>
      </c>
      <c r="S475" t="str">
        <f t="shared" si="21"/>
        <v>Middle-Aged</v>
      </c>
      <c r="T475" t="str">
        <f t="shared" si="22"/>
        <v>Low</v>
      </c>
      <c r="U475" t="str">
        <f t="shared" si="23"/>
        <v>Short Days</v>
      </c>
    </row>
    <row r="476" spans="1:21">
      <c r="A476" t="s">
        <v>492</v>
      </c>
      <c r="B476" s="5">
        <v>45637</v>
      </c>
      <c r="C476" t="s">
        <v>3444</v>
      </c>
      <c r="D476" t="s">
        <v>4747</v>
      </c>
      <c r="E476" t="s">
        <v>4866</v>
      </c>
      <c r="F476">
        <v>43</v>
      </c>
      <c r="G476" t="s">
        <v>4871</v>
      </c>
      <c r="H476" t="s">
        <v>4886</v>
      </c>
      <c r="I476" t="s">
        <v>4902</v>
      </c>
      <c r="J476" t="s">
        <v>4920</v>
      </c>
      <c r="K476" t="s">
        <v>4927</v>
      </c>
      <c r="L476" t="s">
        <v>4939</v>
      </c>
      <c r="M476" t="s">
        <v>4942</v>
      </c>
      <c r="N476" s="11">
        <v>1020.88</v>
      </c>
      <c r="O476" t="s">
        <v>4948</v>
      </c>
      <c r="P476" t="s">
        <v>4951</v>
      </c>
      <c r="R476">
        <v>30</v>
      </c>
      <c r="S476" t="str">
        <f t="shared" si="21"/>
        <v>Middle-Aged</v>
      </c>
      <c r="T476" t="str">
        <f t="shared" si="22"/>
        <v>Low</v>
      </c>
      <c r="U476" t="str">
        <f t="shared" si="23"/>
        <v>Short Days</v>
      </c>
    </row>
    <row r="477" spans="1:21">
      <c r="A477" t="s">
        <v>493</v>
      </c>
      <c r="B477" s="5">
        <v>45693</v>
      </c>
      <c r="C477" t="s">
        <v>3445</v>
      </c>
      <c r="D477" t="s">
        <v>4706</v>
      </c>
      <c r="E477" t="s">
        <v>4866</v>
      </c>
      <c r="F477">
        <v>38</v>
      </c>
      <c r="G477" t="s">
        <v>4882</v>
      </c>
      <c r="H477" t="s">
        <v>4891</v>
      </c>
      <c r="I477" t="s">
        <v>4901</v>
      </c>
      <c r="J477" t="s">
        <v>4914</v>
      </c>
      <c r="K477" t="s">
        <v>4928</v>
      </c>
      <c r="L477" t="s">
        <v>4940</v>
      </c>
      <c r="M477" t="s">
        <v>4942</v>
      </c>
      <c r="N477" s="11">
        <v>12932.46</v>
      </c>
      <c r="O477" t="s">
        <v>4946</v>
      </c>
      <c r="P477" t="s">
        <v>4951</v>
      </c>
      <c r="R477">
        <v>14</v>
      </c>
      <c r="S477" t="str">
        <f t="shared" si="21"/>
        <v>Adult</v>
      </c>
      <c r="T477" t="str">
        <f t="shared" si="22"/>
        <v>High</v>
      </c>
      <c r="U477" t="str">
        <f t="shared" si="23"/>
        <v>Short Days</v>
      </c>
    </row>
    <row r="478" spans="1:21">
      <c r="A478" t="s">
        <v>494</v>
      </c>
      <c r="B478" s="5">
        <v>45331</v>
      </c>
      <c r="C478" t="s">
        <v>3071</v>
      </c>
      <c r="D478" t="s">
        <v>4793</v>
      </c>
      <c r="E478" t="s">
        <v>4867</v>
      </c>
      <c r="F478">
        <v>58</v>
      </c>
      <c r="G478" t="s">
        <v>4878</v>
      </c>
      <c r="H478" t="s">
        <v>4889</v>
      </c>
      <c r="I478" t="s">
        <v>4899</v>
      </c>
      <c r="J478" t="s">
        <v>4912</v>
      </c>
      <c r="K478" t="s">
        <v>4926</v>
      </c>
      <c r="L478" t="s">
        <v>4938</v>
      </c>
      <c r="M478" t="s">
        <v>4945</v>
      </c>
      <c r="N478" s="11">
        <v>8846.6</v>
      </c>
      <c r="O478" t="s">
        <v>4949</v>
      </c>
      <c r="P478" t="s">
        <v>4951</v>
      </c>
      <c r="Q478">
        <v>7</v>
      </c>
      <c r="R478">
        <v>14</v>
      </c>
      <c r="S478" t="str">
        <f t="shared" si="21"/>
        <v>Middle-Aged</v>
      </c>
      <c r="T478" t="str">
        <f t="shared" si="22"/>
        <v>Medium</v>
      </c>
      <c r="U478" t="str">
        <f t="shared" si="23"/>
        <v>Long Days</v>
      </c>
    </row>
    <row r="479" spans="1:21">
      <c r="A479" t="s">
        <v>495</v>
      </c>
      <c r="B479" s="5">
        <v>45654</v>
      </c>
      <c r="C479" t="s">
        <v>3446</v>
      </c>
      <c r="D479" t="s">
        <v>4812</v>
      </c>
      <c r="E479" t="s">
        <v>4866</v>
      </c>
      <c r="F479">
        <v>35</v>
      </c>
      <c r="G479" t="s">
        <v>4875</v>
      </c>
      <c r="H479" t="s">
        <v>4889</v>
      </c>
      <c r="I479" t="s">
        <v>4899</v>
      </c>
      <c r="J479" t="s">
        <v>4912</v>
      </c>
      <c r="K479" t="s">
        <v>4931</v>
      </c>
      <c r="L479" t="s">
        <v>4937</v>
      </c>
      <c r="M479" t="s">
        <v>4942</v>
      </c>
      <c r="N479" s="11">
        <v>102.58</v>
      </c>
      <c r="O479" t="s">
        <v>15</v>
      </c>
      <c r="P479" t="s">
        <v>4952</v>
      </c>
      <c r="S479" t="str">
        <f t="shared" si="21"/>
        <v>Adult</v>
      </c>
      <c r="T479" t="str">
        <f t="shared" si="22"/>
        <v>Low</v>
      </c>
      <c r="U479" t="str">
        <f t="shared" si="23"/>
        <v>Short Days</v>
      </c>
    </row>
    <row r="480" spans="1:21">
      <c r="A480" t="s">
        <v>496</v>
      </c>
      <c r="B480" s="5">
        <v>45315</v>
      </c>
      <c r="C480" t="s">
        <v>3447</v>
      </c>
      <c r="D480" t="s">
        <v>4760</v>
      </c>
      <c r="E480" t="s">
        <v>4866</v>
      </c>
      <c r="F480">
        <v>73</v>
      </c>
      <c r="G480" t="s">
        <v>4873</v>
      </c>
      <c r="H480" t="s">
        <v>4888</v>
      </c>
      <c r="I480" t="s">
        <v>4898</v>
      </c>
      <c r="J480" t="s">
        <v>4923</v>
      </c>
      <c r="K480" t="s">
        <v>4933</v>
      </c>
      <c r="L480" t="s">
        <v>4939</v>
      </c>
      <c r="M480" t="s">
        <v>4942</v>
      </c>
      <c r="N480" s="11">
        <v>4960.55</v>
      </c>
      <c r="O480" t="s">
        <v>4947</v>
      </c>
      <c r="P480" t="s">
        <v>4951</v>
      </c>
      <c r="R480">
        <v>7</v>
      </c>
      <c r="S480" t="str">
        <f t="shared" si="21"/>
        <v>Senior</v>
      </c>
      <c r="T480" t="str">
        <f t="shared" si="22"/>
        <v>Low</v>
      </c>
      <c r="U480" t="str">
        <f t="shared" si="23"/>
        <v>Short Days</v>
      </c>
    </row>
    <row r="481" spans="1:21">
      <c r="A481" t="s">
        <v>497</v>
      </c>
      <c r="B481" s="5">
        <v>45590</v>
      </c>
      <c r="C481" t="s">
        <v>3448</v>
      </c>
      <c r="D481" t="s">
        <v>4593</v>
      </c>
      <c r="E481" t="s">
        <v>4866</v>
      </c>
      <c r="F481">
        <v>33</v>
      </c>
      <c r="G481" t="s">
        <v>4880</v>
      </c>
      <c r="H481" t="s">
        <v>4890</v>
      </c>
      <c r="I481" t="s">
        <v>4895</v>
      </c>
      <c r="J481" t="s">
        <v>4915</v>
      </c>
      <c r="K481" t="s">
        <v>4924</v>
      </c>
      <c r="L481" t="s">
        <v>4939</v>
      </c>
      <c r="M481" t="s">
        <v>4945</v>
      </c>
      <c r="N481" s="11">
        <v>5802.44</v>
      </c>
      <c r="O481" t="s">
        <v>4948</v>
      </c>
      <c r="P481" t="s">
        <v>4951</v>
      </c>
      <c r="Q481">
        <v>6</v>
      </c>
      <c r="S481" t="str">
        <f t="shared" si="21"/>
        <v>Adult</v>
      </c>
      <c r="T481" t="str">
        <f t="shared" si="22"/>
        <v>Medium</v>
      </c>
      <c r="U481" t="str">
        <f t="shared" si="23"/>
        <v>Long Days</v>
      </c>
    </row>
    <row r="482" spans="1:21">
      <c r="A482" t="s">
        <v>498</v>
      </c>
      <c r="B482" s="5">
        <v>45933</v>
      </c>
      <c r="C482" t="s">
        <v>3449</v>
      </c>
      <c r="D482" t="s">
        <v>4802</v>
      </c>
      <c r="E482" t="s">
        <v>4866</v>
      </c>
      <c r="F482">
        <v>8</v>
      </c>
      <c r="G482" t="s">
        <v>4880</v>
      </c>
      <c r="H482" t="s">
        <v>4890</v>
      </c>
      <c r="I482" t="s">
        <v>4895</v>
      </c>
      <c r="J482" t="s">
        <v>4915</v>
      </c>
      <c r="K482" t="s">
        <v>4930</v>
      </c>
      <c r="L482" t="s">
        <v>4939</v>
      </c>
      <c r="M482" t="s">
        <v>4942</v>
      </c>
      <c r="N482" s="11">
        <v>6753.01</v>
      </c>
      <c r="O482" t="s">
        <v>4946</v>
      </c>
      <c r="P482" t="s">
        <v>4951</v>
      </c>
      <c r="R482">
        <v>14</v>
      </c>
      <c r="S482" t="str">
        <f t="shared" si="21"/>
        <v>Child</v>
      </c>
      <c r="T482" t="str">
        <f t="shared" si="22"/>
        <v>Medium</v>
      </c>
      <c r="U482" t="str">
        <f t="shared" si="23"/>
        <v>Short Days</v>
      </c>
    </row>
    <row r="483" spans="1:21">
      <c r="A483" t="s">
        <v>499</v>
      </c>
      <c r="B483" s="5">
        <v>45855</v>
      </c>
      <c r="C483" t="s">
        <v>3450</v>
      </c>
      <c r="D483" t="s">
        <v>4591</v>
      </c>
      <c r="E483" t="s">
        <v>4867</v>
      </c>
      <c r="F483">
        <v>39</v>
      </c>
      <c r="G483" t="s">
        <v>4879</v>
      </c>
      <c r="H483" t="s">
        <v>4888</v>
      </c>
      <c r="I483" t="s">
        <v>4902</v>
      </c>
      <c r="J483" t="s">
        <v>4916</v>
      </c>
      <c r="K483" t="s">
        <v>4928</v>
      </c>
      <c r="L483" t="s">
        <v>4941</v>
      </c>
      <c r="M483" t="s">
        <v>4942</v>
      </c>
      <c r="N483" s="11">
        <v>6557.14</v>
      </c>
      <c r="O483" t="s">
        <v>4950</v>
      </c>
      <c r="P483" t="s">
        <v>4951</v>
      </c>
      <c r="R483">
        <v>7</v>
      </c>
      <c r="S483" t="str">
        <f t="shared" si="21"/>
        <v>Adult</v>
      </c>
      <c r="T483" t="str">
        <f t="shared" si="22"/>
        <v>Medium</v>
      </c>
      <c r="U483" t="str">
        <f t="shared" si="23"/>
        <v>Short Days</v>
      </c>
    </row>
    <row r="484" spans="1:21">
      <c r="A484" t="s">
        <v>500</v>
      </c>
      <c r="B484" s="5">
        <v>45687</v>
      </c>
      <c r="C484" t="s">
        <v>3042</v>
      </c>
      <c r="D484" t="s">
        <v>4799</v>
      </c>
      <c r="E484" t="s">
        <v>4866</v>
      </c>
      <c r="F484">
        <v>33</v>
      </c>
      <c r="G484" t="s">
        <v>4880</v>
      </c>
      <c r="H484" t="s">
        <v>4890</v>
      </c>
      <c r="I484" t="s">
        <v>4901</v>
      </c>
      <c r="J484" t="s">
        <v>4914</v>
      </c>
      <c r="K484" t="s">
        <v>4927</v>
      </c>
      <c r="L484" t="s">
        <v>4937</v>
      </c>
      <c r="M484" t="s">
        <v>4942</v>
      </c>
      <c r="N484" s="11">
        <v>795.62</v>
      </c>
      <c r="O484" t="s">
        <v>4947</v>
      </c>
      <c r="P484" t="s">
        <v>4951</v>
      </c>
      <c r="R484">
        <v>90</v>
      </c>
      <c r="S484" t="str">
        <f t="shared" si="21"/>
        <v>Adult</v>
      </c>
      <c r="T484" t="str">
        <f t="shared" si="22"/>
        <v>Low</v>
      </c>
      <c r="U484" t="str">
        <f t="shared" si="23"/>
        <v>Short Days</v>
      </c>
    </row>
    <row r="485" spans="1:21">
      <c r="A485" t="s">
        <v>501</v>
      </c>
      <c r="B485" s="5">
        <v>45323</v>
      </c>
      <c r="C485" t="s">
        <v>3451</v>
      </c>
      <c r="D485" t="s">
        <v>4721</v>
      </c>
      <c r="E485" t="s">
        <v>4866</v>
      </c>
      <c r="F485">
        <v>44</v>
      </c>
      <c r="G485" t="s">
        <v>4883</v>
      </c>
      <c r="H485" t="s">
        <v>4892</v>
      </c>
      <c r="I485" t="s">
        <v>4895</v>
      </c>
      <c r="J485" t="s">
        <v>4915</v>
      </c>
      <c r="K485" t="s">
        <v>4926</v>
      </c>
      <c r="L485" t="s">
        <v>4936</v>
      </c>
      <c r="M485" t="s">
        <v>4942</v>
      </c>
      <c r="N485" s="11">
        <v>5528.64</v>
      </c>
      <c r="O485" t="s">
        <v>15</v>
      </c>
      <c r="P485" t="s">
        <v>4952</v>
      </c>
      <c r="R485">
        <v>30</v>
      </c>
      <c r="S485" t="str">
        <f t="shared" si="21"/>
        <v>Middle-Aged</v>
      </c>
      <c r="T485" t="str">
        <f t="shared" si="22"/>
        <v>Medium</v>
      </c>
      <c r="U485" t="str">
        <f t="shared" si="23"/>
        <v>Short Days</v>
      </c>
    </row>
    <row r="486" spans="1:21">
      <c r="A486" t="s">
        <v>502</v>
      </c>
      <c r="B486" s="5">
        <v>45292</v>
      </c>
      <c r="C486" t="s">
        <v>3452</v>
      </c>
      <c r="D486" t="s">
        <v>4790</v>
      </c>
      <c r="E486" t="s">
        <v>4867</v>
      </c>
      <c r="F486">
        <v>43</v>
      </c>
      <c r="G486" t="s">
        <v>4876</v>
      </c>
      <c r="H486" t="s">
        <v>4888</v>
      </c>
      <c r="I486" t="s">
        <v>4893</v>
      </c>
      <c r="J486" t="s">
        <v>4903</v>
      </c>
      <c r="K486" t="s">
        <v>4928</v>
      </c>
      <c r="L486" t="s">
        <v>4934</v>
      </c>
      <c r="M486" t="s">
        <v>4942</v>
      </c>
      <c r="N486" s="11">
        <v>9111.1299999999992</v>
      </c>
      <c r="O486" t="s">
        <v>4948</v>
      </c>
      <c r="P486" t="s">
        <v>4951</v>
      </c>
      <c r="R486">
        <v>90</v>
      </c>
      <c r="S486" t="str">
        <f t="shared" si="21"/>
        <v>Middle-Aged</v>
      </c>
      <c r="T486" t="str">
        <f t="shared" si="22"/>
        <v>Medium</v>
      </c>
      <c r="U486" t="str">
        <f t="shared" si="23"/>
        <v>Short Days</v>
      </c>
    </row>
    <row r="487" spans="1:21">
      <c r="A487" t="s">
        <v>503</v>
      </c>
      <c r="B487" s="5">
        <v>45348</v>
      </c>
      <c r="C487" t="s">
        <v>3453</v>
      </c>
      <c r="D487" t="s">
        <v>4684</v>
      </c>
      <c r="E487" t="s">
        <v>4866</v>
      </c>
      <c r="F487">
        <v>44</v>
      </c>
      <c r="G487" t="s">
        <v>4875</v>
      </c>
      <c r="H487" t="s">
        <v>4889</v>
      </c>
      <c r="I487" t="s">
        <v>4899</v>
      </c>
      <c r="J487" t="s">
        <v>4911</v>
      </c>
      <c r="K487" t="s">
        <v>4932</v>
      </c>
      <c r="L487" t="s">
        <v>4938</v>
      </c>
      <c r="M487" t="s">
        <v>4944</v>
      </c>
      <c r="N487" s="11">
        <v>17879.95</v>
      </c>
      <c r="O487" t="s">
        <v>4948</v>
      </c>
      <c r="P487" t="s">
        <v>4951</v>
      </c>
      <c r="R487">
        <v>7</v>
      </c>
      <c r="S487" t="str">
        <f t="shared" si="21"/>
        <v>Middle-Aged</v>
      </c>
      <c r="T487" t="str">
        <f t="shared" si="22"/>
        <v>High</v>
      </c>
      <c r="U487" t="str">
        <f t="shared" si="23"/>
        <v>Short Days</v>
      </c>
    </row>
    <row r="488" spans="1:21">
      <c r="A488" t="s">
        <v>504</v>
      </c>
      <c r="B488" s="5">
        <v>45947</v>
      </c>
      <c r="C488" t="s">
        <v>3454</v>
      </c>
      <c r="D488" t="s">
        <v>4773</v>
      </c>
      <c r="E488" t="s">
        <v>4867</v>
      </c>
      <c r="F488">
        <v>60</v>
      </c>
      <c r="G488" t="s">
        <v>4875</v>
      </c>
      <c r="H488" t="s">
        <v>4889</v>
      </c>
      <c r="I488" t="s">
        <v>4900</v>
      </c>
      <c r="J488" t="s">
        <v>4913</v>
      </c>
      <c r="K488" t="s">
        <v>4933</v>
      </c>
      <c r="L488" t="s">
        <v>4941</v>
      </c>
      <c r="M488" t="s">
        <v>4943</v>
      </c>
      <c r="N488" s="11">
        <v>10520.76</v>
      </c>
      <c r="O488" t="s">
        <v>4946</v>
      </c>
      <c r="P488" t="s">
        <v>4951</v>
      </c>
      <c r="R488">
        <v>14</v>
      </c>
      <c r="S488" t="str">
        <f t="shared" si="21"/>
        <v>Middle-Aged</v>
      </c>
      <c r="T488" t="str">
        <f t="shared" si="22"/>
        <v>High</v>
      </c>
      <c r="U488" t="str">
        <f t="shared" si="23"/>
        <v>Short Days</v>
      </c>
    </row>
    <row r="489" spans="1:21">
      <c r="A489" t="s">
        <v>505</v>
      </c>
      <c r="B489" s="5">
        <v>45643</v>
      </c>
      <c r="C489" t="s">
        <v>3455</v>
      </c>
      <c r="D489" t="s">
        <v>4597</v>
      </c>
      <c r="E489" t="s">
        <v>4867</v>
      </c>
      <c r="F489">
        <v>37</v>
      </c>
      <c r="G489" t="s">
        <v>4872</v>
      </c>
      <c r="H489" t="s">
        <v>4887</v>
      </c>
      <c r="I489" t="s">
        <v>4900</v>
      </c>
      <c r="J489" t="s">
        <v>4919</v>
      </c>
      <c r="K489" t="s">
        <v>4925</v>
      </c>
      <c r="L489" t="s">
        <v>4941</v>
      </c>
      <c r="M489" t="s">
        <v>4944</v>
      </c>
      <c r="N489" s="11">
        <v>7501.05</v>
      </c>
      <c r="O489" t="s">
        <v>4948</v>
      </c>
      <c r="P489" t="s">
        <v>4951</v>
      </c>
      <c r="R489">
        <v>30</v>
      </c>
      <c r="S489" t="str">
        <f t="shared" si="21"/>
        <v>Adult</v>
      </c>
      <c r="T489" t="str">
        <f t="shared" si="22"/>
        <v>Medium</v>
      </c>
      <c r="U489" t="str">
        <f t="shared" si="23"/>
        <v>Short Days</v>
      </c>
    </row>
    <row r="490" spans="1:21">
      <c r="A490" t="s">
        <v>506</v>
      </c>
      <c r="B490" s="5">
        <v>45872</v>
      </c>
      <c r="C490" t="s">
        <v>3456</v>
      </c>
      <c r="D490" t="s">
        <v>4794</v>
      </c>
      <c r="E490" t="s">
        <v>4866</v>
      </c>
      <c r="F490">
        <v>25</v>
      </c>
      <c r="G490" t="s">
        <v>4875</v>
      </c>
      <c r="H490" t="s">
        <v>4889</v>
      </c>
      <c r="I490" t="s">
        <v>4893</v>
      </c>
      <c r="J490" t="s">
        <v>4917</v>
      </c>
      <c r="K490" t="s">
        <v>4924</v>
      </c>
      <c r="L490" t="s">
        <v>4937</v>
      </c>
      <c r="M490" t="s">
        <v>4942</v>
      </c>
      <c r="N490" s="11">
        <v>142.09</v>
      </c>
      <c r="O490" t="s">
        <v>4946</v>
      </c>
      <c r="P490" t="s">
        <v>4951</v>
      </c>
      <c r="S490" t="str">
        <f t="shared" si="21"/>
        <v>Adult</v>
      </c>
      <c r="T490" t="str">
        <f t="shared" si="22"/>
        <v>Low</v>
      </c>
      <c r="U490" t="str">
        <f t="shared" si="23"/>
        <v>Short Days</v>
      </c>
    </row>
    <row r="491" spans="1:21">
      <c r="A491" t="s">
        <v>507</v>
      </c>
      <c r="B491" s="5">
        <v>45669</v>
      </c>
      <c r="C491" t="s">
        <v>3457</v>
      </c>
      <c r="D491" t="s">
        <v>4813</v>
      </c>
      <c r="E491" t="s">
        <v>4867</v>
      </c>
      <c r="F491">
        <v>63</v>
      </c>
      <c r="G491" t="s">
        <v>4879</v>
      </c>
      <c r="H491" t="s">
        <v>4888</v>
      </c>
      <c r="I491" t="s">
        <v>4901</v>
      </c>
      <c r="J491" t="s">
        <v>4921</v>
      </c>
      <c r="K491" t="s">
        <v>4926</v>
      </c>
      <c r="L491" t="s">
        <v>4935</v>
      </c>
      <c r="M491" t="s">
        <v>4942</v>
      </c>
      <c r="N491" s="11">
        <v>819.38</v>
      </c>
      <c r="O491" t="s">
        <v>4947</v>
      </c>
      <c r="P491" t="s">
        <v>4951</v>
      </c>
      <c r="R491">
        <v>14</v>
      </c>
      <c r="S491" t="str">
        <f t="shared" si="21"/>
        <v>Senior</v>
      </c>
      <c r="T491" t="str">
        <f t="shared" si="22"/>
        <v>Low</v>
      </c>
      <c r="U491" t="str">
        <f t="shared" si="23"/>
        <v>Short Days</v>
      </c>
    </row>
    <row r="492" spans="1:21">
      <c r="A492" t="s">
        <v>508</v>
      </c>
      <c r="B492" s="5">
        <v>45641</v>
      </c>
      <c r="C492" t="s">
        <v>3215</v>
      </c>
      <c r="D492" t="s">
        <v>4667</v>
      </c>
      <c r="E492" t="s">
        <v>4867</v>
      </c>
      <c r="F492">
        <v>57</v>
      </c>
      <c r="G492" t="s">
        <v>4878</v>
      </c>
      <c r="H492" t="s">
        <v>4889</v>
      </c>
      <c r="I492" t="s">
        <v>4902</v>
      </c>
      <c r="J492" t="s">
        <v>4916</v>
      </c>
      <c r="K492" t="s">
        <v>4930</v>
      </c>
      <c r="L492" t="s">
        <v>4939</v>
      </c>
      <c r="M492" t="s">
        <v>4942</v>
      </c>
      <c r="N492" s="11">
        <v>350.43</v>
      </c>
      <c r="O492" t="s">
        <v>15</v>
      </c>
      <c r="P492" t="s">
        <v>4952</v>
      </c>
      <c r="R492">
        <v>7</v>
      </c>
      <c r="S492" t="str">
        <f t="shared" si="21"/>
        <v>Middle-Aged</v>
      </c>
      <c r="T492" t="str">
        <f t="shared" si="22"/>
        <v>Low</v>
      </c>
      <c r="U492" t="str">
        <f t="shared" si="23"/>
        <v>Short Days</v>
      </c>
    </row>
    <row r="493" spans="1:21">
      <c r="A493" t="s">
        <v>509</v>
      </c>
      <c r="B493" s="5">
        <v>45710</v>
      </c>
      <c r="C493" t="s">
        <v>3458</v>
      </c>
      <c r="D493" t="s">
        <v>4786</v>
      </c>
      <c r="E493" t="s">
        <v>4867</v>
      </c>
      <c r="F493">
        <v>63</v>
      </c>
      <c r="G493" t="s">
        <v>4877</v>
      </c>
      <c r="H493" t="s">
        <v>4888</v>
      </c>
      <c r="I493" t="s">
        <v>4893</v>
      </c>
      <c r="J493" t="s">
        <v>4917</v>
      </c>
      <c r="K493" t="s">
        <v>4925</v>
      </c>
      <c r="L493" t="s">
        <v>4938</v>
      </c>
      <c r="M493" t="s">
        <v>4942</v>
      </c>
      <c r="N493" s="11">
        <v>4595.6499999999996</v>
      </c>
      <c r="O493" t="s">
        <v>4949</v>
      </c>
      <c r="P493" t="s">
        <v>4951</v>
      </c>
      <c r="R493">
        <v>7</v>
      </c>
      <c r="S493" t="str">
        <f t="shared" si="21"/>
        <v>Senior</v>
      </c>
      <c r="T493" t="str">
        <f t="shared" si="22"/>
        <v>Low</v>
      </c>
      <c r="U493" t="str">
        <f t="shared" si="23"/>
        <v>Short Days</v>
      </c>
    </row>
    <row r="494" spans="1:21">
      <c r="A494" t="s">
        <v>510</v>
      </c>
      <c r="B494" s="5">
        <v>45639</v>
      </c>
      <c r="C494" t="s">
        <v>3459</v>
      </c>
      <c r="D494" t="s">
        <v>4610</v>
      </c>
      <c r="E494" t="s">
        <v>4867</v>
      </c>
      <c r="F494">
        <v>41</v>
      </c>
      <c r="G494" t="s">
        <v>4870</v>
      </c>
      <c r="H494" t="s">
        <v>4885</v>
      </c>
      <c r="I494" t="s">
        <v>4898</v>
      </c>
      <c r="J494" t="s">
        <v>4909</v>
      </c>
      <c r="K494" t="s">
        <v>4927</v>
      </c>
      <c r="L494" t="s">
        <v>4936</v>
      </c>
      <c r="M494" t="s">
        <v>4942</v>
      </c>
      <c r="N494" s="11">
        <v>2181.08</v>
      </c>
      <c r="O494" t="s">
        <v>15</v>
      </c>
      <c r="P494" t="s">
        <v>4952</v>
      </c>
      <c r="S494" t="str">
        <f t="shared" si="21"/>
        <v>Middle-Aged</v>
      </c>
      <c r="T494" t="str">
        <f t="shared" si="22"/>
        <v>Low</v>
      </c>
      <c r="U494" t="str">
        <f t="shared" si="23"/>
        <v>Short Days</v>
      </c>
    </row>
    <row r="495" spans="1:21">
      <c r="A495" t="s">
        <v>511</v>
      </c>
      <c r="B495" s="5">
        <v>45421</v>
      </c>
      <c r="C495" t="s">
        <v>3354</v>
      </c>
      <c r="D495" t="s">
        <v>4797</v>
      </c>
      <c r="E495" t="s">
        <v>4866</v>
      </c>
      <c r="F495">
        <v>27</v>
      </c>
      <c r="G495" t="s">
        <v>4882</v>
      </c>
      <c r="H495" t="s">
        <v>4891</v>
      </c>
      <c r="I495" t="s">
        <v>4902</v>
      </c>
      <c r="J495" t="s">
        <v>4916</v>
      </c>
      <c r="K495" t="s">
        <v>4928</v>
      </c>
      <c r="L495" t="s">
        <v>4934</v>
      </c>
      <c r="M495" t="s">
        <v>4942</v>
      </c>
      <c r="N495" s="11">
        <v>3185.32</v>
      </c>
      <c r="O495" t="s">
        <v>4949</v>
      </c>
      <c r="P495" t="s">
        <v>4951</v>
      </c>
      <c r="S495" t="str">
        <f t="shared" si="21"/>
        <v>Adult</v>
      </c>
      <c r="T495" t="str">
        <f t="shared" si="22"/>
        <v>Low</v>
      </c>
      <c r="U495" t="str">
        <f t="shared" si="23"/>
        <v>Short Days</v>
      </c>
    </row>
    <row r="496" spans="1:21">
      <c r="A496" t="s">
        <v>512</v>
      </c>
      <c r="B496" s="5">
        <v>45539</v>
      </c>
      <c r="C496" t="s">
        <v>3108</v>
      </c>
      <c r="D496" t="s">
        <v>4799</v>
      </c>
      <c r="E496" t="s">
        <v>4867</v>
      </c>
      <c r="F496">
        <v>50</v>
      </c>
      <c r="G496" t="s">
        <v>4875</v>
      </c>
      <c r="H496" t="s">
        <v>4889</v>
      </c>
      <c r="I496" t="s">
        <v>4898</v>
      </c>
      <c r="J496" t="s">
        <v>4923</v>
      </c>
      <c r="K496" t="s">
        <v>4930</v>
      </c>
      <c r="L496" t="s">
        <v>4937</v>
      </c>
      <c r="M496" t="s">
        <v>4942</v>
      </c>
      <c r="N496" s="11">
        <v>3291.07</v>
      </c>
      <c r="O496" t="s">
        <v>4947</v>
      </c>
      <c r="P496" t="s">
        <v>4951</v>
      </c>
      <c r="R496">
        <v>14</v>
      </c>
      <c r="S496" t="str">
        <f t="shared" si="21"/>
        <v>Middle-Aged</v>
      </c>
      <c r="T496" t="str">
        <f t="shared" si="22"/>
        <v>Low</v>
      </c>
      <c r="U496" t="str">
        <f t="shared" si="23"/>
        <v>Short Days</v>
      </c>
    </row>
    <row r="497" spans="1:21">
      <c r="A497" t="s">
        <v>513</v>
      </c>
      <c r="B497" s="5">
        <v>45935</v>
      </c>
      <c r="C497" t="s">
        <v>3460</v>
      </c>
      <c r="D497" t="s">
        <v>4735</v>
      </c>
      <c r="E497" t="s">
        <v>4866</v>
      </c>
      <c r="F497">
        <v>41</v>
      </c>
      <c r="G497" t="s">
        <v>4872</v>
      </c>
      <c r="H497" t="s">
        <v>4887</v>
      </c>
      <c r="I497" t="s">
        <v>4894</v>
      </c>
      <c r="J497" t="s">
        <v>4904</v>
      </c>
      <c r="K497" t="s">
        <v>4927</v>
      </c>
      <c r="L497" t="s">
        <v>4935</v>
      </c>
      <c r="M497" t="s">
        <v>4943</v>
      </c>
      <c r="N497" s="11">
        <v>6318.29</v>
      </c>
      <c r="O497" t="s">
        <v>4947</v>
      </c>
      <c r="P497" t="s">
        <v>4951</v>
      </c>
      <c r="S497" t="str">
        <f t="shared" si="21"/>
        <v>Middle-Aged</v>
      </c>
      <c r="T497" t="str">
        <f t="shared" si="22"/>
        <v>Medium</v>
      </c>
      <c r="U497" t="str">
        <f t="shared" si="23"/>
        <v>Short Days</v>
      </c>
    </row>
    <row r="498" spans="1:21">
      <c r="A498" t="s">
        <v>514</v>
      </c>
      <c r="B498" s="5">
        <v>45864</v>
      </c>
      <c r="C498" t="s">
        <v>3461</v>
      </c>
      <c r="D498" t="s">
        <v>4699</v>
      </c>
      <c r="E498" t="s">
        <v>4866</v>
      </c>
      <c r="F498">
        <v>41</v>
      </c>
      <c r="G498" t="s">
        <v>4875</v>
      </c>
      <c r="H498" t="s">
        <v>4889</v>
      </c>
      <c r="I498" t="s">
        <v>4895</v>
      </c>
      <c r="J498" t="s">
        <v>4915</v>
      </c>
      <c r="K498" t="s">
        <v>4925</v>
      </c>
      <c r="L498" t="s">
        <v>4939</v>
      </c>
      <c r="M498" t="s">
        <v>4944</v>
      </c>
      <c r="N498" s="11">
        <v>7234.97</v>
      </c>
      <c r="O498" t="s">
        <v>4950</v>
      </c>
      <c r="P498" t="s">
        <v>4951</v>
      </c>
      <c r="S498" t="str">
        <f t="shared" si="21"/>
        <v>Middle-Aged</v>
      </c>
      <c r="T498" t="str">
        <f t="shared" si="22"/>
        <v>Medium</v>
      </c>
      <c r="U498" t="str">
        <f t="shared" si="23"/>
        <v>Short Days</v>
      </c>
    </row>
    <row r="499" spans="1:21">
      <c r="A499" t="s">
        <v>515</v>
      </c>
      <c r="B499" s="5">
        <v>45580</v>
      </c>
      <c r="C499" t="s">
        <v>3462</v>
      </c>
      <c r="D499" t="s">
        <v>4658</v>
      </c>
      <c r="E499" t="s">
        <v>4867</v>
      </c>
      <c r="F499">
        <v>38</v>
      </c>
      <c r="G499" t="s">
        <v>4877</v>
      </c>
      <c r="H499" t="s">
        <v>4888</v>
      </c>
      <c r="I499" t="s">
        <v>4897</v>
      </c>
      <c r="J499" t="s">
        <v>4922</v>
      </c>
      <c r="K499" t="s">
        <v>4930</v>
      </c>
      <c r="L499" t="s">
        <v>4937</v>
      </c>
      <c r="M499" t="s">
        <v>4944</v>
      </c>
      <c r="N499" s="11">
        <v>5605.29</v>
      </c>
      <c r="O499" t="s">
        <v>4946</v>
      </c>
      <c r="P499" t="s">
        <v>4951</v>
      </c>
      <c r="S499" t="str">
        <f t="shared" si="21"/>
        <v>Adult</v>
      </c>
      <c r="T499" t="str">
        <f t="shared" si="22"/>
        <v>Medium</v>
      </c>
      <c r="U499" t="str">
        <f t="shared" si="23"/>
        <v>Short Days</v>
      </c>
    </row>
    <row r="500" spans="1:21">
      <c r="A500" t="s">
        <v>516</v>
      </c>
      <c r="B500" s="5">
        <v>45666</v>
      </c>
      <c r="C500" t="s">
        <v>3199</v>
      </c>
      <c r="D500" t="s">
        <v>4668</v>
      </c>
      <c r="E500" t="s">
        <v>4867</v>
      </c>
      <c r="F500">
        <v>46</v>
      </c>
      <c r="G500" t="s">
        <v>4882</v>
      </c>
      <c r="H500" t="s">
        <v>4891</v>
      </c>
      <c r="I500" t="s">
        <v>4897</v>
      </c>
      <c r="J500" t="s">
        <v>4907</v>
      </c>
      <c r="K500" t="s">
        <v>4933</v>
      </c>
      <c r="L500" t="s">
        <v>4934</v>
      </c>
      <c r="M500" t="s">
        <v>4942</v>
      </c>
      <c r="N500" s="11">
        <v>6232</v>
      </c>
      <c r="O500" t="s">
        <v>4947</v>
      </c>
      <c r="P500" t="s">
        <v>4951</v>
      </c>
      <c r="R500">
        <v>14</v>
      </c>
      <c r="S500" t="str">
        <f t="shared" si="21"/>
        <v>Middle-Aged</v>
      </c>
      <c r="T500" t="str">
        <f t="shared" si="22"/>
        <v>Medium</v>
      </c>
      <c r="U500" t="str">
        <f t="shared" si="23"/>
        <v>Short Days</v>
      </c>
    </row>
    <row r="501" spans="1:21">
      <c r="A501" t="s">
        <v>517</v>
      </c>
      <c r="B501" s="5">
        <v>45548</v>
      </c>
      <c r="C501" t="s">
        <v>3463</v>
      </c>
      <c r="D501" t="s">
        <v>4630</v>
      </c>
      <c r="E501" t="s">
        <v>4867</v>
      </c>
      <c r="F501">
        <v>23</v>
      </c>
      <c r="G501" t="s">
        <v>4881</v>
      </c>
      <c r="H501" t="s">
        <v>4881</v>
      </c>
      <c r="I501" t="s">
        <v>4900</v>
      </c>
      <c r="J501" t="s">
        <v>4919</v>
      </c>
      <c r="K501" t="s">
        <v>4932</v>
      </c>
      <c r="L501" t="s">
        <v>4939</v>
      </c>
      <c r="M501" t="s">
        <v>4942</v>
      </c>
      <c r="N501" s="11">
        <v>3133.26</v>
      </c>
      <c r="O501" t="s">
        <v>4948</v>
      </c>
      <c r="P501" t="s">
        <v>4951</v>
      </c>
      <c r="R501">
        <v>30</v>
      </c>
      <c r="S501" t="str">
        <f t="shared" si="21"/>
        <v>Adult</v>
      </c>
      <c r="T501" t="str">
        <f t="shared" si="22"/>
        <v>Low</v>
      </c>
      <c r="U501" t="str">
        <f t="shared" si="23"/>
        <v>Short Days</v>
      </c>
    </row>
    <row r="502" spans="1:21">
      <c r="A502" t="s">
        <v>518</v>
      </c>
      <c r="B502" s="5">
        <v>45845</v>
      </c>
      <c r="C502" t="s">
        <v>3464</v>
      </c>
      <c r="D502" t="s">
        <v>4658</v>
      </c>
      <c r="E502" t="s">
        <v>4866</v>
      </c>
      <c r="F502">
        <v>50</v>
      </c>
      <c r="G502" t="s">
        <v>4881</v>
      </c>
      <c r="H502" t="s">
        <v>4881</v>
      </c>
      <c r="I502" t="s">
        <v>4894</v>
      </c>
      <c r="J502" t="s">
        <v>4904</v>
      </c>
      <c r="K502" t="s">
        <v>4927</v>
      </c>
      <c r="L502" t="s">
        <v>4940</v>
      </c>
      <c r="M502" t="s">
        <v>4942</v>
      </c>
      <c r="N502" s="11">
        <v>16063.19</v>
      </c>
      <c r="O502" t="s">
        <v>4946</v>
      </c>
      <c r="P502" t="s">
        <v>4951</v>
      </c>
      <c r="R502">
        <v>30</v>
      </c>
      <c r="S502" t="str">
        <f t="shared" si="21"/>
        <v>Middle-Aged</v>
      </c>
      <c r="T502" t="str">
        <f t="shared" si="22"/>
        <v>High</v>
      </c>
      <c r="U502" t="str">
        <f t="shared" si="23"/>
        <v>Short Days</v>
      </c>
    </row>
    <row r="503" spans="1:21">
      <c r="A503" t="s">
        <v>519</v>
      </c>
      <c r="B503" s="5">
        <v>45466</v>
      </c>
      <c r="C503" t="s">
        <v>3465</v>
      </c>
      <c r="D503" t="s">
        <v>4728</v>
      </c>
      <c r="E503" t="s">
        <v>4866</v>
      </c>
      <c r="F503">
        <v>62</v>
      </c>
      <c r="G503" t="s">
        <v>4876</v>
      </c>
      <c r="H503" t="s">
        <v>4888</v>
      </c>
      <c r="I503" t="s">
        <v>4901</v>
      </c>
      <c r="J503" t="s">
        <v>4914</v>
      </c>
      <c r="K503" t="s">
        <v>4933</v>
      </c>
      <c r="L503" t="s">
        <v>4937</v>
      </c>
      <c r="M503" t="s">
        <v>4942</v>
      </c>
      <c r="N503" s="11">
        <v>4201.01</v>
      </c>
      <c r="O503" t="s">
        <v>15</v>
      </c>
      <c r="P503" t="s">
        <v>4952</v>
      </c>
      <c r="R503">
        <v>7</v>
      </c>
      <c r="S503" t="str">
        <f t="shared" si="21"/>
        <v>Senior</v>
      </c>
      <c r="T503" t="str">
        <f t="shared" si="22"/>
        <v>Low</v>
      </c>
      <c r="U503" t="str">
        <f t="shared" si="23"/>
        <v>Short Days</v>
      </c>
    </row>
    <row r="504" spans="1:21">
      <c r="A504" t="s">
        <v>520</v>
      </c>
      <c r="B504" s="5">
        <v>45623</v>
      </c>
      <c r="C504" t="s">
        <v>3192</v>
      </c>
      <c r="D504" t="s">
        <v>4814</v>
      </c>
      <c r="E504" t="s">
        <v>4866</v>
      </c>
      <c r="F504">
        <v>61</v>
      </c>
      <c r="G504" t="s">
        <v>4870</v>
      </c>
      <c r="H504" t="s">
        <v>4885</v>
      </c>
      <c r="I504" t="s">
        <v>4896</v>
      </c>
      <c r="J504" t="s">
        <v>4908</v>
      </c>
      <c r="K504" t="s">
        <v>4928</v>
      </c>
      <c r="L504" t="s">
        <v>4941</v>
      </c>
      <c r="M504" t="s">
        <v>4942</v>
      </c>
      <c r="N504" s="11">
        <v>745.54</v>
      </c>
      <c r="O504" t="s">
        <v>4949</v>
      </c>
      <c r="P504" t="s">
        <v>4951</v>
      </c>
      <c r="S504" t="str">
        <f t="shared" si="21"/>
        <v>Senior</v>
      </c>
      <c r="T504" t="str">
        <f t="shared" si="22"/>
        <v>Low</v>
      </c>
      <c r="U504" t="str">
        <f t="shared" si="23"/>
        <v>Short Days</v>
      </c>
    </row>
    <row r="505" spans="1:21">
      <c r="A505" t="s">
        <v>521</v>
      </c>
      <c r="B505" s="5">
        <v>45436</v>
      </c>
      <c r="C505" t="s">
        <v>3466</v>
      </c>
      <c r="D505" t="s">
        <v>4691</v>
      </c>
      <c r="E505" t="s">
        <v>4867</v>
      </c>
      <c r="F505">
        <v>58</v>
      </c>
      <c r="G505" t="s">
        <v>4873</v>
      </c>
      <c r="H505" t="s">
        <v>4888</v>
      </c>
      <c r="I505" t="s">
        <v>4896</v>
      </c>
      <c r="J505" t="s">
        <v>4908</v>
      </c>
      <c r="K505" t="s">
        <v>4924</v>
      </c>
      <c r="L505" t="s">
        <v>4941</v>
      </c>
      <c r="M505" t="s">
        <v>4942</v>
      </c>
      <c r="N505" s="11">
        <v>2521.96</v>
      </c>
      <c r="O505" t="s">
        <v>15</v>
      </c>
      <c r="P505" t="s">
        <v>4952</v>
      </c>
      <c r="S505" t="str">
        <f t="shared" si="21"/>
        <v>Middle-Aged</v>
      </c>
      <c r="T505" t="str">
        <f t="shared" si="22"/>
        <v>Low</v>
      </c>
      <c r="U505" t="str">
        <f t="shared" si="23"/>
        <v>Short Days</v>
      </c>
    </row>
    <row r="506" spans="1:21">
      <c r="A506" t="s">
        <v>522</v>
      </c>
      <c r="B506" s="5">
        <v>45544</v>
      </c>
      <c r="C506" t="s">
        <v>3467</v>
      </c>
      <c r="D506" t="s">
        <v>4592</v>
      </c>
      <c r="E506" t="s">
        <v>4866</v>
      </c>
      <c r="F506">
        <v>63</v>
      </c>
      <c r="G506" t="s">
        <v>4879</v>
      </c>
      <c r="H506" t="s">
        <v>4888</v>
      </c>
      <c r="I506" t="s">
        <v>4900</v>
      </c>
      <c r="J506" t="s">
        <v>4913</v>
      </c>
      <c r="K506" t="s">
        <v>4930</v>
      </c>
      <c r="L506" t="s">
        <v>4938</v>
      </c>
      <c r="M506" t="s">
        <v>4945</v>
      </c>
      <c r="N506" s="11">
        <v>6077.07</v>
      </c>
      <c r="O506" t="s">
        <v>4949</v>
      </c>
      <c r="P506" t="s">
        <v>4951</v>
      </c>
      <c r="Q506">
        <v>7</v>
      </c>
      <c r="S506" t="str">
        <f t="shared" si="21"/>
        <v>Senior</v>
      </c>
      <c r="T506" t="str">
        <f t="shared" si="22"/>
        <v>Medium</v>
      </c>
      <c r="U506" t="str">
        <f t="shared" si="23"/>
        <v>Long Days</v>
      </c>
    </row>
    <row r="507" spans="1:21">
      <c r="A507" t="s">
        <v>523</v>
      </c>
      <c r="B507" s="5">
        <v>45363</v>
      </c>
      <c r="C507" t="s">
        <v>3304</v>
      </c>
      <c r="D507" t="s">
        <v>4815</v>
      </c>
      <c r="E507" t="s">
        <v>4866</v>
      </c>
      <c r="F507">
        <v>23</v>
      </c>
      <c r="G507" t="s">
        <v>4881</v>
      </c>
      <c r="H507" t="s">
        <v>4881</v>
      </c>
      <c r="I507" t="s">
        <v>4893</v>
      </c>
      <c r="J507" t="s">
        <v>4903</v>
      </c>
      <c r="K507" t="s">
        <v>4932</v>
      </c>
      <c r="L507" t="s">
        <v>4936</v>
      </c>
      <c r="M507" t="s">
        <v>4944</v>
      </c>
      <c r="N507" s="11">
        <v>9058.07</v>
      </c>
      <c r="O507" t="s">
        <v>15</v>
      </c>
      <c r="P507" t="s">
        <v>4952</v>
      </c>
      <c r="R507">
        <v>14</v>
      </c>
      <c r="S507" t="str">
        <f t="shared" si="21"/>
        <v>Adult</v>
      </c>
      <c r="T507" t="str">
        <f t="shared" si="22"/>
        <v>Medium</v>
      </c>
      <c r="U507" t="str">
        <f t="shared" si="23"/>
        <v>Short Days</v>
      </c>
    </row>
    <row r="508" spans="1:21">
      <c r="A508" t="s">
        <v>524</v>
      </c>
      <c r="B508" s="5">
        <v>45528</v>
      </c>
      <c r="C508" t="s">
        <v>3433</v>
      </c>
      <c r="D508" t="s">
        <v>4607</v>
      </c>
      <c r="E508" t="s">
        <v>4867</v>
      </c>
      <c r="F508">
        <v>73</v>
      </c>
      <c r="G508" t="s">
        <v>4876</v>
      </c>
      <c r="H508" t="s">
        <v>4888</v>
      </c>
      <c r="I508" t="s">
        <v>4898</v>
      </c>
      <c r="J508" t="s">
        <v>4923</v>
      </c>
      <c r="K508" t="s">
        <v>4929</v>
      </c>
      <c r="L508" t="s">
        <v>4939</v>
      </c>
      <c r="M508" t="s">
        <v>4944</v>
      </c>
      <c r="N508" s="11">
        <v>6626.2</v>
      </c>
      <c r="O508" t="s">
        <v>4947</v>
      </c>
      <c r="P508" t="s">
        <v>4951</v>
      </c>
      <c r="S508" t="str">
        <f t="shared" si="21"/>
        <v>Senior</v>
      </c>
      <c r="T508" t="str">
        <f t="shared" si="22"/>
        <v>Medium</v>
      </c>
      <c r="U508" t="str">
        <f t="shared" si="23"/>
        <v>Short Days</v>
      </c>
    </row>
    <row r="509" spans="1:21">
      <c r="A509" t="s">
        <v>525</v>
      </c>
      <c r="B509" s="5">
        <v>45294</v>
      </c>
      <c r="C509" t="s">
        <v>3468</v>
      </c>
      <c r="D509" t="s">
        <v>4624</v>
      </c>
      <c r="E509" t="s">
        <v>4866</v>
      </c>
      <c r="F509">
        <v>65</v>
      </c>
      <c r="G509" t="s">
        <v>4870</v>
      </c>
      <c r="H509" t="s">
        <v>4885</v>
      </c>
      <c r="I509" t="s">
        <v>4894</v>
      </c>
      <c r="J509" t="s">
        <v>4910</v>
      </c>
      <c r="K509" t="s">
        <v>4925</v>
      </c>
      <c r="L509" t="s">
        <v>4940</v>
      </c>
      <c r="M509" t="s">
        <v>4942</v>
      </c>
      <c r="N509" s="11">
        <v>3571.73</v>
      </c>
      <c r="O509" t="s">
        <v>4948</v>
      </c>
      <c r="P509" t="s">
        <v>4951</v>
      </c>
      <c r="R509">
        <v>30</v>
      </c>
      <c r="S509" t="str">
        <f t="shared" si="21"/>
        <v>Senior</v>
      </c>
      <c r="T509" t="str">
        <f t="shared" si="22"/>
        <v>Low</v>
      </c>
      <c r="U509" t="str">
        <f t="shared" si="23"/>
        <v>Short Days</v>
      </c>
    </row>
    <row r="510" spans="1:21">
      <c r="A510" t="s">
        <v>526</v>
      </c>
      <c r="B510" s="5">
        <v>45758</v>
      </c>
      <c r="C510" t="s">
        <v>3469</v>
      </c>
      <c r="D510" t="s">
        <v>4816</v>
      </c>
      <c r="E510" t="s">
        <v>4867</v>
      </c>
      <c r="F510">
        <v>69</v>
      </c>
      <c r="G510" t="s">
        <v>4883</v>
      </c>
      <c r="H510" t="s">
        <v>4892</v>
      </c>
      <c r="I510" t="s">
        <v>4900</v>
      </c>
      <c r="J510" t="s">
        <v>4913</v>
      </c>
      <c r="K510" t="s">
        <v>4929</v>
      </c>
      <c r="L510" t="s">
        <v>4937</v>
      </c>
      <c r="M510" t="s">
        <v>4942</v>
      </c>
      <c r="N510" s="11">
        <v>16423.939999999999</v>
      </c>
      <c r="O510" t="s">
        <v>15</v>
      </c>
      <c r="P510" t="s">
        <v>4952</v>
      </c>
      <c r="R510">
        <v>30</v>
      </c>
      <c r="S510" t="str">
        <f t="shared" si="21"/>
        <v>Senior</v>
      </c>
      <c r="T510" t="str">
        <f t="shared" si="22"/>
        <v>High</v>
      </c>
      <c r="U510" t="str">
        <f t="shared" si="23"/>
        <v>Short Days</v>
      </c>
    </row>
    <row r="511" spans="1:21">
      <c r="A511" t="s">
        <v>527</v>
      </c>
      <c r="B511" s="5">
        <v>45873</v>
      </c>
      <c r="C511" t="s">
        <v>3470</v>
      </c>
      <c r="D511" t="s">
        <v>4653</v>
      </c>
      <c r="E511" t="s">
        <v>4866</v>
      </c>
      <c r="F511">
        <v>31</v>
      </c>
      <c r="G511" t="s">
        <v>4872</v>
      </c>
      <c r="H511" t="s">
        <v>4887</v>
      </c>
      <c r="I511" t="s">
        <v>4899</v>
      </c>
      <c r="J511" t="s">
        <v>4911</v>
      </c>
      <c r="K511" t="s">
        <v>4926</v>
      </c>
      <c r="L511" t="s">
        <v>4938</v>
      </c>
      <c r="M511" t="s">
        <v>4942</v>
      </c>
      <c r="N511" s="11">
        <v>138.32</v>
      </c>
      <c r="O511" t="s">
        <v>4946</v>
      </c>
      <c r="P511" t="s">
        <v>4951</v>
      </c>
      <c r="R511">
        <v>7</v>
      </c>
      <c r="S511" t="str">
        <f t="shared" si="21"/>
        <v>Adult</v>
      </c>
      <c r="T511" t="str">
        <f t="shared" si="22"/>
        <v>Low</v>
      </c>
      <c r="U511" t="str">
        <f t="shared" si="23"/>
        <v>Short Days</v>
      </c>
    </row>
    <row r="512" spans="1:21">
      <c r="A512" t="s">
        <v>528</v>
      </c>
      <c r="B512" s="5">
        <v>45923</v>
      </c>
      <c r="C512" t="s">
        <v>3471</v>
      </c>
      <c r="D512" t="s">
        <v>4601</v>
      </c>
      <c r="E512" t="s">
        <v>4867</v>
      </c>
      <c r="F512">
        <v>36</v>
      </c>
      <c r="G512" t="s">
        <v>4869</v>
      </c>
      <c r="H512" t="s">
        <v>4884</v>
      </c>
      <c r="I512" t="s">
        <v>4897</v>
      </c>
      <c r="J512" t="s">
        <v>4907</v>
      </c>
      <c r="K512" t="s">
        <v>4925</v>
      </c>
      <c r="L512" t="s">
        <v>4934</v>
      </c>
      <c r="M512" t="s">
        <v>4942</v>
      </c>
      <c r="N512" s="11">
        <v>1122</v>
      </c>
      <c r="O512" t="s">
        <v>15</v>
      </c>
      <c r="P512" t="s">
        <v>4952</v>
      </c>
      <c r="R512">
        <v>14</v>
      </c>
      <c r="S512" t="str">
        <f t="shared" si="21"/>
        <v>Adult</v>
      </c>
      <c r="T512" t="str">
        <f t="shared" si="22"/>
        <v>Low</v>
      </c>
      <c r="U512" t="str">
        <f t="shared" si="23"/>
        <v>Short Days</v>
      </c>
    </row>
    <row r="513" spans="1:21">
      <c r="A513" t="s">
        <v>529</v>
      </c>
      <c r="B513" s="5">
        <v>45876</v>
      </c>
      <c r="C513" t="s">
        <v>3472</v>
      </c>
      <c r="D513" t="s">
        <v>4691</v>
      </c>
      <c r="E513" t="s">
        <v>4867</v>
      </c>
      <c r="F513">
        <v>48</v>
      </c>
      <c r="G513" t="s">
        <v>4872</v>
      </c>
      <c r="H513" t="s">
        <v>4887</v>
      </c>
      <c r="I513" t="s">
        <v>4893</v>
      </c>
      <c r="J513" t="s">
        <v>4903</v>
      </c>
      <c r="K513" t="s">
        <v>4928</v>
      </c>
      <c r="L513" t="s">
        <v>4939</v>
      </c>
      <c r="M513" t="s">
        <v>4943</v>
      </c>
      <c r="N513" s="11">
        <v>7491.61</v>
      </c>
      <c r="O513" t="s">
        <v>4950</v>
      </c>
      <c r="P513" t="s">
        <v>4951</v>
      </c>
      <c r="R513">
        <v>7</v>
      </c>
      <c r="S513" t="str">
        <f t="shared" si="21"/>
        <v>Middle-Aged</v>
      </c>
      <c r="T513" t="str">
        <f t="shared" si="22"/>
        <v>Medium</v>
      </c>
      <c r="U513" t="str">
        <f t="shared" si="23"/>
        <v>Short Days</v>
      </c>
    </row>
    <row r="514" spans="1:21">
      <c r="A514" t="s">
        <v>530</v>
      </c>
      <c r="B514" s="5">
        <v>45378</v>
      </c>
      <c r="C514" t="s">
        <v>3473</v>
      </c>
      <c r="D514" t="s">
        <v>4616</v>
      </c>
      <c r="E514" t="s">
        <v>4867</v>
      </c>
      <c r="F514">
        <v>54</v>
      </c>
      <c r="G514" t="s">
        <v>4870</v>
      </c>
      <c r="H514" t="s">
        <v>4885</v>
      </c>
      <c r="I514" t="s">
        <v>4899</v>
      </c>
      <c r="J514" t="s">
        <v>4912</v>
      </c>
      <c r="K514" t="s">
        <v>4929</v>
      </c>
      <c r="L514" t="s">
        <v>4938</v>
      </c>
      <c r="M514" t="s">
        <v>4942</v>
      </c>
      <c r="N514" s="11">
        <v>203.88</v>
      </c>
      <c r="O514" t="s">
        <v>4949</v>
      </c>
      <c r="P514" t="s">
        <v>4951</v>
      </c>
      <c r="R514">
        <v>7</v>
      </c>
      <c r="S514" t="str">
        <f t="shared" si="21"/>
        <v>Middle-Aged</v>
      </c>
      <c r="T514" t="str">
        <f t="shared" si="22"/>
        <v>Low</v>
      </c>
      <c r="U514" t="str">
        <f t="shared" si="23"/>
        <v>Short Days</v>
      </c>
    </row>
    <row r="515" spans="1:21">
      <c r="A515" t="s">
        <v>531</v>
      </c>
      <c r="B515" s="5">
        <v>45502</v>
      </c>
      <c r="C515" t="s">
        <v>3474</v>
      </c>
      <c r="D515" t="s">
        <v>4696</v>
      </c>
      <c r="E515" t="s">
        <v>4866</v>
      </c>
      <c r="F515">
        <f>AVERAGE(F508,F514)</f>
        <v>63.5</v>
      </c>
      <c r="G515" t="s">
        <v>4881</v>
      </c>
      <c r="H515" t="s">
        <v>4889</v>
      </c>
      <c r="I515" t="s">
        <v>4893</v>
      </c>
      <c r="J515" t="s">
        <v>4903</v>
      </c>
      <c r="K515" t="s">
        <v>4953</v>
      </c>
      <c r="L515" t="s">
        <v>4936</v>
      </c>
      <c r="M515" t="s">
        <v>4942</v>
      </c>
      <c r="N515" s="11">
        <v>3900.47</v>
      </c>
      <c r="O515" t="s">
        <v>4948</v>
      </c>
      <c r="P515" t="s">
        <v>4951</v>
      </c>
      <c r="R515">
        <v>30</v>
      </c>
      <c r="S515" t="str">
        <f t="shared" ref="S515:S578" si="24">IF(F515&lt;18,"Child",IF(F515&lt;=40,"Adult",IF(F515&lt;=60,"Middle-Aged",IF(F515,"Senior"))))</f>
        <v>Senior</v>
      </c>
      <c r="T515" t="str">
        <f t="shared" ref="T515:T578" si="25">IF(N515&lt;=5000,"Low",IF(N515&lt;=10000,"Medium","High"))</f>
        <v>Low</v>
      </c>
      <c r="U515" t="str">
        <f t="shared" ref="U515:U578" si="26">IF(Q515&lt;=5,"Short Days","Long Days")</f>
        <v>Short Days</v>
      </c>
    </row>
    <row r="516" spans="1:21">
      <c r="A516" t="s">
        <v>532</v>
      </c>
      <c r="B516" s="5">
        <v>45457</v>
      </c>
      <c r="C516" t="s">
        <v>3475</v>
      </c>
      <c r="D516" t="s">
        <v>4773</v>
      </c>
      <c r="E516" t="s">
        <v>4866</v>
      </c>
      <c r="F516">
        <v>58</v>
      </c>
      <c r="G516" t="s">
        <v>4877</v>
      </c>
      <c r="H516" t="s">
        <v>4888</v>
      </c>
      <c r="I516" t="s">
        <v>4900</v>
      </c>
      <c r="J516" t="s">
        <v>4919</v>
      </c>
      <c r="K516" t="s">
        <v>4932</v>
      </c>
      <c r="L516" t="s">
        <v>4934</v>
      </c>
      <c r="M516" t="s">
        <v>4942</v>
      </c>
      <c r="N516" s="11">
        <v>21845.94</v>
      </c>
      <c r="O516" t="s">
        <v>4948</v>
      </c>
      <c r="P516" t="s">
        <v>4951</v>
      </c>
      <c r="R516">
        <v>14</v>
      </c>
      <c r="S516" t="str">
        <f t="shared" si="24"/>
        <v>Middle-Aged</v>
      </c>
      <c r="T516" t="str">
        <f t="shared" si="25"/>
        <v>High</v>
      </c>
      <c r="U516" t="str">
        <f t="shared" si="26"/>
        <v>Short Days</v>
      </c>
    </row>
    <row r="517" spans="1:21">
      <c r="A517" t="s">
        <v>533</v>
      </c>
      <c r="B517" s="5">
        <v>45570</v>
      </c>
      <c r="C517" t="s">
        <v>3338</v>
      </c>
      <c r="D517" t="s">
        <v>4817</v>
      </c>
      <c r="E517" t="s">
        <v>4867</v>
      </c>
      <c r="F517">
        <v>62</v>
      </c>
      <c r="G517" t="s">
        <v>4882</v>
      </c>
      <c r="H517" t="s">
        <v>4891</v>
      </c>
      <c r="I517" t="s">
        <v>4895</v>
      </c>
      <c r="J517" t="s">
        <v>4905</v>
      </c>
      <c r="K517" t="s">
        <v>4924</v>
      </c>
      <c r="L517" t="s">
        <v>4934</v>
      </c>
      <c r="M517" t="s">
        <v>4942</v>
      </c>
      <c r="N517" s="11">
        <v>1083.1500000000001</v>
      </c>
      <c r="O517" t="s">
        <v>4948</v>
      </c>
      <c r="P517" t="s">
        <v>4951</v>
      </c>
      <c r="S517" t="str">
        <f t="shared" si="24"/>
        <v>Senior</v>
      </c>
      <c r="T517" t="str">
        <f t="shared" si="25"/>
        <v>Low</v>
      </c>
      <c r="U517" t="str">
        <f t="shared" si="26"/>
        <v>Short Days</v>
      </c>
    </row>
    <row r="518" spans="1:21">
      <c r="A518" t="s">
        <v>534</v>
      </c>
      <c r="B518" s="5">
        <v>45543</v>
      </c>
      <c r="C518" t="s">
        <v>3375</v>
      </c>
      <c r="D518" t="s">
        <v>4715</v>
      </c>
      <c r="E518" t="s">
        <v>4866</v>
      </c>
      <c r="F518">
        <v>51</v>
      </c>
      <c r="G518" t="s">
        <v>4882</v>
      </c>
      <c r="H518" t="s">
        <v>4891</v>
      </c>
      <c r="I518" t="s">
        <v>4893</v>
      </c>
      <c r="J518" t="s">
        <v>4917</v>
      </c>
      <c r="K518" t="s">
        <v>4929</v>
      </c>
      <c r="L518" t="s">
        <v>4941</v>
      </c>
      <c r="M518" t="s">
        <v>4942</v>
      </c>
      <c r="N518" s="11">
        <v>1955.73</v>
      </c>
      <c r="O518" t="s">
        <v>4946</v>
      </c>
      <c r="P518" t="s">
        <v>4951</v>
      </c>
      <c r="R518">
        <v>90</v>
      </c>
      <c r="S518" t="str">
        <f t="shared" si="24"/>
        <v>Middle-Aged</v>
      </c>
      <c r="T518" t="str">
        <f t="shared" si="25"/>
        <v>Low</v>
      </c>
      <c r="U518" t="str">
        <f t="shared" si="26"/>
        <v>Short Days</v>
      </c>
    </row>
    <row r="519" spans="1:21">
      <c r="A519" t="s">
        <v>535</v>
      </c>
      <c r="B519" s="5">
        <v>45488</v>
      </c>
      <c r="C519" t="s">
        <v>3476</v>
      </c>
      <c r="D519" t="s">
        <v>4704</v>
      </c>
      <c r="E519" t="s">
        <v>4867</v>
      </c>
      <c r="F519">
        <v>57</v>
      </c>
      <c r="G519" t="s">
        <v>4883</v>
      </c>
      <c r="H519" t="s">
        <v>4892</v>
      </c>
      <c r="I519" t="s">
        <v>4902</v>
      </c>
      <c r="J519" t="s">
        <v>4916</v>
      </c>
      <c r="K519" t="s">
        <v>4931</v>
      </c>
      <c r="L519" t="s">
        <v>4939</v>
      </c>
      <c r="M519" t="s">
        <v>4944</v>
      </c>
      <c r="N519" s="11">
        <v>5012.7</v>
      </c>
      <c r="O519" t="s">
        <v>4946</v>
      </c>
      <c r="P519" t="s">
        <v>4951</v>
      </c>
      <c r="R519">
        <v>7</v>
      </c>
      <c r="S519" t="str">
        <f t="shared" si="24"/>
        <v>Middle-Aged</v>
      </c>
      <c r="T519" t="str">
        <f t="shared" si="25"/>
        <v>Medium</v>
      </c>
      <c r="U519" t="str">
        <f t="shared" si="26"/>
        <v>Short Days</v>
      </c>
    </row>
    <row r="520" spans="1:21">
      <c r="A520" t="s">
        <v>536</v>
      </c>
      <c r="B520" s="5">
        <v>45811</v>
      </c>
      <c r="C520" t="s">
        <v>3477</v>
      </c>
      <c r="D520" t="s">
        <v>4766</v>
      </c>
      <c r="E520" t="s">
        <v>4867</v>
      </c>
      <c r="F520">
        <v>67</v>
      </c>
      <c r="G520" t="s">
        <v>4873</v>
      </c>
      <c r="H520" t="s">
        <v>4888</v>
      </c>
      <c r="I520" t="s">
        <v>4894</v>
      </c>
      <c r="J520" t="s">
        <v>4910</v>
      </c>
      <c r="K520" t="s">
        <v>4929</v>
      </c>
      <c r="L520" t="s">
        <v>4934</v>
      </c>
      <c r="M520" t="s">
        <v>4942</v>
      </c>
      <c r="N520" s="11">
        <v>15166.76</v>
      </c>
      <c r="O520" t="s">
        <v>4949</v>
      </c>
      <c r="P520" t="s">
        <v>4951</v>
      </c>
      <c r="S520" t="str">
        <f t="shared" si="24"/>
        <v>Senior</v>
      </c>
      <c r="T520" t="str">
        <f t="shared" si="25"/>
        <v>High</v>
      </c>
      <c r="U520" t="str">
        <f t="shared" si="26"/>
        <v>Short Days</v>
      </c>
    </row>
    <row r="521" spans="1:21">
      <c r="A521" t="s">
        <v>537</v>
      </c>
      <c r="B521" s="5">
        <v>45938</v>
      </c>
      <c r="C521" t="s">
        <v>3478</v>
      </c>
      <c r="D521" t="s">
        <v>4716</v>
      </c>
      <c r="E521" t="s">
        <v>4866</v>
      </c>
      <c r="F521">
        <v>37</v>
      </c>
      <c r="G521" t="s">
        <v>4875</v>
      </c>
      <c r="H521" t="s">
        <v>4889</v>
      </c>
      <c r="I521" t="s">
        <v>4902</v>
      </c>
      <c r="J521" t="s">
        <v>4920</v>
      </c>
      <c r="K521" t="s">
        <v>4929</v>
      </c>
      <c r="L521" t="s">
        <v>4937</v>
      </c>
      <c r="M521" t="s">
        <v>4942</v>
      </c>
      <c r="N521" s="11">
        <v>4207.6899999999996</v>
      </c>
      <c r="O521" t="s">
        <v>4947</v>
      </c>
      <c r="P521" t="s">
        <v>4951</v>
      </c>
      <c r="R521">
        <v>7</v>
      </c>
      <c r="S521" t="str">
        <f t="shared" si="24"/>
        <v>Adult</v>
      </c>
      <c r="T521" t="str">
        <f t="shared" si="25"/>
        <v>Low</v>
      </c>
      <c r="U521" t="str">
        <f t="shared" si="26"/>
        <v>Short Days</v>
      </c>
    </row>
    <row r="522" spans="1:21">
      <c r="A522" t="s">
        <v>538</v>
      </c>
      <c r="B522" s="5">
        <v>45513</v>
      </c>
      <c r="C522" t="s">
        <v>3479</v>
      </c>
      <c r="D522" t="s">
        <v>4737</v>
      </c>
      <c r="E522" t="s">
        <v>4866</v>
      </c>
      <c r="F522">
        <v>27</v>
      </c>
      <c r="G522" t="s">
        <v>4871</v>
      </c>
      <c r="H522" t="s">
        <v>4886</v>
      </c>
      <c r="I522" t="s">
        <v>4898</v>
      </c>
      <c r="J522" t="s">
        <v>4918</v>
      </c>
      <c r="K522" t="s">
        <v>4925</v>
      </c>
      <c r="L522" t="s">
        <v>4936</v>
      </c>
      <c r="M522" t="s">
        <v>4942</v>
      </c>
      <c r="N522" s="11">
        <v>1142.7</v>
      </c>
      <c r="O522" t="s">
        <v>4946</v>
      </c>
      <c r="P522" t="s">
        <v>4951</v>
      </c>
      <c r="R522">
        <v>90</v>
      </c>
      <c r="S522" t="str">
        <f t="shared" si="24"/>
        <v>Adult</v>
      </c>
      <c r="T522" t="str">
        <f t="shared" si="25"/>
        <v>Low</v>
      </c>
      <c r="U522" t="str">
        <f t="shared" si="26"/>
        <v>Short Days</v>
      </c>
    </row>
    <row r="523" spans="1:21">
      <c r="A523" t="s">
        <v>539</v>
      </c>
      <c r="B523" s="5">
        <v>45870</v>
      </c>
      <c r="C523" t="s">
        <v>3480</v>
      </c>
      <c r="D523" t="s">
        <v>4818</v>
      </c>
      <c r="E523" t="s">
        <v>4866</v>
      </c>
      <c r="F523">
        <v>18</v>
      </c>
      <c r="G523" t="s">
        <v>4882</v>
      </c>
      <c r="H523" t="s">
        <v>4891</v>
      </c>
      <c r="I523" t="s">
        <v>4894</v>
      </c>
      <c r="J523" t="s">
        <v>4910</v>
      </c>
      <c r="K523" t="s">
        <v>4926</v>
      </c>
      <c r="L523" t="s">
        <v>4938</v>
      </c>
      <c r="M523" t="s">
        <v>4944</v>
      </c>
      <c r="N523" s="11">
        <v>5270.88</v>
      </c>
      <c r="O523" t="s">
        <v>4947</v>
      </c>
      <c r="P523" t="s">
        <v>4951</v>
      </c>
      <c r="R523">
        <v>90</v>
      </c>
      <c r="S523" t="str">
        <f t="shared" si="24"/>
        <v>Adult</v>
      </c>
      <c r="T523" t="str">
        <f t="shared" si="25"/>
        <v>Medium</v>
      </c>
      <c r="U523" t="str">
        <f t="shared" si="26"/>
        <v>Short Days</v>
      </c>
    </row>
    <row r="524" spans="1:21">
      <c r="A524" t="s">
        <v>540</v>
      </c>
      <c r="B524" s="5">
        <v>45379</v>
      </c>
      <c r="C524" t="s">
        <v>3481</v>
      </c>
      <c r="D524" t="s">
        <v>4819</v>
      </c>
      <c r="E524" t="s">
        <v>4867</v>
      </c>
      <c r="F524">
        <v>42</v>
      </c>
      <c r="G524" t="s">
        <v>4870</v>
      </c>
      <c r="H524" t="s">
        <v>4885</v>
      </c>
      <c r="I524" t="s">
        <v>4902</v>
      </c>
      <c r="J524" t="s">
        <v>4916</v>
      </c>
      <c r="K524" t="s">
        <v>4925</v>
      </c>
      <c r="L524" t="s">
        <v>4941</v>
      </c>
      <c r="M524" t="s">
        <v>4942</v>
      </c>
      <c r="N524" s="11">
        <v>1929.83</v>
      </c>
      <c r="O524" t="s">
        <v>15</v>
      </c>
      <c r="P524" t="s">
        <v>4952</v>
      </c>
      <c r="S524" t="str">
        <f t="shared" si="24"/>
        <v>Middle-Aged</v>
      </c>
      <c r="T524" t="str">
        <f t="shared" si="25"/>
        <v>Low</v>
      </c>
      <c r="U524" t="str">
        <f t="shared" si="26"/>
        <v>Short Days</v>
      </c>
    </row>
    <row r="525" spans="1:21">
      <c r="A525" t="s">
        <v>541</v>
      </c>
      <c r="B525" s="5">
        <v>45754</v>
      </c>
      <c r="C525" t="s">
        <v>3302</v>
      </c>
      <c r="D525" t="s">
        <v>4695</v>
      </c>
      <c r="E525" t="s">
        <v>4867</v>
      </c>
      <c r="F525">
        <v>23</v>
      </c>
      <c r="G525" t="s">
        <v>4883</v>
      </c>
      <c r="H525" t="s">
        <v>4892</v>
      </c>
      <c r="I525" t="s">
        <v>4901</v>
      </c>
      <c r="J525" t="s">
        <v>4914</v>
      </c>
      <c r="K525" t="s">
        <v>4933</v>
      </c>
      <c r="L525" t="s">
        <v>4935</v>
      </c>
      <c r="M525" t="s">
        <v>4942</v>
      </c>
      <c r="N525" s="11">
        <v>4577.45</v>
      </c>
      <c r="O525" t="s">
        <v>15</v>
      </c>
      <c r="P525" t="s">
        <v>4952</v>
      </c>
      <c r="S525" t="str">
        <f t="shared" si="24"/>
        <v>Adult</v>
      </c>
      <c r="T525" t="str">
        <f t="shared" si="25"/>
        <v>Low</v>
      </c>
      <c r="U525" t="str">
        <f t="shared" si="26"/>
        <v>Short Days</v>
      </c>
    </row>
    <row r="526" spans="1:21">
      <c r="A526" t="s">
        <v>542</v>
      </c>
      <c r="B526" s="5">
        <v>45312</v>
      </c>
      <c r="C526" t="s">
        <v>3482</v>
      </c>
      <c r="D526" t="s">
        <v>4820</v>
      </c>
      <c r="E526" t="s">
        <v>4866</v>
      </c>
      <c r="F526">
        <v>42</v>
      </c>
      <c r="G526" t="s">
        <v>4881</v>
      </c>
      <c r="H526" t="s">
        <v>4881</v>
      </c>
      <c r="I526" t="s">
        <v>4898</v>
      </c>
      <c r="J526" t="s">
        <v>4923</v>
      </c>
      <c r="K526" t="s">
        <v>4926</v>
      </c>
      <c r="L526" t="s">
        <v>4940</v>
      </c>
      <c r="M526" t="s">
        <v>4942</v>
      </c>
      <c r="N526" s="11">
        <v>5143.1499999999996</v>
      </c>
      <c r="O526" t="s">
        <v>15</v>
      </c>
      <c r="P526" t="s">
        <v>4952</v>
      </c>
      <c r="S526" t="str">
        <f t="shared" si="24"/>
        <v>Middle-Aged</v>
      </c>
      <c r="T526" t="str">
        <f t="shared" si="25"/>
        <v>Medium</v>
      </c>
      <c r="U526" t="str">
        <f t="shared" si="26"/>
        <v>Short Days</v>
      </c>
    </row>
    <row r="527" spans="1:21">
      <c r="A527" t="s">
        <v>543</v>
      </c>
      <c r="B527" s="5">
        <v>45916</v>
      </c>
      <c r="C527" t="s">
        <v>3483</v>
      </c>
      <c r="D527" t="s">
        <v>4622</v>
      </c>
      <c r="E527" t="s">
        <v>4867</v>
      </c>
      <c r="F527">
        <v>42</v>
      </c>
      <c r="G527" t="s">
        <v>4870</v>
      </c>
      <c r="H527" t="s">
        <v>4885</v>
      </c>
      <c r="I527" t="s">
        <v>4894</v>
      </c>
      <c r="J527" t="s">
        <v>4904</v>
      </c>
      <c r="K527" t="s">
        <v>4932</v>
      </c>
      <c r="L527" t="s">
        <v>4938</v>
      </c>
      <c r="M527" t="s">
        <v>4943</v>
      </c>
      <c r="N527" s="11">
        <v>7436.71</v>
      </c>
      <c r="O527" t="s">
        <v>4946</v>
      </c>
      <c r="P527" t="s">
        <v>4951</v>
      </c>
      <c r="R527">
        <v>90</v>
      </c>
      <c r="S527" t="str">
        <f t="shared" si="24"/>
        <v>Middle-Aged</v>
      </c>
      <c r="T527" t="str">
        <f t="shared" si="25"/>
        <v>Medium</v>
      </c>
      <c r="U527" t="str">
        <f t="shared" si="26"/>
        <v>Short Days</v>
      </c>
    </row>
    <row r="528" spans="1:21">
      <c r="A528" t="s">
        <v>544</v>
      </c>
      <c r="B528" s="5">
        <v>45659</v>
      </c>
      <c r="C528" t="s">
        <v>3484</v>
      </c>
      <c r="D528" t="s">
        <v>4670</v>
      </c>
      <c r="E528" t="s">
        <v>4867</v>
      </c>
      <c r="F528">
        <v>49</v>
      </c>
      <c r="G528" t="s">
        <v>4869</v>
      </c>
      <c r="H528" t="s">
        <v>4884</v>
      </c>
      <c r="I528" t="s">
        <v>4895</v>
      </c>
      <c r="J528" t="s">
        <v>4915</v>
      </c>
      <c r="K528" t="s">
        <v>4925</v>
      </c>
      <c r="L528" t="s">
        <v>4934</v>
      </c>
      <c r="M528" t="s">
        <v>4942</v>
      </c>
      <c r="N528" s="11">
        <v>6752.66</v>
      </c>
      <c r="O528" t="s">
        <v>15</v>
      </c>
      <c r="P528" t="s">
        <v>4952</v>
      </c>
      <c r="S528" t="str">
        <f t="shared" si="24"/>
        <v>Middle-Aged</v>
      </c>
      <c r="T528" t="str">
        <f t="shared" si="25"/>
        <v>Medium</v>
      </c>
      <c r="U528" t="str">
        <f t="shared" si="26"/>
        <v>Short Days</v>
      </c>
    </row>
    <row r="529" spans="1:21">
      <c r="A529" t="s">
        <v>545</v>
      </c>
      <c r="B529" s="5">
        <v>45888</v>
      </c>
      <c r="C529" t="s">
        <v>3485</v>
      </c>
      <c r="D529" t="s">
        <v>4598</v>
      </c>
      <c r="E529" t="s">
        <v>4867</v>
      </c>
      <c r="F529">
        <v>29</v>
      </c>
      <c r="G529" t="s">
        <v>4883</v>
      </c>
      <c r="H529" t="s">
        <v>4892</v>
      </c>
      <c r="I529" t="s">
        <v>4893</v>
      </c>
      <c r="J529" t="s">
        <v>4917</v>
      </c>
      <c r="K529" t="s">
        <v>4932</v>
      </c>
      <c r="L529" t="s">
        <v>4936</v>
      </c>
      <c r="M529" t="s">
        <v>4942</v>
      </c>
      <c r="N529" s="11">
        <v>1311.23</v>
      </c>
      <c r="O529" t="s">
        <v>4947</v>
      </c>
      <c r="P529" t="s">
        <v>4951</v>
      </c>
      <c r="R529">
        <v>7</v>
      </c>
      <c r="S529" t="str">
        <f t="shared" si="24"/>
        <v>Adult</v>
      </c>
      <c r="T529" t="str">
        <f t="shared" si="25"/>
        <v>Low</v>
      </c>
      <c r="U529" t="str">
        <f t="shared" si="26"/>
        <v>Short Days</v>
      </c>
    </row>
    <row r="530" spans="1:21">
      <c r="A530" t="s">
        <v>546</v>
      </c>
      <c r="B530" s="5">
        <v>45670</v>
      </c>
      <c r="C530" t="s">
        <v>3152</v>
      </c>
      <c r="D530" t="s">
        <v>4667</v>
      </c>
      <c r="E530" t="s">
        <v>4867</v>
      </c>
      <c r="F530">
        <v>26</v>
      </c>
      <c r="G530" t="s">
        <v>4881</v>
      </c>
      <c r="H530" t="s">
        <v>4881</v>
      </c>
      <c r="I530" t="s">
        <v>4897</v>
      </c>
      <c r="J530" t="s">
        <v>4907</v>
      </c>
      <c r="K530" t="s">
        <v>4927</v>
      </c>
      <c r="L530" t="s">
        <v>4940</v>
      </c>
      <c r="M530" t="s">
        <v>4942</v>
      </c>
      <c r="N530" s="11">
        <v>8794.5300000000007</v>
      </c>
      <c r="O530" t="s">
        <v>15</v>
      </c>
      <c r="P530" t="s">
        <v>4952</v>
      </c>
      <c r="R530">
        <v>30</v>
      </c>
      <c r="S530" t="str">
        <f t="shared" si="24"/>
        <v>Adult</v>
      </c>
      <c r="T530" t="str">
        <f t="shared" si="25"/>
        <v>Medium</v>
      </c>
      <c r="U530" t="str">
        <f t="shared" si="26"/>
        <v>Short Days</v>
      </c>
    </row>
    <row r="531" spans="1:21">
      <c r="A531" t="s">
        <v>547</v>
      </c>
      <c r="B531" s="5">
        <v>45387</v>
      </c>
      <c r="C531" t="s">
        <v>3486</v>
      </c>
      <c r="D531" t="s">
        <v>4650</v>
      </c>
      <c r="E531" t="s">
        <v>4866</v>
      </c>
      <c r="F531">
        <v>24</v>
      </c>
      <c r="G531" t="s">
        <v>4881</v>
      </c>
      <c r="H531" t="s">
        <v>4881</v>
      </c>
      <c r="I531" t="s">
        <v>4898</v>
      </c>
      <c r="J531" t="s">
        <v>4923</v>
      </c>
      <c r="K531" t="s">
        <v>4928</v>
      </c>
      <c r="L531" t="s">
        <v>4937</v>
      </c>
      <c r="M531" t="s">
        <v>4945</v>
      </c>
      <c r="N531" s="11">
        <v>13034.34</v>
      </c>
      <c r="O531" t="s">
        <v>15</v>
      </c>
      <c r="P531" t="s">
        <v>4952</v>
      </c>
      <c r="Q531">
        <v>7</v>
      </c>
      <c r="R531">
        <v>14</v>
      </c>
      <c r="S531" t="str">
        <f t="shared" si="24"/>
        <v>Adult</v>
      </c>
      <c r="T531" t="str">
        <f t="shared" si="25"/>
        <v>High</v>
      </c>
      <c r="U531" t="str">
        <f t="shared" si="26"/>
        <v>Long Days</v>
      </c>
    </row>
    <row r="532" spans="1:21">
      <c r="A532" t="s">
        <v>548</v>
      </c>
      <c r="B532" s="5">
        <v>45859</v>
      </c>
      <c r="C532" t="s">
        <v>3179</v>
      </c>
      <c r="D532" t="s">
        <v>4756</v>
      </c>
      <c r="E532" t="s">
        <v>4867</v>
      </c>
      <c r="F532">
        <v>41</v>
      </c>
      <c r="G532" t="s">
        <v>4870</v>
      </c>
      <c r="H532" t="s">
        <v>4885</v>
      </c>
      <c r="I532" t="s">
        <v>4902</v>
      </c>
      <c r="J532" t="s">
        <v>4920</v>
      </c>
      <c r="K532" t="s">
        <v>4926</v>
      </c>
      <c r="L532" t="s">
        <v>4935</v>
      </c>
      <c r="M532" t="s">
        <v>4942</v>
      </c>
      <c r="N532" s="11">
        <v>9843.64</v>
      </c>
      <c r="O532" t="s">
        <v>4948</v>
      </c>
      <c r="P532" t="s">
        <v>4951</v>
      </c>
      <c r="R532">
        <v>30</v>
      </c>
      <c r="S532" t="str">
        <f t="shared" si="24"/>
        <v>Middle-Aged</v>
      </c>
      <c r="T532" t="str">
        <f t="shared" si="25"/>
        <v>Medium</v>
      </c>
      <c r="U532" t="str">
        <f t="shared" si="26"/>
        <v>Short Days</v>
      </c>
    </row>
    <row r="533" spans="1:21">
      <c r="A533" t="s">
        <v>549</v>
      </c>
      <c r="B533" s="5">
        <v>45589</v>
      </c>
      <c r="C533" t="s">
        <v>3487</v>
      </c>
      <c r="D533" t="s">
        <v>4678</v>
      </c>
      <c r="E533" t="s">
        <v>4866</v>
      </c>
      <c r="F533">
        <v>42</v>
      </c>
      <c r="G533" t="s">
        <v>4876</v>
      </c>
      <c r="H533" t="s">
        <v>4888</v>
      </c>
      <c r="I533" t="s">
        <v>4893</v>
      </c>
      <c r="J533" t="s">
        <v>4903</v>
      </c>
      <c r="K533" t="s">
        <v>4926</v>
      </c>
      <c r="L533" t="s">
        <v>4940</v>
      </c>
      <c r="M533" t="s">
        <v>4942</v>
      </c>
      <c r="N533" s="11">
        <v>4869.22</v>
      </c>
      <c r="O533" t="s">
        <v>15</v>
      </c>
      <c r="P533" t="s">
        <v>4952</v>
      </c>
      <c r="R533">
        <v>90</v>
      </c>
      <c r="S533" t="str">
        <f t="shared" si="24"/>
        <v>Middle-Aged</v>
      </c>
      <c r="T533" t="str">
        <f t="shared" si="25"/>
        <v>Low</v>
      </c>
      <c r="U533" t="str">
        <f t="shared" si="26"/>
        <v>Short Days</v>
      </c>
    </row>
    <row r="534" spans="1:21">
      <c r="A534" t="s">
        <v>550</v>
      </c>
      <c r="B534" s="5">
        <v>45952</v>
      </c>
      <c r="C534" t="s">
        <v>3488</v>
      </c>
      <c r="D534" t="s">
        <v>4811</v>
      </c>
      <c r="E534" t="s">
        <v>4867</v>
      </c>
      <c r="F534">
        <v>81</v>
      </c>
      <c r="G534" t="s">
        <v>4881</v>
      </c>
      <c r="H534" t="s">
        <v>4881</v>
      </c>
      <c r="I534" t="s">
        <v>4894</v>
      </c>
      <c r="J534" t="s">
        <v>4904</v>
      </c>
      <c r="K534" t="s">
        <v>4931</v>
      </c>
      <c r="L534" t="s">
        <v>4935</v>
      </c>
      <c r="M534" t="s">
        <v>4944</v>
      </c>
      <c r="N534" s="11">
        <v>12344.05</v>
      </c>
      <c r="O534" t="s">
        <v>4948</v>
      </c>
      <c r="P534" t="s">
        <v>4951</v>
      </c>
      <c r="S534" t="str">
        <f t="shared" si="24"/>
        <v>Senior</v>
      </c>
      <c r="T534" t="str">
        <f t="shared" si="25"/>
        <v>High</v>
      </c>
      <c r="U534" t="str">
        <f t="shared" si="26"/>
        <v>Short Days</v>
      </c>
    </row>
    <row r="535" spans="1:21">
      <c r="A535" t="s">
        <v>551</v>
      </c>
      <c r="B535" s="5">
        <v>45738</v>
      </c>
      <c r="C535" t="s">
        <v>3489</v>
      </c>
      <c r="D535" t="s">
        <v>4617</v>
      </c>
      <c r="E535" t="s">
        <v>4866</v>
      </c>
      <c r="F535">
        <v>10</v>
      </c>
      <c r="G535" t="s">
        <v>4874</v>
      </c>
      <c r="H535" t="s">
        <v>4886</v>
      </c>
      <c r="I535" t="s">
        <v>4893</v>
      </c>
      <c r="J535" t="s">
        <v>4903</v>
      </c>
      <c r="K535" t="s">
        <v>4928</v>
      </c>
      <c r="L535" t="s">
        <v>4941</v>
      </c>
      <c r="M535" t="s">
        <v>4942</v>
      </c>
      <c r="N535" s="11">
        <v>5146.6400000000003</v>
      </c>
      <c r="O535" t="s">
        <v>15</v>
      </c>
      <c r="P535" t="s">
        <v>4952</v>
      </c>
      <c r="R535">
        <v>90</v>
      </c>
      <c r="S535" t="str">
        <f t="shared" si="24"/>
        <v>Child</v>
      </c>
      <c r="T535" t="str">
        <f t="shared" si="25"/>
        <v>Medium</v>
      </c>
      <c r="U535" t="str">
        <f t="shared" si="26"/>
        <v>Short Days</v>
      </c>
    </row>
    <row r="536" spans="1:21">
      <c r="A536" t="s">
        <v>552</v>
      </c>
      <c r="B536" s="5">
        <v>45618</v>
      </c>
      <c r="C536" t="s">
        <v>3490</v>
      </c>
      <c r="D536" t="s">
        <v>4642</v>
      </c>
      <c r="E536" t="s">
        <v>4867</v>
      </c>
      <c r="F536">
        <v>44</v>
      </c>
      <c r="G536" t="s">
        <v>4879</v>
      </c>
      <c r="H536" t="s">
        <v>4888</v>
      </c>
      <c r="I536" t="s">
        <v>4900</v>
      </c>
      <c r="J536" t="s">
        <v>4913</v>
      </c>
      <c r="K536" t="s">
        <v>4929</v>
      </c>
      <c r="L536" t="s">
        <v>4941</v>
      </c>
      <c r="M536" t="s">
        <v>4942</v>
      </c>
      <c r="N536" s="11">
        <v>4467.84</v>
      </c>
      <c r="O536" t="s">
        <v>4950</v>
      </c>
      <c r="P536" t="s">
        <v>4951</v>
      </c>
      <c r="R536">
        <v>90</v>
      </c>
      <c r="S536" t="str">
        <f t="shared" si="24"/>
        <v>Middle-Aged</v>
      </c>
      <c r="T536" t="str">
        <f t="shared" si="25"/>
        <v>Low</v>
      </c>
      <c r="U536" t="str">
        <f t="shared" si="26"/>
        <v>Short Days</v>
      </c>
    </row>
    <row r="537" spans="1:21">
      <c r="A537" t="s">
        <v>553</v>
      </c>
      <c r="B537" s="5">
        <v>45394</v>
      </c>
      <c r="C537" t="s">
        <v>3491</v>
      </c>
      <c r="D537" t="s">
        <v>4821</v>
      </c>
      <c r="E537" t="s">
        <v>4868</v>
      </c>
      <c r="F537">
        <v>50</v>
      </c>
      <c r="G537" t="s">
        <v>4871</v>
      </c>
      <c r="H537" t="s">
        <v>4886</v>
      </c>
      <c r="I537" t="s">
        <v>4897</v>
      </c>
      <c r="J537" t="s">
        <v>4907</v>
      </c>
      <c r="K537" t="s">
        <v>4929</v>
      </c>
      <c r="L537" t="s">
        <v>4934</v>
      </c>
      <c r="M537" t="s">
        <v>4942</v>
      </c>
      <c r="N537" s="11">
        <v>4407.49</v>
      </c>
      <c r="O537" t="s">
        <v>15</v>
      </c>
      <c r="P537" t="s">
        <v>4952</v>
      </c>
      <c r="R537">
        <v>7</v>
      </c>
      <c r="S537" t="str">
        <f t="shared" si="24"/>
        <v>Middle-Aged</v>
      </c>
      <c r="T537" t="str">
        <f t="shared" si="25"/>
        <v>Low</v>
      </c>
      <c r="U537" t="str">
        <f t="shared" si="26"/>
        <v>Short Days</v>
      </c>
    </row>
    <row r="538" spans="1:21">
      <c r="A538" t="s">
        <v>554</v>
      </c>
      <c r="B538" s="5">
        <v>45827</v>
      </c>
      <c r="C538" t="s">
        <v>3492</v>
      </c>
      <c r="D538" t="s">
        <v>4626</v>
      </c>
      <c r="E538" t="s">
        <v>4867</v>
      </c>
      <c r="F538">
        <v>2</v>
      </c>
      <c r="G538" t="s">
        <v>4870</v>
      </c>
      <c r="H538" t="s">
        <v>4885</v>
      </c>
      <c r="I538" t="s">
        <v>4901</v>
      </c>
      <c r="J538" t="s">
        <v>4921</v>
      </c>
      <c r="K538" t="s">
        <v>4924</v>
      </c>
      <c r="L538" t="s">
        <v>4939</v>
      </c>
      <c r="M538" t="s">
        <v>4942</v>
      </c>
      <c r="N538" s="11">
        <v>934.87</v>
      </c>
      <c r="O538" t="s">
        <v>4948</v>
      </c>
      <c r="P538" t="s">
        <v>4951</v>
      </c>
      <c r="S538" t="str">
        <f t="shared" si="24"/>
        <v>Child</v>
      </c>
      <c r="T538" t="str">
        <f t="shared" si="25"/>
        <v>Low</v>
      </c>
      <c r="U538" t="str">
        <f t="shared" si="26"/>
        <v>Short Days</v>
      </c>
    </row>
    <row r="539" spans="1:21">
      <c r="A539" t="s">
        <v>555</v>
      </c>
      <c r="B539" s="5">
        <v>45567</v>
      </c>
      <c r="C539" t="s">
        <v>3417</v>
      </c>
      <c r="D539" t="s">
        <v>4822</v>
      </c>
      <c r="E539" t="s">
        <v>4866</v>
      </c>
      <c r="F539">
        <v>57</v>
      </c>
      <c r="G539" t="s">
        <v>4870</v>
      </c>
      <c r="H539" t="s">
        <v>4885</v>
      </c>
      <c r="I539" t="s">
        <v>4897</v>
      </c>
      <c r="J539" t="s">
        <v>4922</v>
      </c>
      <c r="K539" t="s">
        <v>4925</v>
      </c>
      <c r="L539" t="s">
        <v>4934</v>
      </c>
      <c r="M539" t="s">
        <v>4943</v>
      </c>
      <c r="N539" s="11">
        <v>5514.94</v>
      </c>
      <c r="O539" t="s">
        <v>4948</v>
      </c>
      <c r="P539" t="s">
        <v>4951</v>
      </c>
      <c r="R539">
        <v>90</v>
      </c>
      <c r="S539" t="str">
        <f t="shared" si="24"/>
        <v>Middle-Aged</v>
      </c>
      <c r="T539" t="str">
        <f t="shared" si="25"/>
        <v>Medium</v>
      </c>
      <c r="U539" t="str">
        <f t="shared" si="26"/>
        <v>Short Days</v>
      </c>
    </row>
    <row r="540" spans="1:21">
      <c r="A540" t="s">
        <v>556</v>
      </c>
      <c r="B540" s="5">
        <v>45698</v>
      </c>
      <c r="C540" t="s">
        <v>3493</v>
      </c>
      <c r="D540" t="s">
        <v>4605</v>
      </c>
      <c r="E540" t="s">
        <v>4867</v>
      </c>
      <c r="F540">
        <v>26</v>
      </c>
      <c r="G540" t="s">
        <v>4882</v>
      </c>
      <c r="H540" t="s">
        <v>4891</v>
      </c>
      <c r="I540" t="s">
        <v>4896</v>
      </c>
      <c r="J540" t="s">
        <v>4908</v>
      </c>
      <c r="K540" t="s">
        <v>4928</v>
      </c>
      <c r="L540" t="s">
        <v>4939</v>
      </c>
      <c r="M540" t="s">
        <v>4944</v>
      </c>
      <c r="N540" s="11">
        <v>6081.45</v>
      </c>
      <c r="O540" t="s">
        <v>4948</v>
      </c>
      <c r="P540" t="s">
        <v>4951</v>
      </c>
      <c r="S540" t="str">
        <f t="shared" si="24"/>
        <v>Adult</v>
      </c>
      <c r="T540" t="str">
        <f t="shared" si="25"/>
        <v>Medium</v>
      </c>
      <c r="U540" t="str">
        <f t="shared" si="26"/>
        <v>Short Days</v>
      </c>
    </row>
    <row r="541" spans="1:21">
      <c r="A541" t="s">
        <v>557</v>
      </c>
      <c r="B541" s="5">
        <v>45897</v>
      </c>
      <c r="C541" t="s">
        <v>3494</v>
      </c>
      <c r="D541" t="s">
        <v>4605</v>
      </c>
      <c r="E541" t="s">
        <v>4867</v>
      </c>
      <c r="F541">
        <v>57</v>
      </c>
      <c r="G541" t="s">
        <v>4870</v>
      </c>
      <c r="H541" t="s">
        <v>4885</v>
      </c>
      <c r="I541" t="s">
        <v>4893</v>
      </c>
      <c r="J541" t="s">
        <v>4917</v>
      </c>
      <c r="K541" t="s">
        <v>4929</v>
      </c>
      <c r="L541" t="s">
        <v>4940</v>
      </c>
      <c r="M541" t="s">
        <v>4944</v>
      </c>
      <c r="N541" s="11">
        <v>17891.3</v>
      </c>
      <c r="O541" t="s">
        <v>15</v>
      </c>
      <c r="P541" t="s">
        <v>4952</v>
      </c>
      <c r="R541">
        <v>90</v>
      </c>
      <c r="S541" t="str">
        <f t="shared" si="24"/>
        <v>Middle-Aged</v>
      </c>
      <c r="T541" t="str">
        <f t="shared" si="25"/>
        <v>High</v>
      </c>
      <c r="U541" t="str">
        <f t="shared" si="26"/>
        <v>Short Days</v>
      </c>
    </row>
    <row r="542" spans="1:21">
      <c r="A542" t="s">
        <v>558</v>
      </c>
      <c r="B542" s="5">
        <v>45645</v>
      </c>
      <c r="C542" t="s">
        <v>3495</v>
      </c>
      <c r="D542" t="s">
        <v>4823</v>
      </c>
      <c r="E542" t="s">
        <v>4866</v>
      </c>
      <c r="F542">
        <v>42</v>
      </c>
      <c r="G542" t="s">
        <v>4870</v>
      </c>
      <c r="H542" t="s">
        <v>4885</v>
      </c>
      <c r="I542" t="s">
        <v>4900</v>
      </c>
      <c r="J542" t="s">
        <v>4919</v>
      </c>
      <c r="K542" t="s">
        <v>4925</v>
      </c>
      <c r="L542" t="s">
        <v>4940</v>
      </c>
      <c r="M542" t="s">
        <v>4944</v>
      </c>
      <c r="N542" s="11">
        <v>7092.66</v>
      </c>
      <c r="O542" t="s">
        <v>4946</v>
      </c>
      <c r="P542" t="s">
        <v>4951</v>
      </c>
      <c r="S542" t="str">
        <f t="shared" si="24"/>
        <v>Middle-Aged</v>
      </c>
      <c r="T542" t="str">
        <f t="shared" si="25"/>
        <v>Medium</v>
      </c>
      <c r="U542" t="str">
        <f t="shared" si="26"/>
        <v>Short Days</v>
      </c>
    </row>
    <row r="543" spans="1:21">
      <c r="A543" t="s">
        <v>559</v>
      </c>
      <c r="B543" s="5">
        <v>45796</v>
      </c>
      <c r="C543" t="s">
        <v>3496</v>
      </c>
      <c r="D543" t="s">
        <v>4824</v>
      </c>
      <c r="E543" t="s">
        <v>4867</v>
      </c>
      <c r="F543">
        <v>49</v>
      </c>
      <c r="G543" t="s">
        <v>4873</v>
      </c>
      <c r="H543" t="s">
        <v>4888</v>
      </c>
      <c r="I543" t="s">
        <v>4895</v>
      </c>
      <c r="J543" t="s">
        <v>4905</v>
      </c>
      <c r="K543" t="s">
        <v>4929</v>
      </c>
      <c r="L543" t="s">
        <v>4936</v>
      </c>
      <c r="M543" t="s">
        <v>4942</v>
      </c>
      <c r="N543" s="11">
        <v>210.91</v>
      </c>
      <c r="O543" t="s">
        <v>4947</v>
      </c>
      <c r="P543" t="s">
        <v>4951</v>
      </c>
      <c r="S543" t="str">
        <f t="shared" si="24"/>
        <v>Middle-Aged</v>
      </c>
      <c r="T543" t="str">
        <f t="shared" si="25"/>
        <v>Low</v>
      </c>
      <c r="U543" t="str">
        <f t="shared" si="26"/>
        <v>Short Days</v>
      </c>
    </row>
    <row r="544" spans="1:21">
      <c r="A544" t="s">
        <v>560</v>
      </c>
      <c r="B544" s="5">
        <v>45925</v>
      </c>
      <c r="C544" t="s">
        <v>3497</v>
      </c>
      <c r="D544" t="s">
        <v>4767</v>
      </c>
      <c r="E544" t="s">
        <v>4866</v>
      </c>
      <c r="F544">
        <v>46</v>
      </c>
      <c r="G544" t="s">
        <v>4879</v>
      </c>
      <c r="H544" t="s">
        <v>4888</v>
      </c>
      <c r="I544" t="s">
        <v>4899</v>
      </c>
      <c r="J544" t="s">
        <v>4911</v>
      </c>
      <c r="K544" t="s">
        <v>4927</v>
      </c>
      <c r="L544" t="s">
        <v>4940</v>
      </c>
      <c r="M544" t="s">
        <v>4944</v>
      </c>
      <c r="N544" s="11">
        <v>8195.24</v>
      </c>
      <c r="O544" t="s">
        <v>4948</v>
      </c>
      <c r="P544" t="s">
        <v>4951</v>
      </c>
      <c r="R544">
        <v>14</v>
      </c>
      <c r="S544" t="str">
        <f t="shared" si="24"/>
        <v>Middle-Aged</v>
      </c>
      <c r="T544" t="str">
        <f t="shared" si="25"/>
        <v>Medium</v>
      </c>
      <c r="U544" t="str">
        <f t="shared" si="26"/>
        <v>Short Days</v>
      </c>
    </row>
    <row r="545" spans="1:21">
      <c r="A545" t="s">
        <v>561</v>
      </c>
      <c r="B545" s="5">
        <v>45773</v>
      </c>
      <c r="C545" t="s">
        <v>3498</v>
      </c>
      <c r="D545" t="s">
        <v>4660</v>
      </c>
      <c r="E545" t="s">
        <v>4867</v>
      </c>
      <c r="F545">
        <v>22</v>
      </c>
      <c r="G545" t="s">
        <v>4874</v>
      </c>
      <c r="H545" t="s">
        <v>4886</v>
      </c>
      <c r="I545" t="s">
        <v>4893</v>
      </c>
      <c r="J545" t="s">
        <v>4903</v>
      </c>
      <c r="K545" t="s">
        <v>4925</v>
      </c>
      <c r="L545" t="s">
        <v>4937</v>
      </c>
      <c r="M545" t="s">
        <v>4942</v>
      </c>
      <c r="N545" s="11">
        <v>7367.29</v>
      </c>
      <c r="O545" t="s">
        <v>4947</v>
      </c>
      <c r="P545" t="s">
        <v>4951</v>
      </c>
      <c r="R545">
        <v>7</v>
      </c>
      <c r="S545" t="str">
        <f t="shared" si="24"/>
        <v>Adult</v>
      </c>
      <c r="T545" t="str">
        <f t="shared" si="25"/>
        <v>Medium</v>
      </c>
      <c r="U545" t="str">
        <f t="shared" si="26"/>
        <v>Short Days</v>
      </c>
    </row>
    <row r="546" spans="1:21">
      <c r="A546" t="s">
        <v>562</v>
      </c>
      <c r="B546" s="5">
        <v>45904</v>
      </c>
      <c r="C546" t="s">
        <v>3499</v>
      </c>
      <c r="D546" t="s">
        <v>4816</v>
      </c>
      <c r="E546" t="s">
        <v>4866</v>
      </c>
      <c r="F546">
        <v>52</v>
      </c>
      <c r="G546" t="s">
        <v>4878</v>
      </c>
      <c r="H546" t="s">
        <v>4889</v>
      </c>
      <c r="I546" t="s">
        <v>4897</v>
      </c>
      <c r="J546" t="s">
        <v>4922</v>
      </c>
      <c r="K546" t="s">
        <v>4930</v>
      </c>
      <c r="L546" t="s">
        <v>4934</v>
      </c>
      <c r="M546" t="s">
        <v>4944</v>
      </c>
      <c r="N546" s="11">
        <v>5901.02</v>
      </c>
      <c r="O546" t="s">
        <v>4949</v>
      </c>
      <c r="P546" t="s">
        <v>4951</v>
      </c>
      <c r="S546" t="str">
        <f t="shared" si="24"/>
        <v>Middle-Aged</v>
      </c>
      <c r="T546" t="str">
        <f t="shared" si="25"/>
        <v>Medium</v>
      </c>
      <c r="U546" t="str">
        <f t="shared" si="26"/>
        <v>Short Days</v>
      </c>
    </row>
    <row r="547" spans="1:21">
      <c r="A547" t="s">
        <v>563</v>
      </c>
      <c r="B547" s="5">
        <v>45406</v>
      </c>
      <c r="C547" t="s">
        <v>3500</v>
      </c>
      <c r="D547" t="s">
        <v>4738</v>
      </c>
      <c r="E547" t="s">
        <v>4866</v>
      </c>
      <c r="F547">
        <v>61</v>
      </c>
      <c r="G547" t="s">
        <v>4879</v>
      </c>
      <c r="H547" t="s">
        <v>4888</v>
      </c>
      <c r="I547" t="s">
        <v>4897</v>
      </c>
      <c r="J547" t="s">
        <v>4922</v>
      </c>
      <c r="K547" t="s">
        <v>4927</v>
      </c>
      <c r="L547" t="s">
        <v>4935</v>
      </c>
      <c r="M547" t="s">
        <v>4942</v>
      </c>
      <c r="N547" s="11">
        <v>2258.1799999999998</v>
      </c>
      <c r="O547" t="s">
        <v>4947</v>
      </c>
      <c r="P547" t="s">
        <v>4951</v>
      </c>
      <c r="R547">
        <v>14</v>
      </c>
      <c r="S547" t="str">
        <f t="shared" si="24"/>
        <v>Senior</v>
      </c>
      <c r="T547" t="str">
        <f t="shared" si="25"/>
        <v>Low</v>
      </c>
      <c r="U547" t="str">
        <f t="shared" si="26"/>
        <v>Short Days</v>
      </c>
    </row>
    <row r="548" spans="1:21">
      <c r="A548" t="s">
        <v>564</v>
      </c>
      <c r="B548" s="5">
        <v>45918</v>
      </c>
      <c r="C548" t="s">
        <v>3501</v>
      </c>
      <c r="D548" t="s">
        <v>4739</v>
      </c>
      <c r="E548" t="s">
        <v>4867</v>
      </c>
      <c r="F548">
        <v>65</v>
      </c>
      <c r="G548" t="s">
        <v>4876</v>
      </c>
      <c r="H548" t="s">
        <v>4888</v>
      </c>
      <c r="I548" t="s">
        <v>4900</v>
      </c>
      <c r="J548" t="s">
        <v>4919</v>
      </c>
      <c r="K548" t="s">
        <v>4924</v>
      </c>
      <c r="L548" t="s">
        <v>4935</v>
      </c>
      <c r="M548" t="s">
        <v>4944</v>
      </c>
      <c r="N548" s="11">
        <v>6740.63</v>
      </c>
      <c r="O548" t="s">
        <v>4948</v>
      </c>
      <c r="P548" t="s">
        <v>4951</v>
      </c>
      <c r="R548">
        <v>14</v>
      </c>
      <c r="S548" t="str">
        <f t="shared" si="24"/>
        <v>Senior</v>
      </c>
      <c r="T548" t="str">
        <f t="shared" si="25"/>
        <v>Medium</v>
      </c>
      <c r="U548" t="str">
        <f t="shared" si="26"/>
        <v>Short Days</v>
      </c>
    </row>
    <row r="549" spans="1:21">
      <c r="A549" t="s">
        <v>565</v>
      </c>
      <c r="B549" s="5">
        <v>45962</v>
      </c>
      <c r="C549" t="s">
        <v>3502</v>
      </c>
      <c r="D549" t="s">
        <v>4798</v>
      </c>
      <c r="E549" t="s">
        <v>4867</v>
      </c>
      <c r="F549">
        <v>49</v>
      </c>
      <c r="G549" t="s">
        <v>4877</v>
      </c>
      <c r="H549" t="s">
        <v>4888</v>
      </c>
      <c r="I549" t="s">
        <v>4902</v>
      </c>
      <c r="J549" t="s">
        <v>4920</v>
      </c>
      <c r="K549" t="s">
        <v>4924</v>
      </c>
      <c r="L549" t="s">
        <v>4938</v>
      </c>
      <c r="M549" t="s">
        <v>4942</v>
      </c>
      <c r="N549" s="11">
        <v>10367.98</v>
      </c>
      <c r="O549" t="s">
        <v>4950</v>
      </c>
      <c r="P549" t="s">
        <v>4951</v>
      </c>
      <c r="R549">
        <v>30</v>
      </c>
      <c r="S549" t="str">
        <f t="shared" si="24"/>
        <v>Middle-Aged</v>
      </c>
      <c r="T549" t="str">
        <f t="shared" si="25"/>
        <v>High</v>
      </c>
      <c r="U549" t="str">
        <f t="shared" si="26"/>
        <v>Short Days</v>
      </c>
    </row>
    <row r="550" spans="1:21">
      <c r="A550" t="s">
        <v>566</v>
      </c>
      <c r="B550" s="5">
        <v>45616</v>
      </c>
      <c r="C550" t="s">
        <v>3053</v>
      </c>
      <c r="D550" t="s">
        <v>4732</v>
      </c>
      <c r="E550" t="s">
        <v>4867</v>
      </c>
      <c r="F550">
        <v>0</v>
      </c>
      <c r="G550" t="s">
        <v>4870</v>
      </c>
      <c r="H550" t="s">
        <v>4885</v>
      </c>
      <c r="I550" t="s">
        <v>4894</v>
      </c>
      <c r="J550" t="s">
        <v>4910</v>
      </c>
      <c r="K550" t="s">
        <v>4931</v>
      </c>
      <c r="L550" t="s">
        <v>4935</v>
      </c>
      <c r="M550" t="s">
        <v>4942</v>
      </c>
      <c r="N550" s="11">
        <v>3941.76</v>
      </c>
      <c r="O550" t="s">
        <v>4947</v>
      </c>
      <c r="P550" t="s">
        <v>4951</v>
      </c>
      <c r="S550" t="str">
        <f t="shared" si="24"/>
        <v>Child</v>
      </c>
      <c r="T550" t="str">
        <f t="shared" si="25"/>
        <v>Low</v>
      </c>
      <c r="U550" t="str">
        <f t="shared" si="26"/>
        <v>Short Days</v>
      </c>
    </row>
    <row r="551" spans="1:21">
      <c r="A551" t="s">
        <v>567</v>
      </c>
      <c r="B551" s="5">
        <v>45644</v>
      </c>
      <c r="C551" t="s">
        <v>3503</v>
      </c>
      <c r="D551" t="s">
        <v>4825</v>
      </c>
      <c r="E551" t="s">
        <v>4867</v>
      </c>
      <c r="F551">
        <v>48</v>
      </c>
      <c r="G551" t="s">
        <v>4874</v>
      </c>
      <c r="H551" t="s">
        <v>4886</v>
      </c>
      <c r="I551" t="s">
        <v>4902</v>
      </c>
      <c r="J551" t="s">
        <v>4916</v>
      </c>
      <c r="K551" t="s">
        <v>4926</v>
      </c>
      <c r="L551" t="s">
        <v>4940</v>
      </c>
      <c r="M551" t="s">
        <v>4942</v>
      </c>
      <c r="N551" s="11">
        <v>3874.78</v>
      </c>
      <c r="O551" t="s">
        <v>4948</v>
      </c>
      <c r="P551" t="s">
        <v>4951</v>
      </c>
      <c r="R551">
        <v>14</v>
      </c>
      <c r="S551" t="str">
        <f t="shared" si="24"/>
        <v>Middle-Aged</v>
      </c>
      <c r="T551" t="str">
        <f t="shared" si="25"/>
        <v>Low</v>
      </c>
      <c r="U551" t="str">
        <f t="shared" si="26"/>
        <v>Short Days</v>
      </c>
    </row>
    <row r="552" spans="1:21">
      <c r="A552" t="s">
        <v>568</v>
      </c>
      <c r="B552" s="5">
        <v>45649</v>
      </c>
      <c r="C552" t="s">
        <v>3504</v>
      </c>
      <c r="D552" t="s">
        <v>4773</v>
      </c>
      <c r="E552" t="s">
        <v>4867</v>
      </c>
      <c r="F552">
        <v>29</v>
      </c>
      <c r="G552" t="s">
        <v>4873</v>
      </c>
      <c r="H552" t="s">
        <v>4888</v>
      </c>
      <c r="I552" t="s">
        <v>4894</v>
      </c>
      <c r="J552" t="s">
        <v>4910</v>
      </c>
      <c r="K552" t="s">
        <v>4926</v>
      </c>
      <c r="L552" t="s">
        <v>4940</v>
      </c>
      <c r="M552" t="s">
        <v>4945</v>
      </c>
      <c r="N552" s="11">
        <v>10220.719999999999</v>
      </c>
      <c r="O552" t="s">
        <v>4946</v>
      </c>
      <c r="P552" t="s">
        <v>4951</v>
      </c>
      <c r="Q552">
        <v>5</v>
      </c>
      <c r="S552" t="str">
        <f t="shared" si="24"/>
        <v>Adult</v>
      </c>
      <c r="T552" t="str">
        <f t="shared" si="25"/>
        <v>High</v>
      </c>
      <c r="U552" t="str">
        <f t="shared" si="26"/>
        <v>Short Days</v>
      </c>
    </row>
    <row r="553" spans="1:21">
      <c r="A553" t="s">
        <v>569</v>
      </c>
      <c r="B553" s="5">
        <v>45587</v>
      </c>
      <c r="C553" t="s">
        <v>3505</v>
      </c>
      <c r="D553" t="s">
        <v>4815</v>
      </c>
      <c r="E553" t="s">
        <v>4866</v>
      </c>
      <c r="F553">
        <v>57</v>
      </c>
      <c r="G553" t="s">
        <v>4870</v>
      </c>
      <c r="H553" t="s">
        <v>4885</v>
      </c>
      <c r="I553" t="s">
        <v>4894</v>
      </c>
      <c r="J553" t="s">
        <v>4904</v>
      </c>
      <c r="K553" t="s">
        <v>4925</v>
      </c>
      <c r="L553" t="s">
        <v>4940</v>
      </c>
      <c r="M553" t="s">
        <v>4942</v>
      </c>
      <c r="N553" s="11">
        <v>2310.56</v>
      </c>
      <c r="O553" t="s">
        <v>4949</v>
      </c>
      <c r="P553" t="s">
        <v>4951</v>
      </c>
      <c r="R553">
        <v>90</v>
      </c>
      <c r="S553" t="str">
        <f t="shared" si="24"/>
        <v>Middle-Aged</v>
      </c>
      <c r="T553" t="str">
        <f t="shared" si="25"/>
        <v>Low</v>
      </c>
      <c r="U553" t="str">
        <f t="shared" si="26"/>
        <v>Short Days</v>
      </c>
    </row>
    <row r="554" spans="1:21">
      <c r="A554" t="s">
        <v>570</v>
      </c>
      <c r="B554" s="5">
        <v>45393</v>
      </c>
      <c r="C554" t="s">
        <v>3506</v>
      </c>
      <c r="D554" t="s">
        <v>4627</v>
      </c>
      <c r="E554" t="s">
        <v>4867</v>
      </c>
      <c r="F554">
        <v>26</v>
      </c>
      <c r="G554" t="s">
        <v>4883</v>
      </c>
      <c r="H554" t="s">
        <v>4892</v>
      </c>
      <c r="I554" t="s">
        <v>4901</v>
      </c>
      <c r="J554" t="s">
        <v>4921</v>
      </c>
      <c r="K554" t="s">
        <v>4928</v>
      </c>
      <c r="L554" t="s">
        <v>4937</v>
      </c>
      <c r="M554" t="s">
        <v>4942</v>
      </c>
      <c r="N554" s="11">
        <v>4721.1899999999996</v>
      </c>
      <c r="O554" t="s">
        <v>4946</v>
      </c>
      <c r="P554" t="s">
        <v>4951</v>
      </c>
      <c r="S554" t="str">
        <f t="shared" si="24"/>
        <v>Adult</v>
      </c>
      <c r="T554" t="str">
        <f t="shared" si="25"/>
        <v>Low</v>
      </c>
      <c r="U554" t="str">
        <f t="shared" si="26"/>
        <v>Short Days</v>
      </c>
    </row>
    <row r="555" spans="1:21">
      <c r="A555" t="s">
        <v>571</v>
      </c>
      <c r="B555" s="5">
        <v>45703</v>
      </c>
      <c r="C555" t="s">
        <v>3507</v>
      </c>
      <c r="D555" t="s">
        <v>4650</v>
      </c>
      <c r="E555" t="s">
        <v>4867</v>
      </c>
      <c r="F555">
        <v>55</v>
      </c>
      <c r="G555" t="s">
        <v>4882</v>
      </c>
      <c r="H555" t="s">
        <v>4891</v>
      </c>
      <c r="I555" t="s">
        <v>4901</v>
      </c>
      <c r="J555" t="s">
        <v>4921</v>
      </c>
      <c r="K555" t="s">
        <v>4924</v>
      </c>
      <c r="L555" t="s">
        <v>4934</v>
      </c>
      <c r="M555" t="s">
        <v>4942</v>
      </c>
      <c r="N555" s="11">
        <v>2298.29</v>
      </c>
      <c r="O555" t="s">
        <v>4949</v>
      </c>
      <c r="P555" t="s">
        <v>4951</v>
      </c>
      <c r="S555" t="str">
        <f t="shared" si="24"/>
        <v>Middle-Aged</v>
      </c>
      <c r="T555" t="str">
        <f t="shared" si="25"/>
        <v>Low</v>
      </c>
      <c r="U555" t="str">
        <f t="shared" si="26"/>
        <v>Short Days</v>
      </c>
    </row>
    <row r="556" spans="1:21">
      <c r="A556" t="s">
        <v>572</v>
      </c>
      <c r="B556" s="5">
        <v>45368</v>
      </c>
      <c r="C556" t="s">
        <v>3508</v>
      </c>
      <c r="D556" t="s">
        <v>4646</v>
      </c>
      <c r="E556" t="s">
        <v>4867</v>
      </c>
      <c r="F556">
        <v>18</v>
      </c>
      <c r="G556" t="s">
        <v>4875</v>
      </c>
      <c r="H556" t="s">
        <v>4889</v>
      </c>
      <c r="I556" t="s">
        <v>4901</v>
      </c>
      <c r="J556" t="s">
        <v>4914</v>
      </c>
      <c r="K556" t="s">
        <v>4928</v>
      </c>
      <c r="L556" t="s">
        <v>4941</v>
      </c>
      <c r="M556" t="s">
        <v>4942</v>
      </c>
      <c r="N556" s="11">
        <v>1473.85</v>
      </c>
      <c r="O556" t="s">
        <v>4947</v>
      </c>
      <c r="P556" t="s">
        <v>4951</v>
      </c>
      <c r="R556">
        <v>30</v>
      </c>
      <c r="S556" t="str">
        <f t="shared" si="24"/>
        <v>Adult</v>
      </c>
      <c r="T556" t="str">
        <f t="shared" si="25"/>
        <v>Low</v>
      </c>
      <c r="U556" t="str">
        <f t="shared" si="26"/>
        <v>Short Days</v>
      </c>
    </row>
    <row r="557" spans="1:21">
      <c r="A557" t="s">
        <v>573</v>
      </c>
      <c r="B557" s="5">
        <v>45313</v>
      </c>
      <c r="C557" t="s">
        <v>3223</v>
      </c>
      <c r="D557" t="s">
        <v>4707</v>
      </c>
      <c r="E557" t="s">
        <v>4867</v>
      </c>
      <c r="F557">
        <v>33</v>
      </c>
      <c r="G557" t="s">
        <v>4880</v>
      </c>
      <c r="H557" t="s">
        <v>4890</v>
      </c>
      <c r="I557" t="s">
        <v>4896</v>
      </c>
      <c r="J557" t="s">
        <v>4908</v>
      </c>
      <c r="K557" t="s">
        <v>4933</v>
      </c>
      <c r="L557" t="s">
        <v>4939</v>
      </c>
      <c r="M557" t="s">
        <v>4944</v>
      </c>
      <c r="N557" s="11">
        <v>8738.17</v>
      </c>
      <c r="O557" t="s">
        <v>4948</v>
      </c>
      <c r="P557" t="s">
        <v>4951</v>
      </c>
      <c r="R557">
        <v>30</v>
      </c>
      <c r="S557" t="str">
        <f t="shared" si="24"/>
        <v>Adult</v>
      </c>
      <c r="T557" t="str">
        <f t="shared" si="25"/>
        <v>Medium</v>
      </c>
      <c r="U557" t="str">
        <f t="shared" si="26"/>
        <v>Short Days</v>
      </c>
    </row>
    <row r="558" spans="1:21">
      <c r="A558" t="s">
        <v>574</v>
      </c>
      <c r="B558" s="5">
        <v>45443</v>
      </c>
      <c r="C558" t="s">
        <v>3509</v>
      </c>
      <c r="D558" t="s">
        <v>4646</v>
      </c>
      <c r="E558" t="s">
        <v>4866</v>
      </c>
      <c r="F558">
        <v>38</v>
      </c>
      <c r="G558" t="s">
        <v>4878</v>
      </c>
      <c r="H558" t="s">
        <v>4889</v>
      </c>
      <c r="I558" t="s">
        <v>4900</v>
      </c>
      <c r="J558" t="s">
        <v>4919</v>
      </c>
      <c r="K558" t="s">
        <v>4926</v>
      </c>
      <c r="L558" t="s">
        <v>4934</v>
      </c>
      <c r="M558" t="s">
        <v>4944</v>
      </c>
      <c r="N558" s="11">
        <v>5856.12</v>
      </c>
      <c r="O558" t="s">
        <v>4949</v>
      </c>
      <c r="P558" t="s">
        <v>4951</v>
      </c>
      <c r="S558" t="str">
        <f t="shared" si="24"/>
        <v>Adult</v>
      </c>
      <c r="T558" t="str">
        <f t="shared" si="25"/>
        <v>Medium</v>
      </c>
      <c r="U558" t="str">
        <f t="shared" si="26"/>
        <v>Short Days</v>
      </c>
    </row>
    <row r="559" spans="1:21">
      <c r="A559" t="s">
        <v>575</v>
      </c>
      <c r="B559" s="5">
        <v>45742</v>
      </c>
      <c r="C559" t="s">
        <v>3510</v>
      </c>
      <c r="D559" t="s">
        <v>4807</v>
      </c>
      <c r="E559" t="s">
        <v>4867</v>
      </c>
      <c r="F559">
        <v>67</v>
      </c>
      <c r="G559" t="s">
        <v>4883</v>
      </c>
      <c r="H559" t="s">
        <v>4892</v>
      </c>
      <c r="I559" t="s">
        <v>4902</v>
      </c>
      <c r="J559" t="s">
        <v>4916</v>
      </c>
      <c r="K559" t="s">
        <v>4925</v>
      </c>
      <c r="L559" t="s">
        <v>4935</v>
      </c>
      <c r="M559" t="s">
        <v>4942</v>
      </c>
      <c r="N559" s="11">
        <v>1301.52</v>
      </c>
      <c r="O559" t="s">
        <v>4950</v>
      </c>
      <c r="P559" t="s">
        <v>4951</v>
      </c>
      <c r="R559">
        <v>30</v>
      </c>
      <c r="S559" t="str">
        <f t="shared" si="24"/>
        <v>Senior</v>
      </c>
      <c r="T559" t="str">
        <f t="shared" si="25"/>
        <v>Low</v>
      </c>
      <c r="U559" t="str">
        <f t="shared" si="26"/>
        <v>Short Days</v>
      </c>
    </row>
    <row r="560" spans="1:21">
      <c r="A560" t="s">
        <v>576</v>
      </c>
      <c r="B560" s="5">
        <v>45425</v>
      </c>
      <c r="C560" t="s">
        <v>3092</v>
      </c>
      <c r="D560" t="s">
        <v>4786</v>
      </c>
      <c r="E560" t="s">
        <v>4867</v>
      </c>
      <c r="F560">
        <v>43</v>
      </c>
      <c r="G560" t="s">
        <v>4870</v>
      </c>
      <c r="H560" t="s">
        <v>4885</v>
      </c>
      <c r="I560" t="s">
        <v>4897</v>
      </c>
      <c r="J560" t="s">
        <v>4922</v>
      </c>
      <c r="K560" t="s">
        <v>4926</v>
      </c>
      <c r="L560" t="s">
        <v>4936</v>
      </c>
      <c r="M560" t="s">
        <v>4942</v>
      </c>
      <c r="N560" s="11">
        <v>5234.87</v>
      </c>
      <c r="O560" t="s">
        <v>4946</v>
      </c>
      <c r="P560" t="s">
        <v>4951</v>
      </c>
      <c r="S560" t="str">
        <f t="shared" si="24"/>
        <v>Middle-Aged</v>
      </c>
      <c r="T560" t="str">
        <f t="shared" si="25"/>
        <v>Medium</v>
      </c>
      <c r="U560" t="str">
        <f t="shared" si="26"/>
        <v>Short Days</v>
      </c>
    </row>
    <row r="561" spans="1:21">
      <c r="A561" t="s">
        <v>577</v>
      </c>
      <c r="B561" s="5">
        <v>45573</v>
      </c>
      <c r="C561" t="s">
        <v>3511</v>
      </c>
      <c r="D561" t="s">
        <v>4826</v>
      </c>
      <c r="E561" t="s">
        <v>4866</v>
      </c>
      <c r="F561">
        <v>18</v>
      </c>
      <c r="G561" t="s">
        <v>4869</v>
      </c>
      <c r="H561" t="s">
        <v>4884</v>
      </c>
      <c r="I561" t="s">
        <v>4895</v>
      </c>
      <c r="J561" t="s">
        <v>4915</v>
      </c>
      <c r="K561" t="s">
        <v>4926</v>
      </c>
      <c r="L561" t="s">
        <v>4935</v>
      </c>
      <c r="M561" t="s">
        <v>4942</v>
      </c>
      <c r="N561" s="11">
        <v>2655.77</v>
      </c>
      <c r="O561" t="s">
        <v>4949</v>
      </c>
      <c r="P561" t="s">
        <v>4951</v>
      </c>
      <c r="R561">
        <v>7</v>
      </c>
      <c r="S561" t="str">
        <f t="shared" si="24"/>
        <v>Adult</v>
      </c>
      <c r="T561" t="str">
        <f t="shared" si="25"/>
        <v>Low</v>
      </c>
      <c r="U561" t="str">
        <f t="shared" si="26"/>
        <v>Short Days</v>
      </c>
    </row>
    <row r="562" spans="1:21">
      <c r="A562" t="s">
        <v>578</v>
      </c>
      <c r="B562" s="5">
        <v>45388</v>
      </c>
      <c r="C562" t="s">
        <v>3512</v>
      </c>
      <c r="D562" t="s">
        <v>4602</v>
      </c>
      <c r="E562" t="s">
        <v>4866</v>
      </c>
      <c r="F562">
        <v>38</v>
      </c>
      <c r="G562" t="s">
        <v>4879</v>
      </c>
      <c r="H562" t="s">
        <v>4888</v>
      </c>
      <c r="I562" t="s">
        <v>4901</v>
      </c>
      <c r="J562" t="s">
        <v>4914</v>
      </c>
      <c r="K562" t="s">
        <v>4925</v>
      </c>
      <c r="L562" t="s">
        <v>4938</v>
      </c>
      <c r="M562" t="s">
        <v>4944</v>
      </c>
      <c r="N562" s="11">
        <v>5345.54</v>
      </c>
      <c r="O562" t="s">
        <v>15</v>
      </c>
      <c r="P562" t="s">
        <v>4952</v>
      </c>
      <c r="R562">
        <v>90</v>
      </c>
      <c r="S562" t="str">
        <f t="shared" si="24"/>
        <v>Adult</v>
      </c>
      <c r="T562" t="str">
        <f t="shared" si="25"/>
        <v>Medium</v>
      </c>
      <c r="U562" t="str">
        <f t="shared" si="26"/>
        <v>Short Days</v>
      </c>
    </row>
    <row r="563" spans="1:21">
      <c r="A563" t="s">
        <v>579</v>
      </c>
      <c r="B563" s="5">
        <v>45609</v>
      </c>
      <c r="C563" t="s">
        <v>3513</v>
      </c>
      <c r="D563" t="s">
        <v>4590</v>
      </c>
      <c r="E563" t="s">
        <v>4866</v>
      </c>
      <c r="F563">
        <v>54</v>
      </c>
      <c r="G563" t="s">
        <v>4882</v>
      </c>
      <c r="H563" t="s">
        <v>4891</v>
      </c>
      <c r="I563" t="s">
        <v>4897</v>
      </c>
      <c r="J563" t="s">
        <v>4922</v>
      </c>
      <c r="K563" t="s">
        <v>4924</v>
      </c>
      <c r="L563" t="s">
        <v>4935</v>
      </c>
      <c r="M563" t="s">
        <v>4942</v>
      </c>
      <c r="N563" s="11">
        <v>985.1</v>
      </c>
      <c r="O563" t="s">
        <v>4950</v>
      </c>
      <c r="P563" t="s">
        <v>4951</v>
      </c>
      <c r="R563">
        <v>30</v>
      </c>
      <c r="S563" t="str">
        <f t="shared" si="24"/>
        <v>Middle-Aged</v>
      </c>
      <c r="T563" t="str">
        <f t="shared" si="25"/>
        <v>Low</v>
      </c>
      <c r="U563" t="str">
        <f t="shared" si="26"/>
        <v>Short Days</v>
      </c>
    </row>
    <row r="564" spans="1:21">
      <c r="A564" t="s">
        <v>580</v>
      </c>
      <c r="B564" s="5">
        <v>45492</v>
      </c>
      <c r="C564" t="s">
        <v>3514</v>
      </c>
      <c r="D564" t="s">
        <v>4651</v>
      </c>
      <c r="E564" t="s">
        <v>4866</v>
      </c>
      <c r="F564">
        <v>58</v>
      </c>
      <c r="G564" t="s">
        <v>4879</v>
      </c>
      <c r="H564" t="s">
        <v>4888</v>
      </c>
      <c r="I564" t="s">
        <v>4895</v>
      </c>
      <c r="J564" t="s">
        <v>4915</v>
      </c>
      <c r="K564" t="s">
        <v>4933</v>
      </c>
      <c r="L564" t="s">
        <v>4937</v>
      </c>
      <c r="M564" t="s">
        <v>4943</v>
      </c>
      <c r="N564" s="11">
        <v>6263.38</v>
      </c>
      <c r="O564" t="s">
        <v>4947</v>
      </c>
      <c r="P564" t="s">
        <v>4951</v>
      </c>
      <c r="R564">
        <v>30</v>
      </c>
      <c r="S564" t="str">
        <f t="shared" si="24"/>
        <v>Middle-Aged</v>
      </c>
      <c r="T564" t="str">
        <f t="shared" si="25"/>
        <v>Medium</v>
      </c>
      <c r="U564" t="str">
        <f t="shared" si="26"/>
        <v>Short Days</v>
      </c>
    </row>
    <row r="565" spans="1:21">
      <c r="A565" t="s">
        <v>581</v>
      </c>
      <c r="B565" s="5">
        <v>45330</v>
      </c>
      <c r="C565" t="s">
        <v>3515</v>
      </c>
      <c r="D565" t="s">
        <v>4691</v>
      </c>
      <c r="E565" t="s">
        <v>4867</v>
      </c>
      <c r="F565">
        <v>68</v>
      </c>
      <c r="G565" t="s">
        <v>4872</v>
      </c>
      <c r="H565" t="s">
        <v>4887</v>
      </c>
      <c r="I565" t="s">
        <v>4893</v>
      </c>
      <c r="J565" t="s">
        <v>4903</v>
      </c>
      <c r="K565" t="s">
        <v>4933</v>
      </c>
      <c r="L565" t="s">
        <v>4934</v>
      </c>
      <c r="M565" t="s">
        <v>4945</v>
      </c>
      <c r="N565" s="11">
        <v>11630.29</v>
      </c>
      <c r="O565" t="s">
        <v>4946</v>
      </c>
      <c r="P565" t="s">
        <v>4951</v>
      </c>
      <c r="Q565">
        <v>7</v>
      </c>
      <c r="R565">
        <v>14</v>
      </c>
      <c r="S565" t="str">
        <f t="shared" si="24"/>
        <v>Senior</v>
      </c>
      <c r="T565" t="str">
        <f t="shared" si="25"/>
        <v>High</v>
      </c>
      <c r="U565" t="str">
        <f t="shared" si="26"/>
        <v>Long Days</v>
      </c>
    </row>
    <row r="566" spans="1:21">
      <c r="A566" t="s">
        <v>582</v>
      </c>
      <c r="B566" s="5">
        <v>45468</v>
      </c>
      <c r="C566" t="s">
        <v>3516</v>
      </c>
      <c r="D566" t="s">
        <v>4625</v>
      </c>
      <c r="E566" t="s">
        <v>4867</v>
      </c>
      <c r="F566">
        <v>50</v>
      </c>
      <c r="G566" t="s">
        <v>4870</v>
      </c>
      <c r="H566" t="s">
        <v>4885</v>
      </c>
      <c r="I566" t="s">
        <v>4902</v>
      </c>
      <c r="J566" t="s">
        <v>4920</v>
      </c>
      <c r="K566" t="s">
        <v>4927</v>
      </c>
      <c r="L566" t="s">
        <v>4939</v>
      </c>
      <c r="M566" t="s">
        <v>4943</v>
      </c>
      <c r="N566" s="11">
        <v>19339.38</v>
      </c>
      <c r="O566" t="s">
        <v>4948</v>
      </c>
      <c r="P566" t="s">
        <v>4951</v>
      </c>
      <c r="S566" t="str">
        <f t="shared" si="24"/>
        <v>Middle-Aged</v>
      </c>
      <c r="T566" t="str">
        <f t="shared" si="25"/>
        <v>High</v>
      </c>
      <c r="U566" t="str">
        <f t="shared" si="26"/>
        <v>Short Days</v>
      </c>
    </row>
    <row r="567" spans="1:21">
      <c r="A567" t="s">
        <v>583</v>
      </c>
      <c r="B567" s="5">
        <v>45425</v>
      </c>
      <c r="C567" t="s">
        <v>3517</v>
      </c>
      <c r="D567" t="s">
        <v>4754</v>
      </c>
      <c r="E567" t="s">
        <v>4866</v>
      </c>
      <c r="F567">
        <v>34</v>
      </c>
      <c r="G567" t="s">
        <v>4876</v>
      </c>
      <c r="H567" t="s">
        <v>4888</v>
      </c>
      <c r="I567" t="s">
        <v>4895</v>
      </c>
      <c r="J567" t="s">
        <v>4905</v>
      </c>
      <c r="K567" t="s">
        <v>4933</v>
      </c>
      <c r="L567" t="s">
        <v>4940</v>
      </c>
      <c r="M567" t="s">
        <v>4942</v>
      </c>
      <c r="N567" s="11">
        <v>4341.3999999999996</v>
      </c>
      <c r="O567" t="s">
        <v>4948</v>
      </c>
      <c r="P567" t="s">
        <v>4951</v>
      </c>
      <c r="R567">
        <v>30</v>
      </c>
      <c r="S567" t="str">
        <f t="shared" si="24"/>
        <v>Adult</v>
      </c>
      <c r="T567" t="str">
        <f t="shared" si="25"/>
        <v>Low</v>
      </c>
      <c r="U567" t="str">
        <f t="shared" si="26"/>
        <v>Short Days</v>
      </c>
    </row>
    <row r="568" spans="1:21">
      <c r="A568" t="s">
        <v>584</v>
      </c>
      <c r="B568" s="5">
        <v>45637</v>
      </c>
      <c r="C568" t="s">
        <v>3518</v>
      </c>
      <c r="D568" t="s">
        <v>4660</v>
      </c>
      <c r="E568" t="s">
        <v>4867</v>
      </c>
      <c r="F568">
        <v>7</v>
      </c>
      <c r="G568" t="s">
        <v>4879</v>
      </c>
      <c r="H568" t="s">
        <v>4888</v>
      </c>
      <c r="I568" t="s">
        <v>4902</v>
      </c>
      <c r="J568" t="s">
        <v>4920</v>
      </c>
      <c r="K568" t="s">
        <v>4926</v>
      </c>
      <c r="L568" t="s">
        <v>4935</v>
      </c>
      <c r="M568" t="s">
        <v>4942</v>
      </c>
      <c r="N568" s="11">
        <v>164.21</v>
      </c>
      <c r="O568" t="s">
        <v>4950</v>
      </c>
      <c r="P568" t="s">
        <v>4951</v>
      </c>
      <c r="R568">
        <v>90</v>
      </c>
      <c r="S568" t="str">
        <f t="shared" si="24"/>
        <v>Child</v>
      </c>
      <c r="T568" t="str">
        <f t="shared" si="25"/>
        <v>Low</v>
      </c>
      <c r="U568" t="str">
        <f t="shared" si="26"/>
        <v>Short Days</v>
      </c>
    </row>
    <row r="569" spans="1:21">
      <c r="A569" t="s">
        <v>585</v>
      </c>
      <c r="B569" s="5">
        <v>45464</v>
      </c>
      <c r="C569" t="s">
        <v>3519</v>
      </c>
      <c r="D569" t="s">
        <v>4827</v>
      </c>
      <c r="E569" t="s">
        <v>4866</v>
      </c>
      <c r="F569">
        <v>0</v>
      </c>
      <c r="G569" t="s">
        <v>4870</v>
      </c>
      <c r="H569" t="s">
        <v>4885</v>
      </c>
      <c r="I569" t="s">
        <v>4894</v>
      </c>
      <c r="J569" t="s">
        <v>4904</v>
      </c>
      <c r="K569" t="s">
        <v>4933</v>
      </c>
      <c r="L569" t="s">
        <v>4935</v>
      </c>
      <c r="M569" t="s">
        <v>4944</v>
      </c>
      <c r="N569" s="11">
        <v>11430.34</v>
      </c>
      <c r="O569" t="s">
        <v>4948</v>
      </c>
      <c r="P569" t="s">
        <v>4951</v>
      </c>
      <c r="R569">
        <v>7</v>
      </c>
      <c r="S569" t="str">
        <f t="shared" si="24"/>
        <v>Child</v>
      </c>
      <c r="T569" t="str">
        <f t="shared" si="25"/>
        <v>High</v>
      </c>
      <c r="U569" t="str">
        <f t="shared" si="26"/>
        <v>Short Days</v>
      </c>
    </row>
    <row r="570" spans="1:21">
      <c r="A570" t="s">
        <v>586</v>
      </c>
      <c r="B570" s="5">
        <v>45621</v>
      </c>
      <c r="C570" t="s">
        <v>3520</v>
      </c>
      <c r="D570" t="s">
        <v>4624</v>
      </c>
      <c r="E570" t="s">
        <v>4867</v>
      </c>
      <c r="F570">
        <v>33</v>
      </c>
      <c r="G570" t="s">
        <v>4870</v>
      </c>
      <c r="H570" t="s">
        <v>4885</v>
      </c>
      <c r="I570" t="s">
        <v>4896</v>
      </c>
      <c r="J570" t="s">
        <v>4908</v>
      </c>
      <c r="K570" t="s">
        <v>4924</v>
      </c>
      <c r="L570" t="s">
        <v>4940</v>
      </c>
      <c r="M570" t="s">
        <v>4942</v>
      </c>
      <c r="N570" s="11">
        <v>1190.9100000000001</v>
      </c>
      <c r="O570" t="s">
        <v>4946</v>
      </c>
      <c r="P570" t="s">
        <v>4951</v>
      </c>
      <c r="R570">
        <v>14</v>
      </c>
      <c r="S570" t="str">
        <f t="shared" si="24"/>
        <v>Adult</v>
      </c>
      <c r="T570" t="str">
        <f t="shared" si="25"/>
        <v>Low</v>
      </c>
      <c r="U570" t="str">
        <f t="shared" si="26"/>
        <v>Short Days</v>
      </c>
    </row>
    <row r="571" spans="1:21">
      <c r="A571" t="s">
        <v>587</v>
      </c>
      <c r="B571" s="5">
        <v>45633</v>
      </c>
      <c r="C571" t="s">
        <v>3521</v>
      </c>
      <c r="D571" t="s">
        <v>4614</v>
      </c>
      <c r="E571" t="s">
        <v>4866</v>
      </c>
      <c r="F571">
        <v>49</v>
      </c>
      <c r="G571" t="s">
        <v>4876</v>
      </c>
      <c r="H571" t="s">
        <v>4888</v>
      </c>
      <c r="I571" t="s">
        <v>4896</v>
      </c>
      <c r="J571" t="s">
        <v>4906</v>
      </c>
      <c r="K571" t="s">
        <v>4927</v>
      </c>
      <c r="L571" t="s">
        <v>4936</v>
      </c>
      <c r="M571" t="s">
        <v>4945</v>
      </c>
      <c r="N571" s="11">
        <v>9363.75</v>
      </c>
      <c r="O571" t="s">
        <v>4946</v>
      </c>
      <c r="P571" t="s">
        <v>4951</v>
      </c>
      <c r="Q571">
        <v>9</v>
      </c>
      <c r="R571">
        <v>90</v>
      </c>
      <c r="S571" t="str">
        <f t="shared" si="24"/>
        <v>Middle-Aged</v>
      </c>
      <c r="T571" t="str">
        <f t="shared" si="25"/>
        <v>Medium</v>
      </c>
      <c r="U571" t="str">
        <f t="shared" si="26"/>
        <v>Long Days</v>
      </c>
    </row>
    <row r="572" spans="1:21">
      <c r="A572" t="s">
        <v>588</v>
      </c>
      <c r="B572" s="5">
        <v>45412</v>
      </c>
      <c r="C572" t="s">
        <v>3518</v>
      </c>
      <c r="D572" t="s">
        <v>4587</v>
      </c>
      <c r="E572" t="s">
        <v>4866</v>
      </c>
      <c r="F572">
        <v>51</v>
      </c>
      <c r="G572" t="s">
        <v>4883</v>
      </c>
      <c r="H572" t="s">
        <v>4892</v>
      </c>
      <c r="I572" t="s">
        <v>4896</v>
      </c>
      <c r="J572" t="s">
        <v>4908</v>
      </c>
      <c r="K572" t="s">
        <v>4932</v>
      </c>
      <c r="L572" t="s">
        <v>4938</v>
      </c>
      <c r="M572" t="s">
        <v>4942</v>
      </c>
      <c r="N572" s="11">
        <v>1113.0999999999999</v>
      </c>
      <c r="O572" t="s">
        <v>4947</v>
      </c>
      <c r="P572" t="s">
        <v>4951</v>
      </c>
      <c r="R572">
        <v>30</v>
      </c>
      <c r="S572" t="str">
        <f t="shared" si="24"/>
        <v>Middle-Aged</v>
      </c>
      <c r="T572" t="str">
        <f t="shared" si="25"/>
        <v>Low</v>
      </c>
      <c r="U572" t="str">
        <f t="shared" si="26"/>
        <v>Short Days</v>
      </c>
    </row>
    <row r="573" spans="1:21">
      <c r="A573" t="s">
        <v>589</v>
      </c>
      <c r="B573" s="5">
        <v>45381</v>
      </c>
      <c r="C573" t="s">
        <v>3522</v>
      </c>
      <c r="D573" t="s">
        <v>4713</v>
      </c>
      <c r="E573" t="s">
        <v>4867</v>
      </c>
      <c r="F573">
        <v>40</v>
      </c>
      <c r="G573" t="s">
        <v>4871</v>
      </c>
      <c r="H573" t="s">
        <v>4886</v>
      </c>
      <c r="I573" t="s">
        <v>4898</v>
      </c>
      <c r="J573" t="s">
        <v>4918</v>
      </c>
      <c r="K573" t="s">
        <v>4933</v>
      </c>
      <c r="L573" t="s">
        <v>4940</v>
      </c>
      <c r="M573" t="s">
        <v>4945</v>
      </c>
      <c r="N573" s="11">
        <v>9079.9500000000007</v>
      </c>
      <c r="O573" t="s">
        <v>4950</v>
      </c>
      <c r="P573" t="s">
        <v>4951</v>
      </c>
      <c r="Q573">
        <v>9</v>
      </c>
      <c r="R573">
        <v>90</v>
      </c>
      <c r="S573" t="str">
        <f t="shared" si="24"/>
        <v>Adult</v>
      </c>
      <c r="T573" t="str">
        <f t="shared" si="25"/>
        <v>Medium</v>
      </c>
      <c r="U573" t="str">
        <f t="shared" si="26"/>
        <v>Long Days</v>
      </c>
    </row>
    <row r="574" spans="1:21">
      <c r="A574" t="s">
        <v>590</v>
      </c>
      <c r="B574" s="5">
        <v>45345</v>
      </c>
      <c r="C574" t="s">
        <v>3523</v>
      </c>
      <c r="D574" t="s">
        <v>4687</v>
      </c>
      <c r="E574" t="s">
        <v>4867</v>
      </c>
      <c r="F574">
        <v>75</v>
      </c>
      <c r="G574" t="s">
        <v>4877</v>
      </c>
      <c r="H574" t="s">
        <v>4888</v>
      </c>
      <c r="I574" t="s">
        <v>4895</v>
      </c>
      <c r="J574" t="s">
        <v>4905</v>
      </c>
      <c r="K574" t="s">
        <v>4928</v>
      </c>
      <c r="L574" t="s">
        <v>4935</v>
      </c>
      <c r="M574" t="s">
        <v>4942</v>
      </c>
      <c r="N574" s="11">
        <v>3343.3</v>
      </c>
      <c r="O574" t="s">
        <v>4947</v>
      </c>
      <c r="P574" t="s">
        <v>4951</v>
      </c>
      <c r="R574">
        <v>7</v>
      </c>
      <c r="S574" t="str">
        <f t="shared" si="24"/>
        <v>Senior</v>
      </c>
      <c r="T574" t="str">
        <f t="shared" si="25"/>
        <v>Low</v>
      </c>
      <c r="U574" t="str">
        <f t="shared" si="26"/>
        <v>Short Days</v>
      </c>
    </row>
    <row r="575" spans="1:21">
      <c r="A575" t="s">
        <v>591</v>
      </c>
      <c r="B575" s="5">
        <v>45353</v>
      </c>
      <c r="C575" t="s">
        <v>3524</v>
      </c>
      <c r="D575" t="s">
        <v>4730</v>
      </c>
      <c r="E575" t="s">
        <v>4866</v>
      </c>
      <c r="F575">
        <v>10</v>
      </c>
      <c r="G575" t="s">
        <v>4882</v>
      </c>
      <c r="H575" t="s">
        <v>4891</v>
      </c>
      <c r="I575" t="s">
        <v>4898</v>
      </c>
      <c r="J575" t="s">
        <v>4923</v>
      </c>
      <c r="K575" t="s">
        <v>4929</v>
      </c>
      <c r="L575" t="s">
        <v>4938</v>
      </c>
      <c r="M575" t="s">
        <v>4945</v>
      </c>
      <c r="N575" s="11">
        <v>11997.64</v>
      </c>
      <c r="O575" t="s">
        <v>4947</v>
      </c>
      <c r="P575" t="s">
        <v>4951</v>
      </c>
      <c r="Q575">
        <v>6</v>
      </c>
      <c r="S575" t="str">
        <f t="shared" si="24"/>
        <v>Child</v>
      </c>
      <c r="T575" t="str">
        <f t="shared" si="25"/>
        <v>High</v>
      </c>
      <c r="U575" t="str">
        <f t="shared" si="26"/>
        <v>Long Days</v>
      </c>
    </row>
    <row r="576" spans="1:21">
      <c r="A576" t="s">
        <v>592</v>
      </c>
      <c r="B576" s="5">
        <v>45946</v>
      </c>
      <c r="C576" t="s">
        <v>3525</v>
      </c>
      <c r="D576" t="s">
        <v>4702</v>
      </c>
      <c r="E576" t="s">
        <v>4866</v>
      </c>
      <c r="F576">
        <v>48</v>
      </c>
      <c r="G576" t="s">
        <v>4882</v>
      </c>
      <c r="H576" t="s">
        <v>4891</v>
      </c>
      <c r="I576" t="s">
        <v>4893</v>
      </c>
      <c r="J576" t="s">
        <v>4917</v>
      </c>
      <c r="K576" t="s">
        <v>4931</v>
      </c>
      <c r="L576" t="s">
        <v>4938</v>
      </c>
      <c r="M576" t="s">
        <v>4942</v>
      </c>
      <c r="N576" s="11">
        <v>1282.31</v>
      </c>
      <c r="O576" t="s">
        <v>4946</v>
      </c>
      <c r="P576" t="s">
        <v>4951</v>
      </c>
      <c r="R576">
        <v>7</v>
      </c>
      <c r="S576" t="str">
        <f t="shared" si="24"/>
        <v>Middle-Aged</v>
      </c>
      <c r="T576" t="str">
        <f t="shared" si="25"/>
        <v>Low</v>
      </c>
      <c r="U576" t="str">
        <f t="shared" si="26"/>
        <v>Short Days</v>
      </c>
    </row>
    <row r="577" spans="1:21">
      <c r="A577" t="s">
        <v>593</v>
      </c>
      <c r="B577" s="5">
        <v>45960</v>
      </c>
      <c r="C577" t="s">
        <v>3526</v>
      </c>
      <c r="D577" t="s">
        <v>4712</v>
      </c>
      <c r="E577" t="s">
        <v>4866</v>
      </c>
      <c r="F577">
        <v>0</v>
      </c>
      <c r="G577" t="s">
        <v>4869</v>
      </c>
      <c r="H577" t="s">
        <v>4884</v>
      </c>
      <c r="I577" t="s">
        <v>4894</v>
      </c>
      <c r="J577" t="s">
        <v>4904</v>
      </c>
      <c r="K577" t="s">
        <v>4924</v>
      </c>
      <c r="L577" t="s">
        <v>4935</v>
      </c>
      <c r="M577" t="s">
        <v>4942</v>
      </c>
      <c r="N577" s="11">
        <v>1089.6400000000001</v>
      </c>
      <c r="O577" t="s">
        <v>4948</v>
      </c>
      <c r="P577" t="s">
        <v>4951</v>
      </c>
      <c r="S577" t="str">
        <f t="shared" si="24"/>
        <v>Child</v>
      </c>
      <c r="T577" t="str">
        <f t="shared" si="25"/>
        <v>Low</v>
      </c>
      <c r="U577" t="str">
        <f t="shared" si="26"/>
        <v>Short Days</v>
      </c>
    </row>
    <row r="578" spans="1:21">
      <c r="A578" t="s">
        <v>594</v>
      </c>
      <c r="B578" s="5">
        <v>45739</v>
      </c>
      <c r="C578" t="s">
        <v>3527</v>
      </c>
      <c r="D578" t="s">
        <v>4760</v>
      </c>
      <c r="E578" t="s">
        <v>4866</v>
      </c>
      <c r="F578">
        <v>36</v>
      </c>
      <c r="G578" t="s">
        <v>4875</v>
      </c>
      <c r="H578" t="s">
        <v>4889</v>
      </c>
      <c r="I578" t="s">
        <v>4895</v>
      </c>
      <c r="J578" t="s">
        <v>4915</v>
      </c>
      <c r="K578" t="s">
        <v>4931</v>
      </c>
      <c r="L578" t="s">
        <v>4938</v>
      </c>
      <c r="M578" t="s">
        <v>4942</v>
      </c>
      <c r="N578" s="11">
        <v>19312.25</v>
      </c>
      <c r="O578" t="s">
        <v>15</v>
      </c>
      <c r="P578" t="s">
        <v>4952</v>
      </c>
      <c r="R578">
        <v>90</v>
      </c>
      <c r="S578" t="str">
        <f t="shared" si="24"/>
        <v>Adult</v>
      </c>
      <c r="T578" t="str">
        <f t="shared" si="25"/>
        <v>High</v>
      </c>
      <c r="U578" t="str">
        <f t="shared" si="26"/>
        <v>Short Days</v>
      </c>
    </row>
    <row r="579" spans="1:21">
      <c r="A579" t="s">
        <v>595</v>
      </c>
      <c r="B579" s="5">
        <v>45501</v>
      </c>
      <c r="C579" t="s">
        <v>3528</v>
      </c>
      <c r="D579" t="s">
        <v>4828</v>
      </c>
      <c r="E579" t="s">
        <v>4868</v>
      </c>
      <c r="F579">
        <v>38</v>
      </c>
      <c r="G579" t="s">
        <v>4879</v>
      </c>
      <c r="H579" t="s">
        <v>4888</v>
      </c>
      <c r="I579" t="s">
        <v>4900</v>
      </c>
      <c r="J579" t="s">
        <v>4913</v>
      </c>
      <c r="K579" t="s">
        <v>4931</v>
      </c>
      <c r="L579" t="s">
        <v>4941</v>
      </c>
      <c r="M579" t="s">
        <v>4942</v>
      </c>
      <c r="N579" s="11">
        <v>6304.77</v>
      </c>
      <c r="O579" t="s">
        <v>4947</v>
      </c>
      <c r="P579" t="s">
        <v>4951</v>
      </c>
      <c r="R579">
        <v>90</v>
      </c>
      <c r="S579" t="str">
        <f t="shared" ref="S579:S642" si="27">IF(F579&lt;18,"Child",IF(F579&lt;=40,"Adult",IF(F579&lt;=60,"Middle-Aged",IF(F579,"Senior"))))</f>
        <v>Adult</v>
      </c>
      <c r="T579" t="str">
        <f t="shared" ref="T579:T642" si="28">IF(N579&lt;=5000,"Low",IF(N579&lt;=10000,"Medium","High"))</f>
        <v>Medium</v>
      </c>
      <c r="U579" t="str">
        <f t="shared" ref="U579:U642" si="29">IF(Q579&lt;=5,"Short Days","Long Days")</f>
        <v>Short Days</v>
      </c>
    </row>
    <row r="580" spans="1:21">
      <c r="A580" t="s">
        <v>596</v>
      </c>
      <c r="B580" s="5">
        <v>45581</v>
      </c>
      <c r="C580" t="s">
        <v>3529</v>
      </c>
      <c r="D580" t="s">
        <v>4680</v>
      </c>
      <c r="E580" t="s">
        <v>4866</v>
      </c>
      <c r="F580">
        <v>35</v>
      </c>
      <c r="G580" t="s">
        <v>4869</v>
      </c>
      <c r="H580" t="s">
        <v>4884</v>
      </c>
      <c r="I580" t="s">
        <v>4896</v>
      </c>
      <c r="J580" t="s">
        <v>4908</v>
      </c>
      <c r="K580" t="s">
        <v>4930</v>
      </c>
      <c r="L580" t="s">
        <v>4939</v>
      </c>
      <c r="M580" t="s">
        <v>4942</v>
      </c>
      <c r="N580" s="11">
        <v>10357.43</v>
      </c>
      <c r="O580" t="s">
        <v>4946</v>
      </c>
      <c r="P580" t="s">
        <v>4951</v>
      </c>
      <c r="S580" t="str">
        <f t="shared" si="27"/>
        <v>Adult</v>
      </c>
      <c r="T580" t="str">
        <f t="shared" si="28"/>
        <v>High</v>
      </c>
      <c r="U580" t="str">
        <f t="shared" si="29"/>
        <v>Short Days</v>
      </c>
    </row>
    <row r="581" spans="1:21">
      <c r="A581" t="s">
        <v>597</v>
      </c>
      <c r="B581" s="5">
        <v>45788</v>
      </c>
      <c r="C581" t="s">
        <v>3530</v>
      </c>
      <c r="D581" t="s">
        <v>4768</v>
      </c>
      <c r="E581" t="s">
        <v>4867</v>
      </c>
      <c r="F581">
        <v>83</v>
      </c>
      <c r="G581" t="s">
        <v>4876</v>
      </c>
      <c r="H581" t="s">
        <v>4888</v>
      </c>
      <c r="I581" t="s">
        <v>4901</v>
      </c>
      <c r="J581" t="s">
        <v>4921</v>
      </c>
      <c r="K581" t="s">
        <v>4928</v>
      </c>
      <c r="L581" t="s">
        <v>4936</v>
      </c>
      <c r="M581" t="s">
        <v>4942</v>
      </c>
      <c r="N581" s="11">
        <v>1575.9</v>
      </c>
      <c r="O581" t="s">
        <v>4946</v>
      </c>
      <c r="P581" t="s">
        <v>4951</v>
      </c>
      <c r="S581" t="str">
        <f t="shared" si="27"/>
        <v>Senior</v>
      </c>
      <c r="T581" t="str">
        <f t="shared" si="28"/>
        <v>Low</v>
      </c>
      <c r="U581" t="str">
        <f t="shared" si="29"/>
        <v>Short Days</v>
      </c>
    </row>
    <row r="582" spans="1:21">
      <c r="A582" t="s">
        <v>598</v>
      </c>
      <c r="B582" s="5">
        <v>45773</v>
      </c>
      <c r="C582" t="s">
        <v>3372</v>
      </c>
      <c r="D582" t="s">
        <v>4829</v>
      </c>
      <c r="E582" t="s">
        <v>4866</v>
      </c>
      <c r="F582">
        <v>49</v>
      </c>
      <c r="G582" t="s">
        <v>4871</v>
      </c>
      <c r="H582" t="s">
        <v>4886</v>
      </c>
      <c r="I582" t="s">
        <v>4893</v>
      </c>
      <c r="J582" t="s">
        <v>4903</v>
      </c>
      <c r="K582" t="s">
        <v>4932</v>
      </c>
      <c r="L582" t="s">
        <v>4941</v>
      </c>
      <c r="M582" t="s">
        <v>4942</v>
      </c>
      <c r="N582" s="11">
        <v>4035.05</v>
      </c>
      <c r="O582" t="s">
        <v>4947</v>
      </c>
      <c r="P582" t="s">
        <v>4951</v>
      </c>
      <c r="R582">
        <v>90</v>
      </c>
      <c r="S582" t="str">
        <f t="shared" si="27"/>
        <v>Middle-Aged</v>
      </c>
      <c r="T582" t="str">
        <f t="shared" si="28"/>
        <v>Low</v>
      </c>
      <c r="U582" t="str">
        <f t="shared" si="29"/>
        <v>Short Days</v>
      </c>
    </row>
    <row r="583" spans="1:21">
      <c r="A583" t="s">
        <v>599</v>
      </c>
      <c r="B583" s="5">
        <v>45812</v>
      </c>
      <c r="C583" t="s">
        <v>3531</v>
      </c>
      <c r="D583" t="s">
        <v>4680</v>
      </c>
      <c r="E583" t="s">
        <v>4866</v>
      </c>
      <c r="F583">
        <v>36</v>
      </c>
      <c r="G583" t="s">
        <v>4873</v>
      </c>
      <c r="H583" t="s">
        <v>4888</v>
      </c>
      <c r="I583" t="s">
        <v>4896</v>
      </c>
      <c r="J583" t="s">
        <v>4906</v>
      </c>
      <c r="K583" t="s">
        <v>4930</v>
      </c>
      <c r="L583" t="s">
        <v>4941</v>
      </c>
      <c r="M583" t="s">
        <v>4942</v>
      </c>
      <c r="N583" s="11">
        <v>1065.6400000000001</v>
      </c>
      <c r="O583" t="s">
        <v>4946</v>
      </c>
      <c r="P583" t="s">
        <v>4951</v>
      </c>
      <c r="R583">
        <v>90</v>
      </c>
      <c r="S583" t="str">
        <f t="shared" si="27"/>
        <v>Adult</v>
      </c>
      <c r="T583" t="str">
        <f t="shared" si="28"/>
        <v>Low</v>
      </c>
      <c r="U583" t="str">
        <f t="shared" si="29"/>
        <v>Short Days</v>
      </c>
    </row>
    <row r="584" spans="1:21">
      <c r="A584" t="s">
        <v>600</v>
      </c>
      <c r="B584" s="5">
        <v>45891</v>
      </c>
      <c r="C584" t="s">
        <v>3532</v>
      </c>
      <c r="D584" t="s">
        <v>4752</v>
      </c>
      <c r="E584" t="s">
        <v>4867</v>
      </c>
      <c r="F584">
        <v>46</v>
      </c>
      <c r="G584" t="s">
        <v>4883</v>
      </c>
      <c r="H584" t="s">
        <v>4892</v>
      </c>
      <c r="I584" t="s">
        <v>4896</v>
      </c>
      <c r="J584" t="s">
        <v>4906</v>
      </c>
      <c r="K584" t="s">
        <v>4925</v>
      </c>
      <c r="L584" t="s">
        <v>4939</v>
      </c>
      <c r="M584" t="s">
        <v>4944</v>
      </c>
      <c r="N584" s="11">
        <v>9502.99</v>
      </c>
      <c r="O584" t="s">
        <v>4947</v>
      </c>
      <c r="P584" t="s">
        <v>4951</v>
      </c>
      <c r="R584">
        <v>14</v>
      </c>
      <c r="S584" t="str">
        <f t="shared" si="27"/>
        <v>Middle-Aged</v>
      </c>
      <c r="T584" t="str">
        <f t="shared" si="28"/>
        <v>Medium</v>
      </c>
      <c r="U584" t="str">
        <f t="shared" si="29"/>
        <v>Short Days</v>
      </c>
    </row>
    <row r="585" spans="1:21">
      <c r="A585" t="s">
        <v>601</v>
      </c>
      <c r="B585" s="5">
        <v>45424</v>
      </c>
      <c r="C585" t="s">
        <v>3533</v>
      </c>
      <c r="D585" t="s">
        <v>4738</v>
      </c>
      <c r="E585" t="s">
        <v>4866</v>
      </c>
      <c r="F585">
        <v>80</v>
      </c>
      <c r="G585" t="s">
        <v>4872</v>
      </c>
      <c r="H585" t="s">
        <v>4887</v>
      </c>
      <c r="I585" t="s">
        <v>4898</v>
      </c>
      <c r="J585" t="s">
        <v>4923</v>
      </c>
      <c r="K585" t="s">
        <v>4927</v>
      </c>
      <c r="L585" t="s">
        <v>4934</v>
      </c>
      <c r="M585" t="s">
        <v>4945</v>
      </c>
      <c r="N585" s="11">
        <v>6918.28</v>
      </c>
      <c r="O585" t="s">
        <v>15</v>
      </c>
      <c r="P585" t="s">
        <v>4952</v>
      </c>
      <c r="Q585">
        <v>5</v>
      </c>
      <c r="S585" t="str">
        <f t="shared" si="27"/>
        <v>Senior</v>
      </c>
      <c r="T585" t="str">
        <f t="shared" si="28"/>
        <v>Medium</v>
      </c>
      <c r="U585" t="str">
        <f t="shared" si="29"/>
        <v>Short Days</v>
      </c>
    </row>
    <row r="586" spans="1:21">
      <c r="A586" t="s">
        <v>602</v>
      </c>
      <c r="B586" s="5">
        <v>45697</v>
      </c>
      <c r="C586" t="s">
        <v>3534</v>
      </c>
      <c r="D586" t="s">
        <v>4804</v>
      </c>
      <c r="E586" t="s">
        <v>4866</v>
      </c>
      <c r="F586">
        <v>20</v>
      </c>
      <c r="G586" t="s">
        <v>4875</v>
      </c>
      <c r="H586" t="s">
        <v>4889</v>
      </c>
      <c r="I586" t="s">
        <v>4899</v>
      </c>
      <c r="J586" t="s">
        <v>4911</v>
      </c>
      <c r="K586" t="s">
        <v>4932</v>
      </c>
      <c r="L586" t="s">
        <v>4940</v>
      </c>
      <c r="M586" t="s">
        <v>4942</v>
      </c>
      <c r="N586" s="11">
        <v>5610.41</v>
      </c>
      <c r="O586" t="s">
        <v>4946</v>
      </c>
      <c r="P586" t="s">
        <v>4951</v>
      </c>
      <c r="S586" t="str">
        <f t="shared" si="27"/>
        <v>Adult</v>
      </c>
      <c r="T586" t="str">
        <f t="shared" si="28"/>
        <v>Medium</v>
      </c>
      <c r="U586" t="str">
        <f t="shared" si="29"/>
        <v>Short Days</v>
      </c>
    </row>
    <row r="587" spans="1:21">
      <c r="A587" t="s">
        <v>603</v>
      </c>
      <c r="B587" s="5">
        <v>45836</v>
      </c>
      <c r="C587" t="s">
        <v>3535</v>
      </c>
      <c r="D587" t="s">
        <v>4631</v>
      </c>
      <c r="E587" t="s">
        <v>4866</v>
      </c>
      <c r="F587">
        <v>13</v>
      </c>
      <c r="G587" t="s">
        <v>4876</v>
      </c>
      <c r="H587" t="s">
        <v>4888</v>
      </c>
      <c r="I587" t="s">
        <v>4893</v>
      </c>
      <c r="J587" t="s">
        <v>4903</v>
      </c>
      <c r="K587" t="s">
        <v>4926</v>
      </c>
      <c r="L587" t="s">
        <v>4937</v>
      </c>
      <c r="M587" t="s">
        <v>4942</v>
      </c>
      <c r="N587" s="11">
        <v>3627.6</v>
      </c>
      <c r="O587" t="s">
        <v>4946</v>
      </c>
      <c r="P587" t="s">
        <v>4951</v>
      </c>
      <c r="R587">
        <v>90</v>
      </c>
      <c r="S587" t="str">
        <f t="shared" si="27"/>
        <v>Child</v>
      </c>
      <c r="T587" t="str">
        <f t="shared" si="28"/>
        <v>Low</v>
      </c>
      <c r="U587" t="str">
        <f t="shared" si="29"/>
        <v>Short Days</v>
      </c>
    </row>
    <row r="588" spans="1:21">
      <c r="A588" t="s">
        <v>604</v>
      </c>
      <c r="B588" s="5">
        <v>45514</v>
      </c>
      <c r="C588" t="s">
        <v>3536</v>
      </c>
      <c r="D588" t="s">
        <v>4779</v>
      </c>
      <c r="E588" t="s">
        <v>4867</v>
      </c>
      <c r="F588">
        <v>38</v>
      </c>
      <c r="G588" t="s">
        <v>4877</v>
      </c>
      <c r="H588" t="s">
        <v>4888</v>
      </c>
      <c r="I588" t="s">
        <v>4899</v>
      </c>
      <c r="J588" t="s">
        <v>4912</v>
      </c>
      <c r="K588" t="s">
        <v>4929</v>
      </c>
      <c r="L588" t="s">
        <v>4941</v>
      </c>
      <c r="M588" t="s">
        <v>4944</v>
      </c>
      <c r="N588" s="11">
        <v>9167.06</v>
      </c>
      <c r="O588" t="s">
        <v>15</v>
      </c>
      <c r="P588" t="s">
        <v>4952</v>
      </c>
      <c r="R588">
        <v>30</v>
      </c>
      <c r="S588" t="str">
        <f t="shared" si="27"/>
        <v>Adult</v>
      </c>
      <c r="T588" t="str">
        <f t="shared" si="28"/>
        <v>Medium</v>
      </c>
      <c r="U588" t="str">
        <f t="shared" si="29"/>
        <v>Short Days</v>
      </c>
    </row>
    <row r="589" spans="1:21">
      <c r="A589" t="s">
        <v>605</v>
      </c>
      <c r="B589" s="5">
        <v>45809</v>
      </c>
      <c r="C589" t="s">
        <v>3124</v>
      </c>
      <c r="D589" t="s">
        <v>4701</v>
      </c>
      <c r="E589" t="s">
        <v>4866</v>
      </c>
      <c r="F589">
        <v>39</v>
      </c>
      <c r="G589" t="s">
        <v>4877</v>
      </c>
      <c r="H589" t="s">
        <v>4888</v>
      </c>
      <c r="I589" t="s">
        <v>4902</v>
      </c>
      <c r="J589" t="s">
        <v>4916</v>
      </c>
      <c r="K589" t="s">
        <v>4928</v>
      </c>
      <c r="L589" t="s">
        <v>4937</v>
      </c>
      <c r="M589" t="s">
        <v>4942</v>
      </c>
      <c r="N589" s="11">
        <v>15918.92</v>
      </c>
      <c r="O589" t="s">
        <v>4949</v>
      </c>
      <c r="P589" t="s">
        <v>4951</v>
      </c>
      <c r="R589">
        <v>7</v>
      </c>
      <c r="S589" t="str">
        <f t="shared" si="27"/>
        <v>Adult</v>
      </c>
      <c r="T589" t="str">
        <f t="shared" si="28"/>
        <v>High</v>
      </c>
      <c r="U589" t="str">
        <f t="shared" si="29"/>
        <v>Short Days</v>
      </c>
    </row>
    <row r="590" spans="1:21">
      <c r="A590" t="s">
        <v>606</v>
      </c>
      <c r="B590" s="5">
        <v>45658</v>
      </c>
      <c r="C590" t="s">
        <v>3537</v>
      </c>
      <c r="D590" t="s">
        <v>4830</v>
      </c>
      <c r="E590" t="s">
        <v>4866</v>
      </c>
      <c r="F590">
        <v>32</v>
      </c>
      <c r="G590" t="s">
        <v>4871</v>
      </c>
      <c r="H590" t="s">
        <v>4886</v>
      </c>
      <c r="I590" t="s">
        <v>4895</v>
      </c>
      <c r="J590" t="s">
        <v>4915</v>
      </c>
      <c r="K590" t="s">
        <v>4931</v>
      </c>
      <c r="L590" t="s">
        <v>4935</v>
      </c>
      <c r="M590" t="s">
        <v>4944</v>
      </c>
      <c r="N590" s="11">
        <v>6415.75</v>
      </c>
      <c r="O590" t="s">
        <v>4946</v>
      </c>
      <c r="P590" t="s">
        <v>4951</v>
      </c>
      <c r="R590">
        <v>14</v>
      </c>
      <c r="S590" t="str">
        <f t="shared" si="27"/>
        <v>Adult</v>
      </c>
      <c r="T590" t="str">
        <f t="shared" si="28"/>
        <v>Medium</v>
      </c>
      <c r="U590" t="str">
        <f t="shared" si="29"/>
        <v>Short Days</v>
      </c>
    </row>
    <row r="591" spans="1:21">
      <c r="A591" t="s">
        <v>607</v>
      </c>
      <c r="B591" s="5">
        <v>45359</v>
      </c>
      <c r="C591" t="s">
        <v>3538</v>
      </c>
      <c r="D591" t="s">
        <v>4645</v>
      </c>
      <c r="E591" t="s">
        <v>4866</v>
      </c>
      <c r="F591">
        <v>48</v>
      </c>
      <c r="G591" t="s">
        <v>4870</v>
      </c>
      <c r="H591" t="s">
        <v>4885</v>
      </c>
      <c r="I591" t="s">
        <v>4899</v>
      </c>
      <c r="J591" t="s">
        <v>4912</v>
      </c>
      <c r="K591" t="s">
        <v>4925</v>
      </c>
      <c r="L591" t="s">
        <v>4938</v>
      </c>
      <c r="M591" t="s">
        <v>4942</v>
      </c>
      <c r="N591" s="11">
        <v>4479</v>
      </c>
      <c r="O591" t="s">
        <v>4950</v>
      </c>
      <c r="P591" t="s">
        <v>4951</v>
      </c>
      <c r="R591">
        <v>7</v>
      </c>
      <c r="S591" t="str">
        <f t="shared" si="27"/>
        <v>Middle-Aged</v>
      </c>
      <c r="T591" t="str">
        <f t="shared" si="28"/>
        <v>Low</v>
      </c>
      <c r="U591" t="str">
        <f t="shared" si="29"/>
        <v>Short Days</v>
      </c>
    </row>
    <row r="592" spans="1:21">
      <c r="A592" t="s">
        <v>608</v>
      </c>
      <c r="B592" s="5">
        <v>45752</v>
      </c>
      <c r="C592" t="s">
        <v>3271</v>
      </c>
      <c r="D592" t="s">
        <v>4816</v>
      </c>
      <c r="E592" t="s">
        <v>4867</v>
      </c>
      <c r="F592">
        <v>38</v>
      </c>
      <c r="G592" t="s">
        <v>4870</v>
      </c>
      <c r="H592" t="s">
        <v>4885</v>
      </c>
      <c r="I592" t="s">
        <v>4900</v>
      </c>
      <c r="J592" t="s">
        <v>4913</v>
      </c>
      <c r="K592" t="s">
        <v>4926</v>
      </c>
      <c r="L592" t="s">
        <v>4936</v>
      </c>
      <c r="M592" t="s">
        <v>4944</v>
      </c>
      <c r="N592" s="11">
        <v>19698.61</v>
      </c>
      <c r="O592" t="s">
        <v>4948</v>
      </c>
      <c r="P592" t="s">
        <v>4951</v>
      </c>
      <c r="R592">
        <v>14</v>
      </c>
      <c r="S592" t="str">
        <f t="shared" si="27"/>
        <v>Adult</v>
      </c>
      <c r="T592" t="str">
        <f t="shared" si="28"/>
        <v>High</v>
      </c>
      <c r="U592" t="str">
        <f t="shared" si="29"/>
        <v>Short Days</v>
      </c>
    </row>
    <row r="593" spans="1:21">
      <c r="A593" t="s">
        <v>609</v>
      </c>
      <c r="B593" s="5">
        <v>45672</v>
      </c>
      <c r="C593" t="s">
        <v>3231</v>
      </c>
      <c r="D593" t="s">
        <v>4614</v>
      </c>
      <c r="E593" t="s">
        <v>4866</v>
      </c>
      <c r="F593">
        <v>24</v>
      </c>
      <c r="G593" t="s">
        <v>4869</v>
      </c>
      <c r="H593" t="s">
        <v>4884</v>
      </c>
      <c r="I593" t="s">
        <v>4901</v>
      </c>
      <c r="J593" t="s">
        <v>4921</v>
      </c>
      <c r="K593" t="s">
        <v>4929</v>
      </c>
      <c r="L593" t="s">
        <v>4936</v>
      </c>
      <c r="M593" t="s">
        <v>4944</v>
      </c>
      <c r="N593" s="11">
        <v>11354.21</v>
      </c>
      <c r="O593" t="s">
        <v>15</v>
      </c>
      <c r="P593" t="s">
        <v>4952</v>
      </c>
      <c r="S593" t="str">
        <f t="shared" si="27"/>
        <v>Adult</v>
      </c>
      <c r="T593" t="str">
        <f t="shared" si="28"/>
        <v>High</v>
      </c>
      <c r="U593" t="str">
        <f t="shared" si="29"/>
        <v>Short Days</v>
      </c>
    </row>
    <row r="594" spans="1:21">
      <c r="A594" t="s">
        <v>610</v>
      </c>
      <c r="B594" s="5">
        <v>45619</v>
      </c>
      <c r="C594" t="s">
        <v>3539</v>
      </c>
      <c r="D594" t="s">
        <v>4692</v>
      </c>
      <c r="E594" t="s">
        <v>4866</v>
      </c>
      <c r="F594">
        <v>37</v>
      </c>
      <c r="G594" t="s">
        <v>4869</v>
      </c>
      <c r="H594" t="s">
        <v>4884</v>
      </c>
      <c r="I594" t="s">
        <v>4900</v>
      </c>
      <c r="J594" t="s">
        <v>4919</v>
      </c>
      <c r="K594" t="s">
        <v>4924</v>
      </c>
      <c r="L594" t="s">
        <v>4936</v>
      </c>
      <c r="M594" t="s">
        <v>4945</v>
      </c>
      <c r="N594" s="11">
        <v>14345.98</v>
      </c>
      <c r="O594" t="s">
        <v>4947</v>
      </c>
      <c r="P594" t="s">
        <v>4951</v>
      </c>
      <c r="Q594">
        <v>6</v>
      </c>
      <c r="R594">
        <v>90</v>
      </c>
      <c r="S594" t="str">
        <f t="shared" si="27"/>
        <v>Adult</v>
      </c>
      <c r="T594" t="str">
        <f t="shared" si="28"/>
        <v>High</v>
      </c>
      <c r="U594" t="str">
        <f t="shared" si="29"/>
        <v>Long Days</v>
      </c>
    </row>
    <row r="595" spans="1:21">
      <c r="A595" t="s">
        <v>611</v>
      </c>
      <c r="B595" s="5">
        <v>45687</v>
      </c>
      <c r="C595" t="s">
        <v>3540</v>
      </c>
      <c r="D595" t="s">
        <v>4682</v>
      </c>
      <c r="E595" t="s">
        <v>4867</v>
      </c>
      <c r="F595">
        <v>38</v>
      </c>
      <c r="G595" t="s">
        <v>4872</v>
      </c>
      <c r="H595" t="s">
        <v>4887</v>
      </c>
      <c r="I595" t="s">
        <v>4902</v>
      </c>
      <c r="J595" t="s">
        <v>4920</v>
      </c>
      <c r="K595" t="s">
        <v>4924</v>
      </c>
      <c r="L595" t="s">
        <v>4941</v>
      </c>
      <c r="M595" t="s">
        <v>4942</v>
      </c>
      <c r="N595" s="11">
        <v>22420.22</v>
      </c>
      <c r="O595" t="s">
        <v>4947</v>
      </c>
      <c r="P595" t="s">
        <v>4951</v>
      </c>
      <c r="R595">
        <v>7</v>
      </c>
      <c r="S595" t="str">
        <f t="shared" si="27"/>
        <v>Adult</v>
      </c>
      <c r="T595" t="str">
        <f t="shared" si="28"/>
        <v>High</v>
      </c>
      <c r="U595" t="str">
        <f t="shared" si="29"/>
        <v>Short Days</v>
      </c>
    </row>
    <row r="596" spans="1:21">
      <c r="A596" t="s">
        <v>612</v>
      </c>
      <c r="B596" s="5">
        <v>45963</v>
      </c>
      <c r="C596" t="s">
        <v>3377</v>
      </c>
      <c r="D596" t="s">
        <v>4737</v>
      </c>
      <c r="E596" t="s">
        <v>4866</v>
      </c>
      <c r="F596">
        <v>69</v>
      </c>
      <c r="G596" t="s">
        <v>4869</v>
      </c>
      <c r="H596" t="s">
        <v>4884</v>
      </c>
      <c r="I596" t="s">
        <v>4897</v>
      </c>
      <c r="J596" t="s">
        <v>4922</v>
      </c>
      <c r="K596" t="s">
        <v>4926</v>
      </c>
      <c r="L596" t="s">
        <v>4938</v>
      </c>
      <c r="M596" t="s">
        <v>4942</v>
      </c>
      <c r="N596" s="11">
        <v>1755.19</v>
      </c>
      <c r="O596" t="s">
        <v>4949</v>
      </c>
      <c r="P596" t="s">
        <v>4951</v>
      </c>
      <c r="R596">
        <v>30</v>
      </c>
      <c r="S596" t="str">
        <f t="shared" si="27"/>
        <v>Senior</v>
      </c>
      <c r="T596" t="str">
        <f t="shared" si="28"/>
        <v>Low</v>
      </c>
      <c r="U596" t="str">
        <f t="shared" si="29"/>
        <v>Short Days</v>
      </c>
    </row>
    <row r="597" spans="1:21">
      <c r="A597" t="s">
        <v>613</v>
      </c>
      <c r="B597" s="5">
        <v>45517</v>
      </c>
      <c r="C597" t="s">
        <v>3147</v>
      </c>
      <c r="D597" t="s">
        <v>4788</v>
      </c>
      <c r="E597" t="s">
        <v>4867</v>
      </c>
      <c r="F597">
        <v>26</v>
      </c>
      <c r="G597" t="s">
        <v>4873</v>
      </c>
      <c r="H597" t="s">
        <v>4888</v>
      </c>
      <c r="I597" t="s">
        <v>4894</v>
      </c>
      <c r="J597" t="s">
        <v>4904</v>
      </c>
      <c r="K597" t="s">
        <v>4928</v>
      </c>
      <c r="L597" t="s">
        <v>4939</v>
      </c>
      <c r="M597" t="s">
        <v>4942</v>
      </c>
      <c r="N597" s="11">
        <v>1247.22</v>
      </c>
      <c r="O597" t="s">
        <v>4947</v>
      </c>
      <c r="P597" t="s">
        <v>4951</v>
      </c>
      <c r="R597">
        <v>90</v>
      </c>
      <c r="S597" t="str">
        <f t="shared" si="27"/>
        <v>Adult</v>
      </c>
      <c r="T597" t="str">
        <f t="shared" si="28"/>
        <v>Low</v>
      </c>
      <c r="U597" t="str">
        <f t="shared" si="29"/>
        <v>Short Days</v>
      </c>
    </row>
    <row r="598" spans="1:21">
      <c r="A598" t="s">
        <v>614</v>
      </c>
      <c r="B598" s="5">
        <v>45477</v>
      </c>
      <c r="C598" t="s">
        <v>3541</v>
      </c>
      <c r="D598" t="s">
        <v>4783</v>
      </c>
      <c r="E598" t="s">
        <v>4866</v>
      </c>
      <c r="F598">
        <v>8</v>
      </c>
      <c r="G598" t="s">
        <v>4870</v>
      </c>
      <c r="H598" t="s">
        <v>4885</v>
      </c>
      <c r="I598" t="s">
        <v>4899</v>
      </c>
      <c r="J598" t="s">
        <v>4912</v>
      </c>
      <c r="K598" t="s">
        <v>4925</v>
      </c>
      <c r="L598" t="s">
        <v>4935</v>
      </c>
      <c r="M598" t="s">
        <v>4942</v>
      </c>
      <c r="N598" s="11">
        <v>1491.45</v>
      </c>
      <c r="O598" t="s">
        <v>4949</v>
      </c>
      <c r="P598" t="s">
        <v>4951</v>
      </c>
      <c r="R598">
        <v>7</v>
      </c>
      <c r="S598" t="str">
        <f t="shared" si="27"/>
        <v>Child</v>
      </c>
      <c r="T598" t="str">
        <f t="shared" si="28"/>
        <v>Low</v>
      </c>
      <c r="U598" t="str">
        <f t="shared" si="29"/>
        <v>Short Days</v>
      </c>
    </row>
    <row r="599" spans="1:21">
      <c r="A599" t="s">
        <v>615</v>
      </c>
      <c r="B599" s="5">
        <v>45965</v>
      </c>
      <c r="C599" t="s">
        <v>3542</v>
      </c>
      <c r="D599" t="s">
        <v>4710</v>
      </c>
      <c r="E599" t="s">
        <v>4866</v>
      </c>
      <c r="F599">
        <v>39</v>
      </c>
      <c r="G599" t="s">
        <v>4879</v>
      </c>
      <c r="H599" t="s">
        <v>4888</v>
      </c>
      <c r="I599" t="s">
        <v>4899</v>
      </c>
      <c r="J599" t="s">
        <v>4912</v>
      </c>
      <c r="K599" t="s">
        <v>4924</v>
      </c>
      <c r="L599" t="s">
        <v>4939</v>
      </c>
      <c r="M599" t="s">
        <v>4943</v>
      </c>
      <c r="N599" s="11">
        <v>5321.32</v>
      </c>
      <c r="O599" t="s">
        <v>4947</v>
      </c>
      <c r="P599" t="s">
        <v>4951</v>
      </c>
      <c r="S599" t="str">
        <f t="shared" si="27"/>
        <v>Adult</v>
      </c>
      <c r="T599" t="str">
        <f t="shared" si="28"/>
        <v>Medium</v>
      </c>
      <c r="U599" t="str">
        <f t="shared" si="29"/>
        <v>Short Days</v>
      </c>
    </row>
    <row r="600" spans="1:21">
      <c r="A600" t="s">
        <v>616</v>
      </c>
      <c r="B600" s="5">
        <v>45498</v>
      </c>
      <c r="C600" t="s">
        <v>3543</v>
      </c>
      <c r="D600" t="s">
        <v>4701</v>
      </c>
      <c r="E600" t="s">
        <v>4867</v>
      </c>
      <c r="F600">
        <v>26</v>
      </c>
      <c r="G600" t="s">
        <v>4881</v>
      </c>
      <c r="H600" t="s">
        <v>4881</v>
      </c>
      <c r="I600" t="s">
        <v>4895</v>
      </c>
      <c r="J600" t="s">
        <v>4915</v>
      </c>
      <c r="K600" t="s">
        <v>4927</v>
      </c>
      <c r="L600" t="s">
        <v>4941</v>
      </c>
      <c r="M600" t="s">
        <v>4942</v>
      </c>
      <c r="N600" s="11">
        <v>16137.03</v>
      </c>
      <c r="O600" t="s">
        <v>15</v>
      </c>
      <c r="P600" t="s">
        <v>4952</v>
      </c>
      <c r="R600">
        <v>14</v>
      </c>
      <c r="S600" t="str">
        <f t="shared" si="27"/>
        <v>Adult</v>
      </c>
      <c r="T600" t="str">
        <f t="shared" si="28"/>
        <v>High</v>
      </c>
      <c r="U600" t="str">
        <f t="shared" si="29"/>
        <v>Short Days</v>
      </c>
    </row>
    <row r="601" spans="1:21">
      <c r="A601" t="s">
        <v>617</v>
      </c>
      <c r="B601" s="5">
        <v>45621</v>
      </c>
      <c r="C601" t="s">
        <v>3544</v>
      </c>
      <c r="D601" t="s">
        <v>4819</v>
      </c>
      <c r="E601" t="s">
        <v>4866</v>
      </c>
      <c r="F601">
        <v>54</v>
      </c>
      <c r="G601" t="s">
        <v>4882</v>
      </c>
      <c r="H601" t="s">
        <v>4891</v>
      </c>
      <c r="I601" t="s">
        <v>4900</v>
      </c>
      <c r="J601" t="s">
        <v>4913</v>
      </c>
      <c r="K601" t="s">
        <v>4926</v>
      </c>
      <c r="L601" t="s">
        <v>4935</v>
      </c>
      <c r="M601" t="s">
        <v>4944</v>
      </c>
      <c r="N601" s="11">
        <v>9087.02</v>
      </c>
      <c r="O601" t="s">
        <v>4946</v>
      </c>
      <c r="P601" t="s">
        <v>4951</v>
      </c>
      <c r="R601">
        <v>7</v>
      </c>
      <c r="S601" t="str">
        <f t="shared" si="27"/>
        <v>Middle-Aged</v>
      </c>
      <c r="T601" t="str">
        <f t="shared" si="28"/>
        <v>Medium</v>
      </c>
      <c r="U601" t="str">
        <f t="shared" si="29"/>
        <v>Short Days</v>
      </c>
    </row>
    <row r="602" spans="1:21">
      <c r="A602" t="s">
        <v>618</v>
      </c>
      <c r="B602" s="5">
        <v>45910</v>
      </c>
      <c r="C602" t="s">
        <v>3086</v>
      </c>
      <c r="D602" t="s">
        <v>4730</v>
      </c>
      <c r="E602" t="s">
        <v>4867</v>
      </c>
      <c r="F602">
        <v>51</v>
      </c>
      <c r="G602" t="s">
        <v>4876</v>
      </c>
      <c r="H602" t="s">
        <v>4888</v>
      </c>
      <c r="I602" t="s">
        <v>4897</v>
      </c>
      <c r="J602" t="s">
        <v>4922</v>
      </c>
      <c r="K602" t="s">
        <v>4926</v>
      </c>
      <c r="L602" t="s">
        <v>4934</v>
      </c>
      <c r="M602" t="s">
        <v>4942</v>
      </c>
      <c r="N602" s="11">
        <v>8331.17</v>
      </c>
      <c r="O602" t="s">
        <v>15</v>
      </c>
      <c r="P602" t="s">
        <v>4952</v>
      </c>
      <c r="R602">
        <v>30</v>
      </c>
      <c r="S602" t="str">
        <f t="shared" si="27"/>
        <v>Middle-Aged</v>
      </c>
      <c r="T602" t="str">
        <f t="shared" si="28"/>
        <v>Medium</v>
      </c>
      <c r="U602" t="str">
        <f t="shared" si="29"/>
        <v>Short Days</v>
      </c>
    </row>
    <row r="603" spans="1:21">
      <c r="A603" t="s">
        <v>619</v>
      </c>
      <c r="B603" s="5">
        <v>45503</v>
      </c>
      <c r="C603" t="s">
        <v>3545</v>
      </c>
      <c r="D603" t="s">
        <v>4763</v>
      </c>
      <c r="E603" t="s">
        <v>4866</v>
      </c>
      <c r="F603">
        <v>45</v>
      </c>
      <c r="G603" t="s">
        <v>4879</v>
      </c>
      <c r="H603" t="s">
        <v>4888</v>
      </c>
      <c r="I603" t="s">
        <v>4897</v>
      </c>
      <c r="J603" t="s">
        <v>4907</v>
      </c>
      <c r="K603" t="s">
        <v>4932</v>
      </c>
      <c r="L603" t="s">
        <v>4937</v>
      </c>
      <c r="M603" t="s">
        <v>4944</v>
      </c>
      <c r="N603" s="11">
        <v>9284.75</v>
      </c>
      <c r="O603" t="s">
        <v>4948</v>
      </c>
      <c r="P603" t="s">
        <v>4951</v>
      </c>
      <c r="R603">
        <v>90</v>
      </c>
      <c r="S603" t="str">
        <f t="shared" si="27"/>
        <v>Middle-Aged</v>
      </c>
      <c r="T603" t="str">
        <f t="shared" si="28"/>
        <v>Medium</v>
      </c>
      <c r="U603" t="str">
        <f t="shared" si="29"/>
        <v>Short Days</v>
      </c>
    </row>
    <row r="604" spans="1:21">
      <c r="A604" t="s">
        <v>620</v>
      </c>
      <c r="B604" s="5">
        <v>45433</v>
      </c>
      <c r="C604" t="s">
        <v>3143</v>
      </c>
      <c r="D604" t="s">
        <v>4601</v>
      </c>
      <c r="E604" t="s">
        <v>4866</v>
      </c>
      <c r="F604">
        <v>42</v>
      </c>
      <c r="G604" t="s">
        <v>4871</v>
      </c>
      <c r="H604" t="s">
        <v>4886</v>
      </c>
      <c r="I604" t="s">
        <v>4899</v>
      </c>
      <c r="J604" t="s">
        <v>4911</v>
      </c>
      <c r="K604" t="s">
        <v>4925</v>
      </c>
      <c r="L604" t="s">
        <v>4939</v>
      </c>
      <c r="M604" t="s">
        <v>4944</v>
      </c>
      <c r="N604" s="11">
        <v>10906.98</v>
      </c>
      <c r="O604" t="s">
        <v>4949</v>
      </c>
      <c r="P604" t="s">
        <v>4951</v>
      </c>
      <c r="R604">
        <v>7</v>
      </c>
      <c r="S604" t="str">
        <f t="shared" si="27"/>
        <v>Middle-Aged</v>
      </c>
      <c r="T604" t="str">
        <f t="shared" si="28"/>
        <v>High</v>
      </c>
      <c r="U604" t="str">
        <f t="shared" si="29"/>
        <v>Short Days</v>
      </c>
    </row>
    <row r="605" spans="1:21">
      <c r="A605" t="s">
        <v>621</v>
      </c>
      <c r="B605" s="5">
        <v>45807</v>
      </c>
      <c r="C605" t="s">
        <v>3526</v>
      </c>
      <c r="D605" t="s">
        <v>4831</v>
      </c>
      <c r="E605" t="s">
        <v>4866</v>
      </c>
      <c r="F605">
        <v>70</v>
      </c>
      <c r="G605" t="s">
        <v>4871</v>
      </c>
      <c r="H605" t="s">
        <v>4886</v>
      </c>
      <c r="I605" t="s">
        <v>4902</v>
      </c>
      <c r="J605" t="s">
        <v>4916</v>
      </c>
      <c r="K605" t="s">
        <v>4931</v>
      </c>
      <c r="L605" t="s">
        <v>4937</v>
      </c>
      <c r="M605" t="s">
        <v>4942</v>
      </c>
      <c r="N605" s="11">
        <v>2066.52</v>
      </c>
      <c r="O605" t="s">
        <v>15</v>
      </c>
      <c r="P605" t="s">
        <v>4952</v>
      </c>
      <c r="S605" t="str">
        <f t="shared" si="27"/>
        <v>Senior</v>
      </c>
      <c r="T605" t="str">
        <f t="shared" si="28"/>
        <v>Low</v>
      </c>
      <c r="U605" t="str">
        <f t="shared" si="29"/>
        <v>Short Days</v>
      </c>
    </row>
    <row r="606" spans="1:21">
      <c r="A606" t="s">
        <v>622</v>
      </c>
      <c r="B606" s="5">
        <v>45613</v>
      </c>
      <c r="C606" t="s">
        <v>3546</v>
      </c>
      <c r="D606" t="s">
        <v>4667</v>
      </c>
      <c r="E606" t="s">
        <v>4866</v>
      </c>
      <c r="F606">
        <v>47</v>
      </c>
      <c r="G606" t="s">
        <v>4880</v>
      </c>
      <c r="H606" t="s">
        <v>4890</v>
      </c>
      <c r="I606" t="s">
        <v>4897</v>
      </c>
      <c r="J606" t="s">
        <v>4907</v>
      </c>
      <c r="K606" t="s">
        <v>4927</v>
      </c>
      <c r="L606" t="s">
        <v>4935</v>
      </c>
      <c r="M606" t="s">
        <v>4944</v>
      </c>
      <c r="N606" s="11">
        <v>9566.74</v>
      </c>
      <c r="O606" t="s">
        <v>15</v>
      </c>
      <c r="P606" t="s">
        <v>4952</v>
      </c>
      <c r="S606" t="str">
        <f t="shared" si="27"/>
        <v>Middle-Aged</v>
      </c>
      <c r="T606" t="str">
        <f t="shared" si="28"/>
        <v>Medium</v>
      </c>
      <c r="U606" t="str">
        <f t="shared" si="29"/>
        <v>Short Days</v>
      </c>
    </row>
    <row r="607" spans="1:21">
      <c r="A607" t="s">
        <v>623</v>
      </c>
      <c r="B607" s="5">
        <v>45503</v>
      </c>
      <c r="C607" t="s">
        <v>3547</v>
      </c>
      <c r="D607" t="s">
        <v>4630</v>
      </c>
      <c r="E607" t="s">
        <v>4866</v>
      </c>
      <c r="F607">
        <v>33</v>
      </c>
      <c r="G607" t="s">
        <v>4870</v>
      </c>
      <c r="H607" t="s">
        <v>4885</v>
      </c>
      <c r="I607" t="s">
        <v>4894</v>
      </c>
      <c r="J607" t="s">
        <v>4904</v>
      </c>
      <c r="K607" t="s">
        <v>4924</v>
      </c>
      <c r="L607" t="s">
        <v>4934</v>
      </c>
      <c r="M607" t="s">
        <v>4942</v>
      </c>
      <c r="N607" s="11">
        <v>2277.58</v>
      </c>
      <c r="O607" t="s">
        <v>4949</v>
      </c>
      <c r="P607" t="s">
        <v>4951</v>
      </c>
      <c r="S607" t="str">
        <f t="shared" si="27"/>
        <v>Adult</v>
      </c>
      <c r="T607" t="str">
        <f t="shared" si="28"/>
        <v>Low</v>
      </c>
      <c r="U607" t="str">
        <f t="shared" si="29"/>
        <v>Short Days</v>
      </c>
    </row>
    <row r="608" spans="1:21">
      <c r="A608" t="s">
        <v>624</v>
      </c>
      <c r="B608" s="5">
        <v>45862</v>
      </c>
      <c r="C608" t="s">
        <v>3301</v>
      </c>
      <c r="D608" t="s">
        <v>4741</v>
      </c>
      <c r="E608" t="s">
        <v>4867</v>
      </c>
      <c r="F608">
        <v>41</v>
      </c>
      <c r="G608" t="s">
        <v>4873</v>
      </c>
      <c r="H608" t="s">
        <v>4888</v>
      </c>
      <c r="I608" t="s">
        <v>4896</v>
      </c>
      <c r="J608" t="s">
        <v>4906</v>
      </c>
      <c r="K608" t="s">
        <v>4930</v>
      </c>
      <c r="L608" t="s">
        <v>4940</v>
      </c>
      <c r="M608" t="s">
        <v>4942</v>
      </c>
      <c r="N608" s="11">
        <v>4777.51</v>
      </c>
      <c r="O608" t="s">
        <v>4947</v>
      </c>
      <c r="P608" t="s">
        <v>4951</v>
      </c>
      <c r="R608">
        <v>30</v>
      </c>
      <c r="S608" t="str">
        <f t="shared" si="27"/>
        <v>Middle-Aged</v>
      </c>
      <c r="T608" t="str">
        <f t="shared" si="28"/>
        <v>Low</v>
      </c>
      <c r="U608" t="str">
        <f t="shared" si="29"/>
        <v>Short Days</v>
      </c>
    </row>
    <row r="609" spans="1:21">
      <c r="A609" t="s">
        <v>625</v>
      </c>
      <c r="B609" s="5">
        <v>45651</v>
      </c>
      <c r="C609" t="s">
        <v>3548</v>
      </c>
      <c r="D609" t="s">
        <v>4819</v>
      </c>
      <c r="E609" t="s">
        <v>4867</v>
      </c>
      <c r="F609">
        <v>17</v>
      </c>
      <c r="G609" t="s">
        <v>4880</v>
      </c>
      <c r="H609" t="s">
        <v>4890</v>
      </c>
      <c r="I609" t="s">
        <v>4901</v>
      </c>
      <c r="J609" t="s">
        <v>4914</v>
      </c>
      <c r="K609" t="s">
        <v>4924</v>
      </c>
      <c r="L609" t="s">
        <v>4940</v>
      </c>
      <c r="M609" t="s">
        <v>4944</v>
      </c>
      <c r="N609" s="11">
        <v>10187.75</v>
      </c>
      <c r="O609" t="s">
        <v>4949</v>
      </c>
      <c r="P609" t="s">
        <v>4951</v>
      </c>
      <c r="R609">
        <v>30</v>
      </c>
      <c r="S609" t="str">
        <f t="shared" si="27"/>
        <v>Child</v>
      </c>
      <c r="T609" t="str">
        <f t="shared" si="28"/>
        <v>High</v>
      </c>
      <c r="U609" t="str">
        <f t="shared" si="29"/>
        <v>Short Days</v>
      </c>
    </row>
    <row r="610" spans="1:21">
      <c r="A610" t="s">
        <v>626</v>
      </c>
      <c r="B610" s="5">
        <v>45861</v>
      </c>
      <c r="C610" t="s">
        <v>3549</v>
      </c>
      <c r="D610" t="s">
        <v>4649</v>
      </c>
      <c r="E610" t="s">
        <v>4867</v>
      </c>
      <c r="F610">
        <v>50</v>
      </c>
      <c r="G610" t="s">
        <v>4882</v>
      </c>
      <c r="H610" t="s">
        <v>4891</v>
      </c>
      <c r="I610" t="s">
        <v>4898</v>
      </c>
      <c r="J610" t="s">
        <v>4918</v>
      </c>
      <c r="K610" t="s">
        <v>4926</v>
      </c>
      <c r="L610" t="s">
        <v>4940</v>
      </c>
      <c r="M610" t="s">
        <v>4942</v>
      </c>
      <c r="N610" s="11">
        <v>2824.64</v>
      </c>
      <c r="O610" t="s">
        <v>4946</v>
      </c>
      <c r="P610" t="s">
        <v>4951</v>
      </c>
      <c r="S610" t="str">
        <f t="shared" si="27"/>
        <v>Middle-Aged</v>
      </c>
      <c r="T610" t="str">
        <f t="shared" si="28"/>
        <v>Low</v>
      </c>
      <c r="U610" t="str">
        <f t="shared" si="29"/>
        <v>Short Days</v>
      </c>
    </row>
    <row r="611" spans="1:21">
      <c r="A611" t="s">
        <v>627</v>
      </c>
      <c r="B611" s="5">
        <v>45462</v>
      </c>
      <c r="C611" t="s">
        <v>3550</v>
      </c>
      <c r="D611" t="s">
        <v>4763</v>
      </c>
      <c r="E611" t="s">
        <v>4866</v>
      </c>
      <c r="F611">
        <v>45</v>
      </c>
      <c r="G611" t="s">
        <v>4880</v>
      </c>
      <c r="H611" t="s">
        <v>4890</v>
      </c>
      <c r="I611" t="s">
        <v>4899</v>
      </c>
      <c r="J611" t="s">
        <v>4911</v>
      </c>
      <c r="K611" t="s">
        <v>4929</v>
      </c>
      <c r="L611" t="s">
        <v>4934</v>
      </c>
      <c r="M611" t="s">
        <v>4942</v>
      </c>
      <c r="N611" s="11">
        <v>2995.88</v>
      </c>
      <c r="O611" t="s">
        <v>4948</v>
      </c>
      <c r="P611" t="s">
        <v>4951</v>
      </c>
      <c r="R611">
        <v>7</v>
      </c>
      <c r="S611" t="str">
        <f t="shared" si="27"/>
        <v>Middle-Aged</v>
      </c>
      <c r="T611" t="str">
        <f t="shared" si="28"/>
        <v>Low</v>
      </c>
      <c r="U611" t="str">
        <f t="shared" si="29"/>
        <v>Short Days</v>
      </c>
    </row>
    <row r="612" spans="1:21">
      <c r="A612" t="s">
        <v>628</v>
      </c>
      <c r="B612" s="5">
        <v>45311</v>
      </c>
      <c r="C612" t="s">
        <v>3149</v>
      </c>
      <c r="D612" t="s">
        <v>4731</v>
      </c>
      <c r="E612" t="s">
        <v>4866</v>
      </c>
      <c r="F612">
        <v>40</v>
      </c>
      <c r="G612" t="s">
        <v>4879</v>
      </c>
      <c r="H612" t="s">
        <v>4888</v>
      </c>
      <c r="I612" t="s">
        <v>4894</v>
      </c>
      <c r="J612" t="s">
        <v>4910</v>
      </c>
      <c r="K612" t="s">
        <v>4928</v>
      </c>
      <c r="L612" t="s">
        <v>4938</v>
      </c>
      <c r="M612" t="s">
        <v>4942</v>
      </c>
      <c r="N612" s="11">
        <v>4261.7</v>
      </c>
      <c r="O612" t="s">
        <v>4946</v>
      </c>
      <c r="P612" t="s">
        <v>4951</v>
      </c>
      <c r="S612" t="str">
        <f t="shared" si="27"/>
        <v>Adult</v>
      </c>
      <c r="T612" t="str">
        <f t="shared" si="28"/>
        <v>Low</v>
      </c>
      <c r="U612" t="str">
        <f t="shared" si="29"/>
        <v>Short Days</v>
      </c>
    </row>
    <row r="613" spans="1:21">
      <c r="A613" t="s">
        <v>629</v>
      </c>
      <c r="B613" s="5">
        <v>45872</v>
      </c>
      <c r="C613" t="s">
        <v>3551</v>
      </c>
      <c r="D613" t="s">
        <v>4810</v>
      </c>
      <c r="E613" t="s">
        <v>4867</v>
      </c>
      <c r="F613">
        <v>28</v>
      </c>
      <c r="G613" t="s">
        <v>4879</v>
      </c>
      <c r="H613" t="s">
        <v>4888</v>
      </c>
      <c r="I613" t="s">
        <v>4896</v>
      </c>
      <c r="J613" t="s">
        <v>4908</v>
      </c>
      <c r="K613" t="s">
        <v>4929</v>
      </c>
      <c r="L613" t="s">
        <v>4935</v>
      </c>
      <c r="M613" t="s">
        <v>4942</v>
      </c>
      <c r="N613" s="11">
        <v>1967.43</v>
      </c>
      <c r="O613" t="s">
        <v>4947</v>
      </c>
      <c r="P613" t="s">
        <v>4951</v>
      </c>
      <c r="R613">
        <v>90</v>
      </c>
      <c r="S613" t="str">
        <f t="shared" si="27"/>
        <v>Adult</v>
      </c>
      <c r="T613" t="str">
        <f t="shared" si="28"/>
        <v>Low</v>
      </c>
      <c r="U613" t="str">
        <f t="shared" si="29"/>
        <v>Short Days</v>
      </c>
    </row>
    <row r="614" spans="1:21">
      <c r="A614" t="s">
        <v>630</v>
      </c>
      <c r="B614" s="5">
        <v>45955</v>
      </c>
      <c r="C614" t="s">
        <v>3552</v>
      </c>
      <c r="D614" t="s">
        <v>4597</v>
      </c>
      <c r="E614" t="s">
        <v>4867</v>
      </c>
      <c r="F614">
        <v>58</v>
      </c>
      <c r="G614" t="s">
        <v>4870</v>
      </c>
      <c r="H614" t="s">
        <v>4885</v>
      </c>
      <c r="I614" t="s">
        <v>4893</v>
      </c>
      <c r="J614" t="s">
        <v>4903</v>
      </c>
      <c r="K614" t="s">
        <v>4931</v>
      </c>
      <c r="L614" t="s">
        <v>4935</v>
      </c>
      <c r="M614" t="s">
        <v>4942</v>
      </c>
      <c r="N614" s="11">
        <v>10515.86</v>
      </c>
      <c r="O614" t="s">
        <v>4948</v>
      </c>
      <c r="P614" t="s">
        <v>4951</v>
      </c>
      <c r="S614" t="str">
        <f t="shared" si="27"/>
        <v>Middle-Aged</v>
      </c>
      <c r="T614" t="str">
        <f t="shared" si="28"/>
        <v>High</v>
      </c>
      <c r="U614" t="str">
        <f t="shared" si="29"/>
        <v>Short Days</v>
      </c>
    </row>
    <row r="615" spans="1:21">
      <c r="A615" t="s">
        <v>631</v>
      </c>
      <c r="B615" s="5">
        <v>45415</v>
      </c>
      <c r="C615" t="s">
        <v>3553</v>
      </c>
      <c r="D615" t="s">
        <v>4830</v>
      </c>
      <c r="E615" t="s">
        <v>4867</v>
      </c>
      <c r="F615">
        <v>32</v>
      </c>
      <c r="G615" t="s">
        <v>4882</v>
      </c>
      <c r="H615" t="s">
        <v>4891</v>
      </c>
      <c r="I615" t="s">
        <v>4901</v>
      </c>
      <c r="J615" t="s">
        <v>4914</v>
      </c>
      <c r="K615" t="s">
        <v>4931</v>
      </c>
      <c r="L615" t="s">
        <v>4937</v>
      </c>
      <c r="M615" t="s">
        <v>4942</v>
      </c>
      <c r="N615" s="11">
        <v>3483.78</v>
      </c>
      <c r="O615" t="s">
        <v>4947</v>
      </c>
      <c r="P615" t="s">
        <v>4951</v>
      </c>
      <c r="R615">
        <v>7</v>
      </c>
      <c r="S615" t="str">
        <f t="shared" si="27"/>
        <v>Adult</v>
      </c>
      <c r="T615" t="str">
        <f t="shared" si="28"/>
        <v>Low</v>
      </c>
      <c r="U615" t="str">
        <f t="shared" si="29"/>
        <v>Short Days</v>
      </c>
    </row>
    <row r="616" spans="1:21">
      <c r="A616" t="s">
        <v>632</v>
      </c>
      <c r="B616" s="5">
        <v>45501</v>
      </c>
      <c r="C616" t="s">
        <v>3244</v>
      </c>
      <c r="D616" t="s">
        <v>4586</v>
      </c>
      <c r="E616" t="s">
        <v>4866</v>
      </c>
      <c r="F616">
        <v>48</v>
      </c>
      <c r="G616" t="s">
        <v>4878</v>
      </c>
      <c r="H616" t="s">
        <v>4889</v>
      </c>
      <c r="I616" t="s">
        <v>4898</v>
      </c>
      <c r="J616" t="s">
        <v>4918</v>
      </c>
      <c r="K616" t="s">
        <v>4933</v>
      </c>
      <c r="L616" t="s">
        <v>4935</v>
      </c>
      <c r="M616" t="s">
        <v>4942</v>
      </c>
      <c r="N616" s="11">
        <v>3562.14</v>
      </c>
      <c r="O616" t="s">
        <v>4948</v>
      </c>
      <c r="P616" t="s">
        <v>4951</v>
      </c>
      <c r="S616" t="str">
        <f t="shared" si="27"/>
        <v>Middle-Aged</v>
      </c>
      <c r="T616" t="str">
        <f t="shared" si="28"/>
        <v>Low</v>
      </c>
      <c r="U616" t="str">
        <f t="shared" si="29"/>
        <v>Short Days</v>
      </c>
    </row>
    <row r="617" spans="1:21">
      <c r="A617" t="s">
        <v>633</v>
      </c>
      <c r="B617" s="5">
        <v>45881</v>
      </c>
      <c r="C617" t="s">
        <v>3552</v>
      </c>
      <c r="D617" t="s">
        <v>4755</v>
      </c>
      <c r="E617" t="s">
        <v>4866</v>
      </c>
      <c r="F617">
        <v>51</v>
      </c>
      <c r="G617" t="s">
        <v>4878</v>
      </c>
      <c r="H617" t="s">
        <v>4889</v>
      </c>
      <c r="I617" t="s">
        <v>4900</v>
      </c>
      <c r="J617" t="s">
        <v>4913</v>
      </c>
      <c r="K617" t="s">
        <v>4926</v>
      </c>
      <c r="L617" t="s">
        <v>4936</v>
      </c>
      <c r="M617" t="s">
        <v>4942</v>
      </c>
      <c r="N617" s="11">
        <v>1029.52</v>
      </c>
      <c r="O617" t="s">
        <v>4948</v>
      </c>
      <c r="P617" t="s">
        <v>4951</v>
      </c>
      <c r="R617">
        <v>90</v>
      </c>
      <c r="S617" t="str">
        <f t="shared" si="27"/>
        <v>Middle-Aged</v>
      </c>
      <c r="T617" t="str">
        <f t="shared" si="28"/>
        <v>Low</v>
      </c>
      <c r="U617" t="str">
        <f t="shared" si="29"/>
        <v>Short Days</v>
      </c>
    </row>
    <row r="618" spans="1:21">
      <c r="A618" t="s">
        <v>634</v>
      </c>
      <c r="B618" s="5">
        <v>45353</v>
      </c>
      <c r="C618" t="s">
        <v>3554</v>
      </c>
      <c r="D618" t="s">
        <v>4772</v>
      </c>
      <c r="E618" t="s">
        <v>4866</v>
      </c>
      <c r="F618">
        <v>34</v>
      </c>
      <c r="G618" t="s">
        <v>4874</v>
      </c>
      <c r="H618" t="s">
        <v>4886</v>
      </c>
      <c r="I618" t="s">
        <v>4893</v>
      </c>
      <c r="J618" t="s">
        <v>4917</v>
      </c>
      <c r="K618" t="s">
        <v>4925</v>
      </c>
      <c r="L618" t="s">
        <v>4934</v>
      </c>
      <c r="M618" t="s">
        <v>4944</v>
      </c>
      <c r="N618" s="11">
        <v>16700.72</v>
      </c>
      <c r="O618" t="s">
        <v>15</v>
      </c>
      <c r="P618" t="s">
        <v>4952</v>
      </c>
      <c r="S618" t="str">
        <f t="shared" si="27"/>
        <v>Adult</v>
      </c>
      <c r="T618" t="str">
        <f t="shared" si="28"/>
        <v>High</v>
      </c>
      <c r="U618" t="str">
        <f t="shared" si="29"/>
        <v>Short Days</v>
      </c>
    </row>
    <row r="619" spans="1:21">
      <c r="A619" t="s">
        <v>635</v>
      </c>
      <c r="B619" s="5">
        <v>45350</v>
      </c>
      <c r="C619" t="s">
        <v>3555</v>
      </c>
      <c r="D619" t="s">
        <v>4638</v>
      </c>
      <c r="E619" t="s">
        <v>4867</v>
      </c>
      <c r="F619">
        <v>46</v>
      </c>
      <c r="G619" t="s">
        <v>4876</v>
      </c>
      <c r="H619" t="s">
        <v>4888</v>
      </c>
      <c r="I619" t="s">
        <v>4902</v>
      </c>
      <c r="J619" t="s">
        <v>4920</v>
      </c>
      <c r="K619" t="s">
        <v>4928</v>
      </c>
      <c r="L619" t="s">
        <v>4934</v>
      </c>
      <c r="M619" t="s">
        <v>4942</v>
      </c>
      <c r="N619" s="11">
        <v>5699.25</v>
      </c>
      <c r="O619" t="s">
        <v>4950</v>
      </c>
      <c r="P619" t="s">
        <v>4951</v>
      </c>
      <c r="S619" t="str">
        <f t="shared" si="27"/>
        <v>Middle-Aged</v>
      </c>
      <c r="T619" t="str">
        <f t="shared" si="28"/>
        <v>Medium</v>
      </c>
      <c r="U619" t="str">
        <f t="shared" si="29"/>
        <v>Short Days</v>
      </c>
    </row>
    <row r="620" spans="1:21">
      <c r="A620" t="s">
        <v>636</v>
      </c>
      <c r="B620" s="5">
        <v>45789</v>
      </c>
      <c r="C620" t="s">
        <v>3556</v>
      </c>
      <c r="D620" t="s">
        <v>4740</v>
      </c>
      <c r="E620" t="s">
        <v>4866</v>
      </c>
      <c r="F620">
        <v>6</v>
      </c>
      <c r="G620" t="s">
        <v>4883</v>
      </c>
      <c r="H620" t="s">
        <v>4892</v>
      </c>
      <c r="I620" t="s">
        <v>4897</v>
      </c>
      <c r="J620" t="s">
        <v>4922</v>
      </c>
      <c r="K620" t="s">
        <v>4924</v>
      </c>
      <c r="L620" t="s">
        <v>4941</v>
      </c>
      <c r="M620" t="s">
        <v>4943</v>
      </c>
      <c r="N620" s="11">
        <v>10419.290000000001</v>
      </c>
      <c r="O620" t="s">
        <v>4946</v>
      </c>
      <c r="P620" t="s">
        <v>4951</v>
      </c>
      <c r="S620" t="str">
        <f t="shared" si="27"/>
        <v>Child</v>
      </c>
      <c r="T620" t="str">
        <f t="shared" si="28"/>
        <v>High</v>
      </c>
      <c r="U620" t="str">
        <f t="shared" si="29"/>
        <v>Short Days</v>
      </c>
    </row>
    <row r="621" spans="1:21">
      <c r="A621" t="s">
        <v>637</v>
      </c>
      <c r="B621" s="5">
        <v>45941</v>
      </c>
      <c r="C621" t="s">
        <v>3557</v>
      </c>
      <c r="D621" t="s">
        <v>4695</v>
      </c>
      <c r="E621" t="s">
        <v>4867</v>
      </c>
      <c r="F621">
        <v>49</v>
      </c>
      <c r="G621" t="s">
        <v>4876</v>
      </c>
      <c r="H621" t="s">
        <v>4888</v>
      </c>
      <c r="I621" t="s">
        <v>4894</v>
      </c>
      <c r="J621" t="s">
        <v>4910</v>
      </c>
      <c r="K621" t="s">
        <v>4924</v>
      </c>
      <c r="L621" t="s">
        <v>4940</v>
      </c>
      <c r="M621" t="s">
        <v>4944</v>
      </c>
      <c r="N621" s="11">
        <v>9346</v>
      </c>
      <c r="O621" t="s">
        <v>15</v>
      </c>
      <c r="P621" t="s">
        <v>4952</v>
      </c>
      <c r="R621">
        <v>7</v>
      </c>
      <c r="S621" t="str">
        <f t="shared" si="27"/>
        <v>Middle-Aged</v>
      </c>
      <c r="T621" t="str">
        <f t="shared" si="28"/>
        <v>Medium</v>
      </c>
      <c r="U621" t="str">
        <f t="shared" si="29"/>
        <v>Short Days</v>
      </c>
    </row>
    <row r="622" spans="1:21">
      <c r="A622" t="s">
        <v>638</v>
      </c>
      <c r="B622" s="5">
        <v>45561</v>
      </c>
      <c r="C622" t="s">
        <v>3558</v>
      </c>
      <c r="D622" t="s">
        <v>4832</v>
      </c>
      <c r="E622" t="s">
        <v>4867</v>
      </c>
      <c r="F622">
        <v>29</v>
      </c>
      <c r="G622" t="s">
        <v>4877</v>
      </c>
      <c r="H622" t="s">
        <v>4888</v>
      </c>
      <c r="I622" t="s">
        <v>4900</v>
      </c>
      <c r="J622" t="s">
        <v>4913</v>
      </c>
      <c r="K622" t="s">
        <v>4930</v>
      </c>
      <c r="L622" t="s">
        <v>4938</v>
      </c>
      <c r="M622" t="s">
        <v>4942</v>
      </c>
      <c r="N622" s="11">
        <v>3739.6</v>
      </c>
      <c r="O622" t="s">
        <v>4947</v>
      </c>
      <c r="P622" t="s">
        <v>4951</v>
      </c>
      <c r="R622">
        <v>7</v>
      </c>
      <c r="S622" t="str">
        <f t="shared" si="27"/>
        <v>Adult</v>
      </c>
      <c r="T622" t="str">
        <f t="shared" si="28"/>
        <v>Low</v>
      </c>
      <c r="U622" t="str">
        <f t="shared" si="29"/>
        <v>Short Days</v>
      </c>
    </row>
    <row r="623" spans="1:21">
      <c r="A623" t="s">
        <v>639</v>
      </c>
      <c r="B623" s="5">
        <v>45517</v>
      </c>
      <c r="C623" t="s">
        <v>3559</v>
      </c>
      <c r="D623" t="s">
        <v>4615</v>
      </c>
      <c r="E623" t="s">
        <v>4867</v>
      </c>
      <c r="F623">
        <v>42</v>
      </c>
      <c r="G623" t="s">
        <v>4875</v>
      </c>
      <c r="H623" t="s">
        <v>4889</v>
      </c>
      <c r="I623" t="s">
        <v>4894</v>
      </c>
      <c r="J623" t="s">
        <v>4904</v>
      </c>
      <c r="K623" t="s">
        <v>4928</v>
      </c>
      <c r="L623" t="s">
        <v>4936</v>
      </c>
      <c r="M623" t="s">
        <v>4942</v>
      </c>
      <c r="N623" s="11">
        <v>11758.01</v>
      </c>
      <c r="O623" t="s">
        <v>4947</v>
      </c>
      <c r="P623" t="s">
        <v>4951</v>
      </c>
      <c r="R623">
        <v>30</v>
      </c>
      <c r="S623" t="str">
        <f t="shared" si="27"/>
        <v>Middle-Aged</v>
      </c>
      <c r="T623" t="str">
        <f t="shared" si="28"/>
        <v>High</v>
      </c>
      <c r="U623" t="str">
        <f t="shared" si="29"/>
        <v>Short Days</v>
      </c>
    </row>
    <row r="624" spans="1:21">
      <c r="A624" t="s">
        <v>640</v>
      </c>
      <c r="B624" s="5">
        <v>45592</v>
      </c>
      <c r="C624" t="s">
        <v>3234</v>
      </c>
      <c r="D624" t="s">
        <v>4833</v>
      </c>
      <c r="E624" t="s">
        <v>4866</v>
      </c>
      <c r="F624">
        <v>39</v>
      </c>
      <c r="G624" t="s">
        <v>4876</v>
      </c>
      <c r="H624" t="s">
        <v>4888</v>
      </c>
      <c r="I624" t="s">
        <v>4902</v>
      </c>
      <c r="J624" t="s">
        <v>4920</v>
      </c>
      <c r="K624" t="s">
        <v>4931</v>
      </c>
      <c r="L624" t="s">
        <v>4940</v>
      </c>
      <c r="M624" t="s">
        <v>4942</v>
      </c>
      <c r="N624" s="11">
        <v>17951.650000000001</v>
      </c>
      <c r="O624" t="s">
        <v>4946</v>
      </c>
      <c r="P624" t="s">
        <v>4951</v>
      </c>
      <c r="R624">
        <v>14</v>
      </c>
      <c r="S624" t="str">
        <f t="shared" si="27"/>
        <v>Adult</v>
      </c>
      <c r="T624" t="str">
        <f t="shared" si="28"/>
        <v>High</v>
      </c>
      <c r="U624" t="str">
        <f t="shared" si="29"/>
        <v>Short Days</v>
      </c>
    </row>
    <row r="625" spans="1:21">
      <c r="A625" t="s">
        <v>641</v>
      </c>
      <c r="B625" s="5">
        <v>45902</v>
      </c>
      <c r="C625" t="s">
        <v>3311</v>
      </c>
      <c r="D625" t="s">
        <v>4834</v>
      </c>
      <c r="E625" t="s">
        <v>4867</v>
      </c>
      <c r="F625">
        <v>37</v>
      </c>
      <c r="G625" t="s">
        <v>4870</v>
      </c>
      <c r="H625" t="s">
        <v>4885</v>
      </c>
      <c r="I625" t="s">
        <v>4901</v>
      </c>
      <c r="J625" t="s">
        <v>4914</v>
      </c>
      <c r="K625" t="s">
        <v>4924</v>
      </c>
      <c r="L625" t="s">
        <v>4934</v>
      </c>
      <c r="M625" t="s">
        <v>4945</v>
      </c>
      <c r="N625" s="11">
        <v>5962.89</v>
      </c>
      <c r="O625" t="s">
        <v>4947</v>
      </c>
      <c r="P625" t="s">
        <v>4951</v>
      </c>
      <c r="Q625">
        <v>4</v>
      </c>
      <c r="R625">
        <v>30</v>
      </c>
      <c r="S625" t="str">
        <f t="shared" si="27"/>
        <v>Adult</v>
      </c>
      <c r="T625" t="str">
        <f t="shared" si="28"/>
        <v>Medium</v>
      </c>
      <c r="U625" t="str">
        <f t="shared" si="29"/>
        <v>Short Days</v>
      </c>
    </row>
    <row r="626" spans="1:21">
      <c r="A626" t="s">
        <v>642</v>
      </c>
      <c r="B626" s="5">
        <v>45818</v>
      </c>
      <c r="C626" t="s">
        <v>3560</v>
      </c>
      <c r="D626" t="s">
        <v>4760</v>
      </c>
      <c r="E626" t="s">
        <v>4867</v>
      </c>
      <c r="F626">
        <v>22</v>
      </c>
      <c r="G626" t="s">
        <v>4869</v>
      </c>
      <c r="H626" t="s">
        <v>4884</v>
      </c>
      <c r="I626" t="s">
        <v>4893</v>
      </c>
      <c r="J626" t="s">
        <v>4917</v>
      </c>
      <c r="K626" t="s">
        <v>4933</v>
      </c>
      <c r="L626" t="s">
        <v>4935</v>
      </c>
      <c r="M626" t="s">
        <v>4944</v>
      </c>
      <c r="N626" s="11">
        <v>5563.64</v>
      </c>
      <c r="O626" t="s">
        <v>4946</v>
      </c>
      <c r="P626" t="s">
        <v>4951</v>
      </c>
      <c r="S626" t="str">
        <f t="shared" si="27"/>
        <v>Adult</v>
      </c>
      <c r="T626" t="str">
        <f t="shared" si="28"/>
        <v>Medium</v>
      </c>
      <c r="U626" t="str">
        <f t="shared" si="29"/>
        <v>Short Days</v>
      </c>
    </row>
    <row r="627" spans="1:21">
      <c r="A627" t="s">
        <v>643</v>
      </c>
      <c r="B627" s="5">
        <v>45775</v>
      </c>
      <c r="C627" t="s">
        <v>3023</v>
      </c>
      <c r="D627" t="s">
        <v>4814</v>
      </c>
      <c r="E627" t="s">
        <v>4867</v>
      </c>
      <c r="F627">
        <v>10</v>
      </c>
      <c r="G627" t="s">
        <v>4870</v>
      </c>
      <c r="H627" t="s">
        <v>4885</v>
      </c>
      <c r="I627" t="s">
        <v>4898</v>
      </c>
      <c r="J627" t="s">
        <v>4909</v>
      </c>
      <c r="K627" t="s">
        <v>4924</v>
      </c>
      <c r="L627" t="s">
        <v>4935</v>
      </c>
      <c r="M627" t="s">
        <v>4942</v>
      </c>
      <c r="N627" s="11">
        <v>3078.09</v>
      </c>
      <c r="O627" t="s">
        <v>4949</v>
      </c>
      <c r="P627" t="s">
        <v>4951</v>
      </c>
      <c r="R627">
        <v>90</v>
      </c>
      <c r="S627" t="str">
        <f t="shared" si="27"/>
        <v>Child</v>
      </c>
      <c r="T627" t="str">
        <f t="shared" si="28"/>
        <v>Low</v>
      </c>
      <c r="U627" t="str">
        <f t="shared" si="29"/>
        <v>Short Days</v>
      </c>
    </row>
    <row r="628" spans="1:21">
      <c r="A628" t="s">
        <v>644</v>
      </c>
      <c r="B628" s="5">
        <v>45915</v>
      </c>
      <c r="C628" t="s">
        <v>3561</v>
      </c>
      <c r="D628" t="s">
        <v>4670</v>
      </c>
      <c r="E628" t="s">
        <v>4867</v>
      </c>
      <c r="F628">
        <v>32</v>
      </c>
      <c r="G628" t="s">
        <v>4870</v>
      </c>
      <c r="H628" t="s">
        <v>4885</v>
      </c>
      <c r="I628" t="s">
        <v>4901</v>
      </c>
      <c r="J628" t="s">
        <v>4921</v>
      </c>
      <c r="K628" t="s">
        <v>4933</v>
      </c>
      <c r="L628" t="s">
        <v>4934</v>
      </c>
      <c r="M628" t="s">
        <v>4942</v>
      </c>
      <c r="N628" s="11">
        <v>5750.08</v>
      </c>
      <c r="O628" t="s">
        <v>4946</v>
      </c>
      <c r="P628" t="s">
        <v>4951</v>
      </c>
      <c r="R628">
        <v>7</v>
      </c>
      <c r="S628" t="str">
        <f t="shared" si="27"/>
        <v>Adult</v>
      </c>
      <c r="T628" t="str">
        <f t="shared" si="28"/>
        <v>Medium</v>
      </c>
      <c r="U628" t="str">
        <f t="shared" si="29"/>
        <v>Short Days</v>
      </c>
    </row>
    <row r="629" spans="1:21">
      <c r="A629" t="s">
        <v>645</v>
      </c>
      <c r="B629" s="5">
        <v>45405</v>
      </c>
      <c r="C629" t="s">
        <v>3562</v>
      </c>
      <c r="D629" t="s">
        <v>4835</v>
      </c>
      <c r="E629" t="s">
        <v>4866</v>
      </c>
      <c r="F629">
        <v>69</v>
      </c>
      <c r="G629" t="s">
        <v>4877</v>
      </c>
      <c r="H629" t="s">
        <v>4888</v>
      </c>
      <c r="I629" t="s">
        <v>4898</v>
      </c>
      <c r="J629" t="s">
        <v>4923</v>
      </c>
      <c r="K629" t="s">
        <v>4929</v>
      </c>
      <c r="L629" t="s">
        <v>4936</v>
      </c>
      <c r="M629" t="s">
        <v>4942</v>
      </c>
      <c r="N629" s="11">
        <v>5568.14</v>
      </c>
      <c r="O629" t="s">
        <v>4947</v>
      </c>
      <c r="P629" t="s">
        <v>4951</v>
      </c>
      <c r="R629">
        <v>14</v>
      </c>
      <c r="S629" t="str">
        <f t="shared" si="27"/>
        <v>Senior</v>
      </c>
      <c r="T629" t="str">
        <f t="shared" si="28"/>
        <v>Medium</v>
      </c>
      <c r="U629" t="str">
        <f t="shared" si="29"/>
        <v>Short Days</v>
      </c>
    </row>
    <row r="630" spans="1:21">
      <c r="A630" t="s">
        <v>646</v>
      </c>
      <c r="B630" s="5">
        <v>45345</v>
      </c>
      <c r="C630" t="s">
        <v>3563</v>
      </c>
      <c r="D630" t="s">
        <v>4770</v>
      </c>
      <c r="E630" t="s">
        <v>4866</v>
      </c>
      <c r="F630">
        <v>34</v>
      </c>
      <c r="G630" t="s">
        <v>4878</v>
      </c>
      <c r="H630" t="s">
        <v>4889</v>
      </c>
      <c r="I630" t="s">
        <v>4897</v>
      </c>
      <c r="J630" t="s">
        <v>4922</v>
      </c>
      <c r="K630" t="s">
        <v>4924</v>
      </c>
      <c r="L630" t="s">
        <v>4934</v>
      </c>
      <c r="M630" t="s">
        <v>4942</v>
      </c>
      <c r="N630" s="11">
        <v>4857.22</v>
      </c>
      <c r="O630" t="s">
        <v>4946</v>
      </c>
      <c r="P630" t="s">
        <v>4951</v>
      </c>
      <c r="R630">
        <v>14</v>
      </c>
      <c r="S630" t="str">
        <f t="shared" si="27"/>
        <v>Adult</v>
      </c>
      <c r="T630" t="str">
        <f t="shared" si="28"/>
        <v>Low</v>
      </c>
      <c r="U630" t="str">
        <f t="shared" si="29"/>
        <v>Short Days</v>
      </c>
    </row>
    <row r="631" spans="1:21">
      <c r="A631" t="s">
        <v>647</v>
      </c>
      <c r="B631" s="5">
        <v>45660</v>
      </c>
      <c r="C631" t="s">
        <v>3564</v>
      </c>
      <c r="D631" t="s">
        <v>4705</v>
      </c>
      <c r="E631" t="s">
        <v>4867</v>
      </c>
      <c r="F631">
        <v>45</v>
      </c>
      <c r="G631" t="s">
        <v>4872</v>
      </c>
      <c r="H631" t="s">
        <v>4887</v>
      </c>
      <c r="I631" t="s">
        <v>4899</v>
      </c>
      <c r="J631" t="s">
        <v>4911</v>
      </c>
      <c r="K631" t="s">
        <v>4924</v>
      </c>
      <c r="L631" t="s">
        <v>4934</v>
      </c>
      <c r="M631" t="s">
        <v>4942</v>
      </c>
      <c r="N631" s="11">
        <v>12025.79</v>
      </c>
      <c r="O631" t="s">
        <v>15</v>
      </c>
      <c r="P631" t="s">
        <v>4952</v>
      </c>
      <c r="R631">
        <v>90</v>
      </c>
      <c r="S631" t="str">
        <f t="shared" si="27"/>
        <v>Middle-Aged</v>
      </c>
      <c r="T631" t="str">
        <f t="shared" si="28"/>
        <v>High</v>
      </c>
      <c r="U631" t="str">
        <f t="shared" si="29"/>
        <v>Short Days</v>
      </c>
    </row>
    <row r="632" spans="1:21">
      <c r="A632" t="s">
        <v>648</v>
      </c>
      <c r="B632" s="5">
        <v>45847</v>
      </c>
      <c r="C632" t="s">
        <v>3565</v>
      </c>
      <c r="D632" t="s">
        <v>4827</v>
      </c>
      <c r="E632" t="s">
        <v>4867</v>
      </c>
      <c r="F632">
        <v>17</v>
      </c>
      <c r="G632" t="s">
        <v>4872</v>
      </c>
      <c r="H632" t="s">
        <v>4887</v>
      </c>
      <c r="I632" t="s">
        <v>4900</v>
      </c>
      <c r="J632" t="s">
        <v>4913</v>
      </c>
      <c r="K632" t="s">
        <v>4924</v>
      </c>
      <c r="L632" t="s">
        <v>4941</v>
      </c>
      <c r="M632" t="s">
        <v>4944</v>
      </c>
      <c r="N632" s="11">
        <v>18692.189999999999</v>
      </c>
      <c r="O632" t="s">
        <v>4949</v>
      </c>
      <c r="P632" t="s">
        <v>4951</v>
      </c>
      <c r="S632" t="str">
        <f t="shared" si="27"/>
        <v>Child</v>
      </c>
      <c r="T632" t="str">
        <f t="shared" si="28"/>
        <v>High</v>
      </c>
      <c r="U632" t="str">
        <f t="shared" si="29"/>
        <v>Short Days</v>
      </c>
    </row>
    <row r="633" spans="1:21">
      <c r="A633" t="s">
        <v>649</v>
      </c>
      <c r="B633" s="5">
        <v>45622</v>
      </c>
      <c r="C633" t="s">
        <v>3566</v>
      </c>
      <c r="D633" t="s">
        <v>4654</v>
      </c>
      <c r="E633" t="s">
        <v>4866</v>
      </c>
      <c r="F633">
        <v>66</v>
      </c>
      <c r="G633" t="s">
        <v>4873</v>
      </c>
      <c r="H633" t="s">
        <v>4888</v>
      </c>
      <c r="I633" t="s">
        <v>4898</v>
      </c>
      <c r="J633" t="s">
        <v>4923</v>
      </c>
      <c r="K633" t="s">
        <v>4930</v>
      </c>
      <c r="L633" t="s">
        <v>4940</v>
      </c>
      <c r="M633" t="s">
        <v>4944</v>
      </c>
      <c r="N633" s="11">
        <v>9239.5300000000007</v>
      </c>
      <c r="O633" t="s">
        <v>4947</v>
      </c>
      <c r="P633" t="s">
        <v>4951</v>
      </c>
      <c r="S633" t="str">
        <f t="shared" si="27"/>
        <v>Senior</v>
      </c>
      <c r="T633" t="str">
        <f t="shared" si="28"/>
        <v>Medium</v>
      </c>
      <c r="U633" t="str">
        <f t="shared" si="29"/>
        <v>Short Days</v>
      </c>
    </row>
    <row r="634" spans="1:21">
      <c r="A634" t="s">
        <v>650</v>
      </c>
      <c r="B634" s="5">
        <v>45435</v>
      </c>
      <c r="C634" t="s">
        <v>3436</v>
      </c>
      <c r="D634" t="s">
        <v>4643</v>
      </c>
      <c r="E634" t="s">
        <v>4867</v>
      </c>
      <c r="F634">
        <v>38</v>
      </c>
      <c r="G634" t="s">
        <v>4881</v>
      </c>
      <c r="H634" t="s">
        <v>4881</v>
      </c>
      <c r="I634" t="s">
        <v>4901</v>
      </c>
      <c r="J634" t="s">
        <v>4914</v>
      </c>
      <c r="K634" t="s">
        <v>4930</v>
      </c>
      <c r="L634" t="s">
        <v>4937</v>
      </c>
      <c r="M634" t="s">
        <v>4942</v>
      </c>
      <c r="N634" s="11">
        <v>17620.02</v>
      </c>
      <c r="O634" t="s">
        <v>15</v>
      </c>
      <c r="P634" t="s">
        <v>4952</v>
      </c>
      <c r="R634">
        <v>14</v>
      </c>
      <c r="S634" t="str">
        <f t="shared" si="27"/>
        <v>Adult</v>
      </c>
      <c r="T634" t="str">
        <f t="shared" si="28"/>
        <v>High</v>
      </c>
      <c r="U634" t="str">
        <f t="shared" si="29"/>
        <v>Short Days</v>
      </c>
    </row>
    <row r="635" spans="1:21">
      <c r="A635" t="s">
        <v>651</v>
      </c>
      <c r="B635" s="5">
        <v>45440</v>
      </c>
      <c r="C635" t="s">
        <v>3529</v>
      </c>
      <c r="D635" t="s">
        <v>4668</v>
      </c>
      <c r="E635" t="s">
        <v>4867</v>
      </c>
      <c r="F635">
        <v>27</v>
      </c>
      <c r="G635" t="s">
        <v>4869</v>
      </c>
      <c r="H635" t="s">
        <v>4884</v>
      </c>
      <c r="I635" t="s">
        <v>4899</v>
      </c>
      <c r="J635" t="s">
        <v>4912</v>
      </c>
      <c r="K635" t="s">
        <v>4931</v>
      </c>
      <c r="L635" t="s">
        <v>4937</v>
      </c>
      <c r="M635" t="s">
        <v>4942</v>
      </c>
      <c r="N635" s="11">
        <v>751.06</v>
      </c>
      <c r="O635" t="s">
        <v>4947</v>
      </c>
      <c r="P635" t="s">
        <v>4951</v>
      </c>
      <c r="S635" t="str">
        <f t="shared" si="27"/>
        <v>Adult</v>
      </c>
      <c r="T635" t="str">
        <f t="shared" si="28"/>
        <v>Low</v>
      </c>
      <c r="U635" t="str">
        <f t="shared" si="29"/>
        <v>Short Days</v>
      </c>
    </row>
    <row r="636" spans="1:21">
      <c r="A636" t="s">
        <v>652</v>
      </c>
      <c r="B636" s="5">
        <v>45403</v>
      </c>
      <c r="C636" t="s">
        <v>3567</v>
      </c>
      <c r="D636" t="s">
        <v>4690</v>
      </c>
      <c r="E636" t="s">
        <v>4866</v>
      </c>
      <c r="F636">
        <v>41</v>
      </c>
      <c r="G636" t="s">
        <v>4872</v>
      </c>
      <c r="H636" t="s">
        <v>4887</v>
      </c>
      <c r="I636" t="s">
        <v>4902</v>
      </c>
      <c r="J636" t="s">
        <v>4916</v>
      </c>
      <c r="K636" t="s">
        <v>4929</v>
      </c>
      <c r="L636" t="s">
        <v>4937</v>
      </c>
      <c r="M636" t="s">
        <v>4944</v>
      </c>
      <c r="N636" s="11">
        <v>8602.17</v>
      </c>
      <c r="O636" t="s">
        <v>4947</v>
      </c>
      <c r="P636" t="s">
        <v>4951</v>
      </c>
      <c r="S636" t="str">
        <f t="shared" si="27"/>
        <v>Middle-Aged</v>
      </c>
      <c r="T636" t="str">
        <f t="shared" si="28"/>
        <v>Medium</v>
      </c>
      <c r="U636" t="str">
        <f t="shared" si="29"/>
        <v>Short Days</v>
      </c>
    </row>
    <row r="637" spans="1:21">
      <c r="A637" t="s">
        <v>653</v>
      </c>
      <c r="B637" s="5">
        <v>45818</v>
      </c>
      <c r="C637" t="s">
        <v>3568</v>
      </c>
      <c r="D637" t="s">
        <v>4666</v>
      </c>
      <c r="E637" t="s">
        <v>4866</v>
      </c>
      <c r="F637">
        <v>61</v>
      </c>
      <c r="G637" t="s">
        <v>4875</v>
      </c>
      <c r="H637" t="s">
        <v>4889</v>
      </c>
      <c r="I637" t="s">
        <v>4894</v>
      </c>
      <c r="J637" t="s">
        <v>4904</v>
      </c>
      <c r="K637" t="s">
        <v>4927</v>
      </c>
      <c r="L637" t="s">
        <v>4941</v>
      </c>
      <c r="M637" t="s">
        <v>4944</v>
      </c>
      <c r="N637" s="11">
        <v>6593.66</v>
      </c>
      <c r="O637" t="s">
        <v>15</v>
      </c>
      <c r="P637" t="s">
        <v>4952</v>
      </c>
      <c r="S637" t="str">
        <f t="shared" si="27"/>
        <v>Senior</v>
      </c>
      <c r="T637" t="str">
        <f t="shared" si="28"/>
        <v>Medium</v>
      </c>
      <c r="U637" t="str">
        <f t="shared" si="29"/>
        <v>Short Days</v>
      </c>
    </row>
    <row r="638" spans="1:21">
      <c r="A638" t="s">
        <v>654</v>
      </c>
      <c r="B638" s="5">
        <v>45885</v>
      </c>
      <c r="C638" t="s">
        <v>3517</v>
      </c>
      <c r="D638" t="s">
        <v>4591</v>
      </c>
      <c r="E638" t="s">
        <v>4867</v>
      </c>
      <c r="F638">
        <v>0</v>
      </c>
      <c r="G638" t="s">
        <v>4877</v>
      </c>
      <c r="H638" t="s">
        <v>4888</v>
      </c>
      <c r="I638" t="s">
        <v>4899</v>
      </c>
      <c r="J638" t="s">
        <v>4912</v>
      </c>
      <c r="K638" t="s">
        <v>4929</v>
      </c>
      <c r="L638" t="s">
        <v>4937</v>
      </c>
      <c r="M638" t="s">
        <v>4945</v>
      </c>
      <c r="N638" s="11">
        <v>6534.85</v>
      </c>
      <c r="O638" t="s">
        <v>4946</v>
      </c>
      <c r="P638" t="s">
        <v>4951</v>
      </c>
      <c r="Q638">
        <v>6</v>
      </c>
      <c r="R638">
        <v>7</v>
      </c>
      <c r="S638" t="str">
        <f t="shared" si="27"/>
        <v>Child</v>
      </c>
      <c r="T638" t="str">
        <f t="shared" si="28"/>
        <v>Medium</v>
      </c>
      <c r="U638" t="str">
        <f t="shared" si="29"/>
        <v>Long Days</v>
      </c>
    </row>
    <row r="639" spans="1:21">
      <c r="A639" t="s">
        <v>655</v>
      </c>
      <c r="B639" s="5">
        <v>45693</v>
      </c>
      <c r="C639" t="s">
        <v>3207</v>
      </c>
      <c r="D639" t="s">
        <v>4748</v>
      </c>
      <c r="E639" t="s">
        <v>4866</v>
      </c>
      <c r="F639">
        <v>71</v>
      </c>
      <c r="G639" t="s">
        <v>4870</v>
      </c>
      <c r="H639" t="s">
        <v>4885</v>
      </c>
      <c r="I639" t="s">
        <v>4894</v>
      </c>
      <c r="J639" t="s">
        <v>4904</v>
      </c>
      <c r="K639" t="s">
        <v>4933</v>
      </c>
      <c r="L639" t="s">
        <v>4941</v>
      </c>
      <c r="M639" t="s">
        <v>4942</v>
      </c>
      <c r="N639" s="11">
        <v>4965.46</v>
      </c>
      <c r="O639" t="s">
        <v>15</v>
      </c>
      <c r="P639" t="s">
        <v>4952</v>
      </c>
      <c r="R639">
        <v>14</v>
      </c>
      <c r="S639" t="str">
        <f t="shared" si="27"/>
        <v>Senior</v>
      </c>
      <c r="T639" t="str">
        <f t="shared" si="28"/>
        <v>Low</v>
      </c>
      <c r="U639" t="str">
        <f t="shared" si="29"/>
        <v>Short Days</v>
      </c>
    </row>
    <row r="640" spans="1:21">
      <c r="A640" t="s">
        <v>656</v>
      </c>
      <c r="B640" s="5">
        <v>45549</v>
      </c>
      <c r="C640" t="s">
        <v>3321</v>
      </c>
      <c r="D640" t="s">
        <v>4625</v>
      </c>
      <c r="E640" t="s">
        <v>4867</v>
      </c>
      <c r="F640">
        <v>31</v>
      </c>
      <c r="G640" t="s">
        <v>4870</v>
      </c>
      <c r="H640" t="s">
        <v>4885</v>
      </c>
      <c r="I640" t="s">
        <v>4894</v>
      </c>
      <c r="J640" t="s">
        <v>4904</v>
      </c>
      <c r="K640" t="s">
        <v>4932</v>
      </c>
      <c r="L640" t="s">
        <v>4934</v>
      </c>
      <c r="M640" t="s">
        <v>4943</v>
      </c>
      <c r="N640" s="11">
        <v>12216.28</v>
      </c>
      <c r="O640" t="s">
        <v>4949</v>
      </c>
      <c r="P640" t="s">
        <v>4951</v>
      </c>
      <c r="R640">
        <v>7</v>
      </c>
      <c r="S640" t="str">
        <f t="shared" si="27"/>
        <v>Adult</v>
      </c>
      <c r="T640" t="str">
        <f t="shared" si="28"/>
        <v>High</v>
      </c>
      <c r="U640" t="str">
        <f t="shared" si="29"/>
        <v>Short Days</v>
      </c>
    </row>
    <row r="641" spans="1:21">
      <c r="A641" t="s">
        <v>657</v>
      </c>
      <c r="B641" s="5">
        <v>45649</v>
      </c>
      <c r="C641" t="s">
        <v>3569</v>
      </c>
      <c r="D641" t="s">
        <v>4836</v>
      </c>
      <c r="E641" t="s">
        <v>4867</v>
      </c>
      <c r="F641">
        <v>16</v>
      </c>
      <c r="G641" t="s">
        <v>4875</v>
      </c>
      <c r="H641" t="s">
        <v>4889</v>
      </c>
      <c r="I641" t="s">
        <v>4897</v>
      </c>
      <c r="J641" t="s">
        <v>4922</v>
      </c>
      <c r="K641" t="s">
        <v>4927</v>
      </c>
      <c r="L641" t="s">
        <v>4940</v>
      </c>
      <c r="M641" t="s">
        <v>4944</v>
      </c>
      <c r="N641" s="11">
        <v>6244.43</v>
      </c>
      <c r="O641" t="s">
        <v>4948</v>
      </c>
      <c r="P641" t="s">
        <v>4951</v>
      </c>
      <c r="S641" t="str">
        <f t="shared" si="27"/>
        <v>Child</v>
      </c>
      <c r="T641" t="str">
        <f t="shared" si="28"/>
        <v>Medium</v>
      </c>
      <c r="U641" t="str">
        <f t="shared" si="29"/>
        <v>Short Days</v>
      </c>
    </row>
    <row r="642" spans="1:21">
      <c r="A642" t="s">
        <v>658</v>
      </c>
      <c r="B642" s="5">
        <v>45676</v>
      </c>
      <c r="C642" t="s">
        <v>3570</v>
      </c>
      <c r="D642" t="s">
        <v>4713</v>
      </c>
      <c r="E642" t="s">
        <v>4866</v>
      </c>
      <c r="F642">
        <v>9</v>
      </c>
      <c r="G642" t="s">
        <v>4872</v>
      </c>
      <c r="H642" t="s">
        <v>4887</v>
      </c>
      <c r="I642" t="s">
        <v>4896</v>
      </c>
      <c r="J642" t="s">
        <v>4908</v>
      </c>
      <c r="K642" t="s">
        <v>4924</v>
      </c>
      <c r="L642" t="s">
        <v>4936</v>
      </c>
      <c r="M642" t="s">
        <v>4942</v>
      </c>
      <c r="N642" s="11">
        <v>13618.68</v>
      </c>
      <c r="O642" t="s">
        <v>4947</v>
      </c>
      <c r="P642" t="s">
        <v>4951</v>
      </c>
      <c r="R642">
        <v>14</v>
      </c>
      <c r="S642" t="str">
        <f t="shared" si="27"/>
        <v>Child</v>
      </c>
      <c r="T642" t="str">
        <f t="shared" si="28"/>
        <v>High</v>
      </c>
      <c r="U642" t="str">
        <f t="shared" si="29"/>
        <v>Short Days</v>
      </c>
    </row>
    <row r="643" spans="1:21">
      <c r="A643" t="s">
        <v>659</v>
      </c>
      <c r="B643" s="5">
        <v>45601</v>
      </c>
      <c r="C643" t="s">
        <v>3326</v>
      </c>
      <c r="D643" t="s">
        <v>4832</v>
      </c>
      <c r="E643" t="s">
        <v>4866</v>
      </c>
      <c r="F643">
        <v>31</v>
      </c>
      <c r="G643" t="s">
        <v>4881</v>
      </c>
      <c r="H643" t="s">
        <v>4881</v>
      </c>
      <c r="I643" t="s">
        <v>4894</v>
      </c>
      <c r="J643" t="s">
        <v>4910</v>
      </c>
      <c r="K643" t="s">
        <v>4928</v>
      </c>
      <c r="L643" t="s">
        <v>4939</v>
      </c>
      <c r="M643" t="s">
        <v>4942</v>
      </c>
      <c r="N643" s="11">
        <v>4005.15</v>
      </c>
      <c r="O643" t="s">
        <v>4946</v>
      </c>
      <c r="P643" t="s">
        <v>4951</v>
      </c>
      <c r="R643">
        <v>90</v>
      </c>
      <c r="S643" t="str">
        <f t="shared" ref="S643:S706" si="30">IF(F643&lt;18,"Child",IF(F643&lt;=40,"Adult",IF(F643&lt;=60,"Middle-Aged",IF(F643,"Senior"))))</f>
        <v>Adult</v>
      </c>
      <c r="T643" t="str">
        <f t="shared" ref="T643:T706" si="31">IF(N643&lt;=5000,"Low",IF(N643&lt;=10000,"Medium","High"))</f>
        <v>Low</v>
      </c>
      <c r="U643" t="str">
        <f t="shared" ref="U643:U706" si="32">IF(Q643&lt;=5,"Short Days","Long Days")</f>
        <v>Short Days</v>
      </c>
    </row>
    <row r="644" spans="1:21">
      <c r="A644" t="s">
        <v>660</v>
      </c>
      <c r="B644" s="5">
        <v>45664</v>
      </c>
      <c r="C644" t="s">
        <v>3571</v>
      </c>
      <c r="D644" t="s">
        <v>4756</v>
      </c>
      <c r="E644" t="s">
        <v>4867</v>
      </c>
      <c r="F644">
        <v>52</v>
      </c>
      <c r="G644" t="s">
        <v>4880</v>
      </c>
      <c r="H644" t="s">
        <v>4890</v>
      </c>
      <c r="I644" t="s">
        <v>4899</v>
      </c>
      <c r="J644" t="s">
        <v>4912</v>
      </c>
      <c r="K644" t="s">
        <v>4924</v>
      </c>
      <c r="L644" t="s">
        <v>4940</v>
      </c>
      <c r="M644" t="s">
        <v>4942</v>
      </c>
      <c r="N644" s="11">
        <v>627.54999999999995</v>
      </c>
      <c r="O644" t="s">
        <v>4947</v>
      </c>
      <c r="P644" t="s">
        <v>4951</v>
      </c>
      <c r="S644" t="str">
        <f t="shared" si="30"/>
        <v>Middle-Aged</v>
      </c>
      <c r="T644" t="str">
        <f t="shared" si="31"/>
        <v>Low</v>
      </c>
      <c r="U644" t="str">
        <f t="shared" si="32"/>
        <v>Short Days</v>
      </c>
    </row>
    <row r="645" spans="1:21">
      <c r="A645" t="s">
        <v>661</v>
      </c>
      <c r="B645" s="5">
        <v>45880</v>
      </c>
      <c r="C645" t="s">
        <v>3572</v>
      </c>
      <c r="D645" t="s">
        <v>4608</v>
      </c>
      <c r="E645" t="s">
        <v>4866</v>
      </c>
      <c r="F645">
        <v>62</v>
      </c>
      <c r="G645" t="s">
        <v>4882</v>
      </c>
      <c r="H645" t="s">
        <v>4891</v>
      </c>
      <c r="I645" t="s">
        <v>4896</v>
      </c>
      <c r="J645" t="s">
        <v>4906</v>
      </c>
      <c r="K645" t="s">
        <v>4927</v>
      </c>
      <c r="L645" t="s">
        <v>4934</v>
      </c>
      <c r="M645" t="s">
        <v>4942</v>
      </c>
      <c r="N645" s="11">
        <v>4403.41</v>
      </c>
      <c r="O645" t="s">
        <v>4946</v>
      </c>
      <c r="P645" t="s">
        <v>4951</v>
      </c>
      <c r="R645">
        <v>30</v>
      </c>
      <c r="S645" t="str">
        <f t="shared" si="30"/>
        <v>Senior</v>
      </c>
      <c r="T645" t="str">
        <f t="shared" si="31"/>
        <v>Low</v>
      </c>
      <c r="U645" t="str">
        <f t="shared" si="32"/>
        <v>Short Days</v>
      </c>
    </row>
    <row r="646" spans="1:21">
      <c r="A646" t="s">
        <v>662</v>
      </c>
      <c r="B646" s="5">
        <v>45345</v>
      </c>
      <c r="C646" t="s">
        <v>3573</v>
      </c>
      <c r="D646" t="s">
        <v>4741</v>
      </c>
      <c r="E646" t="s">
        <v>4866</v>
      </c>
      <c r="F646">
        <v>44</v>
      </c>
      <c r="G646" t="s">
        <v>4875</v>
      </c>
      <c r="H646" t="s">
        <v>4889</v>
      </c>
      <c r="I646" t="s">
        <v>4901</v>
      </c>
      <c r="J646" t="s">
        <v>4914</v>
      </c>
      <c r="K646" t="s">
        <v>4930</v>
      </c>
      <c r="L646" t="s">
        <v>4941</v>
      </c>
      <c r="M646" t="s">
        <v>4944</v>
      </c>
      <c r="N646" s="11">
        <v>6324.3</v>
      </c>
      <c r="O646" t="s">
        <v>4947</v>
      </c>
      <c r="P646" t="s">
        <v>4951</v>
      </c>
      <c r="S646" t="str">
        <f t="shared" si="30"/>
        <v>Middle-Aged</v>
      </c>
      <c r="T646" t="str">
        <f t="shared" si="31"/>
        <v>Medium</v>
      </c>
      <c r="U646" t="str">
        <f t="shared" si="32"/>
        <v>Short Days</v>
      </c>
    </row>
    <row r="647" spans="1:21">
      <c r="A647" t="s">
        <v>663</v>
      </c>
      <c r="B647" s="5">
        <v>45593</v>
      </c>
      <c r="C647" t="s">
        <v>3574</v>
      </c>
      <c r="D647" t="s">
        <v>4814</v>
      </c>
      <c r="E647" t="s">
        <v>4868</v>
      </c>
      <c r="F647">
        <v>40</v>
      </c>
      <c r="G647" t="s">
        <v>4883</v>
      </c>
      <c r="H647" t="s">
        <v>4892</v>
      </c>
      <c r="I647" t="s">
        <v>4902</v>
      </c>
      <c r="J647" t="s">
        <v>4920</v>
      </c>
      <c r="K647" t="s">
        <v>4927</v>
      </c>
      <c r="L647" t="s">
        <v>4935</v>
      </c>
      <c r="M647" t="s">
        <v>4944</v>
      </c>
      <c r="N647" s="11">
        <v>7749.33</v>
      </c>
      <c r="O647" t="s">
        <v>4948</v>
      </c>
      <c r="P647" t="s">
        <v>4951</v>
      </c>
      <c r="S647" t="str">
        <f t="shared" si="30"/>
        <v>Adult</v>
      </c>
      <c r="T647" t="str">
        <f t="shared" si="31"/>
        <v>Medium</v>
      </c>
      <c r="U647" t="str">
        <f t="shared" si="32"/>
        <v>Short Days</v>
      </c>
    </row>
    <row r="648" spans="1:21">
      <c r="A648" t="s">
        <v>664</v>
      </c>
      <c r="B648" s="5">
        <v>45341</v>
      </c>
      <c r="C648" t="s">
        <v>3575</v>
      </c>
      <c r="D648" t="s">
        <v>4703</v>
      </c>
      <c r="E648" t="s">
        <v>4867</v>
      </c>
      <c r="F648">
        <v>61</v>
      </c>
      <c r="G648" t="s">
        <v>4882</v>
      </c>
      <c r="H648" t="s">
        <v>4891</v>
      </c>
      <c r="I648" t="s">
        <v>4897</v>
      </c>
      <c r="J648" t="s">
        <v>4907</v>
      </c>
      <c r="K648" t="s">
        <v>4924</v>
      </c>
      <c r="L648" t="s">
        <v>4941</v>
      </c>
      <c r="M648" t="s">
        <v>4943</v>
      </c>
      <c r="N648" s="11">
        <v>21981.84</v>
      </c>
      <c r="O648" t="s">
        <v>15</v>
      </c>
      <c r="P648" t="s">
        <v>4952</v>
      </c>
      <c r="R648">
        <v>14</v>
      </c>
      <c r="S648" t="str">
        <f t="shared" si="30"/>
        <v>Senior</v>
      </c>
      <c r="T648" t="str">
        <f t="shared" si="31"/>
        <v>High</v>
      </c>
      <c r="U648" t="str">
        <f t="shared" si="32"/>
        <v>Short Days</v>
      </c>
    </row>
    <row r="649" spans="1:21">
      <c r="A649" t="s">
        <v>665</v>
      </c>
      <c r="B649" s="5">
        <v>45464</v>
      </c>
      <c r="C649" t="s">
        <v>3576</v>
      </c>
      <c r="D649" t="s">
        <v>4678</v>
      </c>
      <c r="E649" t="s">
        <v>4866</v>
      </c>
      <c r="F649">
        <v>55</v>
      </c>
      <c r="G649" t="s">
        <v>4874</v>
      </c>
      <c r="H649" t="s">
        <v>4886</v>
      </c>
      <c r="I649" t="s">
        <v>4900</v>
      </c>
      <c r="J649" t="s">
        <v>4919</v>
      </c>
      <c r="K649" t="s">
        <v>4927</v>
      </c>
      <c r="L649" t="s">
        <v>4940</v>
      </c>
      <c r="M649" t="s">
        <v>4945</v>
      </c>
      <c r="N649" s="11">
        <v>14747.4</v>
      </c>
      <c r="O649" t="s">
        <v>4948</v>
      </c>
      <c r="P649" t="s">
        <v>4951</v>
      </c>
      <c r="Q649">
        <v>8</v>
      </c>
      <c r="S649" t="str">
        <f t="shared" si="30"/>
        <v>Middle-Aged</v>
      </c>
      <c r="T649" t="str">
        <f t="shared" si="31"/>
        <v>High</v>
      </c>
      <c r="U649" t="str">
        <f t="shared" si="32"/>
        <v>Long Days</v>
      </c>
    </row>
    <row r="650" spans="1:21">
      <c r="A650" t="s">
        <v>666</v>
      </c>
      <c r="B650" s="5">
        <v>45750</v>
      </c>
      <c r="C650" t="s">
        <v>3321</v>
      </c>
      <c r="D650" t="s">
        <v>4834</v>
      </c>
      <c r="E650" t="s">
        <v>4867</v>
      </c>
      <c r="F650">
        <v>59</v>
      </c>
      <c r="G650" t="s">
        <v>4883</v>
      </c>
      <c r="H650" t="s">
        <v>4892</v>
      </c>
      <c r="I650" t="s">
        <v>4893</v>
      </c>
      <c r="J650" t="s">
        <v>4917</v>
      </c>
      <c r="K650" t="s">
        <v>4925</v>
      </c>
      <c r="L650" t="s">
        <v>4938</v>
      </c>
      <c r="M650" t="s">
        <v>4942</v>
      </c>
      <c r="N650" s="11">
        <v>8900.2000000000007</v>
      </c>
      <c r="O650" t="s">
        <v>4947</v>
      </c>
      <c r="P650" t="s">
        <v>4951</v>
      </c>
      <c r="S650" t="str">
        <f t="shared" si="30"/>
        <v>Middle-Aged</v>
      </c>
      <c r="T650" t="str">
        <f t="shared" si="31"/>
        <v>Medium</v>
      </c>
      <c r="U650" t="str">
        <f t="shared" si="32"/>
        <v>Short Days</v>
      </c>
    </row>
    <row r="651" spans="1:21">
      <c r="A651" t="s">
        <v>667</v>
      </c>
      <c r="B651" s="5">
        <v>45810</v>
      </c>
      <c r="C651" t="s">
        <v>3577</v>
      </c>
      <c r="D651" t="s">
        <v>4674</v>
      </c>
      <c r="E651" t="s">
        <v>4867</v>
      </c>
      <c r="F651">
        <v>47</v>
      </c>
      <c r="G651" t="s">
        <v>4880</v>
      </c>
      <c r="H651" t="s">
        <v>4890</v>
      </c>
      <c r="I651" t="s">
        <v>4900</v>
      </c>
      <c r="J651" t="s">
        <v>4913</v>
      </c>
      <c r="K651" t="s">
        <v>4925</v>
      </c>
      <c r="L651" t="s">
        <v>4934</v>
      </c>
      <c r="M651" t="s">
        <v>4942</v>
      </c>
      <c r="N651" s="11">
        <v>1322.57</v>
      </c>
      <c r="O651" t="s">
        <v>4949</v>
      </c>
      <c r="P651" t="s">
        <v>4951</v>
      </c>
      <c r="S651" t="str">
        <f t="shared" si="30"/>
        <v>Middle-Aged</v>
      </c>
      <c r="T651" t="str">
        <f t="shared" si="31"/>
        <v>Low</v>
      </c>
      <c r="U651" t="str">
        <f t="shared" si="32"/>
        <v>Short Days</v>
      </c>
    </row>
    <row r="652" spans="1:21">
      <c r="A652" t="s">
        <v>668</v>
      </c>
      <c r="B652" s="5">
        <v>45961</v>
      </c>
      <c r="C652" t="s">
        <v>3578</v>
      </c>
      <c r="D652" t="s">
        <v>4598</v>
      </c>
      <c r="E652" t="s">
        <v>4866</v>
      </c>
      <c r="F652">
        <f>AVERAGE(F645,F651)</f>
        <v>54.5</v>
      </c>
      <c r="G652" t="s">
        <v>4881</v>
      </c>
      <c r="H652" t="s">
        <v>4888</v>
      </c>
      <c r="I652" t="s">
        <v>4901</v>
      </c>
      <c r="J652" t="s">
        <v>4914</v>
      </c>
      <c r="K652" t="s">
        <v>4953</v>
      </c>
      <c r="L652" t="s">
        <v>4936</v>
      </c>
      <c r="M652" t="s">
        <v>4942</v>
      </c>
      <c r="N652" s="11">
        <v>4477.82</v>
      </c>
      <c r="O652" t="s">
        <v>4948</v>
      </c>
      <c r="P652" t="s">
        <v>4951</v>
      </c>
      <c r="R652">
        <v>7</v>
      </c>
      <c r="S652" t="str">
        <f t="shared" si="30"/>
        <v>Middle-Aged</v>
      </c>
      <c r="T652" t="str">
        <f t="shared" si="31"/>
        <v>Low</v>
      </c>
      <c r="U652" t="str">
        <f t="shared" si="32"/>
        <v>Short Days</v>
      </c>
    </row>
    <row r="653" spans="1:21">
      <c r="A653" t="s">
        <v>669</v>
      </c>
      <c r="B653" s="5">
        <v>45553</v>
      </c>
      <c r="C653" t="s">
        <v>3361</v>
      </c>
      <c r="D653" t="s">
        <v>4693</v>
      </c>
      <c r="E653" t="s">
        <v>4867</v>
      </c>
      <c r="F653">
        <v>62</v>
      </c>
      <c r="G653" t="s">
        <v>4877</v>
      </c>
      <c r="H653" t="s">
        <v>4888</v>
      </c>
      <c r="I653" t="s">
        <v>4901</v>
      </c>
      <c r="J653" t="s">
        <v>4914</v>
      </c>
      <c r="K653" t="s">
        <v>4925</v>
      </c>
      <c r="L653" t="s">
        <v>4938</v>
      </c>
      <c r="M653" t="s">
        <v>4944</v>
      </c>
      <c r="N653" s="11">
        <v>12287.15</v>
      </c>
      <c r="O653" t="s">
        <v>15</v>
      </c>
      <c r="P653" t="s">
        <v>4952</v>
      </c>
      <c r="R653">
        <v>90</v>
      </c>
      <c r="S653" t="str">
        <f t="shared" si="30"/>
        <v>Senior</v>
      </c>
      <c r="T653" t="str">
        <f t="shared" si="31"/>
        <v>High</v>
      </c>
      <c r="U653" t="str">
        <f t="shared" si="32"/>
        <v>Short Days</v>
      </c>
    </row>
    <row r="654" spans="1:21">
      <c r="A654" t="s">
        <v>670</v>
      </c>
      <c r="B654" s="5">
        <v>45933</v>
      </c>
      <c r="C654" t="s">
        <v>3579</v>
      </c>
      <c r="D654" t="s">
        <v>4830</v>
      </c>
      <c r="E654" t="s">
        <v>4866</v>
      </c>
      <c r="F654">
        <v>42</v>
      </c>
      <c r="G654" t="s">
        <v>4879</v>
      </c>
      <c r="H654" t="s">
        <v>4888</v>
      </c>
      <c r="I654" t="s">
        <v>4901</v>
      </c>
      <c r="J654" t="s">
        <v>4921</v>
      </c>
      <c r="K654" t="s">
        <v>4927</v>
      </c>
      <c r="L654" t="s">
        <v>4934</v>
      </c>
      <c r="M654" t="s">
        <v>4942</v>
      </c>
      <c r="N654" s="11">
        <v>6860.38</v>
      </c>
      <c r="O654" t="s">
        <v>15</v>
      </c>
      <c r="P654" t="s">
        <v>4952</v>
      </c>
      <c r="R654">
        <v>90</v>
      </c>
      <c r="S654" t="str">
        <f t="shared" si="30"/>
        <v>Middle-Aged</v>
      </c>
      <c r="T654" t="str">
        <f t="shared" si="31"/>
        <v>Medium</v>
      </c>
      <c r="U654" t="str">
        <f t="shared" si="32"/>
        <v>Short Days</v>
      </c>
    </row>
    <row r="655" spans="1:21">
      <c r="A655" t="s">
        <v>671</v>
      </c>
      <c r="B655" s="5">
        <v>45624</v>
      </c>
      <c r="C655" t="s">
        <v>3580</v>
      </c>
      <c r="D655" t="s">
        <v>4837</v>
      </c>
      <c r="E655" t="s">
        <v>4866</v>
      </c>
      <c r="F655">
        <v>60</v>
      </c>
      <c r="G655" t="s">
        <v>4870</v>
      </c>
      <c r="H655" t="s">
        <v>4885</v>
      </c>
      <c r="I655" t="s">
        <v>4895</v>
      </c>
      <c r="J655" t="s">
        <v>4915</v>
      </c>
      <c r="K655" t="s">
        <v>4932</v>
      </c>
      <c r="L655" t="s">
        <v>4939</v>
      </c>
      <c r="M655" t="s">
        <v>4943</v>
      </c>
      <c r="N655" s="11">
        <v>24459.8</v>
      </c>
      <c r="O655" t="s">
        <v>4948</v>
      </c>
      <c r="P655" t="s">
        <v>4951</v>
      </c>
      <c r="R655">
        <v>14</v>
      </c>
      <c r="S655" t="str">
        <f t="shared" si="30"/>
        <v>Middle-Aged</v>
      </c>
      <c r="T655" t="str">
        <f t="shared" si="31"/>
        <v>High</v>
      </c>
      <c r="U655" t="str">
        <f t="shared" si="32"/>
        <v>Short Days</v>
      </c>
    </row>
    <row r="656" spans="1:21">
      <c r="A656" t="s">
        <v>672</v>
      </c>
      <c r="B656" s="5">
        <v>45726</v>
      </c>
      <c r="C656" t="s">
        <v>3238</v>
      </c>
      <c r="D656" t="s">
        <v>4792</v>
      </c>
      <c r="E656" t="s">
        <v>4867</v>
      </c>
      <c r="F656">
        <v>42</v>
      </c>
      <c r="G656" t="s">
        <v>4881</v>
      </c>
      <c r="H656" t="s">
        <v>4881</v>
      </c>
      <c r="I656" t="s">
        <v>4893</v>
      </c>
      <c r="J656" t="s">
        <v>4903</v>
      </c>
      <c r="K656" t="s">
        <v>4928</v>
      </c>
      <c r="L656" t="s">
        <v>4934</v>
      </c>
      <c r="M656" t="s">
        <v>4942</v>
      </c>
      <c r="N656" s="11">
        <v>135.69</v>
      </c>
      <c r="O656" t="s">
        <v>4947</v>
      </c>
      <c r="P656" t="s">
        <v>4951</v>
      </c>
      <c r="R656">
        <v>7</v>
      </c>
      <c r="S656" t="str">
        <f t="shared" si="30"/>
        <v>Middle-Aged</v>
      </c>
      <c r="T656" t="str">
        <f t="shared" si="31"/>
        <v>Low</v>
      </c>
      <c r="U656" t="str">
        <f t="shared" si="32"/>
        <v>Short Days</v>
      </c>
    </row>
    <row r="657" spans="1:21">
      <c r="A657" t="s">
        <v>673</v>
      </c>
      <c r="B657" s="5">
        <v>45785</v>
      </c>
      <c r="C657" t="s">
        <v>3581</v>
      </c>
      <c r="D657" t="s">
        <v>4764</v>
      </c>
      <c r="E657" t="s">
        <v>4867</v>
      </c>
      <c r="F657">
        <v>36</v>
      </c>
      <c r="G657" t="s">
        <v>4880</v>
      </c>
      <c r="H657" t="s">
        <v>4890</v>
      </c>
      <c r="I657" t="s">
        <v>4896</v>
      </c>
      <c r="J657" t="s">
        <v>4906</v>
      </c>
      <c r="K657" t="s">
        <v>4924</v>
      </c>
      <c r="L657" t="s">
        <v>4938</v>
      </c>
      <c r="M657" t="s">
        <v>4942</v>
      </c>
      <c r="N657" s="11">
        <v>6317.08</v>
      </c>
      <c r="O657" t="s">
        <v>15</v>
      </c>
      <c r="P657" t="s">
        <v>4952</v>
      </c>
      <c r="R657">
        <v>7</v>
      </c>
      <c r="S657" t="str">
        <f t="shared" si="30"/>
        <v>Adult</v>
      </c>
      <c r="T657" t="str">
        <f t="shared" si="31"/>
        <v>Medium</v>
      </c>
      <c r="U657" t="str">
        <f t="shared" si="32"/>
        <v>Short Days</v>
      </c>
    </row>
    <row r="658" spans="1:21">
      <c r="A658" t="s">
        <v>674</v>
      </c>
      <c r="B658" s="5">
        <v>45452</v>
      </c>
      <c r="C658" t="s">
        <v>3582</v>
      </c>
      <c r="D658" t="s">
        <v>4658</v>
      </c>
      <c r="E658" t="s">
        <v>4867</v>
      </c>
      <c r="F658">
        <v>32</v>
      </c>
      <c r="G658" t="s">
        <v>4877</v>
      </c>
      <c r="H658" t="s">
        <v>4888</v>
      </c>
      <c r="I658" t="s">
        <v>4897</v>
      </c>
      <c r="J658" t="s">
        <v>4922</v>
      </c>
      <c r="K658" t="s">
        <v>4932</v>
      </c>
      <c r="L658" t="s">
        <v>4937</v>
      </c>
      <c r="M658" t="s">
        <v>4942</v>
      </c>
      <c r="N658" s="11">
        <v>3431.96</v>
      </c>
      <c r="O658" t="s">
        <v>15</v>
      </c>
      <c r="P658" t="s">
        <v>4952</v>
      </c>
      <c r="R658">
        <v>90</v>
      </c>
      <c r="S658" t="str">
        <f t="shared" si="30"/>
        <v>Adult</v>
      </c>
      <c r="T658" t="str">
        <f t="shared" si="31"/>
        <v>Low</v>
      </c>
      <c r="U658" t="str">
        <f t="shared" si="32"/>
        <v>Short Days</v>
      </c>
    </row>
    <row r="659" spans="1:21">
      <c r="A659" t="s">
        <v>675</v>
      </c>
      <c r="B659" s="5">
        <v>45674</v>
      </c>
      <c r="C659" t="s">
        <v>3441</v>
      </c>
      <c r="D659" t="s">
        <v>4838</v>
      </c>
      <c r="E659" t="s">
        <v>4866</v>
      </c>
      <c r="F659">
        <v>51</v>
      </c>
      <c r="G659" t="s">
        <v>4869</v>
      </c>
      <c r="H659" t="s">
        <v>4884</v>
      </c>
      <c r="I659" t="s">
        <v>4894</v>
      </c>
      <c r="J659" t="s">
        <v>4910</v>
      </c>
      <c r="K659" t="s">
        <v>4933</v>
      </c>
      <c r="L659" t="s">
        <v>4936</v>
      </c>
      <c r="M659" t="s">
        <v>4942</v>
      </c>
      <c r="N659" s="11">
        <v>7198.96</v>
      </c>
      <c r="O659" t="s">
        <v>4947</v>
      </c>
      <c r="P659" t="s">
        <v>4951</v>
      </c>
      <c r="S659" t="str">
        <f t="shared" si="30"/>
        <v>Middle-Aged</v>
      </c>
      <c r="T659" t="str">
        <f t="shared" si="31"/>
        <v>Medium</v>
      </c>
      <c r="U659" t="str">
        <f t="shared" si="32"/>
        <v>Short Days</v>
      </c>
    </row>
    <row r="660" spans="1:21">
      <c r="A660" t="s">
        <v>676</v>
      </c>
      <c r="B660" s="5">
        <v>45418</v>
      </c>
      <c r="C660" t="s">
        <v>3546</v>
      </c>
      <c r="D660" t="s">
        <v>4634</v>
      </c>
      <c r="E660" t="s">
        <v>4866</v>
      </c>
      <c r="F660">
        <v>18</v>
      </c>
      <c r="G660" t="s">
        <v>4872</v>
      </c>
      <c r="H660" t="s">
        <v>4887</v>
      </c>
      <c r="I660" t="s">
        <v>4900</v>
      </c>
      <c r="J660" t="s">
        <v>4913</v>
      </c>
      <c r="K660" t="s">
        <v>4931</v>
      </c>
      <c r="L660" t="s">
        <v>4936</v>
      </c>
      <c r="M660" t="s">
        <v>4942</v>
      </c>
      <c r="N660" s="11">
        <v>4796.99</v>
      </c>
      <c r="O660" t="s">
        <v>4950</v>
      </c>
      <c r="P660" t="s">
        <v>4951</v>
      </c>
      <c r="S660" t="str">
        <f t="shared" si="30"/>
        <v>Adult</v>
      </c>
      <c r="T660" t="str">
        <f t="shared" si="31"/>
        <v>Low</v>
      </c>
      <c r="U660" t="str">
        <f t="shared" si="32"/>
        <v>Short Days</v>
      </c>
    </row>
    <row r="661" spans="1:21">
      <c r="A661" t="s">
        <v>677</v>
      </c>
      <c r="B661" s="5">
        <v>45561</v>
      </c>
      <c r="C661" t="s">
        <v>3583</v>
      </c>
      <c r="D661" t="s">
        <v>4818</v>
      </c>
      <c r="E661" t="s">
        <v>4867</v>
      </c>
      <c r="F661">
        <v>58</v>
      </c>
      <c r="G661" t="s">
        <v>4870</v>
      </c>
      <c r="H661" t="s">
        <v>4885</v>
      </c>
      <c r="I661" t="s">
        <v>4899</v>
      </c>
      <c r="J661" t="s">
        <v>4912</v>
      </c>
      <c r="K661" t="s">
        <v>4931</v>
      </c>
      <c r="L661" t="s">
        <v>4934</v>
      </c>
      <c r="M661" t="s">
        <v>4942</v>
      </c>
      <c r="N661" s="11">
        <v>9263.8700000000008</v>
      </c>
      <c r="O661" t="s">
        <v>4946</v>
      </c>
      <c r="P661" t="s">
        <v>4951</v>
      </c>
      <c r="R661">
        <v>7</v>
      </c>
      <c r="S661" t="str">
        <f t="shared" si="30"/>
        <v>Middle-Aged</v>
      </c>
      <c r="T661" t="str">
        <f t="shared" si="31"/>
        <v>Medium</v>
      </c>
      <c r="U661" t="str">
        <f t="shared" si="32"/>
        <v>Short Days</v>
      </c>
    </row>
    <row r="662" spans="1:21">
      <c r="A662" t="s">
        <v>678</v>
      </c>
      <c r="B662" s="5">
        <v>45485</v>
      </c>
      <c r="C662" t="s">
        <v>3356</v>
      </c>
      <c r="D662" t="s">
        <v>4832</v>
      </c>
      <c r="E662" t="s">
        <v>4867</v>
      </c>
      <c r="F662">
        <v>27</v>
      </c>
      <c r="G662" t="s">
        <v>4877</v>
      </c>
      <c r="H662" t="s">
        <v>4888</v>
      </c>
      <c r="I662" t="s">
        <v>4902</v>
      </c>
      <c r="J662" t="s">
        <v>4916</v>
      </c>
      <c r="K662" t="s">
        <v>4931</v>
      </c>
      <c r="L662" t="s">
        <v>4934</v>
      </c>
      <c r="M662" t="s">
        <v>4942</v>
      </c>
      <c r="N662" s="11">
        <v>2587.86</v>
      </c>
      <c r="O662" t="s">
        <v>4950</v>
      </c>
      <c r="P662" t="s">
        <v>4951</v>
      </c>
      <c r="R662">
        <v>90</v>
      </c>
      <c r="S662" t="str">
        <f t="shared" si="30"/>
        <v>Adult</v>
      </c>
      <c r="T662" t="str">
        <f t="shared" si="31"/>
        <v>Low</v>
      </c>
      <c r="U662" t="str">
        <f t="shared" si="32"/>
        <v>Short Days</v>
      </c>
    </row>
    <row r="663" spans="1:21">
      <c r="A663" t="s">
        <v>679</v>
      </c>
      <c r="B663" s="5">
        <v>45587</v>
      </c>
      <c r="C663" t="s">
        <v>3085</v>
      </c>
      <c r="D663" t="s">
        <v>4710</v>
      </c>
      <c r="E663" t="s">
        <v>4866</v>
      </c>
      <c r="F663">
        <v>13</v>
      </c>
      <c r="G663" t="s">
        <v>4876</v>
      </c>
      <c r="H663" t="s">
        <v>4888</v>
      </c>
      <c r="I663" t="s">
        <v>4902</v>
      </c>
      <c r="J663" t="s">
        <v>4916</v>
      </c>
      <c r="K663" t="s">
        <v>4924</v>
      </c>
      <c r="L663" t="s">
        <v>4936</v>
      </c>
      <c r="M663" t="s">
        <v>4942</v>
      </c>
      <c r="N663" s="11">
        <v>8415.25</v>
      </c>
      <c r="O663" t="s">
        <v>4948</v>
      </c>
      <c r="P663" t="s">
        <v>4951</v>
      </c>
      <c r="R663">
        <v>90</v>
      </c>
      <c r="S663" t="str">
        <f t="shared" si="30"/>
        <v>Child</v>
      </c>
      <c r="T663" t="str">
        <f t="shared" si="31"/>
        <v>Medium</v>
      </c>
      <c r="U663" t="str">
        <f t="shared" si="32"/>
        <v>Short Days</v>
      </c>
    </row>
    <row r="664" spans="1:21">
      <c r="A664" t="s">
        <v>680</v>
      </c>
      <c r="B664" s="5">
        <v>45739</v>
      </c>
      <c r="C664" t="s">
        <v>3584</v>
      </c>
      <c r="D664" t="s">
        <v>4670</v>
      </c>
      <c r="E664" t="s">
        <v>4866</v>
      </c>
      <c r="F664">
        <v>30</v>
      </c>
      <c r="G664" t="s">
        <v>4877</v>
      </c>
      <c r="H664" t="s">
        <v>4888</v>
      </c>
      <c r="I664" t="s">
        <v>4902</v>
      </c>
      <c r="J664" t="s">
        <v>4916</v>
      </c>
      <c r="K664" t="s">
        <v>4930</v>
      </c>
      <c r="L664" t="s">
        <v>4934</v>
      </c>
      <c r="M664" t="s">
        <v>4943</v>
      </c>
      <c r="N664" s="11">
        <v>11638.93</v>
      </c>
      <c r="O664" t="s">
        <v>15</v>
      </c>
      <c r="P664" t="s">
        <v>4952</v>
      </c>
      <c r="R664">
        <v>14</v>
      </c>
      <c r="S664" t="str">
        <f t="shared" si="30"/>
        <v>Adult</v>
      </c>
      <c r="T664" t="str">
        <f t="shared" si="31"/>
        <v>High</v>
      </c>
      <c r="U664" t="str">
        <f t="shared" si="32"/>
        <v>Short Days</v>
      </c>
    </row>
    <row r="665" spans="1:21">
      <c r="A665" t="s">
        <v>681</v>
      </c>
      <c r="B665" s="5">
        <v>45340</v>
      </c>
      <c r="C665" t="s">
        <v>3585</v>
      </c>
      <c r="D665" t="s">
        <v>4778</v>
      </c>
      <c r="E665" t="s">
        <v>4866</v>
      </c>
      <c r="F665">
        <v>63</v>
      </c>
      <c r="G665" t="s">
        <v>4870</v>
      </c>
      <c r="H665" t="s">
        <v>4885</v>
      </c>
      <c r="I665" t="s">
        <v>4897</v>
      </c>
      <c r="J665" t="s">
        <v>4907</v>
      </c>
      <c r="K665" t="s">
        <v>4929</v>
      </c>
      <c r="L665" t="s">
        <v>4938</v>
      </c>
      <c r="M665" t="s">
        <v>4942</v>
      </c>
      <c r="N665" s="11">
        <v>7709.97</v>
      </c>
      <c r="O665" t="s">
        <v>15</v>
      </c>
      <c r="P665" t="s">
        <v>4952</v>
      </c>
      <c r="R665">
        <v>90</v>
      </c>
      <c r="S665" t="str">
        <f t="shared" si="30"/>
        <v>Senior</v>
      </c>
      <c r="T665" t="str">
        <f t="shared" si="31"/>
        <v>Medium</v>
      </c>
      <c r="U665" t="str">
        <f t="shared" si="32"/>
        <v>Short Days</v>
      </c>
    </row>
    <row r="666" spans="1:21">
      <c r="A666" t="s">
        <v>682</v>
      </c>
      <c r="B666" s="5">
        <v>45691</v>
      </c>
      <c r="C666" t="s">
        <v>3492</v>
      </c>
      <c r="D666" t="s">
        <v>4642</v>
      </c>
      <c r="E666" t="s">
        <v>4867</v>
      </c>
      <c r="F666">
        <v>13</v>
      </c>
      <c r="G666" t="s">
        <v>4883</v>
      </c>
      <c r="H666" t="s">
        <v>4892</v>
      </c>
      <c r="I666" t="s">
        <v>4902</v>
      </c>
      <c r="J666" t="s">
        <v>4916</v>
      </c>
      <c r="K666" t="s">
        <v>4930</v>
      </c>
      <c r="L666" t="s">
        <v>4940</v>
      </c>
      <c r="M666" t="s">
        <v>4942</v>
      </c>
      <c r="N666" s="11">
        <v>4564.9399999999996</v>
      </c>
      <c r="O666" t="s">
        <v>4948</v>
      </c>
      <c r="P666" t="s">
        <v>4951</v>
      </c>
      <c r="R666">
        <v>7</v>
      </c>
      <c r="S666" t="str">
        <f t="shared" si="30"/>
        <v>Child</v>
      </c>
      <c r="T666" t="str">
        <f t="shared" si="31"/>
        <v>Low</v>
      </c>
      <c r="U666" t="str">
        <f t="shared" si="32"/>
        <v>Short Days</v>
      </c>
    </row>
    <row r="667" spans="1:21">
      <c r="A667" t="s">
        <v>683</v>
      </c>
      <c r="B667" s="5">
        <v>45535</v>
      </c>
      <c r="C667" t="s">
        <v>3586</v>
      </c>
      <c r="D667" t="s">
        <v>4670</v>
      </c>
      <c r="E667" t="s">
        <v>4866</v>
      </c>
      <c r="F667">
        <f>AVERAGE(F660,F666)</f>
        <v>15.5</v>
      </c>
      <c r="G667" t="s">
        <v>4881</v>
      </c>
      <c r="H667" t="s">
        <v>4888</v>
      </c>
      <c r="I667" t="s">
        <v>4895</v>
      </c>
      <c r="J667" t="s">
        <v>4915</v>
      </c>
      <c r="K667" t="s">
        <v>4953</v>
      </c>
      <c r="L667" t="s">
        <v>4941</v>
      </c>
      <c r="M667" t="s">
        <v>4942</v>
      </c>
      <c r="N667" s="11">
        <v>20312.919999999998</v>
      </c>
      <c r="O667" t="s">
        <v>4946</v>
      </c>
      <c r="P667" t="s">
        <v>4951</v>
      </c>
      <c r="R667">
        <v>7</v>
      </c>
      <c r="S667" t="str">
        <f t="shared" si="30"/>
        <v>Child</v>
      </c>
      <c r="T667" t="str">
        <f t="shared" si="31"/>
        <v>High</v>
      </c>
      <c r="U667" t="str">
        <f t="shared" si="32"/>
        <v>Short Days</v>
      </c>
    </row>
    <row r="668" spans="1:21">
      <c r="A668" t="s">
        <v>684</v>
      </c>
      <c r="B668" s="5">
        <v>45706</v>
      </c>
      <c r="C668" t="s">
        <v>3587</v>
      </c>
      <c r="D668" t="s">
        <v>4740</v>
      </c>
      <c r="E668" t="s">
        <v>4867</v>
      </c>
      <c r="F668">
        <v>48</v>
      </c>
      <c r="G668" t="s">
        <v>4874</v>
      </c>
      <c r="H668" t="s">
        <v>4886</v>
      </c>
      <c r="I668" t="s">
        <v>4893</v>
      </c>
      <c r="J668" t="s">
        <v>4903</v>
      </c>
      <c r="K668" t="s">
        <v>4932</v>
      </c>
      <c r="L668" t="s">
        <v>4938</v>
      </c>
      <c r="M668" t="s">
        <v>4942</v>
      </c>
      <c r="N668" s="11">
        <v>3764.86</v>
      </c>
      <c r="O668" t="s">
        <v>4949</v>
      </c>
      <c r="P668" t="s">
        <v>4951</v>
      </c>
      <c r="S668" t="str">
        <f t="shared" si="30"/>
        <v>Middle-Aged</v>
      </c>
      <c r="T668" t="str">
        <f t="shared" si="31"/>
        <v>Low</v>
      </c>
      <c r="U668" t="str">
        <f t="shared" si="32"/>
        <v>Short Days</v>
      </c>
    </row>
    <row r="669" spans="1:21">
      <c r="A669" t="s">
        <v>685</v>
      </c>
      <c r="B669" s="5">
        <v>45392</v>
      </c>
      <c r="C669" t="s">
        <v>3588</v>
      </c>
      <c r="D669" t="s">
        <v>4650</v>
      </c>
      <c r="E669" t="s">
        <v>4867</v>
      </c>
      <c r="F669">
        <v>56</v>
      </c>
      <c r="G669" t="s">
        <v>4872</v>
      </c>
      <c r="H669" t="s">
        <v>4887</v>
      </c>
      <c r="I669" t="s">
        <v>4894</v>
      </c>
      <c r="J669" t="s">
        <v>4910</v>
      </c>
      <c r="K669" t="s">
        <v>4925</v>
      </c>
      <c r="L669" t="s">
        <v>4939</v>
      </c>
      <c r="M669" t="s">
        <v>4942</v>
      </c>
      <c r="N669" s="11">
        <v>778.08</v>
      </c>
      <c r="O669" t="s">
        <v>4946</v>
      </c>
      <c r="P669" t="s">
        <v>4951</v>
      </c>
      <c r="S669" t="str">
        <f t="shared" si="30"/>
        <v>Middle-Aged</v>
      </c>
      <c r="T669" t="str">
        <f t="shared" si="31"/>
        <v>Low</v>
      </c>
      <c r="U669" t="str">
        <f t="shared" si="32"/>
        <v>Short Days</v>
      </c>
    </row>
    <row r="670" spans="1:21">
      <c r="A670" t="s">
        <v>686</v>
      </c>
      <c r="B670" s="5">
        <v>45365</v>
      </c>
      <c r="C670" t="s">
        <v>3368</v>
      </c>
      <c r="D670" t="s">
        <v>4658</v>
      </c>
      <c r="E670" t="s">
        <v>4867</v>
      </c>
      <c r="F670">
        <v>50</v>
      </c>
      <c r="G670" t="s">
        <v>4877</v>
      </c>
      <c r="H670" t="s">
        <v>4888</v>
      </c>
      <c r="I670" t="s">
        <v>4897</v>
      </c>
      <c r="J670" t="s">
        <v>4907</v>
      </c>
      <c r="K670" t="s">
        <v>4930</v>
      </c>
      <c r="L670" t="s">
        <v>4940</v>
      </c>
      <c r="M670" t="s">
        <v>4942</v>
      </c>
      <c r="N670" s="11">
        <v>2227.39</v>
      </c>
      <c r="O670" t="s">
        <v>4948</v>
      </c>
      <c r="P670" t="s">
        <v>4951</v>
      </c>
      <c r="R670">
        <v>7</v>
      </c>
      <c r="S670" t="str">
        <f t="shared" si="30"/>
        <v>Middle-Aged</v>
      </c>
      <c r="T670" t="str">
        <f t="shared" si="31"/>
        <v>Low</v>
      </c>
      <c r="U670" t="str">
        <f t="shared" si="32"/>
        <v>Short Days</v>
      </c>
    </row>
    <row r="671" spans="1:21">
      <c r="A671" t="s">
        <v>687</v>
      </c>
      <c r="B671" s="5">
        <v>45482</v>
      </c>
      <c r="C671" t="s">
        <v>3589</v>
      </c>
      <c r="D671" t="s">
        <v>4839</v>
      </c>
      <c r="E671" t="s">
        <v>4866</v>
      </c>
      <c r="F671">
        <v>19</v>
      </c>
      <c r="G671" t="s">
        <v>4880</v>
      </c>
      <c r="H671" t="s">
        <v>4890</v>
      </c>
      <c r="I671" t="s">
        <v>4898</v>
      </c>
      <c r="J671" t="s">
        <v>4918</v>
      </c>
      <c r="K671" t="s">
        <v>4925</v>
      </c>
      <c r="L671" t="s">
        <v>4934</v>
      </c>
      <c r="M671" t="s">
        <v>4942</v>
      </c>
      <c r="N671" s="11">
        <v>6754.27</v>
      </c>
      <c r="O671" t="s">
        <v>4948</v>
      </c>
      <c r="P671" t="s">
        <v>4951</v>
      </c>
      <c r="S671" t="str">
        <f t="shared" si="30"/>
        <v>Adult</v>
      </c>
      <c r="T671" t="str">
        <f t="shared" si="31"/>
        <v>Medium</v>
      </c>
      <c r="U671" t="str">
        <f t="shared" si="32"/>
        <v>Short Days</v>
      </c>
    </row>
    <row r="672" spans="1:21">
      <c r="A672" t="s">
        <v>688</v>
      </c>
      <c r="B672" s="5">
        <v>45513</v>
      </c>
      <c r="C672" t="s">
        <v>3567</v>
      </c>
      <c r="D672" t="s">
        <v>4828</v>
      </c>
      <c r="E672" t="s">
        <v>4867</v>
      </c>
      <c r="F672">
        <v>31</v>
      </c>
      <c r="G672" t="s">
        <v>4880</v>
      </c>
      <c r="H672" t="s">
        <v>4890</v>
      </c>
      <c r="I672" t="s">
        <v>4899</v>
      </c>
      <c r="J672" t="s">
        <v>4911</v>
      </c>
      <c r="K672" t="s">
        <v>4928</v>
      </c>
      <c r="L672" t="s">
        <v>4940</v>
      </c>
      <c r="M672" t="s">
        <v>4942</v>
      </c>
      <c r="N672" s="11">
        <v>6108.37</v>
      </c>
      <c r="O672" t="s">
        <v>15</v>
      </c>
      <c r="P672" t="s">
        <v>4952</v>
      </c>
      <c r="R672">
        <v>7</v>
      </c>
      <c r="S672" t="str">
        <f t="shared" si="30"/>
        <v>Adult</v>
      </c>
      <c r="T672" t="str">
        <f t="shared" si="31"/>
        <v>Medium</v>
      </c>
      <c r="U672" t="str">
        <f t="shared" si="32"/>
        <v>Short Days</v>
      </c>
    </row>
    <row r="673" spans="1:21">
      <c r="A673" t="s">
        <v>689</v>
      </c>
      <c r="B673" s="5">
        <v>45549</v>
      </c>
      <c r="C673" t="s">
        <v>3590</v>
      </c>
      <c r="D673" t="s">
        <v>4709</v>
      </c>
      <c r="E673" t="s">
        <v>4866</v>
      </c>
      <c r="F673">
        <v>51</v>
      </c>
      <c r="G673" t="s">
        <v>4871</v>
      </c>
      <c r="H673" t="s">
        <v>4886</v>
      </c>
      <c r="I673" t="s">
        <v>4899</v>
      </c>
      <c r="J673" t="s">
        <v>4912</v>
      </c>
      <c r="K673" t="s">
        <v>4933</v>
      </c>
      <c r="L673" t="s">
        <v>4938</v>
      </c>
      <c r="M673" t="s">
        <v>4942</v>
      </c>
      <c r="N673" s="11">
        <v>980.72</v>
      </c>
      <c r="O673" t="s">
        <v>4946</v>
      </c>
      <c r="P673" t="s">
        <v>4951</v>
      </c>
      <c r="R673">
        <v>90</v>
      </c>
      <c r="S673" t="str">
        <f t="shared" si="30"/>
        <v>Middle-Aged</v>
      </c>
      <c r="T673" t="str">
        <f t="shared" si="31"/>
        <v>Low</v>
      </c>
      <c r="U673" t="str">
        <f t="shared" si="32"/>
        <v>Short Days</v>
      </c>
    </row>
    <row r="674" spans="1:21">
      <c r="A674" t="s">
        <v>690</v>
      </c>
      <c r="B674" s="5">
        <v>45878</v>
      </c>
      <c r="C674" t="s">
        <v>3591</v>
      </c>
      <c r="D674" t="s">
        <v>4803</v>
      </c>
      <c r="E674" t="s">
        <v>4868</v>
      </c>
      <c r="F674">
        <v>48</v>
      </c>
      <c r="G674" t="s">
        <v>4879</v>
      </c>
      <c r="H674" t="s">
        <v>4888</v>
      </c>
      <c r="I674" t="s">
        <v>4899</v>
      </c>
      <c r="J674" t="s">
        <v>4912</v>
      </c>
      <c r="K674" t="s">
        <v>4931</v>
      </c>
      <c r="L674" t="s">
        <v>4938</v>
      </c>
      <c r="M674" t="s">
        <v>4942</v>
      </c>
      <c r="N674" s="11">
        <v>2043.46</v>
      </c>
      <c r="O674" t="s">
        <v>4946</v>
      </c>
      <c r="P674" t="s">
        <v>4951</v>
      </c>
      <c r="R674">
        <v>30</v>
      </c>
      <c r="S674" t="str">
        <f t="shared" si="30"/>
        <v>Middle-Aged</v>
      </c>
      <c r="T674" t="str">
        <f t="shared" si="31"/>
        <v>Low</v>
      </c>
      <c r="U674" t="str">
        <f t="shared" si="32"/>
        <v>Short Days</v>
      </c>
    </row>
    <row r="675" spans="1:21">
      <c r="A675" t="s">
        <v>691</v>
      </c>
      <c r="B675" s="5">
        <v>45813</v>
      </c>
      <c r="C675" t="s">
        <v>3178</v>
      </c>
      <c r="D675" t="s">
        <v>4776</v>
      </c>
      <c r="E675" t="s">
        <v>4867</v>
      </c>
      <c r="F675">
        <v>15</v>
      </c>
      <c r="G675" t="s">
        <v>4870</v>
      </c>
      <c r="H675" t="s">
        <v>4885</v>
      </c>
      <c r="I675" t="s">
        <v>4897</v>
      </c>
      <c r="J675" t="s">
        <v>4922</v>
      </c>
      <c r="K675" t="s">
        <v>4929</v>
      </c>
      <c r="L675" t="s">
        <v>4939</v>
      </c>
      <c r="M675" t="s">
        <v>4945</v>
      </c>
      <c r="N675" s="11">
        <v>7343.03</v>
      </c>
      <c r="O675" t="s">
        <v>4947</v>
      </c>
      <c r="P675" t="s">
        <v>4951</v>
      </c>
      <c r="Q675">
        <v>4</v>
      </c>
      <c r="R675">
        <v>30</v>
      </c>
      <c r="S675" t="str">
        <f t="shared" si="30"/>
        <v>Child</v>
      </c>
      <c r="T675" t="str">
        <f t="shared" si="31"/>
        <v>Medium</v>
      </c>
      <c r="U675" t="str">
        <f t="shared" si="32"/>
        <v>Short Days</v>
      </c>
    </row>
    <row r="676" spans="1:21">
      <c r="A676" t="s">
        <v>692</v>
      </c>
      <c r="B676" s="5">
        <v>45655</v>
      </c>
      <c r="C676" t="s">
        <v>3592</v>
      </c>
      <c r="D676" t="s">
        <v>4589</v>
      </c>
      <c r="E676" t="s">
        <v>4867</v>
      </c>
      <c r="F676">
        <v>35</v>
      </c>
      <c r="G676" t="s">
        <v>4875</v>
      </c>
      <c r="H676" t="s">
        <v>4889</v>
      </c>
      <c r="I676" t="s">
        <v>4901</v>
      </c>
      <c r="J676" t="s">
        <v>4914</v>
      </c>
      <c r="K676" t="s">
        <v>4929</v>
      </c>
      <c r="L676" t="s">
        <v>4934</v>
      </c>
      <c r="M676" t="s">
        <v>4942</v>
      </c>
      <c r="N676" s="11">
        <v>3305.97</v>
      </c>
      <c r="O676" t="s">
        <v>4946</v>
      </c>
      <c r="P676" t="s">
        <v>4951</v>
      </c>
      <c r="S676" t="str">
        <f t="shared" si="30"/>
        <v>Adult</v>
      </c>
      <c r="T676" t="str">
        <f t="shared" si="31"/>
        <v>Low</v>
      </c>
      <c r="U676" t="str">
        <f t="shared" si="32"/>
        <v>Short Days</v>
      </c>
    </row>
    <row r="677" spans="1:21">
      <c r="A677" t="s">
        <v>693</v>
      </c>
      <c r="B677" s="5">
        <v>45337</v>
      </c>
      <c r="C677" t="s">
        <v>3593</v>
      </c>
      <c r="D677" t="s">
        <v>4670</v>
      </c>
      <c r="E677" t="s">
        <v>4867</v>
      </c>
      <c r="F677">
        <v>49</v>
      </c>
      <c r="G677" t="s">
        <v>4875</v>
      </c>
      <c r="H677" t="s">
        <v>4889</v>
      </c>
      <c r="I677" t="s">
        <v>4900</v>
      </c>
      <c r="J677" t="s">
        <v>4919</v>
      </c>
      <c r="K677" t="s">
        <v>4924</v>
      </c>
      <c r="L677" t="s">
        <v>4939</v>
      </c>
      <c r="M677" t="s">
        <v>4942</v>
      </c>
      <c r="N677" s="11">
        <v>4726.46</v>
      </c>
      <c r="O677" t="s">
        <v>4948</v>
      </c>
      <c r="P677" t="s">
        <v>4951</v>
      </c>
      <c r="R677">
        <v>90</v>
      </c>
      <c r="S677" t="str">
        <f t="shared" si="30"/>
        <v>Middle-Aged</v>
      </c>
      <c r="T677" t="str">
        <f t="shared" si="31"/>
        <v>Low</v>
      </c>
      <c r="U677" t="str">
        <f t="shared" si="32"/>
        <v>Short Days</v>
      </c>
    </row>
    <row r="678" spans="1:21">
      <c r="A678" t="s">
        <v>694</v>
      </c>
      <c r="B678" s="5">
        <v>45378</v>
      </c>
      <c r="C678" t="s">
        <v>3594</v>
      </c>
      <c r="D678" t="s">
        <v>4733</v>
      </c>
      <c r="E678" t="s">
        <v>4866</v>
      </c>
      <c r="F678">
        <v>81</v>
      </c>
      <c r="G678" t="s">
        <v>4880</v>
      </c>
      <c r="H678" t="s">
        <v>4890</v>
      </c>
      <c r="I678" t="s">
        <v>4898</v>
      </c>
      <c r="J678" t="s">
        <v>4909</v>
      </c>
      <c r="K678" t="s">
        <v>4927</v>
      </c>
      <c r="L678" t="s">
        <v>4935</v>
      </c>
      <c r="M678" t="s">
        <v>4942</v>
      </c>
      <c r="N678" s="11">
        <v>363.51</v>
      </c>
      <c r="O678" t="s">
        <v>4946</v>
      </c>
      <c r="P678" t="s">
        <v>4951</v>
      </c>
      <c r="S678" t="str">
        <f t="shared" si="30"/>
        <v>Senior</v>
      </c>
      <c r="T678" t="str">
        <f t="shared" si="31"/>
        <v>Low</v>
      </c>
      <c r="U678" t="str">
        <f t="shared" si="32"/>
        <v>Short Days</v>
      </c>
    </row>
    <row r="679" spans="1:21">
      <c r="A679" t="s">
        <v>695</v>
      </c>
      <c r="B679" s="5">
        <v>45698</v>
      </c>
      <c r="C679" t="s">
        <v>3595</v>
      </c>
      <c r="D679" t="s">
        <v>4731</v>
      </c>
      <c r="E679" t="s">
        <v>4867</v>
      </c>
      <c r="F679">
        <v>54</v>
      </c>
      <c r="G679" t="s">
        <v>4880</v>
      </c>
      <c r="H679" t="s">
        <v>4890</v>
      </c>
      <c r="I679" t="s">
        <v>4901</v>
      </c>
      <c r="J679" t="s">
        <v>4921</v>
      </c>
      <c r="K679" t="s">
        <v>4925</v>
      </c>
      <c r="L679" t="s">
        <v>4936</v>
      </c>
      <c r="M679" t="s">
        <v>4942</v>
      </c>
      <c r="N679" s="11">
        <v>4083.38</v>
      </c>
      <c r="O679" t="s">
        <v>4948</v>
      </c>
      <c r="P679" t="s">
        <v>4951</v>
      </c>
      <c r="S679" t="str">
        <f t="shared" si="30"/>
        <v>Middle-Aged</v>
      </c>
      <c r="T679" t="str">
        <f t="shared" si="31"/>
        <v>Low</v>
      </c>
      <c r="U679" t="str">
        <f t="shared" si="32"/>
        <v>Short Days</v>
      </c>
    </row>
    <row r="680" spans="1:21">
      <c r="A680" t="s">
        <v>696</v>
      </c>
      <c r="B680" s="5">
        <v>45850</v>
      </c>
      <c r="C680" t="s">
        <v>3596</v>
      </c>
      <c r="D680" t="s">
        <v>4708</v>
      </c>
      <c r="E680" t="s">
        <v>4866</v>
      </c>
      <c r="F680">
        <v>51</v>
      </c>
      <c r="G680" t="s">
        <v>4871</v>
      </c>
      <c r="H680" t="s">
        <v>4886</v>
      </c>
      <c r="I680" t="s">
        <v>4896</v>
      </c>
      <c r="J680" t="s">
        <v>4906</v>
      </c>
      <c r="K680" t="s">
        <v>4928</v>
      </c>
      <c r="L680" t="s">
        <v>4939</v>
      </c>
      <c r="M680" t="s">
        <v>4942</v>
      </c>
      <c r="N680" s="11">
        <v>3754.4</v>
      </c>
      <c r="O680" t="s">
        <v>4946</v>
      </c>
      <c r="P680" t="s">
        <v>4951</v>
      </c>
      <c r="R680">
        <v>7</v>
      </c>
      <c r="S680" t="str">
        <f t="shared" si="30"/>
        <v>Middle-Aged</v>
      </c>
      <c r="T680" t="str">
        <f t="shared" si="31"/>
        <v>Low</v>
      </c>
      <c r="U680" t="str">
        <f t="shared" si="32"/>
        <v>Short Days</v>
      </c>
    </row>
    <row r="681" spans="1:21">
      <c r="A681" t="s">
        <v>697</v>
      </c>
      <c r="B681" s="5">
        <v>45867</v>
      </c>
      <c r="C681" t="s">
        <v>3597</v>
      </c>
      <c r="D681" t="s">
        <v>4812</v>
      </c>
      <c r="E681" t="s">
        <v>4867</v>
      </c>
      <c r="F681">
        <v>35</v>
      </c>
      <c r="G681" t="s">
        <v>4877</v>
      </c>
      <c r="H681" t="s">
        <v>4888</v>
      </c>
      <c r="I681" t="s">
        <v>4895</v>
      </c>
      <c r="J681" t="s">
        <v>4915</v>
      </c>
      <c r="K681" t="s">
        <v>4930</v>
      </c>
      <c r="L681" t="s">
        <v>4937</v>
      </c>
      <c r="M681" t="s">
        <v>4945</v>
      </c>
      <c r="N681" s="11">
        <v>18304.77</v>
      </c>
      <c r="O681" t="s">
        <v>4947</v>
      </c>
      <c r="P681" t="s">
        <v>4951</v>
      </c>
      <c r="Q681">
        <v>5</v>
      </c>
      <c r="S681" t="str">
        <f t="shared" si="30"/>
        <v>Adult</v>
      </c>
      <c r="T681" t="str">
        <f t="shared" si="31"/>
        <v>High</v>
      </c>
      <c r="U681" t="str">
        <f t="shared" si="32"/>
        <v>Short Days</v>
      </c>
    </row>
    <row r="682" spans="1:21">
      <c r="A682" t="s">
        <v>698</v>
      </c>
      <c r="B682" s="5">
        <v>45449</v>
      </c>
      <c r="C682" t="s">
        <v>3598</v>
      </c>
      <c r="D682" t="s">
        <v>4670</v>
      </c>
      <c r="E682" t="s">
        <v>4866</v>
      </c>
      <c r="F682">
        <v>38</v>
      </c>
      <c r="G682" t="s">
        <v>4873</v>
      </c>
      <c r="H682" t="s">
        <v>4888</v>
      </c>
      <c r="I682" t="s">
        <v>4896</v>
      </c>
      <c r="J682" t="s">
        <v>4908</v>
      </c>
      <c r="K682" t="s">
        <v>4932</v>
      </c>
      <c r="L682" t="s">
        <v>4941</v>
      </c>
      <c r="M682" t="s">
        <v>4942</v>
      </c>
      <c r="N682" s="11">
        <v>4839.01</v>
      </c>
      <c r="O682" t="s">
        <v>4946</v>
      </c>
      <c r="P682" t="s">
        <v>4951</v>
      </c>
      <c r="R682">
        <v>7</v>
      </c>
      <c r="S682" t="str">
        <f t="shared" si="30"/>
        <v>Adult</v>
      </c>
      <c r="T682" t="str">
        <f t="shared" si="31"/>
        <v>Low</v>
      </c>
      <c r="U682" t="str">
        <f t="shared" si="32"/>
        <v>Short Days</v>
      </c>
    </row>
    <row r="683" spans="1:21">
      <c r="A683" t="s">
        <v>699</v>
      </c>
      <c r="B683" s="5">
        <v>45806</v>
      </c>
      <c r="C683" t="s">
        <v>3599</v>
      </c>
      <c r="D683" t="s">
        <v>4619</v>
      </c>
      <c r="E683" t="s">
        <v>4867</v>
      </c>
      <c r="F683">
        <v>6</v>
      </c>
      <c r="G683" t="s">
        <v>4869</v>
      </c>
      <c r="H683" t="s">
        <v>4884</v>
      </c>
      <c r="I683" t="s">
        <v>4901</v>
      </c>
      <c r="J683" t="s">
        <v>4914</v>
      </c>
      <c r="K683" t="s">
        <v>4928</v>
      </c>
      <c r="L683" t="s">
        <v>4935</v>
      </c>
      <c r="M683" t="s">
        <v>4942</v>
      </c>
      <c r="N683" s="11">
        <v>4566.68</v>
      </c>
      <c r="O683" t="s">
        <v>15</v>
      </c>
      <c r="P683" t="s">
        <v>4952</v>
      </c>
      <c r="R683">
        <v>90</v>
      </c>
      <c r="S683" t="str">
        <f t="shared" si="30"/>
        <v>Child</v>
      </c>
      <c r="T683" t="str">
        <f t="shared" si="31"/>
        <v>Low</v>
      </c>
      <c r="U683" t="str">
        <f t="shared" si="32"/>
        <v>Short Days</v>
      </c>
    </row>
    <row r="684" spans="1:21">
      <c r="A684" t="s">
        <v>700</v>
      </c>
      <c r="B684" s="5">
        <v>45364</v>
      </c>
      <c r="C684" t="s">
        <v>3564</v>
      </c>
      <c r="D684" t="s">
        <v>4611</v>
      </c>
      <c r="E684" t="s">
        <v>4867</v>
      </c>
      <c r="F684">
        <v>44</v>
      </c>
      <c r="G684" t="s">
        <v>4877</v>
      </c>
      <c r="H684" t="s">
        <v>4888</v>
      </c>
      <c r="I684" t="s">
        <v>4900</v>
      </c>
      <c r="J684" t="s">
        <v>4913</v>
      </c>
      <c r="K684" t="s">
        <v>4928</v>
      </c>
      <c r="L684" t="s">
        <v>4938</v>
      </c>
      <c r="M684" t="s">
        <v>4942</v>
      </c>
      <c r="N684" s="11">
        <v>1629.67</v>
      </c>
      <c r="O684" t="s">
        <v>4946</v>
      </c>
      <c r="P684" t="s">
        <v>4951</v>
      </c>
      <c r="R684">
        <v>90</v>
      </c>
      <c r="S684" t="str">
        <f t="shared" si="30"/>
        <v>Middle-Aged</v>
      </c>
      <c r="T684" t="str">
        <f t="shared" si="31"/>
        <v>Low</v>
      </c>
      <c r="U684" t="str">
        <f t="shared" si="32"/>
        <v>Short Days</v>
      </c>
    </row>
    <row r="685" spans="1:21">
      <c r="A685" t="s">
        <v>701</v>
      </c>
      <c r="B685" s="5">
        <v>45455</v>
      </c>
      <c r="C685" t="s">
        <v>3600</v>
      </c>
      <c r="D685" t="s">
        <v>4780</v>
      </c>
      <c r="E685" t="s">
        <v>4866</v>
      </c>
      <c r="F685">
        <v>21</v>
      </c>
      <c r="G685" t="s">
        <v>4871</v>
      </c>
      <c r="H685" t="s">
        <v>4886</v>
      </c>
      <c r="I685" t="s">
        <v>4893</v>
      </c>
      <c r="J685" t="s">
        <v>4903</v>
      </c>
      <c r="K685" t="s">
        <v>4932</v>
      </c>
      <c r="L685" t="s">
        <v>4937</v>
      </c>
      <c r="M685" t="s">
        <v>4943</v>
      </c>
      <c r="N685" s="11">
        <v>10746.03</v>
      </c>
      <c r="O685" t="s">
        <v>4950</v>
      </c>
      <c r="P685" t="s">
        <v>4951</v>
      </c>
      <c r="R685">
        <v>30</v>
      </c>
      <c r="S685" t="str">
        <f t="shared" si="30"/>
        <v>Adult</v>
      </c>
      <c r="T685" t="str">
        <f t="shared" si="31"/>
        <v>High</v>
      </c>
      <c r="U685" t="str">
        <f t="shared" si="32"/>
        <v>Short Days</v>
      </c>
    </row>
    <row r="686" spans="1:21">
      <c r="A686" t="s">
        <v>702</v>
      </c>
      <c r="B686" s="5">
        <v>45521</v>
      </c>
      <c r="C686" t="s">
        <v>3601</v>
      </c>
      <c r="D686" t="s">
        <v>4660</v>
      </c>
      <c r="E686" t="s">
        <v>4866</v>
      </c>
      <c r="F686">
        <v>29</v>
      </c>
      <c r="G686" t="s">
        <v>4879</v>
      </c>
      <c r="H686" t="s">
        <v>4888</v>
      </c>
      <c r="I686" t="s">
        <v>4898</v>
      </c>
      <c r="J686" t="s">
        <v>4923</v>
      </c>
      <c r="K686" t="s">
        <v>4931</v>
      </c>
      <c r="L686" t="s">
        <v>4936</v>
      </c>
      <c r="M686" t="s">
        <v>4943</v>
      </c>
      <c r="N686" s="11">
        <v>9427.84</v>
      </c>
      <c r="O686" t="s">
        <v>15</v>
      </c>
      <c r="P686" t="s">
        <v>4952</v>
      </c>
      <c r="R686">
        <v>14</v>
      </c>
      <c r="S686" t="str">
        <f t="shared" si="30"/>
        <v>Adult</v>
      </c>
      <c r="T686" t="str">
        <f t="shared" si="31"/>
        <v>Medium</v>
      </c>
      <c r="U686" t="str">
        <f t="shared" si="32"/>
        <v>Short Days</v>
      </c>
    </row>
    <row r="687" spans="1:21">
      <c r="A687" t="s">
        <v>703</v>
      </c>
      <c r="B687" s="5">
        <v>45419</v>
      </c>
      <c r="C687" t="s">
        <v>3602</v>
      </c>
      <c r="D687" t="s">
        <v>4621</v>
      </c>
      <c r="E687" t="s">
        <v>4866</v>
      </c>
      <c r="F687">
        <v>11</v>
      </c>
      <c r="G687" t="s">
        <v>4878</v>
      </c>
      <c r="H687" t="s">
        <v>4889</v>
      </c>
      <c r="I687" t="s">
        <v>4894</v>
      </c>
      <c r="J687" t="s">
        <v>4904</v>
      </c>
      <c r="K687" t="s">
        <v>4924</v>
      </c>
      <c r="L687" t="s">
        <v>4936</v>
      </c>
      <c r="M687" t="s">
        <v>4942</v>
      </c>
      <c r="N687" s="11">
        <v>8414.33</v>
      </c>
      <c r="O687" t="s">
        <v>4949</v>
      </c>
      <c r="P687" t="s">
        <v>4951</v>
      </c>
      <c r="R687">
        <v>90</v>
      </c>
      <c r="S687" t="str">
        <f t="shared" si="30"/>
        <v>Child</v>
      </c>
      <c r="T687" t="str">
        <f t="shared" si="31"/>
        <v>Medium</v>
      </c>
      <c r="U687" t="str">
        <f t="shared" si="32"/>
        <v>Short Days</v>
      </c>
    </row>
    <row r="688" spans="1:21">
      <c r="A688" t="s">
        <v>704</v>
      </c>
      <c r="B688" s="5">
        <v>45371</v>
      </c>
      <c r="C688" t="s">
        <v>3603</v>
      </c>
      <c r="D688" t="s">
        <v>4615</v>
      </c>
      <c r="E688" t="s">
        <v>4867</v>
      </c>
      <c r="F688">
        <v>42</v>
      </c>
      <c r="G688" t="s">
        <v>4882</v>
      </c>
      <c r="H688" t="s">
        <v>4891</v>
      </c>
      <c r="I688" t="s">
        <v>4896</v>
      </c>
      <c r="J688" t="s">
        <v>4908</v>
      </c>
      <c r="K688" t="s">
        <v>4927</v>
      </c>
      <c r="L688" t="s">
        <v>4941</v>
      </c>
      <c r="M688" t="s">
        <v>4942</v>
      </c>
      <c r="N688" s="11">
        <v>9139.68</v>
      </c>
      <c r="O688" t="s">
        <v>4947</v>
      </c>
      <c r="P688" t="s">
        <v>4951</v>
      </c>
      <c r="R688">
        <v>30</v>
      </c>
      <c r="S688" t="str">
        <f t="shared" si="30"/>
        <v>Middle-Aged</v>
      </c>
      <c r="T688" t="str">
        <f t="shared" si="31"/>
        <v>Medium</v>
      </c>
      <c r="U688" t="str">
        <f t="shared" si="32"/>
        <v>Short Days</v>
      </c>
    </row>
    <row r="689" spans="1:21">
      <c r="A689" t="s">
        <v>705</v>
      </c>
      <c r="B689" s="5">
        <v>45820</v>
      </c>
      <c r="C689" t="s">
        <v>3604</v>
      </c>
      <c r="D689" t="s">
        <v>4703</v>
      </c>
      <c r="E689" t="s">
        <v>4866</v>
      </c>
      <c r="F689">
        <v>28</v>
      </c>
      <c r="G689" t="s">
        <v>4877</v>
      </c>
      <c r="H689" t="s">
        <v>4888</v>
      </c>
      <c r="I689" t="s">
        <v>4897</v>
      </c>
      <c r="J689" t="s">
        <v>4922</v>
      </c>
      <c r="K689" t="s">
        <v>4932</v>
      </c>
      <c r="L689" t="s">
        <v>4939</v>
      </c>
      <c r="M689" t="s">
        <v>4942</v>
      </c>
      <c r="N689" s="11">
        <v>3151.55</v>
      </c>
      <c r="O689" t="s">
        <v>4947</v>
      </c>
      <c r="P689" t="s">
        <v>4951</v>
      </c>
      <c r="R689">
        <v>30</v>
      </c>
      <c r="S689" t="str">
        <f t="shared" si="30"/>
        <v>Adult</v>
      </c>
      <c r="T689" t="str">
        <f t="shared" si="31"/>
        <v>Low</v>
      </c>
      <c r="U689" t="str">
        <f t="shared" si="32"/>
        <v>Short Days</v>
      </c>
    </row>
    <row r="690" spans="1:21">
      <c r="A690" t="s">
        <v>706</v>
      </c>
      <c r="B690" s="5">
        <v>45487</v>
      </c>
      <c r="C690" t="s">
        <v>3605</v>
      </c>
      <c r="D690" t="s">
        <v>4784</v>
      </c>
      <c r="E690" t="s">
        <v>4867</v>
      </c>
      <c r="F690">
        <v>60</v>
      </c>
      <c r="G690" t="s">
        <v>4873</v>
      </c>
      <c r="H690" t="s">
        <v>4888</v>
      </c>
      <c r="I690" t="s">
        <v>4900</v>
      </c>
      <c r="J690" t="s">
        <v>4913</v>
      </c>
      <c r="K690" t="s">
        <v>4927</v>
      </c>
      <c r="L690" t="s">
        <v>4936</v>
      </c>
      <c r="M690" t="s">
        <v>4942</v>
      </c>
      <c r="N690" s="11">
        <v>6328.12</v>
      </c>
      <c r="O690" t="s">
        <v>4949</v>
      </c>
      <c r="P690" t="s">
        <v>4951</v>
      </c>
      <c r="R690">
        <v>14</v>
      </c>
      <c r="S690" t="str">
        <f t="shared" si="30"/>
        <v>Middle-Aged</v>
      </c>
      <c r="T690" t="str">
        <f t="shared" si="31"/>
        <v>Medium</v>
      </c>
      <c r="U690" t="str">
        <f t="shared" si="32"/>
        <v>Short Days</v>
      </c>
    </row>
    <row r="691" spans="1:21">
      <c r="A691" t="s">
        <v>707</v>
      </c>
      <c r="B691" s="5">
        <v>45625</v>
      </c>
      <c r="C691" t="s">
        <v>3599</v>
      </c>
      <c r="D691" t="s">
        <v>4823</v>
      </c>
      <c r="E691" t="s">
        <v>4867</v>
      </c>
      <c r="F691">
        <v>42</v>
      </c>
      <c r="G691" t="s">
        <v>4878</v>
      </c>
      <c r="H691" t="s">
        <v>4889</v>
      </c>
      <c r="I691" t="s">
        <v>4896</v>
      </c>
      <c r="J691" t="s">
        <v>4908</v>
      </c>
      <c r="K691" t="s">
        <v>4924</v>
      </c>
      <c r="L691" t="s">
        <v>4936</v>
      </c>
      <c r="M691" t="s">
        <v>4942</v>
      </c>
      <c r="N691" s="11">
        <v>5020.24</v>
      </c>
      <c r="O691" t="s">
        <v>4946</v>
      </c>
      <c r="P691" t="s">
        <v>4951</v>
      </c>
      <c r="R691">
        <v>90</v>
      </c>
      <c r="S691" t="str">
        <f t="shared" si="30"/>
        <v>Middle-Aged</v>
      </c>
      <c r="T691" t="str">
        <f t="shared" si="31"/>
        <v>Medium</v>
      </c>
      <c r="U691" t="str">
        <f t="shared" si="32"/>
        <v>Short Days</v>
      </c>
    </row>
    <row r="692" spans="1:21">
      <c r="A692" t="s">
        <v>708</v>
      </c>
      <c r="B692" s="5">
        <v>45953</v>
      </c>
      <c r="C692" t="s">
        <v>3606</v>
      </c>
      <c r="D692" t="s">
        <v>4596</v>
      </c>
      <c r="E692" t="s">
        <v>4866</v>
      </c>
      <c r="F692">
        <v>0</v>
      </c>
      <c r="G692" t="s">
        <v>4878</v>
      </c>
      <c r="H692" t="s">
        <v>4889</v>
      </c>
      <c r="I692" t="s">
        <v>4893</v>
      </c>
      <c r="J692" t="s">
        <v>4903</v>
      </c>
      <c r="K692" t="s">
        <v>4932</v>
      </c>
      <c r="L692" t="s">
        <v>4934</v>
      </c>
      <c r="M692" t="s">
        <v>4943</v>
      </c>
      <c r="N692" s="11">
        <v>12522.68</v>
      </c>
      <c r="O692" t="s">
        <v>4948</v>
      </c>
      <c r="P692" t="s">
        <v>4951</v>
      </c>
      <c r="R692">
        <v>30</v>
      </c>
      <c r="S692" t="str">
        <f t="shared" si="30"/>
        <v>Child</v>
      </c>
      <c r="T692" t="str">
        <f t="shared" si="31"/>
        <v>High</v>
      </c>
      <c r="U692" t="str">
        <f t="shared" si="32"/>
        <v>Short Days</v>
      </c>
    </row>
    <row r="693" spans="1:21">
      <c r="A693" t="s">
        <v>709</v>
      </c>
      <c r="B693" s="5">
        <v>45851</v>
      </c>
      <c r="C693" t="s">
        <v>3592</v>
      </c>
      <c r="D693" t="s">
        <v>4763</v>
      </c>
      <c r="E693" t="s">
        <v>4866</v>
      </c>
      <c r="F693">
        <v>39</v>
      </c>
      <c r="G693" t="s">
        <v>4881</v>
      </c>
      <c r="H693" t="s">
        <v>4881</v>
      </c>
      <c r="I693" t="s">
        <v>4899</v>
      </c>
      <c r="J693" t="s">
        <v>4912</v>
      </c>
      <c r="K693" t="s">
        <v>4927</v>
      </c>
      <c r="L693" t="s">
        <v>4939</v>
      </c>
      <c r="M693" t="s">
        <v>4944</v>
      </c>
      <c r="N693" s="11">
        <v>7845.95</v>
      </c>
      <c r="O693" t="s">
        <v>4949</v>
      </c>
      <c r="P693" t="s">
        <v>4951</v>
      </c>
      <c r="R693">
        <v>90</v>
      </c>
      <c r="S693" t="str">
        <f t="shared" si="30"/>
        <v>Adult</v>
      </c>
      <c r="T693" t="str">
        <f t="shared" si="31"/>
        <v>Medium</v>
      </c>
      <c r="U693" t="str">
        <f t="shared" si="32"/>
        <v>Short Days</v>
      </c>
    </row>
    <row r="694" spans="1:21">
      <c r="A694" t="s">
        <v>710</v>
      </c>
      <c r="B694" s="5">
        <v>45929</v>
      </c>
      <c r="C694" t="s">
        <v>3607</v>
      </c>
      <c r="D694" t="s">
        <v>4760</v>
      </c>
      <c r="E694" t="s">
        <v>4866</v>
      </c>
      <c r="F694">
        <v>30</v>
      </c>
      <c r="G694" t="s">
        <v>4874</v>
      </c>
      <c r="H694" t="s">
        <v>4886</v>
      </c>
      <c r="I694" t="s">
        <v>4898</v>
      </c>
      <c r="J694" t="s">
        <v>4918</v>
      </c>
      <c r="K694" t="s">
        <v>4930</v>
      </c>
      <c r="L694" t="s">
        <v>4941</v>
      </c>
      <c r="M694" t="s">
        <v>4942</v>
      </c>
      <c r="N694" s="11">
        <v>8299.69</v>
      </c>
      <c r="O694" t="s">
        <v>4947</v>
      </c>
      <c r="P694" t="s">
        <v>4951</v>
      </c>
      <c r="R694">
        <v>14</v>
      </c>
      <c r="S694" t="str">
        <f t="shared" si="30"/>
        <v>Adult</v>
      </c>
      <c r="T694" t="str">
        <f t="shared" si="31"/>
        <v>Medium</v>
      </c>
      <c r="U694" t="str">
        <f t="shared" si="32"/>
        <v>Short Days</v>
      </c>
    </row>
    <row r="695" spans="1:21">
      <c r="A695" t="s">
        <v>711</v>
      </c>
      <c r="B695" s="5">
        <v>45613</v>
      </c>
      <c r="C695" t="s">
        <v>3608</v>
      </c>
      <c r="D695" t="s">
        <v>4840</v>
      </c>
      <c r="E695" t="s">
        <v>4866</v>
      </c>
      <c r="F695">
        <v>34</v>
      </c>
      <c r="G695" t="s">
        <v>4877</v>
      </c>
      <c r="H695" t="s">
        <v>4888</v>
      </c>
      <c r="I695" t="s">
        <v>4901</v>
      </c>
      <c r="J695" t="s">
        <v>4914</v>
      </c>
      <c r="K695" t="s">
        <v>4929</v>
      </c>
      <c r="L695" t="s">
        <v>4939</v>
      </c>
      <c r="M695" t="s">
        <v>4942</v>
      </c>
      <c r="N695" s="11">
        <v>3467.26</v>
      </c>
      <c r="O695" t="s">
        <v>4947</v>
      </c>
      <c r="P695" t="s">
        <v>4951</v>
      </c>
      <c r="R695">
        <v>7</v>
      </c>
      <c r="S695" t="str">
        <f t="shared" si="30"/>
        <v>Adult</v>
      </c>
      <c r="T695" t="str">
        <f t="shared" si="31"/>
        <v>Low</v>
      </c>
      <c r="U695" t="str">
        <f t="shared" si="32"/>
        <v>Short Days</v>
      </c>
    </row>
    <row r="696" spans="1:21">
      <c r="A696" t="s">
        <v>712</v>
      </c>
      <c r="B696" s="5">
        <v>45956</v>
      </c>
      <c r="C696" t="s">
        <v>3073</v>
      </c>
      <c r="D696" t="s">
        <v>4721</v>
      </c>
      <c r="E696" t="s">
        <v>4866</v>
      </c>
      <c r="F696">
        <v>22</v>
      </c>
      <c r="G696" t="s">
        <v>4869</v>
      </c>
      <c r="H696" t="s">
        <v>4884</v>
      </c>
      <c r="I696" t="s">
        <v>4896</v>
      </c>
      <c r="J696" t="s">
        <v>4908</v>
      </c>
      <c r="K696" t="s">
        <v>4926</v>
      </c>
      <c r="L696" t="s">
        <v>4934</v>
      </c>
      <c r="M696" t="s">
        <v>4944</v>
      </c>
      <c r="N696" s="11">
        <v>5128.3500000000004</v>
      </c>
      <c r="O696" t="s">
        <v>4947</v>
      </c>
      <c r="P696" t="s">
        <v>4951</v>
      </c>
      <c r="S696" t="str">
        <f t="shared" si="30"/>
        <v>Adult</v>
      </c>
      <c r="T696" t="str">
        <f t="shared" si="31"/>
        <v>Medium</v>
      </c>
      <c r="U696" t="str">
        <f t="shared" si="32"/>
        <v>Short Days</v>
      </c>
    </row>
    <row r="697" spans="1:21">
      <c r="A697" t="s">
        <v>713</v>
      </c>
      <c r="B697" s="5">
        <v>45530</v>
      </c>
      <c r="C697" t="s">
        <v>3609</v>
      </c>
      <c r="D697" t="s">
        <v>4650</v>
      </c>
      <c r="E697" t="s">
        <v>4866</v>
      </c>
      <c r="F697">
        <v>38</v>
      </c>
      <c r="G697" t="s">
        <v>4870</v>
      </c>
      <c r="H697" t="s">
        <v>4885</v>
      </c>
      <c r="I697" t="s">
        <v>4897</v>
      </c>
      <c r="J697" t="s">
        <v>4907</v>
      </c>
      <c r="K697" t="s">
        <v>4929</v>
      </c>
      <c r="L697" t="s">
        <v>4934</v>
      </c>
      <c r="M697" t="s">
        <v>4942</v>
      </c>
      <c r="N697" s="11">
        <v>6746.97</v>
      </c>
      <c r="O697" t="s">
        <v>4947</v>
      </c>
      <c r="P697" t="s">
        <v>4951</v>
      </c>
      <c r="R697">
        <v>7</v>
      </c>
      <c r="S697" t="str">
        <f t="shared" si="30"/>
        <v>Adult</v>
      </c>
      <c r="T697" t="str">
        <f t="shared" si="31"/>
        <v>Medium</v>
      </c>
      <c r="U697" t="str">
        <f t="shared" si="32"/>
        <v>Short Days</v>
      </c>
    </row>
    <row r="698" spans="1:21">
      <c r="A698" t="s">
        <v>714</v>
      </c>
      <c r="B698" s="5">
        <v>45742</v>
      </c>
      <c r="C698" t="s">
        <v>3610</v>
      </c>
      <c r="D698" t="s">
        <v>4641</v>
      </c>
      <c r="E698" t="s">
        <v>4866</v>
      </c>
      <c r="F698">
        <v>38</v>
      </c>
      <c r="G698" t="s">
        <v>4875</v>
      </c>
      <c r="H698" t="s">
        <v>4889</v>
      </c>
      <c r="I698" t="s">
        <v>4900</v>
      </c>
      <c r="J698" t="s">
        <v>4919</v>
      </c>
      <c r="K698" t="s">
        <v>4926</v>
      </c>
      <c r="L698" t="s">
        <v>4937</v>
      </c>
      <c r="M698" t="s">
        <v>4943</v>
      </c>
      <c r="N698" s="11">
        <v>5097.99</v>
      </c>
      <c r="O698" t="s">
        <v>4947</v>
      </c>
      <c r="P698" t="s">
        <v>4951</v>
      </c>
      <c r="R698">
        <v>90</v>
      </c>
      <c r="S698" t="str">
        <f t="shared" si="30"/>
        <v>Adult</v>
      </c>
      <c r="T698" t="str">
        <f t="shared" si="31"/>
        <v>Medium</v>
      </c>
      <c r="U698" t="str">
        <f t="shared" si="32"/>
        <v>Short Days</v>
      </c>
    </row>
    <row r="699" spans="1:21">
      <c r="A699" t="s">
        <v>715</v>
      </c>
      <c r="B699" s="5">
        <v>45455</v>
      </c>
      <c r="C699" t="s">
        <v>3611</v>
      </c>
      <c r="D699" t="s">
        <v>4774</v>
      </c>
      <c r="E699" t="s">
        <v>4866</v>
      </c>
      <c r="F699">
        <v>13</v>
      </c>
      <c r="G699" t="s">
        <v>4874</v>
      </c>
      <c r="H699" t="s">
        <v>4886</v>
      </c>
      <c r="I699" t="s">
        <v>4902</v>
      </c>
      <c r="J699" t="s">
        <v>4920</v>
      </c>
      <c r="K699" t="s">
        <v>4929</v>
      </c>
      <c r="L699" t="s">
        <v>4938</v>
      </c>
      <c r="M699" t="s">
        <v>4942</v>
      </c>
      <c r="N699" s="11">
        <v>9352.3700000000008</v>
      </c>
      <c r="O699" t="s">
        <v>4946</v>
      </c>
      <c r="P699" t="s">
        <v>4951</v>
      </c>
      <c r="S699" t="str">
        <f t="shared" si="30"/>
        <v>Child</v>
      </c>
      <c r="T699" t="str">
        <f t="shared" si="31"/>
        <v>Medium</v>
      </c>
      <c r="U699" t="str">
        <f t="shared" si="32"/>
        <v>Short Days</v>
      </c>
    </row>
    <row r="700" spans="1:21">
      <c r="A700" t="s">
        <v>716</v>
      </c>
      <c r="B700" s="5">
        <v>45733</v>
      </c>
      <c r="C700" t="s">
        <v>3374</v>
      </c>
      <c r="D700" t="s">
        <v>4781</v>
      </c>
      <c r="E700" t="s">
        <v>4866</v>
      </c>
      <c r="F700">
        <v>46</v>
      </c>
      <c r="G700" t="s">
        <v>4872</v>
      </c>
      <c r="H700" t="s">
        <v>4887</v>
      </c>
      <c r="I700" t="s">
        <v>4893</v>
      </c>
      <c r="J700" t="s">
        <v>4903</v>
      </c>
      <c r="K700" t="s">
        <v>4933</v>
      </c>
      <c r="L700" t="s">
        <v>4938</v>
      </c>
      <c r="M700" t="s">
        <v>4943</v>
      </c>
      <c r="N700" s="11">
        <v>11301.12</v>
      </c>
      <c r="O700" t="s">
        <v>4947</v>
      </c>
      <c r="P700" t="s">
        <v>4951</v>
      </c>
      <c r="S700" t="str">
        <f t="shared" si="30"/>
        <v>Middle-Aged</v>
      </c>
      <c r="T700" t="str">
        <f t="shared" si="31"/>
        <v>High</v>
      </c>
      <c r="U700" t="str">
        <f t="shared" si="32"/>
        <v>Short Days</v>
      </c>
    </row>
    <row r="701" spans="1:21">
      <c r="A701" t="s">
        <v>717</v>
      </c>
      <c r="B701" s="5">
        <v>45940</v>
      </c>
      <c r="C701" t="s">
        <v>3612</v>
      </c>
      <c r="D701" t="s">
        <v>4627</v>
      </c>
      <c r="E701" t="s">
        <v>4867</v>
      </c>
      <c r="F701">
        <v>34</v>
      </c>
      <c r="G701" t="s">
        <v>4872</v>
      </c>
      <c r="H701" t="s">
        <v>4887</v>
      </c>
      <c r="I701" t="s">
        <v>4894</v>
      </c>
      <c r="J701" t="s">
        <v>4910</v>
      </c>
      <c r="K701" t="s">
        <v>4931</v>
      </c>
      <c r="L701" t="s">
        <v>4940</v>
      </c>
      <c r="M701" t="s">
        <v>4945</v>
      </c>
      <c r="N701" s="11">
        <v>7762.46</v>
      </c>
      <c r="O701" t="s">
        <v>4946</v>
      </c>
      <c r="P701" t="s">
        <v>4951</v>
      </c>
      <c r="Q701">
        <v>6</v>
      </c>
      <c r="R701">
        <v>30</v>
      </c>
      <c r="S701" t="str">
        <f t="shared" si="30"/>
        <v>Adult</v>
      </c>
      <c r="T701" t="str">
        <f t="shared" si="31"/>
        <v>Medium</v>
      </c>
      <c r="U701" t="str">
        <f t="shared" si="32"/>
        <v>Long Days</v>
      </c>
    </row>
    <row r="702" spans="1:21">
      <c r="A702" t="s">
        <v>718</v>
      </c>
      <c r="B702" s="5">
        <v>45739</v>
      </c>
      <c r="C702" t="s">
        <v>3613</v>
      </c>
      <c r="D702" t="s">
        <v>4694</v>
      </c>
      <c r="E702" t="s">
        <v>4866</v>
      </c>
      <c r="F702">
        <v>73</v>
      </c>
      <c r="G702" t="s">
        <v>4875</v>
      </c>
      <c r="H702" t="s">
        <v>4889</v>
      </c>
      <c r="I702" t="s">
        <v>4894</v>
      </c>
      <c r="J702" t="s">
        <v>4910</v>
      </c>
      <c r="K702" t="s">
        <v>4929</v>
      </c>
      <c r="L702" t="s">
        <v>4936</v>
      </c>
      <c r="M702" t="s">
        <v>4944</v>
      </c>
      <c r="N702" s="11">
        <v>5112.62</v>
      </c>
      <c r="O702" t="s">
        <v>4949</v>
      </c>
      <c r="P702" t="s">
        <v>4951</v>
      </c>
      <c r="S702" t="str">
        <f t="shared" si="30"/>
        <v>Senior</v>
      </c>
      <c r="T702" t="str">
        <f t="shared" si="31"/>
        <v>Medium</v>
      </c>
      <c r="U702" t="str">
        <f t="shared" si="32"/>
        <v>Short Days</v>
      </c>
    </row>
    <row r="703" spans="1:21">
      <c r="A703" t="s">
        <v>719</v>
      </c>
      <c r="B703" s="5">
        <v>45934</v>
      </c>
      <c r="C703" t="s">
        <v>3614</v>
      </c>
      <c r="D703" t="s">
        <v>4748</v>
      </c>
      <c r="E703" t="s">
        <v>4866</v>
      </c>
      <c r="F703">
        <v>18</v>
      </c>
      <c r="G703" t="s">
        <v>4871</v>
      </c>
      <c r="H703" t="s">
        <v>4886</v>
      </c>
      <c r="I703" t="s">
        <v>4893</v>
      </c>
      <c r="J703" t="s">
        <v>4917</v>
      </c>
      <c r="K703" t="s">
        <v>4928</v>
      </c>
      <c r="L703" t="s">
        <v>4936</v>
      </c>
      <c r="M703" t="s">
        <v>4942</v>
      </c>
      <c r="N703" s="11">
        <v>4136.71</v>
      </c>
      <c r="O703" t="s">
        <v>4946</v>
      </c>
      <c r="P703" t="s">
        <v>4951</v>
      </c>
      <c r="R703">
        <v>90</v>
      </c>
      <c r="S703" t="str">
        <f t="shared" si="30"/>
        <v>Adult</v>
      </c>
      <c r="T703" t="str">
        <f t="shared" si="31"/>
        <v>Low</v>
      </c>
      <c r="U703" t="str">
        <f t="shared" si="32"/>
        <v>Short Days</v>
      </c>
    </row>
    <row r="704" spans="1:21">
      <c r="A704" t="s">
        <v>720</v>
      </c>
      <c r="B704" s="5">
        <v>45757</v>
      </c>
      <c r="C704" t="s">
        <v>3615</v>
      </c>
      <c r="D704" t="s">
        <v>4735</v>
      </c>
      <c r="E704" t="s">
        <v>4867</v>
      </c>
      <c r="F704">
        <v>64</v>
      </c>
      <c r="G704" t="s">
        <v>4874</v>
      </c>
      <c r="H704" t="s">
        <v>4886</v>
      </c>
      <c r="I704" t="s">
        <v>4900</v>
      </c>
      <c r="J704" t="s">
        <v>4919</v>
      </c>
      <c r="K704" t="s">
        <v>4927</v>
      </c>
      <c r="L704" t="s">
        <v>4937</v>
      </c>
      <c r="M704" t="s">
        <v>4942</v>
      </c>
      <c r="N704" s="11">
        <v>1204.19</v>
      </c>
      <c r="O704" t="s">
        <v>4946</v>
      </c>
      <c r="P704" t="s">
        <v>4951</v>
      </c>
      <c r="R704">
        <v>90</v>
      </c>
      <c r="S704" t="str">
        <f t="shared" si="30"/>
        <v>Senior</v>
      </c>
      <c r="T704" t="str">
        <f t="shared" si="31"/>
        <v>Low</v>
      </c>
      <c r="U704" t="str">
        <f t="shared" si="32"/>
        <v>Short Days</v>
      </c>
    </row>
    <row r="705" spans="1:21">
      <c r="A705" t="s">
        <v>721</v>
      </c>
      <c r="B705" s="5">
        <v>45325</v>
      </c>
      <c r="C705" t="s">
        <v>3589</v>
      </c>
      <c r="D705" t="s">
        <v>4825</v>
      </c>
      <c r="E705" t="s">
        <v>4867</v>
      </c>
      <c r="F705">
        <v>23</v>
      </c>
      <c r="G705" t="s">
        <v>4869</v>
      </c>
      <c r="H705" t="s">
        <v>4884</v>
      </c>
      <c r="I705" t="s">
        <v>4902</v>
      </c>
      <c r="J705" t="s">
        <v>4920</v>
      </c>
      <c r="K705" t="s">
        <v>4929</v>
      </c>
      <c r="L705" t="s">
        <v>4939</v>
      </c>
      <c r="M705" t="s">
        <v>4942</v>
      </c>
      <c r="N705" s="11">
        <v>538.04</v>
      </c>
      <c r="O705" t="s">
        <v>4946</v>
      </c>
      <c r="P705" t="s">
        <v>4951</v>
      </c>
      <c r="S705" t="str">
        <f t="shared" si="30"/>
        <v>Adult</v>
      </c>
      <c r="T705" t="str">
        <f t="shared" si="31"/>
        <v>Low</v>
      </c>
      <c r="U705" t="str">
        <f t="shared" si="32"/>
        <v>Short Days</v>
      </c>
    </row>
    <row r="706" spans="1:21">
      <c r="A706" t="s">
        <v>722</v>
      </c>
      <c r="B706" s="5">
        <v>45936</v>
      </c>
      <c r="C706" t="s">
        <v>3616</v>
      </c>
      <c r="D706" t="s">
        <v>4657</v>
      </c>
      <c r="E706" t="s">
        <v>4866</v>
      </c>
      <c r="F706">
        <v>37</v>
      </c>
      <c r="G706" t="s">
        <v>4875</v>
      </c>
      <c r="H706" t="s">
        <v>4889</v>
      </c>
      <c r="I706" t="s">
        <v>4895</v>
      </c>
      <c r="J706" t="s">
        <v>4905</v>
      </c>
      <c r="K706" t="s">
        <v>4933</v>
      </c>
      <c r="L706" t="s">
        <v>4934</v>
      </c>
      <c r="M706" t="s">
        <v>4944</v>
      </c>
      <c r="N706" s="11">
        <v>13392.35</v>
      </c>
      <c r="O706" t="s">
        <v>15</v>
      </c>
      <c r="P706" t="s">
        <v>4952</v>
      </c>
      <c r="R706">
        <v>30</v>
      </c>
      <c r="S706" t="str">
        <f t="shared" si="30"/>
        <v>Adult</v>
      </c>
      <c r="T706" t="str">
        <f t="shared" si="31"/>
        <v>High</v>
      </c>
      <c r="U706" t="str">
        <f t="shared" si="32"/>
        <v>Short Days</v>
      </c>
    </row>
    <row r="707" spans="1:21">
      <c r="A707" t="s">
        <v>723</v>
      </c>
      <c r="B707" s="5">
        <v>45557</v>
      </c>
      <c r="C707" t="s">
        <v>3617</v>
      </c>
      <c r="D707" t="s">
        <v>4655</v>
      </c>
      <c r="E707" t="s">
        <v>4867</v>
      </c>
      <c r="F707">
        <v>26</v>
      </c>
      <c r="G707" t="s">
        <v>4881</v>
      </c>
      <c r="H707" t="s">
        <v>4881</v>
      </c>
      <c r="I707" t="s">
        <v>4896</v>
      </c>
      <c r="J707" t="s">
        <v>4908</v>
      </c>
      <c r="K707" t="s">
        <v>4926</v>
      </c>
      <c r="L707" t="s">
        <v>4939</v>
      </c>
      <c r="M707" t="s">
        <v>4942</v>
      </c>
      <c r="N707" s="11">
        <v>12721.54</v>
      </c>
      <c r="O707" t="s">
        <v>4947</v>
      </c>
      <c r="P707" t="s">
        <v>4951</v>
      </c>
      <c r="S707" t="str">
        <f t="shared" ref="S707:S770" si="33">IF(F707&lt;18,"Child",IF(F707&lt;=40,"Adult",IF(F707&lt;=60,"Middle-Aged",IF(F707,"Senior"))))</f>
        <v>Adult</v>
      </c>
      <c r="T707" t="str">
        <f t="shared" ref="T707:T770" si="34">IF(N707&lt;=5000,"Low",IF(N707&lt;=10000,"Medium","High"))</f>
        <v>High</v>
      </c>
      <c r="U707" t="str">
        <f t="shared" ref="U707:U770" si="35">IF(Q707&lt;=5,"Short Days","Long Days")</f>
        <v>Short Days</v>
      </c>
    </row>
    <row r="708" spans="1:21">
      <c r="A708" t="s">
        <v>724</v>
      </c>
      <c r="B708" s="5">
        <v>45954</v>
      </c>
      <c r="C708" t="s">
        <v>3059</v>
      </c>
      <c r="D708" t="s">
        <v>4766</v>
      </c>
      <c r="E708" t="s">
        <v>4866</v>
      </c>
      <c r="F708">
        <v>46</v>
      </c>
      <c r="G708" t="s">
        <v>4871</v>
      </c>
      <c r="H708" t="s">
        <v>4886</v>
      </c>
      <c r="I708" t="s">
        <v>4899</v>
      </c>
      <c r="J708" t="s">
        <v>4912</v>
      </c>
      <c r="K708" t="s">
        <v>4929</v>
      </c>
      <c r="L708" t="s">
        <v>4936</v>
      </c>
      <c r="M708" t="s">
        <v>4942</v>
      </c>
      <c r="N708" s="11">
        <v>3641.09</v>
      </c>
      <c r="O708" t="s">
        <v>15</v>
      </c>
      <c r="P708" t="s">
        <v>4952</v>
      </c>
      <c r="R708">
        <v>30</v>
      </c>
      <c r="S708" t="str">
        <f t="shared" si="33"/>
        <v>Middle-Aged</v>
      </c>
      <c r="T708" t="str">
        <f t="shared" si="34"/>
        <v>Low</v>
      </c>
      <c r="U708" t="str">
        <f t="shared" si="35"/>
        <v>Short Days</v>
      </c>
    </row>
    <row r="709" spans="1:21">
      <c r="A709" t="s">
        <v>725</v>
      </c>
      <c r="B709" s="5">
        <v>45722</v>
      </c>
      <c r="C709" t="s">
        <v>3618</v>
      </c>
      <c r="D709" t="s">
        <v>4658</v>
      </c>
      <c r="E709" t="s">
        <v>4867</v>
      </c>
      <c r="F709">
        <v>67</v>
      </c>
      <c r="G709" t="s">
        <v>4878</v>
      </c>
      <c r="H709" t="s">
        <v>4889</v>
      </c>
      <c r="I709" t="s">
        <v>4896</v>
      </c>
      <c r="J709" t="s">
        <v>4906</v>
      </c>
      <c r="K709" t="s">
        <v>4925</v>
      </c>
      <c r="L709" t="s">
        <v>4941</v>
      </c>
      <c r="M709" t="s">
        <v>4942</v>
      </c>
      <c r="N709" s="11">
        <v>8010.23</v>
      </c>
      <c r="O709" t="s">
        <v>4947</v>
      </c>
      <c r="P709" t="s">
        <v>4951</v>
      </c>
      <c r="R709">
        <v>7</v>
      </c>
      <c r="S709" t="str">
        <f t="shared" si="33"/>
        <v>Senior</v>
      </c>
      <c r="T709" t="str">
        <f t="shared" si="34"/>
        <v>Medium</v>
      </c>
      <c r="U709" t="str">
        <f t="shared" si="35"/>
        <v>Short Days</v>
      </c>
    </row>
    <row r="710" spans="1:21">
      <c r="A710" t="s">
        <v>726</v>
      </c>
      <c r="B710" s="5">
        <v>45805</v>
      </c>
      <c r="C710" t="s">
        <v>3619</v>
      </c>
      <c r="D710" t="s">
        <v>4723</v>
      </c>
      <c r="E710" t="s">
        <v>4866</v>
      </c>
      <c r="F710">
        <v>53</v>
      </c>
      <c r="G710" t="s">
        <v>4872</v>
      </c>
      <c r="H710" t="s">
        <v>4887</v>
      </c>
      <c r="I710" t="s">
        <v>4894</v>
      </c>
      <c r="J710" t="s">
        <v>4904</v>
      </c>
      <c r="K710" t="s">
        <v>4931</v>
      </c>
      <c r="L710" t="s">
        <v>4941</v>
      </c>
      <c r="M710" t="s">
        <v>4942</v>
      </c>
      <c r="N710" s="11">
        <v>8639.9699999999993</v>
      </c>
      <c r="O710" t="s">
        <v>15</v>
      </c>
      <c r="P710" t="s">
        <v>4952</v>
      </c>
      <c r="R710">
        <v>30</v>
      </c>
      <c r="S710" t="str">
        <f t="shared" si="33"/>
        <v>Middle-Aged</v>
      </c>
      <c r="T710" t="str">
        <f t="shared" si="34"/>
        <v>Medium</v>
      </c>
      <c r="U710" t="str">
        <f t="shared" si="35"/>
        <v>Short Days</v>
      </c>
    </row>
    <row r="711" spans="1:21">
      <c r="A711" t="s">
        <v>727</v>
      </c>
      <c r="B711" s="5">
        <v>45840</v>
      </c>
      <c r="C711" t="s">
        <v>3620</v>
      </c>
      <c r="D711" t="s">
        <v>4841</v>
      </c>
      <c r="E711" t="s">
        <v>4867</v>
      </c>
      <c r="F711">
        <v>43</v>
      </c>
      <c r="G711" t="s">
        <v>4878</v>
      </c>
      <c r="H711" t="s">
        <v>4889</v>
      </c>
      <c r="I711" t="s">
        <v>4898</v>
      </c>
      <c r="J711" t="s">
        <v>4909</v>
      </c>
      <c r="K711" t="s">
        <v>4929</v>
      </c>
      <c r="L711" t="s">
        <v>4939</v>
      </c>
      <c r="M711" t="s">
        <v>4944</v>
      </c>
      <c r="N711" s="11">
        <v>5476.31</v>
      </c>
      <c r="O711" t="s">
        <v>4947</v>
      </c>
      <c r="P711" t="s">
        <v>4951</v>
      </c>
      <c r="S711" t="str">
        <f t="shared" si="33"/>
        <v>Middle-Aged</v>
      </c>
      <c r="T711" t="str">
        <f t="shared" si="34"/>
        <v>Medium</v>
      </c>
      <c r="U711" t="str">
        <f t="shared" si="35"/>
        <v>Short Days</v>
      </c>
    </row>
    <row r="712" spans="1:21">
      <c r="A712" t="s">
        <v>728</v>
      </c>
      <c r="B712" s="5">
        <v>45657</v>
      </c>
      <c r="C712" t="s">
        <v>3531</v>
      </c>
      <c r="D712" t="s">
        <v>4830</v>
      </c>
      <c r="E712" t="s">
        <v>4866</v>
      </c>
      <c r="F712">
        <v>57</v>
      </c>
      <c r="G712" t="s">
        <v>4877</v>
      </c>
      <c r="H712" t="s">
        <v>4888</v>
      </c>
      <c r="I712" t="s">
        <v>4899</v>
      </c>
      <c r="J712" t="s">
        <v>4912</v>
      </c>
      <c r="K712" t="s">
        <v>4930</v>
      </c>
      <c r="L712" t="s">
        <v>4937</v>
      </c>
      <c r="M712" t="s">
        <v>4942</v>
      </c>
      <c r="N712" s="11">
        <v>2556.94</v>
      </c>
      <c r="O712" t="s">
        <v>4949</v>
      </c>
      <c r="P712" t="s">
        <v>4951</v>
      </c>
      <c r="R712">
        <v>30</v>
      </c>
      <c r="S712" t="str">
        <f t="shared" si="33"/>
        <v>Middle-Aged</v>
      </c>
      <c r="T712" t="str">
        <f t="shared" si="34"/>
        <v>Low</v>
      </c>
      <c r="U712" t="str">
        <f t="shared" si="35"/>
        <v>Short Days</v>
      </c>
    </row>
    <row r="713" spans="1:21">
      <c r="A713" t="s">
        <v>729</v>
      </c>
      <c r="B713" s="5">
        <v>45769</v>
      </c>
      <c r="C713" t="s">
        <v>3621</v>
      </c>
      <c r="D713" t="s">
        <v>4671</v>
      </c>
      <c r="E713" t="s">
        <v>4867</v>
      </c>
      <c r="F713">
        <v>41</v>
      </c>
      <c r="G713" t="s">
        <v>4874</v>
      </c>
      <c r="H713" t="s">
        <v>4886</v>
      </c>
      <c r="I713" t="s">
        <v>4894</v>
      </c>
      <c r="J713" t="s">
        <v>4904</v>
      </c>
      <c r="K713" t="s">
        <v>4926</v>
      </c>
      <c r="L713" t="s">
        <v>4938</v>
      </c>
      <c r="M713" t="s">
        <v>4942</v>
      </c>
      <c r="N713" s="11">
        <v>3224.17</v>
      </c>
      <c r="O713" t="s">
        <v>15</v>
      </c>
      <c r="P713" t="s">
        <v>4952</v>
      </c>
      <c r="R713">
        <v>30</v>
      </c>
      <c r="S713" t="str">
        <f t="shared" si="33"/>
        <v>Middle-Aged</v>
      </c>
      <c r="T713" t="str">
        <f t="shared" si="34"/>
        <v>Low</v>
      </c>
      <c r="U713" t="str">
        <f t="shared" si="35"/>
        <v>Short Days</v>
      </c>
    </row>
    <row r="714" spans="1:21">
      <c r="A714" t="s">
        <v>730</v>
      </c>
      <c r="B714" s="5">
        <v>45757</v>
      </c>
      <c r="C714" t="s">
        <v>3198</v>
      </c>
      <c r="D714" t="s">
        <v>4796</v>
      </c>
      <c r="E714" t="s">
        <v>4867</v>
      </c>
      <c r="F714">
        <v>46</v>
      </c>
      <c r="G714" t="s">
        <v>4883</v>
      </c>
      <c r="H714" t="s">
        <v>4892</v>
      </c>
      <c r="I714" t="s">
        <v>4899</v>
      </c>
      <c r="J714" t="s">
        <v>4912</v>
      </c>
      <c r="K714" t="s">
        <v>4927</v>
      </c>
      <c r="L714" t="s">
        <v>4938</v>
      </c>
      <c r="M714" t="s">
        <v>4942</v>
      </c>
      <c r="N714" s="11">
        <v>674.71</v>
      </c>
      <c r="O714" t="s">
        <v>4949</v>
      </c>
      <c r="P714" t="s">
        <v>4951</v>
      </c>
      <c r="R714">
        <v>30</v>
      </c>
      <c r="S714" t="str">
        <f t="shared" si="33"/>
        <v>Middle-Aged</v>
      </c>
      <c r="T714" t="str">
        <f t="shared" si="34"/>
        <v>Low</v>
      </c>
      <c r="U714" t="str">
        <f t="shared" si="35"/>
        <v>Short Days</v>
      </c>
    </row>
    <row r="715" spans="1:21">
      <c r="A715" t="s">
        <v>731</v>
      </c>
      <c r="B715" s="5">
        <v>45331</v>
      </c>
      <c r="C715" t="s">
        <v>3338</v>
      </c>
      <c r="D715" t="s">
        <v>4588</v>
      </c>
      <c r="E715" t="s">
        <v>4867</v>
      </c>
      <c r="F715">
        <v>35</v>
      </c>
      <c r="G715" t="s">
        <v>4877</v>
      </c>
      <c r="H715" t="s">
        <v>4888</v>
      </c>
      <c r="I715" t="s">
        <v>4893</v>
      </c>
      <c r="J715" t="s">
        <v>4917</v>
      </c>
      <c r="K715" t="s">
        <v>4927</v>
      </c>
      <c r="L715" t="s">
        <v>4941</v>
      </c>
      <c r="M715" t="s">
        <v>4942</v>
      </c>
      <c r="N715" s="11">
        <v>2549.6</v>
      </c>
      <c r="O715" t="s">
        <v>4949</v>
      </c>
      <c r="P715" t="s">
        <v>4951</v>
      </c>
      <c r="S715" t="str">
        <f t="shared" si="33"/>
        <v>Adult</v>
      </c>
      <c r="T715" t="str">
        <f t="shared" si="34"/>
        <v>Low</v>
      </c>
      <c r="U715" t="str">
        <f t="shared" si="35"/>
        <v>Short Days</v>
      </c>
    </row>
    <row r="716" spans="1:21">
      <c r="A716" t="s">
        <v>732</v>
      </c>
      <c r="B716" s="5">
        <v>45397</v>
      </c>
      <c r="C716" t="s">
        <v>3622</v>
      </c>
      <c r="D716" t="s">
        <v>4771</v>
      </c>
      <c r="E716" t="s">
        <v>4866</v>
      </c>
      <c r="F716">
        <v>14</v>
      </c>
      <c r="G716" t="s">
        <v>4882</v>
      </c>
      <c r="H716" t="s">
        <v>4891</v>
      </c>
      <c r="I716" t="s">
        <v>4893</v>
      </c>
      <c r="J716" t="s">
        <v>4903</v>
      </c>
      <c r="K716" t="s">
        <v>4933</v>
      </c>
      <c r="L716" t="s">
        <v>4935</v>
      </c>
      <c r="M716" t="s">
        <v>4942</v>
      </c>
      <c r="N716" s="11">
        <v>2987.35</v>
      </c>
      <c r="O716" t="s">
        <v>4949</v>
      </c>
      <c r="P716" t="s">
        <v>4951</v>
      </c>
      <c r="R716">
        <v>7</v>
      </c>
      <c r="S716" t="str">
        <f t="shared" si="33"/>
        <v>Child</v>
      </c>
      <c r="T716" t="str">
        <f t="shared" si="34"/>
        <v>Low</v>
      </c>
      <c r="U716" t="str">
        <f t="shared" si="35"/>
        <v>Short Days</v>
      </c>
    </row>
    <row r="717" spans="1:21">
      <c r="A717" t="s">
        <v>733</v>
      </c>
      <c r="B717" s="5">
        <v>45371</v>
      </c>
      <c r="C717" t="s">
        <v>3623</v>
      </c>
      <c r="D717" t="s">
        <v>4803</v>
      </c>
      <c r="E717" t="s">
        <v>4867</v>
      </c>
      <c r="F717">
        <v>44</v>
      </c>
      <c r="G717" t="s">
        <v>4869</v>
      </c>
      <c r="H717" t="s">
        <v>4884</v>
      </c>
      <c r="I717" t="s">
        <v>4901</v>
      </c>
      <c r="J717" t="s">
        <v>4921</v>
      </c>
      <c r="K717" t="s">
        <v>4929</v>
      </c>
      <c r="L717" t="s">
        <v>4940</v>
      </c>
      <c r="M717" t="s">
        <v>4945</v>
      </c>
      <c r="N717" s="11">
        <v>6341.65</v>
      </c>
      <c r="O717" t="s">
        <v>4948</v>
      </c>
      <c r="P717" t="s">
        <v>4951</v>
      </c>
      <c r="Q717">
        <v>5</v>
      </c>
      <c r="R717">
        <v>30</v>
      </c>
      <c r="S717" t="str">
        <f t="shared" si="33"/>
        <v>Middle-Aged</v>
      </c>
      <c r="T717" t="str">
        <f t="shared" si="34"/>
        <v>Medium</v>
      </c>
      <c r="U717" t="str">
        <f t="shared" si="35"/>
        <v>Short Days</v>
      </c>
    </row>
    <row r="718" spans="1:21">
      <c r="A718" t="s">
        <v>734</v>
      </c>
      <c r="B718" s="5">
        <v>45454</v>
      </c>
      <c r="C718" t="s">
        <v>3624</v>
      </c>
      <c r="D718" t="s">
        <v>4842</v>
      </c>
      <c r="E718" t="s">
        <v>4867</v>
      </c>
      <c r="F718">
        <v>42</v>
      </c>
      <c r="G718" t="s">
        <v>4880</v>
      </c>
      <c r="H718" t="s">
        <v>4890</v>
      </c>
      <c r="I718" t="s">
        <v>4899</v>
      </c>
      <c r="J718" t="s">
        <v>4912</v>
      </c>
      <c r="K718" t="s">
        <v>4924</v>
      </c>
      <c r="L718" t="s">
        <v>4940</v>
      </c>
      <c r="M718" t="s">
        <v>4942</v>
      </c>
      <c r="N718" s="11">
        <v>183.99</v>
      </c>
      <c r="O718" t="s">
        <v>15</v>
      </c>
      <c r="P718" t="s">
        <v>4952</v>
      </c>
      <c r="R718">
        <v>14</v>
      </c>
      <c r="S718" t="str">
        <f t="shared" si="33"/>
        <v>Middle-Aged</v>
      </c>
      <c r="T718" t="str">
        <f t="shared" si="34"/>
        <v>Low</v>
      </c>
      <c r="U718" t="str">
        <f t="shared" si="35"/>
        <v>Short Days</v>
      </c>
    </row>
    <row r="719" spans="1:21">
      <c r="A719" t="s">
        <v>735</v>
      </c>
      <c r="B719" s="5">
        <v>45394</v>
      </c>
      <c r="C719" t="s">
        <v>3625</v>
      </c>
      <c r="D719" t="s">
        <v>4631</v>
      </c>
      <c r="E719" t="s">
        <v>4867</v>
      </c>
      <c r="F719">
        <v>51</v>
      </c>
      <c r="G719" t="s">
        <v>4877</v>
      </c>
      <c r="H719" t="s">
        <v>4888</v>
      </c>
      <c r="I719" t="s">
        <v>4901</v>
      </c>
      <c r="J719" t="s">
        <v>4914</v>
      </c>
      <c r="K719" t="s">
        <v>4927</v>
      </c>
      <c r="L719" t="s">
        <v>4935</v>
      </c>
      <c r="M719" t="s">
        <v>4942</v>
      </c>
      <c r="N719" s="11">
        <v>6754.47</v>
      </c>
      <c r="O719" t="s">
        <v>4948</v>
      </c>
      <c r="P719" t="s">
        <v>4951</v>
      </c>
      <c r="R719">
        <v>30</v>
      </c>
      <c r="S719" t="str">
        <f t="shared" si="33"/>
        <v>Middle-Aged</v>
      </c>
      <c r="T719" t="str">
        <f t="shared" si="34"/>
        <v>Medium</v>
      </c>
      <c r="U719" t="str">
        <f t="shared" si="35"/>
        <v>Short Days</v>
      </c>
    </row>
    <row r="720" spans="1:21">
      <c r="A720" t="s">
        <v>736</v>
      </c>
      <c r="B720" s="5">
        <v>45800</v>
      </c>
      <c r="C720" t="s">
        <v>3626</v>
      </c>
      <c r="D720" t="s">
        <v>4632</v>
      </c>
      <c r="E720" t="s">
        <v>4866</v>
      </c>
      <c r="F720">
        <v>52</v>
      </c>
      <c r="G720" t="s">
        <v>4880</v>
      </c>
      <c r="H720" t="s">
        <v>4890</v>
      </c>
      <c r="I720" t="s">
        <v>4899</v>
      </c>
      <c r="J720" t="s">
        <v>4911</v>
      </c>
      <c r="K720" t="s">
        <v>4926</v>
      </c>
      <c r="L720" t="s">
        <v>4938</v>
      </c>
      <c r="M720" t="s">
        <v>4942</v>
      </c>
      <c r="N720" s="11">
        <v>155.74</v>
      </c>
      <c r="O720" t="s">
        <v>4947</v>
      </c>
      <c r="P720" t="s">
        <v>4951</v>
      </c>
      <c r="S720" t="str">
        <f t="shared" si="33"/>
        <v>Middle-Aged</v>
      </c>
      <c r="T720" t="str">
        <f t="shared" si="34"/>
        <v>Low</v>
      </c>
      <c r="U720" t="str">
        <f t="shared" si="35"/>
        <v>Short Days</v>
      </c>
    </row>
    <row r="721" spans="1:21">
      <c r="A721" t="s">
        <v>737</v>
      </c>
      <c r="B721" s="5">
        <v>45770</v>
      </c>
      <c r="C721" t="s">
        <v>3627</v>
      </c>
      <c r="D721" t="s">
        <v>4726</v>
      </c>
      <c r="E721" t="s">
        <v>4866</v>
      </c>
      <c r="F721">
        <v>34</v>
      </c>
      <c r="G721" t="s">
        <v>4876</v>
      </c>
      <c r="H721" t="s">
        <v>4888</v>
      </c>
      <c r="I721" t="s">
        <v>4902</v>
      </c>
      <c r="J721" t="s">
        <v>4920</v>
      </c>
      <c r="K721" t="s">
        <v>4929</v>
      </c>
      <c r="L721" t="s">
        <v>4939</v>
      </c>
      <c r="M721" t="s">
        <v>4945</v>
      </c>
      <c r="N721" s="11">
        <v>19453.150000000001</v>
      </c>
      <c r="O721" t="s">
        <v>4946</v>
      </c>
      <c r="P721" t="s">
        <v>4951</v>
      </c>
      <c r="Q721">
        <v>2</v>
      </c>
      <c r="R721">
        <v>14</v>
      </c>
      <c r="S721" t="str">
        <f t="shared" si="33"/>
        <v>Adult</v>
      </c>
      <c r="T721" t="str">
        <f t="shared" si="34"/>
        <v>High</v>
      </c>
      <c r="U721" t="str">
        <f t="shared" si="35"/>
        <v>Short Days</v>
      </c>
    </row>
    <row r="722" spans="1:21">
      <c r="A722" t="s">
        <v>738</v>
      </c>
      <c r="B722" s="5">
        <v>45581</v>
      </c>
      <c r="C722" t="s">
        <v>3628</v>
      </c>
      <c r="D722" t="s">
        <v>4843</v>
      </c>
      <c r="E722" t="s">
        <v>4866</v>
      </c>
      <c r="F722">
        <v>23</v>
      </c>
      <c r="G722" t="s">
        <v>4882</v>
      </c>
      <c r="H722" t="s">
        <v>4891</v>
      </c>
      <c r="I722" t="s">
        <v>4897</v>
      </c>
      <c r="J722" t="s">
        <v>4907</v>
      </c>
      <c r="K722" t="s">
        <v>4929</v>
      </c>
      <c r="L722" t="s">
        <v>4937</v>
      </c>
      <c r="M722" t="s">
        <v>4942</v>
      </c>
      <c r="N722" s="11">
        <v>4987.78</v>
      </c>
      <c r="O722" t="s">
        <v>4947</v>
      </c>
      <c r="P722" t="s">
        <v>4951</v>
      </c>
      <c r="S722" t="str">
        <f t="shared" si="33"/>
        <v>Adult</v>
      </c>
      <c r="T722" t="str">
        <f t="shared" si="34"/>
        <v>Low</v>
      </c>
      <c r="U722" t="str">
        <f t="shared" si="35"/>
        <v>Short Days</v>
      </c>
    </row>
    <row r="723" spans="1:21">
      <c r="A723" t="s">
        <v>739</v>
      </c>
      <c r="B723" s="5">
        <v>45427</v>
      </c>
      <c r="C723" t="s">
        <v>3629</v>
      </c>
      <c r="D723" t="s">
        <v>4742</v>
      </c>
      <c r="E723" t="s">
        <v>4866</v>
      </c>
      <c r="F723">
        <v>14</v>
      </c>
      <c r="G723" t="s">
        <v>4881</v>
      </c>
      <c r="H723" t="s">
        <v>4881</v>
      </c>
      <c r="I723" t="s">
        <v>4897</v>
      </c>
      <c r="J723" t="s">
        <v>4907</v>
      </c>
      <c r="K723" t="s">
        <v>4926</v>
      </c>
      <c r="L723" t="s">
        <v>4938</v>
      </c>
      <c r="M723" t="s">
        <v>4942</v>
      </c>
      <c r="N723" s="11">
        <v>6778.54</v>
      </c>
      <c r="O723" t="s">
        <v>4948</v>
      </c>
      <c r="P723" t="s">
        <v>4951</v>
      </c>
      <c r="R723">
        <v>14</v>
      </c>
      <c r="S723" t="str">
        <f t="shared" si="33"/>
        <v>Child</v>
      </c>
      <c r="T723" t="str">
        <f t="shared" si="34"/>
        <v>Medium</v>
      </c>
      <c r="U723" t="str">
        <f t="shared" si="35"/>
        <v>Short Days</v>
      </c>
    </row>
    <row r="724" spans="1:21">
      <c r="A724" t="s">
        <v>740</v>
      </c>
      <c r="B724" s="5">
        <v>45692</v>
      </c>
      <c r="C724" t="s">
        <v>3630</v>
      </c>
      <c r="D724" t="s">
        <v>4795</v>
      </c>
      <c r="E724" t="s">
        <v>4867</v>
      </c>
      <c r="F724">
        <v>26</v>
      </c>
      <c r="G724" t="s">
        <v>4879</v>
      </c>
      <c r="H724" t="s">
        <v>4888</v>
      </c>
      <c r="I724" t="s">
        <v>4894</v>
      </c>
      <c r="J724" t="s">
        <v>4910</v>
      </c>
      <c r="K724" t="s">
        <v>4928</v>
      </c>
      <c r="L724" t="s">
        <v>4937</v>
      </c>
      <c r="M724" t="s">
        <v>4944</v>
      </c>
      <c r="N724" s="11">
        <v>7332.93</v>
      </c>
      <c r="O724" t="s">
        <v>4949</v>
      </c>
      <c r="P724" t="s">
        <v>4951</v>
      </c>
      <c r="R724">
        <v>14</v>
      </c>
      <c r="S724" t="str">
        <f t="shared" si="33"/>
        <v>Adult</v>
      </c>
      <c r="T724" t="str">
        <f t="shared" si="34"/>
        <v>Medium</v>
      </c>
      <c r="U724" t="str">
        <f t="shared" si="35"/>
        <v>Short Days</v>
      </c>
    </row>
    <row r="725" spans="1:21">
      <c r="A725" t="s">
        <v>741</v>
      </c>
      <c r="B725" s="5">
        <v>45343</v>
      </c>
      <c r="C725" t="s">
        <v>3631</v>
      </c>
      <c r="D725" t="s">
        <v>4844</v>
      </c>
      <c r="E725" t="s">
        <v>4867</v>
      </c>
      <c r="F725">
        <v>43</v>
      </c>
      <c r="G725" t="s">
        <v>4870</v>
      </c>
      <c r="H725" t="s">
        <v>4885</v>
      </c>
      <c r="I725" t="s">
        <v>4898</v>
      </c>
      <c r="J725" t="s">
        <v>4918</v>
      </c>
      <c r="K725" t="s">
        <v>4925</v>
      </c>
      <c r="L725" t="s">
        <v>4934</v>
      </c>
      <c r="M725" t="s">
        <v>4942</v>
      </c>
      <c r="N725" s="11">
        <v>5518.18</v>
      </c>
      <c r="O725" t="s">
        <v>15</v>
      </c>
      <c r="P725" t="s">
        <v>4952</v>
      </c>
      <c r="S725" t="str">
        <f t="shared" si="33"/>
        <v>Middle-Aged</v>
      </c>
      <c r="T725" t="str">
        <f t="shared" si="34"/>
        <v>Medium</v>
      </c>
      <c r="U725" t="str">
        <f t="shared" si="35"/>
        <v>Short Days</v>
      </c>
    </row>
    <row r="726" spans="1:21">
      <c r="A726" t="s">
        <v>742</v>
      </c>
      <c r="B726" s="5">
        <v>45656</v>
      </c>
      <c r="C726" t="s">
        <v>3632</v>
      </c>
      <c r="D726" t="s">
        <v>4595</v>
      </c>
      <c r="E726" t="s">
        <v>4867</v>
      </c>
      <c r="F726">
        <v>20</v>
      </c>
      <c r="G726" t="s">
        <v>4873</v>
      </c>
      <c r="H726" t="s">
        <v>4888</v>
      </c>
      <c r="I726" t="s">
        <v>4899</v>
      </c>
      <c r="J726" t="s">
        <v>4911</v>
      </c>
      <c r="K726" t="s">
        <v>4929</v>
      </c>
      <c r="L726" t="s">
        <v>4936</v>
      </c>
      <c r="M726" t="s">
        <v>4945</v>
      </c>
      <c r="N726" s="11">
        <v>8494.99</v>
      </c>
      <c r="O726" t="s">
        <v>4948</v>
      </c>
      <c r="P726" t="s">
        <v>4951</v>
      </c>
      <c r="Q726">
        <v>4</v>
      </c>
      <c r="R726">
        <v>7</v>
      </c>
      <c r="S726" t="str">
        <f t="shared" si="33"/>
        <v>Adult</v>
      </c>
      <c r="T726" t="str">
        <f t="shared" si="34"/>
        <v>Medium</v>
      </c>
      <c r="U726" t="str">
        <f t="shared" si="35"/>
        <v>Short Days</v>
      </c>
    </row>
    <row r="727" spans="1:21">
      <c r="A727" t="s">
        <v>743</v>
      </c>
      <c r="B727" s="5">
        <v>45333</v>
      </c>
      <c r="C727" t="s">
        <v>3633</v>
      </c>
      <c r="D727" t="s">
        <v>4624</v>
      </c>
      <c r="E727" t="s">
        <v>4866</v>
      </c>
      <c r="F727">
        <v>50</v>
      </c>
      <c r="G727" t="s">
        <v>4873</v>
      </c>
      <c r="H727" t="s">
        <v>4888</v>
      </c>
      <c r="I727" t="s">
        <v>4897</v>
      </c>
      <c r="J727" t="s">
        <v>4922</v>
      </c>
      <c r="K727" t="s">
        <v>4924</v>
      </c>
      <c r="L727" t="s">
        <v>4940</v>
      </c>
      <c r="M727" t="s">
        <v>4942</v>
      </c>
      <c r="N727" s="11">
        <v>13949.95</v>
      </c>
      <c r="O727" t="s">
        <v>15</v>
      </c>
      <c r="P727" t="s">
        <v>4952</v>
      </c>
      <c r="R727">
        <v>14</v>
      </c>
      <c r="S727" t="str">
        <f t="shared" si="33"/>
        <v>Middle-Aged</v>
      </c>
      <c r="T727" t="str">
        <f t="shared" si="34"/>
        <v>High</v>
      </c>
      <c r="U727" t="str">
        <f t="shared" si="35"/>
        <v>Short Days</v>
      </c>
    </row>
    <row r="728" spans="1:21">
      <c r="A728" t="s">
        <v>744</v>
      </c>
      <c r="B728" s="5">
        <v>45734</v>
      </c>
      <c r="C728" t="s">
        <v>3634</v>
      </c>
      <c r="D728" t="s">
        <v>4616</v>
      </c>
      <c r="E728" t="s">
        <v>4866</v>
      </c>
      <c r="F728">
        <v>11</v>
      </c>
      <c r="G728" t="s">
        <v>4869</v>
      </c>
      <c r="H728" t="s">
        <v>4884</v>
      </c>
      <c r="I728" t="s">
        <v>4902</v>
      </c>
      <c r="J728" t="s">
        <v>4916</v>
      </c>
      <c r="K728" t="s">
        <v>4927</v>
      </c>
      <c r="L728" t="s">
        <v>4937</v>
      </c>
      <c r="M728" t="s">
        <v>4942</v>
      </c>
      <c r="N728" s="11">
        <v>3879.27</v>
      </c>
      <c r="O728" t="s">
        <v>15</v>
      </c>
      <c r="P728" t="s">
        <v>4952</v>
      </c>
      <c r="R728">
        <v>90</v>
      </c>
      <c r="S728" t="str">
        <f t="shared" si="33"/>
        <v>Child</v>
      </c>
      <c r="T728" t="str">
        <f t="shared" si="34"/>
        <v>Low</v>
      </c>
      <c r="U728" t="str">
        <f t="shared" si="35"/>
        <v>Short Days</v>
      </c>
    </row>
    <row r="729" spans="1:21">
      <c r="A729" t="s">
        <v>745</v>
      </c>
      <c r="B729" s="5">
        <v>45388</v>
      </c>
      <c r="C729" t="s">
        <v>3635</v>
      </c>
      <c r="D729" t="s">
        <v>4845</v>
      </c>
      <c r="E729" t="s">
        <v>4867</v>
      </c>
      <c r="F729">
        <v>40</v>
      </c>
      <c r="G729" t="s">
        <v>4874</v>
      </c>
      <c r="H729" t="s">
        <v>4886</v>
      </c>
      <c r="I729" t="s">
        <v>4894</v>
      </c>
      <c r="J729" t="s">
        <v>4910</v>
      </c>
      <c r="K729" t="s">
        <v>4924</v>
      </c>
      <c r="L729" t="s">
        <v>4938</v>
      </c>
      <c r="M729" t="s">
        <v>4945</v>
      </c>
      <c r="N729" s="11">
        <v>18436.25</v>
      </c>
      <c r="O729" t="s">
        <v>4946</v>
      </c>
      <c r="P729" t="s">
        <v>4951</v>
      </c>
      <c r="Q729">
        <v>6</v>
      </c>
      <c r="R729">
        <v>14</v>
      </c>
      <c r="S729" t="str">
        <f t="shared" si="33"/>
        <v>Adult</v>
      </c>
      <c r="T729" t="str">
        <f t="shared" si="34"/>
        <v>High</v>
      </c>
      <c r="U729" t="str">
        <f t="shared" si="35"/>
        <v>Long Days</v>
      </c>
    </row>
    <row r="730" spans="1:21">
      <c r="A730" t="s">
        <v>746</v>
      </c>
      <c r="B730" s="5">
        <v>45671</v>
      </c>
      <c r="C730" t="s">
        <v>3395</v>
      </c>
      <c r="D730" t="s">
        <v>4846</v>
      </c>
      <c r="E730" t="s">
        <v>4866</v>
      </c>
      <c r="F730">
        <v>21</v>
      </c>
      <c r="G730" t="s">
        <v>4871</v>
      </c>
      <c r="H730" t="s">
        <v>4886</v>
      </c>
      <c r="I730" t="s">
        <v>4899</v>
      </c>
      <c r="J730" t="s">
        <v>4911</v>
      </c>
      <c r="K730" t="s">
        <v>4929</v>
      </c>
      <c r="L730" t="s">
        <v>4934</v>
      </c>
      <c r="M730" t="s">
        <v>4942</v>
      </c>
      <c r="N730" s="11">
        <v>19807.75</v>
      </c>
      <c r="O730" t="s">
        <v>4949</v>
      </c>
      <c r="P730" t="s">
        <v>4951</v>
      </c>
      <c r="R730">
        <v>14</v>
      </c>
      <c r="S730" t="str">
        <f t="shared" si="33"/>
        <v>Adult</v>
      </c>
      <c r="T730" t="str">
        <f t="shared" si="34"/>
        <v>High</v>
      </c>
      <c r="U730" t="str">
        <f t="shared" si="35"/>
        <v>Short Days</v>
      </c>
    </row>
    <row r="731" spans="1:21">
      <c r="A731" t="s">
        <v>747</v>
      </c>
      <c r="B731" s="5">
        <v>45477</v>
      </c>
      <c r="C731" t="s">
        <v>3636</v>
      </c>
      <c r="D731" t="s">
        <v>4847</v>
      </c>
      <c r="E731" t="s">
        <v>4867</v>
      </c>
      <c r="F731">
        <v>17</v>
      </c>
      <c r="G731" t="s">
        <v>4873</v>
      </c>
      <c r="H731" t="s">
        <v>4888</v>
      </c>
      <c r="I731" t="s">
        <v>4897</v>
      </c>
      <c r="J731" t="s">
        <v>4907</v>
      </c>
      <c r="K731" t="s">
        <v>4929</v>
      </c>
      <c r="L731" t="s">
        <v>4940</v>
      </c>
      <c r="M731" t="s">
        <v>4942</v>
      </c>
      <c r="N731" s="11">
        <v>5532.22</v>
      </c>
      <c r="O731" t="s">
        <v>4949</v>
      </c>
      <c r="P731" t="s">
        <v>4951</v>
      </c>
      <c r="R731">
        <v>30</v>
      </c>
      <c r="S731" t="str">
        <f t="shared" si="33"/>
        <v>Child</v>
      </c>
      <c r="T731" t="str">
        <f t="shared" si="34"/>
        <v>Medium</v>
      </c>
      <c r="U731" t="str">
        <f t="shared" si="35"/>
        <v>Short Days</v>
      </c>
    </row>
    <row r="732" spans="1:21">
      <c r="A732" t="s">
        <v>748</v>
      </c>
      <c r="B732" s="5">
        <v>45346</v>
      </c>
      <c r="C732" t="s">
        <v>3637</v>
      </c>
      <c r="D732" t="s">
        <v>4724</v>
      </c>
      <c r="E732" t="s">
        <v>4867</v>
      </c>
      <c r="F732">
        <v>55</v>
      </c>
      <c r="G732" t="s">
        <v>4876</v>
      </c>
      <c r="H732" t="s">
        <v>4888</v>
      </c>
      <c r="I732" t="s">
        <v>4902</v>
      </c>
      <c r="J732" t="s">
        <v>4920</v>
      </c>
      <c r="K732" t="s">
        <v>4932</v>
      </c>
      <c r="L732" t="s">
        <v>4937</v>
      </c>
      <c r="M732" t="s">
        <v>4942</v>
      </c>
      <c r="N732" s="11">
        <v>3754.12</v>
      </c>
      <c r="O732" t="s">
        <v>15</v>
      </c>
      <c r="P732" t="s">
        <v>4952</v>
      </c>
      <c r="R732">
        <v>14</v>
      </c>
      <c r="S732" t="str">
        <f t="shared" si="33"/>
        <v>Middle-Aged</v>
      </c>
      <c r="T732" t="str">
        <f t="shared" si="34"/>
        <v>Low</v>
      </c>
      <c r="U732" t="str">
        <f t="shared" si="35"/>
        <v>Short Days</v>
      </c>
    </row>
    <row r="733" spans="1:21">
      <c r="A733" t="s">
        <v>749</v>
      </c>
      <c r="B733" s="5">
        <v>45685</v>
      </c>
      <c r="C733" t="s">
        <v>3638</v>
      </c>
      <c r="D733" t="s">
        <v>4725</v>
      </c>
      <c r="E733" t="s">
        <v>4867</v>
      </c>
      <c r="F733">
        <v>39</v>
      </c>
      <c r="G733" t="s">
        <v>4882</v>
      </c>
      <c r="H733" t="s">
        <v>4891</v>
      </c>
      <c r="I733" t="s">
        <v>4900</v>
      </c>
      <c r="J733" t="s">
        <v>4913</v>
      </c>
      <c r="K733" t="s">
        <v>4933</v>
      </c>
      <c r="L733" t="s">
        <v>4937</v>
      </c>
      <c r="M733" t="s">
        <v>4944</v>
      </c>
      <c r="N733" s="11">
        <v>11803.64</v>
      </c>
      <c r="O733" t="s">
        <v>4949</v>
      </c>
      <c r="P733" t="s">
        <v>4951</v>
      </c>
      <c r="R733">
        <v>7</v>
      </c>
      <c r="S733" t="str">
        <f t="shared" si="33"/>
        <v>Adult</v>
      </c>
      <c r="T733" t="str">
        <f t="shared" si="34"/>
        <v>High</v>
      </c>
      <c r="U733" t="str">
        <f t="shared" si="35"/>
        <v>Short Days</v>
      </c>
    </row>
    <row r="734" spans="1:21">
      <c r="A734" t="s">
        <v>750</v>
      </c>
      <c r="B734" s="5">
        <v>45634</v>
      </c>
      <c r="C734" t="s">
        <v>3639</v>
      </c>
      <c r="D734" t="s">
        <v>4787</v>
      </c>
      <c r="E734" t="s">
        <v>4867</v>
      </c>
      <c r="F734">
        <v>33</v>
      </c>
      <c r="G734" t="s">
        <v>4879</v>
      </c>
      <c r="H734" t="s">
        <v>4888</v>
      </c>
      <c r="I734" t="s">
        <v>4898</v>
      </c>
      <c r="J734" t="s">
        <v>4918</v>
      </c>
      <c r="K734" t="s">
        <v>4927</v>
      </c>
      <c r="L734" t="s">
        <v>4939</v>
      </c>
      <c r="M734" t="s">
        <v>4943</v>
      </c>
      <c r="N734" s="11">
        <v>8193.66</v>
      </c>
      <c r="O734" t="s">
        <v>15</v>
      </c>
      <c r="P734" t="s">
        <v>4952</v>
      </c>
      <c r="R734">
        <v>90</v>
      </c>
      <c r="S734" t="str">
        <f t="shared" si="33"/>
        <v>Adult</v>
      </c>
      <c r="T734" t="str">
        <f t="shared" si="34"/>
        <v>Medium</v>
      </c>
      <c r="U734" t="str">
        <f t="shared" si="35"/>
        <v>Short Days</v>
      </c>
    </row>
    <row r="735" spans="1:21">
      <c r="A735" t="s">
        <v>751</v>
      </c>
      <c r="B735" s="5">
        <v>45864</v>
      </c>
      <c r="C735" t="s">
        <v>3019</v>
      </c>
      <c r="D735" t="s">
        <v>4590</v>
      </c>
      <c r="E735" t="s">
        <v>4866</v>
      </c>
      <c r="F735">
        <v>27</v>
      </c>
      <c r="G735" t="s">
        <v>4877</v>
      </c>
      <c r="H735" t="s">
        <v>4888</v>
      </c>
      <c r="I735" t="s">
        <v>4899</v>
      </c>
      <c r="J735" t="s">
        <v>4911</v>
      </c>
      <c r="K735" t="s">
        <v>4929</v>
      </c>
      <c r="L735" t="s">
        <v>4935</v>
      </c>
      <c r="M735" t="s">
        <v>4942</v>
      </c>
      <c r="N735" s="11">
        <v>3030.63</v>
      </c>
      <c r="O735" t="s">
        <v>4946</v>
      </c>
      <c r="P735" t="s">
        <v>4951</v>
      </c>
      <c r="S735" t="str">
        <f t="shared" si="33"/>
        <v>Adult</v>
      </c>
      <c r="T735" t="str">
        <f t="shared" si="34"/>
        <v>Low</v>
      </c>
      <c r="U735" t="str">
        <f t="shared" si="35"/>
        <v>Short Days</v>
      </c>
    </row>
    <row r="736" spans="1:21">
      <c r="A736" t="s">
        <v>752</v>
      </c>
      <c r="B736" s="5">
        <v>45361</v>
      </c>
      <c r="C736" t="s">
        <v>3640</v>
      </c>
      <c r="D736" t="s">
        <v>4802</v>
      </c>
      <c r="E736" t="s">
        <v>4867</v>
      </c>
      <c r="F736">
        <v>40</v>
      </c>
      <c r="G736" t="s">
        <v>4869</v>
      </c>
      <c r="H736" t="s">
        <v>4884</v>
      </c>
      <c r="I736" t="s">
        <v>4893</v>
      </c>
      <c r="J736" t="s">
        <v>4903</v>
      </c>
      <c r="K736" t="s">
        <v>4931</v>
      </c>
      <c r="L736" t="s">
        <v>4938</v>
      </c>
      <c r="M736" t="s">
        <v>4942</v>
      </c>
      <c r="N736" s="11">
        <v>2056.73</v>
      </c>
      <c r="O736" t="s">
        <v>4946</v>
      </c>
      <c r="P736" t="s">
        <v>4951</v>
      </c>
      <c r="S736" t="str">
        <f t="shared" si="33"/>
        <v>Adult</v>
      </c>
      <c r="T736" t="str">
        <f t="shared" si="34"/>
        <v>Low</v>
      </c>
      <c r="U736" t="str">
        <f t="shared" si="35"/>
        <v>Short Days</v>
      </c>
    </row>
    <row r="737" spans="1:21">
      <c r="A737" t="s">
        <v>753</v>
      </c>
      <c r="B737" s="5">
        <v>45402</v>
      </c>
      <c r="C737" t="s">
        <v>3641</v>
      </c>
      <c r="D737" t="s">
        <v>4768</v>
      </c>
      <c r="E737" t="s">
        <v>4866</v>
      </c>
      <c r="F737">
        <v>38</v>
      </c>
      <c r="G737" t="s">
        <v>4877</v>
      </c>
      <c r="H737" t="s">
        <v>4888</v>
      </c>
      <c r="I737" t="s">
        <v>4896</v>
      </c>
      <c r="J737" t="s">
        <v>4908</v>
      </c>
      <c r="K737" t="s">
        <v>4926</v>
      </c>
      <c r="L737" t="s">
        <v>4937</v>
      </c>
      <c r="M737" t="s">
        <v>4942</v>
      </c>
      <c r="N737" s="11">
        <v>7135.24</v>
      </c>
      <c r="O737" t="s">
        <v>4949</v>
      </c>
      <c r="P737" t="s">
        <v>4951</v>
      </c>
      <c r="S737" t="str">
        <f t="shared" si="33"/>
        <v>Adult</v>
      </c>
      <c r="T737" t="str">
        <f t="shared" si="34"/>
        <v>Medium</v>
      </c>
      <c r="U737" t="str">
        <f t="shared" si="35"/>
        <v>Short Days</v>
      </c>
    </row>
    <row r="738" spans="1:21">
      <c r="A738" t="s">
        <v>754</v>
      </c>
      <c r="B738" s="5">
        <v>45888</v>
      </c>
      <c r="C738" t="s">
        <v>3642</v>
      </c>
      <c r="D738" t="s">
        <v>4606</v>
      </c>
      <c r="E738" t="s">
        <v>4867</v>
      </c>
      <c r="F738">
        <v>38</v>
      </c>
      <c r="G738" t="s">
        <v>4880</v>
      </c>
      <c r="H738" t="s">
        <v>4890</v>
      </c>
      <c r="I738" t="s">
        <v>4898</v>
      </c>
      <c r="J738" t="s">
        <v>4918</v>
      </c>
      <c r="K738" t="s">
        <v>4931</v>
      </c>
      <c r="L738" t="s">
        <v>4939</v>
      </c>
      <c r="M738" t="s">
        <v>4942</v>
      </c>
      <c r="N738" s="11">
        <v>274.14999999999998</v>
      </c>
      <c r="O738" t="s">
        <v>4947</v>
      </c>
      <c r="P738" t="s">
        <v>4951</v>
      </c>
      <c r="R738">
        <v>14</v>
      </c>
      <c r="S738" t="str">
        <f t="shared" si="33"/>
        <v>Adult</v>
      </c>
      <c r="T738" t="str">
        <f t="shared" si="34"/>
        <v>Low</v>
      </c>
      <c r="U738" t="str">
        <f t="shared" si="35"/>
        <v>Short Days</v>
      </c>
    </row>
    <row r="739" spans="1:21">
      <c r="A739" t="s">
        <v>755</v>
      </c>
      <c r="B739" s="5">
        <v>45515</v>
      </c>
      <c r="C739" t="s">
        <v>3116</v>
      </c>
      <c r="D739" t="s">
        <v>4848</v>
      </c>
      <c r="E739" t="s">
        <v>4866</v>
      </c>
      <c r="F739">
        <v>9</v>
      </c>
      <c r="G739" t="s">
        <v>4881</v>
      </c>
      <c r="H739" t="s">
        <v>4881</v>
      </c>
      <c r="I739" t="s">
        <v>4896</v>
      </c>
      <c r="J739" t="s">
        <v>4908</v>
      </c>
      <c r="K739" t="s">
        <v>4925</v>
      </c>
      <c r="L739" t="s">
        <v>4935</v>
      </c>
      <c r="M739" t="s">
        <v>4942</v>
      </c>
      <c r="N739" s="11">
        <v>3091.94</v>
      </c>
      <c r="O739" t="s">
        <v>4946</v>
      </c>
      <c r="P739" t="s">
        <v>4951</v>
      </c>
      <c r="R739">
        <v>14</v>
      </c>
      <c r="S739" t="str">
        <f t="shared" si="33"/>
        <v>Child</v>
      </c>
      <c r="T739" t="str">
        <f t="shared" si="34"/>
        <v>Low</v>
      </c>
      <c r="U739" t="str">
        <f t="shared" si="35"/>
        <v>Short Days</v>
      </c>
    </row>
    <row r="740" spans="1:21">
      <c r="A740" t="s">
        <v>756</v>
      </c>
      <c r="B740" s="5">
        <v>45351</v>
      </c>
      <c r="C740" t="s">
        <v>3643</v>
      </c>
      <c r="D740" t="s">
        <v>4655</v>
      </c>
      <c r="E740" t="s">
        <v>4866</v>
      </c>
      <c r="F740">
        <v>42</v>
      </c>
      <c r="G740" t="s">
        <v>4882</v>
      </c>
      <c r="H740" t="s">
        <v>4891</v>
      </c>
      <c r="I740" t="s">
        <v>4895</v>
      </c>
      <c r="J740" t="s">
        <v>4905</v>
      </c>
      <c r="K740" t="s">
        <v>4924</v>
      </c>
      <c r="L740" t="s">
        <v>4935</v>
      </c>
      <c r="M740" t="s">
        <v>4942</v>
      </c>
      <c r="N740" s="11">
        <v>222.72</v>
      </c>
      <c r="O740" t="s">
        <v>4946</v>
      </c>
      <c r="P740" t="s">
        <v>4951</v>
      </c>
      <c r="R740">
        <v>90</v>
      </c>
      <c r="S740" t="str">
        <f t="shared" si="33"/>
        <v>Middle-Aged</v>
      </c>
      <c r="T740" t="str">
        <f t="shared" si="34"/>
        <v>Low</v>
      </c>
      <c r="U740" t="str">
        <f t="shared" si="35"/>
        <v>Short Days</v>
      </c>
    </row>
    <row r="741" spans="1:21">
      <c r="A741" t="s">
        <v>757</v>
      </c>
      <c r="B741" s="5">
        <v>45866</v>
      </c>
      <c r="C741" t="s">
        <v>3644</v>
      </c>
      <c r="D741" t="s">
        <v>4621</v>
      </c>
      <c r="E741" t="s">
        <v>4867</v>
      </c>
      <c r="F741">
        <v>37</v>
      </c>
      <c r="G741" t="s">
        <v>4872</v>
      </c>
      <c r="H741" t="s">
        <v>4887</v>
      </c>
      <c r="I741" t="s">
        <v>4899</v>
      </c>
      <c r="J741" t="s">
        <v>4911</v>
      </c>
      <c r="K741" t="s">
        <v>4929</v>
      </c>
      <c r="L741" t="s">
        <v>4934</v>
      </c>
      <c r="M741" t="s">
        <v>4942</v>
      </c>
      <c r="N741" s="11">
        <v>1045.93</v>
      </c>
      <c r="O741" t="s">
        <v>4949</v>
      </c>
      <c r="P741" t="s">
        <v>4951</v>
      </c>
      <c r="R741">
        <v>90</v>
      </c>
      <c r="S741" t="str">
        <f t="shared" si="33"/>
        <v>Adult</v>
      </c>
      <c r="T741" t="str">
        <f t="shared" si="34"/>
        <v>Low</v>
      </c>
      <c r="U741" t="str">
        <f t="shared" si="35"/>
        <v>Short Days</v>
      </c>
    </row>
    <row r="742" spans="1:21">
      <c r="A742" t="s">
        <v>758</v>
      </c>
      <c r="B742" s="5">
        <v>45419</v>
      </c>
      <c r="C742" t="s">
        <v>3645</v>
      </c>
      <c r="D742" t="s">
        <v>4628</v>
      </c>
      <c r="E742" t="s">
        <v>4866</v>
      </c>
      <c r="F742">
        <v>42</v>
      </c>
      <c r="G742" t="s">
        <v>4883</v>
      </c>
      <c r="H742" t="s">
        <v>4892</v>
      </c>
      <c r="I742" t="s">
        <v>4901</v>
      </c>
      <c r="J742" t="s">
        <v>4914</v>
      </c>
      <c r="K742" t="s">
        <v>4932</v>
      </c>
      <c r="L742" t="s">
        <v>4938</v>
      </c>
      <c r="M742" t="s">
        <v>4942</v>
      </c>
      <c r="N742" s="11">
        <v>2014.56</v>
      </c>
      <c r="O742" t="s">
        <v>4947</v>
      </c>
      <c r="P742" t="s">
        <v>4951</v>
      </c>
      <c r="R742">
        <v>90</v>
      </c>
      <c r="S742" t="str">
        <f t="shared" si="33"/>
        <v>Middle-Aged</v>
      </c>
      <c r="T742" t="str">
        <f t="shared" si="34"/>
        <v>Low</v>
      </c>
      <c r="U742" t="str">
        <f t="shared" si="35"/>
        <v>Short Days</v>
      </c>
    </row>
    <row r="743" spans="1:21">
      <c r="A743" t="s">
        <v>759</v>
      </c>
      <c r="B743" s="5">
        <v>45946</v>
      </c>
      <c r="C743" t="s">
        <v>3646</v>
      </c>
      <c r="D743" t="s">
        <v>4762</v>
      </c>
      <c r="E743" t="s">
        <v>4866</v>
      </c>
      <c r="F743">
        <v>59</v>
      </c>
      <c r="G743" t="s">
        <v>4870</v>
      </c>
      <c r="H743" t="s">
        <v>4885</v>
      </c>
      <c r="I743" t="s">
        <v>4899</v>
      </c>
      <c r="J743" t="s">
        <v>4912</v>
      </c>
      <c r="K743" t="s">
        <v>4926</v>
      </c>
      <c r="L743" t="s">
        <v>4937</v>
      </c>
      <c r="M743" t="s">
        <v>4942</v>
      </c>
      <c r="N743" s="11">
        <v>13279.99</v>
      </c>
      <c r="O743" t="s">
        <v>4947</v>
      </c>
      <c r="P743" t="s">
        <v>4951</v>
      </c>
      <c r="S743" t="str">
        <f t="shared" si="33"/>
        <v>Middle-Aged</v>
      </c>
      <c r="T743" t="str">
        <f t="shared" si="34"/>
        <v>High</v>
      </c>
      <c r="U743" t="str">
        <f t="shared" si="35"/>
        <v>Short Days</v>
      </c>
    </row>
    <row r="744" spans="1:21">
      <c r="A744" t="s">
        <v>760</v>
      </c>
      <c r="B744" s="5">
        <v>45874</v>
      </c>
      <c r="C744" t="s">
        <v>3356</v>
      </c>
      <c r="D744" t="s">
        <v>4710</v>
      </c>
      <c r="E744" t="s">
        <v>4866</v>
      </c>
      <c r="F744">
        <v>34</v>
      </c>
      <c r="G744" t="s">
        <v>4876</v>
      </c>
      <c r="H744" t="s">
        <v>4888</v>
      </c>
      <c r="I744" t="s">
        <v>4900</v>
      </c>
      <c r="J744" t="s">
        <v>4919</v>
      </c>
      <c r="K744" t="s">
        <v>4932</v>
      </c>
      <c r="L744" t="s">
        <v>4938</v>
      </c>
      <c r="M744" t="s">
        <v>4944</v>
      </c>
      <c r="N744" s="11">
        <v>12137.16</v>
      </c>
      <c r="O744" t="s">
        <v>4947</v>
      </c>
      <c r="P744" t="s">
        <v>4951</v>
      </c>
      <c r="S744" t="str">
        <f t="shared" si="33"/>
        <v>Adult</v>
      </c>
      <c r="T744" t="str">
        <f t="shared" si="34"/>
        <v>High</v>
      </c>
      <c r="U744" t="str">
        <f t="shared" si="35"/>
        <v>Short Days</v>
      </c>
    </row>
    <row r="745" spans="1:21">
      <c r="A745" t="s">
        <v>761</v>
      </c>
      <c r="B745" s="5">
        <v>45566</v>
      </c>
      <c r="C745" t="s">
        <v>3647</v>
      </c>
      <c r="D745" t="s">
        <v>4742</v>
      </c>
      <c r="E745" t="s">
        <v>4866</v>
      </c>
      <c r="F745">
        <v>37</v>
      </c>
      <c r="G745" t="s">
        <v>4879</v>
      </c>
      <c r="H745" t="s">
        <v>4888</v>
      </c>
      <c r="I745" t="s">
        <v>4894</v>
      </c>
      <c r="J745" t="s">
        <v>4904</v>
      </c>
      <c r="K745" t="s">
        <v>4926</v>
      </c>
      <c r="L745" t="s">
        <v>4938</v>
      </c>
      <c r="M745" t="s">
        <v>4942</v>
      </c>
      <c r="N745" s="11">
        <v>1591.65</v>
      </c>
      <c r="O745" t="s">
        <v>15</v>
      </c>
      <c r="P745" t="s">
        <v>4952</v>
      </c>
      <c r="S745" t="str">
        <f t="shared" si="33"/>
        <v>Adult</v>
      </c>
      <c r="T745" t="str">
        <f t="shared" si="34"/>
        <v>Low</v>
      </c>
      <c r="U745" t="str">
        <f t="shared" si="35"/>
        <v>Short Days</v>
      </c>
    </row>
    <row r="746" spans="1:21">
      <c r="A746" t="s">
        <v>762</v>
      </c>
      <c r="B746" s="5">
        <v>45707</v>
      </c>
      <c r="C746" t="s">
        <v>3320</v>
      </c>
      <c r="D746" t="s">
        <v>4815</v>
      </c>
      <c r="E746" t="s">
        <v>4866</v>
      </c>
      <c r="F746">
        <v>32</v>
      </c>
      <c r="G746" t="s">
        <v>4869</v>
      </c>
      <c r="H746" t="s">
        <v>4884</v>
      </c>
      <c r="I746" t="s">
        <v>4895</v>
      </c>
      <c r="J746" t="s">
        <v>4905</v>
      </c>
      <c r="K746" t="s">
        <v>4929</v>
      </c>
      <c r="L746" t="s">
        <v>4940</v>
      </c>
      <c r="M746" t="s">
        <v>4942</v>
      </c>
      <c r="N746" s="11">
        <v>3044.35</v>
      </c>
      <c r="O746" t="s">
        <v>4948</v>
      </c>
      <c r="P746" t="s">
        <v>4951</v>
      </c>
      <c r="S746" t="str">
        <f t="shared" si="33"/>
        <v>Adult</v>
      </c>
      <c r="T746" t="str">
        <f t="shared" si="34"/>
        <v>Low</v>
      </c>
      <c r="U746" t="str">
        <f t="shared" si="35"/>
        <v>Short Days</v>
      </c>
    </row>
    <row r="747" spans="1:21">
      <c r="A747" t="s">
        <v>763</v>
      </c>
      <c r="B747" s="5">
        <v>45590</v>
      </c>
      <c r="C747" t="s">
        <v>3648</v>
      </c>
      <c r="D747" t="s">
        <v>4592</v>
      </c>
      <c r="E747" t="s">
        <v>4866</v>
      </c>
      <c r="F747">
        <v>1</v>
      </c>
      <c r="G747" t="s">
        <v>4877</v>
      </c>
      <c r="H747" t="s">
        <v>4888</v>
      </c>
      <c r="I747" t="s">
        <v>4898</v>
      </c>
      <c r="J747" t="s">
        <v>4923</v>
      </c>
      <c r="K747" t="s">
        <v>4925</v>
      </c>
      <c r="L747" t="s">
        <v>4935</v>
      </c>
      <c r="M747" t="s">
        <v>4942</v>
      </c>
      <c r="N747" s="11">
        <v>1504.74</v>
      </c>
      <c r="O747" t="s">
        <v>4948</v>
      </c>
      <c r="P747" t="s">
        <v>4951</v>
      </c>
      <c r="S747" t="str">
        <f t="shared" si="33"/>
        <v>Child</v>
      </c>
      <c r="T747" t="str">
        <f t="shared" si="34"/>
        <v>Low</v>
      </c>
      <c r="U747" t="str">
        <f t="shared" si="35"/>
        <v>Short Days</v>
      </c>
    </row>
    <row r="748" spans="1:21">
      <c r="A748" t="s">
        <v>764</v>
      </c>
      <c r="B748" s="5">
        <v>45955</v>
      </c>
      <c r="C748" t="s">
        <v>3649</v>
      </c>
      <c r="D748" t="s">
        <v>4840</v>
      </c>
      <c r="E748" t="s">
        <v>4866</v>
      </c>
      <c r="F748">
        <v>49</v>
      </c>
      <c r="G748" t="s">
        <v>4871</v>
      </c>
      <c r="H748" t="s">
        <v>4886</v>
      </c>
      <c r="I748" t="s">
        <v>4894</v>
      </c>
      <c r="J748" t="s">
        <v>4904</v>
      </c>
      <c r="K748" t="s">
        <v>4927</v>
      </c>
      <c r="L748" t="s">
        <v>4936</v>
      </c>
      <c r="M748" t="s">
        <v>4942</v>
      </c>
      <c r="N748" s="11">
        <v>6301.46</v>
      </c>
      <c r="O748" t="s">
        <v>4949</v>
      </c>
      <c r="P748" t="s">
        <v>4951</v>
      </c>
      <c r="R748">
        <v>30</v>
      </c>
      <c r="S748" t="str">
        <f t="shared" si="33"/>
        <v>Middle-Aged</v>
      </c>
      <c r="T748" t="str">
        <f t="shared" si="34"/>
        <v>Medium</v>
      </c>
      <c r="U748" t="str">
        <f t="shared" si="35"/>
        <v>Short Days</v>
      </c>
    </row>
    <row r="749" spans="1:21">
      <c r="A749" t="s">
        <v>765</v>
      </c>
      <c r="B749" s="5">
        <v>45952</v>
      </c>
      <c r="C749" t="s">
        <v>3650</v>
      </c>
      <c r="D749" t="s">
        <v>4839</v>
      </c>
      <c r="E749" t="s">
        <v>4867</v>
      </c>
      <c r="F749">
        <v>56</v>
      </c>
      <c r="G749" t="s">
        <v>4873</v>
      </c>
      <c r="H749" t="s">
        <v>4888</v>
      </c>
      <c r="I749" t="s">
        <v>4899</v>
      </c>
      <c r="J749" t="s">
        <v>4911</v>
      </c>
      <c r="K749" t="s">
        <v>4933</v>
      </c>
      <c r="L749" t="s">
        <v>4935</v>
      </c>
      <c r="M749" t="s">
        <v>4942</v>
      </c>
      <c r="N749" s="11">
        <v>1919.98</v>
      </c>
      <c r="O749" t="s">
        <v>4949</v>
      </c>
      <c r="P749" t="s">
        <v>4951</v>
      </c>
      <c r="R749">
        <v>7</v>
      </c>
      <c r="S749" t="str">
        <f t="shared" si="33"/>
        <v>Middle-Aged</v>
      </c>
      <c r="T749" t="str">
        <f t="shared" si="34"/>
        <v>Low</v>
      </c>
      <c r="U749" t="str">
        <f t="shared" si="35"/>
        <v>Short Days</v>
      </c>
    </row>
    <row r="750" spans="1:21">
      <c r="A750" t="s">
        <v>766</v>
      </c>
      <c r="B750" s="5">
        <v>45674</v>
      </c>
      <c r="C750" t="s">
        <v>3651</v>
      </c>
      <c r="D750" t="s">
        <v>4599</v>
      </c>
      <c r="E750" t="s">
        <v>4867</v>
      </c>
      <c r="F750">
        <f>AVERAGE(F743,F749)</f>
        <v>57.5</v>
      </c>
      <c r="G750" t="s">
        <v>4881</v>
      </c>
      <c r="H750" t="s">
        <v>4888</v>
      </c>
      <c r="I750" t="s">
        <v>4894</v>
      </c>
      <c r="J750" t="s">
        <v>4904</v>
      </c>
      <c r="K750" t="s">
        <v>4953</v>
      </c>
      <c r="L750" t="s">
        <v>4939</v>
      </c>
      <c r="M750" t="s">
        <v>4942</v>
      </c>
      <c r="N750" s="11">
        <v>10046.209999999999</v>
      </c>
      <c r="O750" t="s">
        <v>4946</v>
      </c>
      <c r="P750" t="s">
        <v>4951</v>
      </c>
      <c r="R750">
        <v>90</v>
      </c>
      <c r="S750" t="str">
        <f t="shared" si="33"/>
        <v>Middle-Aged</v>
      </c>
      <c r="T750" t="str">
        <f t="shared" si="34"/>
        <v>High</v>
      </c>
      <c r="U750" t="str">
        <f t="shared" si="35"/>
        <v>Short Days</v>
      </c>
    </row>
    <row r="751" spans="1:21">
      <c r="A751" t="s">
        <v>767</v>
      </c>
      <c r="B751" s="5">
        <v>45628</v>
      </c>
      <c r="C751" t="s">
        <v>3652</v>
      </c>
      <c r="D751" t="s">
        <v>4733</v>
      </c>
      <c r="E751" t="s">
        <v>4866</v>
      </c>
      <c r="F751">
        <v>12</v>
      </c>
      <c r="G751" t="s">
        <v>4871</v>
      </c>
      <c r="H751" t="s">
        <v>4886</v>
      </c>
      <c r="I751" t="s">
        <v>4893</v>
      </c>
      <c r="J751" t="s">
        <v>4903</v>
      </c>
      <c r="K751" t="s">
        <v>4931</v>
      </c>
      <c r="L751" t="s">
        <v>4934</v>
      </c>
      <c r="M751" t="s">
        <v>4942</v>
      </c>
      <c r="N751" s="11">
        <v>1790.52</v>
      </c>
      <c r="O751" t="s">
        <v>4946</v>
      </c>
      <c r="P751" t="s">
        <v>4951</v>
      </c>
      <c r="R751">
        <v>30</v>
      </c>
      <c r="S751" t="str">
        <f t="shared" si="33"/>
        <v>Child</v>
      </c>
      <c r="T751" t="str">
        <f t="shared" si="34"/>
        <v>Low</v>
      </c>
      <c r="U751" t="str">
        <f t="shared" si="35"/>
        <v>Short Days</v>
      </c>
    </row>
    <row r="752" spans="1:21">
      <c r="A752" t="s">
        <v>768</v>
      </c>
      <c r="B752" s="5">
        <v>45429</v>
      </c>
      <c r="C752" t="s">
        <v>3653</v>
      </c>
      <c r="D752" t="s">
        <v>4849</v>
      </c>
      <c r="E752" t="s">
        <v>4867</v>
      </c>
      <c r="F752">
        <v>37</v>
      </c>
      <c r="G752" t="s">
        <v>4869</v>
      </c>
      <c r="H752" t="s">
        <v>4884</v>
      </c>
      <c r="I752" t="s">
        <v>4896</v>
      </c>
      <c r="J752" t="s">
        <v>4908</v>
      </c>
      <c r="K752" t="s">
        <v>4932</v>
      </c>
      <c r="L752" t="s">
        <v>4936</v>
      </c>
      <c r="M752" t="s">
        <v>4942</v>
      </c>
      <c r="N752" s="11">
        <v>8326.4599999999991</v>
      </c>
      <c r="O752" t="s">
        <v>4946</v>
      </c>
      <c r="P752" t="s">
        <v>4951</v>
      </c>
      <c r="S752" t="str">
        <f t="shared" si="33"/>
        <v>Adult</v>
      </c>
      <c r="T752" t="str">
        <f t="shared" si="34"/>
        <v>Medium</v>
      </c>
      <c r="U752" t="str">
        <f t="shared" si="35"/>
        <v>Short Days</v>
      </c>
    </row>
    <row r="753" spans="1:21">
      <c r="A753" t="s">
        <v>769</v>
      </c>
      <c r="B753" s="5">
        <v>45565</v>
      </c>
      <c r="C753" t="s">
        <v>3654</v>
      </c>
      <c r="D753" t="s">
        <v>4797</v>
      </c>
      <c r="E753" t="s">
        <v>4867</v>
      </c>
      <c r="F753">
        <v>45</v>
      </c>
      <c r="G753" t="s">
        <v>4878</v>
      </c>
      <c r="H753" t="s">
        <v>4889</v>
      </c>
      <c r="I753" t="s">
        <v>4898</v>
      </c>
      <c r="J753" t="s">
        <v>4918</v>
      </c>
      <c r="K753" t="s">
        <v>4931</v>
      </c>
      <c r="L753" t="s">
        <v>4938</v>
      </c>
      <c r="M753" t="s">
        <v>4944</v>
      </c>
      <c r="N753" s="11">
        <v>10102.959999999999</v>
      </c>
      <c r="O753" t="s">
        <v>4947</v>
      </c>
      <c r="P753" t="s">
        <v>4951</v>
      </c>
      <c r="R753">
        <v>30</v>
      </c>
      <c r="S753" t="str">
        <f t="shared" si="33"/>
        <v>Middle-Aged</v>
      </c>
      <c r="T753" t="str">
        <f t="shared" si="34"/>
        <v>High</v>
      </c>
      <c r="U753" t="str">
        <f t="shared" si="35"/>
        <v>Short Days</v>
      </c>
    </row>
    <row r="754" spans="1:21">
      <c r="A754" t="s">
        <v>770</v>
      </c>
      <c r="B754" s="5">
        <v>45348</v>
      </c>
      <c r="C754" t="s">
        <v>3508</v>
      </c>
      <c r="D754" t="s">
        <v>4617</v>
      </c>
      <c r="E754" t="s">
        <v>4867</v>
      </c>
      <c r="F754">
        <v>29</v>
      </c>
      <c r="G754" t="s">
        <v>4875</v>
      </c>
      <c r="H754" t="s">
        <v>4889</v>
      </c>
      <c r="I754" t="s">
        <v>4895</v>
      </c>
      <c r="J754" t="s">
        <v>4915</v>
      </c>
      <c r="K754" t="s">
        <v>4931</v>
      </c>
      <c r="L754" t="s">
        <v>4934</v>
      </c>
      <c r="M754" t="s">
        <v>4942</v>
      </c>
      <c r="N754" s="11">
        <v>407.11</v>
      </c>
      <c r="O754" t="s">
        <v>4950</v>
      </c>
      <c r="P754" t="s">
        <v>4951</v>
      </c>
      <c r="S754" t="str">
        <f t="shared" si="33"/>
        <v>Adult</v>
      </c>
      <c r="T754" t="str">
        <f t="shared" si="34"/>
        <v>Low</v>
      </c>
      <c r="U754" t="str">
        <f t="shared" si="35"/>
        <v>Short Days</v>
      </c>
    </row>
    <row r="755" spans="1:21">
      <c r="A755" t="s">
        <v>771</v>
      </c>
      <c r="B755" s="5">
        <v>45503</v>
      </c>
      <c r="C755" t="s">
        <v>3655</v>
      </c>
      <c r="D755" t="s">
        <v>4682</v>
      </c>
      <c r="E755" t="s">
        <v>4866</v>
      </c>
      <c r="F755">
        <v>14</v>
      </c>
      <c r="G755" t="s">
        <v>4874</v>
      </c>
      <c r="H755" t="s">
        <v>4886</v>
      </c>
      <c r="I755" t="s">
        <v>4895</v>
      </c>
      <c r="J755" t="s">
        <v>4915</v>
      </c>
      <c r="K755" t="s">
        <v>4933</v>
      </c>
      <c r="L755" t="s">
        <v>4937</v>
      </c>
      <c r="M755" t="s">
        <v>4942</v>
      </c>
      <c r="N755" s="11">
        <v>10068.33</v>
      </c>
      <c r="O755" t="s">
        <v>15</v>
      </c>
      <c r="P755" t="s">
        <v>4952</v>
      </c>
      <c r="S755" t="str">
        <f t="shared" si="33"/>
        <v>Child</v>
      </c>
      <c r="T755" t="str">
        <f t="shared" si="34"/>
        <v>High</v>
      </c>
      <c r="U755" t="str">
        <f t="shared" si="35"/>
        <v>Short Days</v>
      </c>
    </row>
    <row r="756" spans="1:21">
      <c r="A756" t="s">
        <v>772</v>
      </c>
      <c r="B756" s="5">
        <v>45495</v>
      </c>
      <c r="C756" t="s">
        <v>3656</v>
      </c>
      <c r="D756" t="s">
        <v>4635</v>
      </c>
      <c r="E756" t="s">
        <v>4866</v>
      </c>
      <c r="F756">
        <v>4</v>
      </c>
      <c r="G756" t="s">
        <v>4875</v>
      </c>
      <c r="H756" t="s">
        <v>4889</v>
      </c>
      <c r="I756" t="s">
        <v>4899</v>
      </c>
      <c r="J756" t="s">
        <v>4912</v>
      </c>
      <c r="K756" t="s">
        <v>4933</v>
      </c>
      <c r="L756" t="s">
        <v>4937</v>
      </c>
      <c r="M756" t="s">
        <v>4942</v>
      </c>
      <c r="N756" s="11">
        <v>8682.0300000000007</v>
      </c>
      <c r="O756" t="s">
        <v>15</v>
      </c>
      <c r="P756" t="s">
        <v>4952</v>
      </c>
      <c r="R756">
        <v>14</v>
      </c>
      <c r="S756" t="str">
        <f t="shared" si="33"/>
        <v>Child</v>
      </c>
      <c r="T756" t="str">
        <f t="shared" si="34"/>
        <v>Medium</v>
      </c>
      <c r="U756" t="str">
        <f t="shared" si="35"/>
        <v>Short Days</v>
      </c>
    </row>
    <row r="757" spans="1:21">
      <c r="A757" t="s">
        <v>773</v>
      </c>
      <c r="B757" s="5">
        <v>45478</v>
      </c>
      <c r="C757" t="s">
        <v>3646</v>
      </c>
      <c r="D757" t="s">
        <v>4674</v>
      </c>
      <c r="E757" t="s">
        <v>4866</v>
      </c>
      <c r="F757">
        <v>31</v>
      </c>
      <c r="G757" t="s">
        <v>4870</v>
      </c>
      <c r="H757" t="s">
        <v>4885</v>
      </c>
      <c r="I757" t="s">
        <v>4902</v>
      </c>
      <c r="J757" t="s">
        <v>4920</v>
      </c>
      <c r="K757" t="s">
        <v>4930</v>
      </c>
      <c r="L757" t="s">
        <v>4940</v>
      </c>
      <c r="M757" t="s">
        <v>4942</v>
      </c>
      <c r="N757" s="11">
        <v>6282.19</v>
      </c>
      <c r="O757" t="s">
        <v>4949</v>
      </c>
      <c r="P757" t="s">
        <v>4951</v>
      </c>
      <c r="R757">
        <v>7</v>
      </c>
      <c r="S757" t="str">
        <f t="shared" si="33"/>
        <v>Adult</v>
      </c>
      <c r="T757" t="str">
        <f t="shared" si="34"/>
        <v>Medium</v>
      </c>
      <c r="U757" t="str">
        <f t="shared" si="35"/>
        <v>Short Days</v>
      </c>
    </row>
    <row r="758" spans="1:21">
      <c r="A758" t="s">
        <v>774</v>
      </c>
      <c r="B758" s="5">
        <v>45692</v>
      </c>
      <c r="C758" t="s">
        <v>3657</v>
      </c>
      <c r="D758" t="s">
        <v>4838</v>
      </c>
      <c r="E758" t="s">
        <v>4866</v>
      </c>
      <c r="F758">
        <v>59</v>
      </c>
      <c r="G758" t="s">
        <v>4880</v>
      </c>
      <c r="H758" t="s">
        <v>4890</v>
      </c>
      <c r="I758" t="s">
        <v>4894</v>
      </c>
      <c r="J758" t="s">
        <v>4910</v>
      </c>
      <c r="K758" t="s">
        <v>4925</v>
      </c>
      <c r="L758" t="s">
        <v>4940</v>
      </c>
      <c r="M758" t="s">
        <v>4942</v>
      </c>
      <c r="N758" s="11">
        <v>5528.9</v>
      </c>
      <c r="O758" t="s">
        <v>15</v>
      </c>
      <c r="P758" t="s">
        <v>4952</v>
      </c>
      <c r="R758">
        <v>14</v>
      </c>
      <c r="S758" t="str">
        <f t="shared" si="33"/>
        <v>Middle-Aged</v>
      </c>
      <c r="T758" t="str">
        <f t="shared" si="34"/>
        <v>Medium</v>
      </c>
      <c r="U758" t="str">
        <f t="shared" si="35"/>
        <v>Short Days</v>
      </c>
    </row>
    <row r="759" spans="1:21">
      <c r="A759" t="s">
        <v>775</v>
      </c>
      <c r="B759" s="5">
        <v>45487</v>
      </c>
      <c r="C759" t="s">
        <v>3658</v>
      </c>
      <c r="D759" t="s">
        <v>4667</v>
      </c>
      <c r="E759" t="s">
        <v>4867</v>
      </c>
      <c r="F759">
        <v>33</v>
      </c>
      <c r="G759" t="s">
        <v>4883</v>
      </c>
      <c r="H759" t="s">
        <v>4892</v>
      </c>
      <c r="I759" t="s">
        <v>4900</v>
      </c>
      <c r="J759" t="s">
        <v>4919</v>
      </c>
      <c r="K759" t="s">
        <v>4925</v>
      </c>
      <c r="L759" t="s">
        <v>4941</v>
      </c>
      <c r="M759" t="s">
        <v>4942</v>
      </c>
      <c r="N759" s="11">
        <v>4389.76</v>
      </c>
      <c r="O759" t="s">
        <v>4947</v>
      </c>
      <c r="P759" t="s">
        <v>4951</v>
      </c>
      <c r="S759" t="str">
        <f t="shared" si="33"/>
        <v>Adult</v>
      </c>
      <c r="T759" t="str">
        <f t="shared" si="34"/>
        <v>Low</v>
      </c>
      <c r="U759" t="str">
        <f t="shared" si="35"/>
        <v>Short Days</v>
      </c>
    </row>
    <row r="760" spans="1:21">
      <c r="A760" t="s">
        <v>776</v>
      </c>
      <c r="B760" s="5">
        <v>45672</v>
      </c>
      <c r="C760" t="s">
        <v>3556</v>
      </c>
      <c r="D760" t="s">
        <v>4696</v>
      </c>
      <c r="E760" t="s">
        <v>4867</v>
      </c>
      <c r="F760">
        <v>36</v>
      </c>
      <c r="G760" t="s">
        <v>4869</v>
      </c>
      <c r="H760" t="s">
        <v>4884</v>
      </c>
      <c r="I760" t="s">
        <v>4901</v>
      </c>
      <c r="J760" t="s">
        <v>4914</v>
      </c>
      <c r="K760" t="s">
        <v>4932</v>
      </c>
      <c r="L760" t="s">
        <v>4934</v>
      </c>
      <c r="M760" t="s">
        <v>4942</v>
      </c>
      <c r="N760" s="11">
        <v>593.07000000000005</v>
      </c>
      <c r="O760" t="s">
        <v>4948</v>
      </c>
      <c r="P760" t="s">
        <v>4951</v>
      </c>
      <c r="S760" t="str">
        <f t="shared" si="33"/>
        <v>Adult</v>
      </c>
      <c r="T760" t="str">
        <f t="shared" si="34"/>
        <v>Low</v>
      </c>
      <c r="U760" t="str">
        <f t="shared" si="35"/>
        <v>Short Days</v>
      </c>
    </row>
    <row r="761" spans="1:21">
      <c r="A761" t="s">
        <v>777</v>
      </c>
      <c r="B761" s="5">
        <v>45836</v>
      </c>
      <c r="C761" t="s">
        <v>3130</v>
      </c>
      <c r="D761" t="s">
        <v>4623</v>
      </c>
      <c r="E761" t="s">
        <v>4866</v>
      </c>
      <c r="F761">
        <v>17</v>
      </c>
      <c r="G761" t="s">
        <v>4876</v>
      </c>
      <c r="H761" t="s">
        <v>4888</v>
      </c>
      <c r="I761" t="s">
        <v>4896</v>
      </c>
      <c r="J761" t="s">
        <v>4906</v>
      </c>
      <c r="K761" t="s">
        <v>4933</v>
      </c>
      <c r="L761" t="s">
        <v>4937</v>
      </c>
      <c r="M761" t="s">
        <v>4942</v>
      </c>
      <c r="N761" s="11">
        <v>1532.26</v>
      </c>
      <c r="O761" t="s">
        <v>4947</v>
      </c>
      <c r="P761" t="s">
        <v>4951</v>
      </c>
      <c r="R761">
        <v>14</v>
      </c>
      <c r="S761" t="str">
        <f t="shared" si="33"/>
        <v>Child</v>
      </c>
      <c r="T761" t="str">
        <f t="shared" si="34"/>
        <v>Low</v>
      </c>
      <c r="U761" t="str">
        <f t="shared" si="35"/>
        <v>Short Days</v>
      </c>
    </row>
    <row r="762" spans="1:21">
      <c r="A762" t="s">
        <v>778</v>
      </c>
      <c r="B762" s="5">
        <v>45963</v>
      </c>
      <c r="C762" t="s">
        <v>3659</v>
      </c>
      <c r="D762" t="s">
        <v>4668</v>
      </c>
      <c r="E762" t="s">
        <v>4866</v>
      </c>
      <c r="F762">
        <v>36</v>
      </c>
      <c r="G762" t="s">
        <v>4876</v>
      </c>
      <c r="H762" t="s">
        <v>4888</v>
      </c>
      <c r="I762" t="s">
        <v>4901</v>
      </c>
      <c r="J762" t="s">
        <v>4914</v>
      </c>
      <c r="K762" t="s">
        <v>4930</v>
      </c>
      <c r="L762" t="s">
        <v>4940</v>
      </c>
      <c r="M762" t="s">
        <v>4942</v>
      </c>
      <c r="N762" s="11">
        <v>7386.71</v>
      </c>
      <c r="O762" t="s">
        <v>4949</v>
      </c>
      <c r="P762" t="s">
        <v>4951</v>
      </c>
      <c r="S762" t="str">
        <f t="shared" si="33"/>
        <v>Adult</v>
      </c>
      <c r="T762" t="str">
        <f t="shared" si="34"/>
        <v>Medium</v>
      </c>
      <c r="U762" t="str">
        <f t="shared" si="35"/>
        <v>Short Days</v>
      </c>
    </row>
    <row r="763" spans="1:21">
      <c r="A763" t="s">
        <v>779</v>
      </c>
      <c r="B763" s="5">
        <v>45396</v>
      </c>
      <c r="C763" t="s">
        <v>3660</v>
      </c>
      <c r="D763" t="s">
        <v>4605</v>
      </c>
      <c r="E763" t="s">
        <v>4867</v>
      </c>
      <c r="F763">
        <v>29</v>
      </c>
      <c r="G763" t="s">
        <v>4882</v>
      </c>
      <c r="H763" t="s">
        <v>4891</v>
      </c>
      <c r="I763" t="s">
        <v>4898</v>
      </c>
      <c r="J763" t="s">
        <v>4918</v>
      </c>
      <c r="K763" t="s">
        <v>4931</v>
      </c>
      <c r="L763" t="s">
        <v>4940</v>
      </c>
      <c r="M763" t="s">
        <v>4942</v>
      </c>
      <c r="N763" s="11">
        <v>19804.91</v>
      </c>
      <c r="O763" t="s">
        <v>4949</v>
      </c>
      <c r="P763" t="s">
        <v>4951</v>
      </c>
      <c r="R763">
        <v>30</v>
      </c>
      <c r="S763" t="str">
        <f t="shared" si="33"/>
        <v>Adult</v>
      </c>
      <c r="T763" t="str">
        <f t="shared" si="34"/>
        <v>High</v>
      </c>
      <c r="U763" t="str">
        <f t="shared" si="35"/>
        <v>Short Days</v>
      </c>
    </row>
    <row r="764" spans="1:21">
      <c r="A764" t="s">
        <v>780</v>
      </c>
      <c r="B764" s="5">
        <v>45545</v>
      </c>
      <c r="C764" t="s">
        <v>3661</v>
      </c>
      <c r="D764" t="s">
        <v>4849</v>
      </c>
      <c r="E764" t="s">
        <v>4866</v>
      </c>
      <c r="F764">
        <v>66</v>
      </c>
      <c r="G764" t="s">
        <v>4883</v>
      </c>
      <c r="H764" t="s">
        <v>4892</v>
      </c>
      <c r="I764" t="s">
        <v>4896</v>
      </c>
      <c r="J764" t="s">
        <v>4908</v>
      </c>
      <c r="K764" t="s">
        <v>4924</v>
      </c>
      <c r="L764" t="s">
        <v>4939</v>
      </c>
      <c r="M764" t="s">
        <v>4942</v>
      </c>
      <c r="N764" s="11">
        <v>4372.6400000000003</v>
      </c>
      <c r="O764" t="s">
        <v>4946</v>
      </c>
      <c r="P764" t="s">
        <v>4951</v>
      </c>
      <c r="S764" t="str">
        <f t="shared" si="33"/>
        <v>Senior</v>
      </c>
      <c r="T764" t="str">
        <f t="shared" si="34"/>
        <v>Low</v>
      </c>
      <c r="U764" t="str">
        <f t="shared" si="35"/>
        <v>Short Days</v>
      </c>
    </row>
    <row r="765" spans="1:21">
      <c r="A765" t="s">
        <v>781</v>
      </c>
      <c r="B765" s="5">
        <v>45557</v>
      </c>
      <c r="C765" t="s">
        <v>3662</v>
      </c>
      <c r="D765" t="s">
        <v>4789</v>
      </c>
      <c r="E765" t="s">
        <v>4867</v>
      </c>
      <c r="F765">
        <v>49</v>
      </c>
      <c r="G765" t="s">
        <v>4879</v>
      </c>
      <c r="H765" t="s">
        <v>4888</v>
      </c>
      <c r="I765" t="s">
        <v>4899</v>
      </c>
      <c r="J765" t="s">
        <v>4911</v>
      </c>
      <c r="K765" t="s">
        <v>4926</v>
      </c>
      <c r="L765" t="s">
        <v>4938</v>
      </c>
      <c r="M765" t="s">
        <v>4944</v>
      </c>
      <c r="N765" s="11">
        <v>7239.2</v>
      </c>
      <c r="O765" t="s">
        <v>15</v>
      </c>
      <c r="P765" t="s">
        <v>4952</v>
      </c>
      <c r="S765" t="str">
        <f t="shared" si="33"/>
        <v>Middle-Aged</v>
      </c>
      <c r="T765" t="str">
        <f t="shared" si="34"/>
        <v>Medium</v>
      </c>
      <c r="U765" t="str">
        <f t="shared" si="35"/>
        <v>Short Days</v>
      </c>
    </row>
    <row r="766" spans="1:21">
      <c r="A766" t="s">
        <v>782</v>
      </c>
      <c r="B766" s="5">
        <v>45597</v>
      </c>
      <c r="C766" t="s">
        <v>3663</v>
      </c>
      <c r="D766" t="s">
        <v>4784</v>
      </c>
      <c r="E766" t="s">
        <v>4866</v>
      </c>
      <c r="F766">
        <v>49</v>
      </c>
      <c r="G766" t="s">
        <v>4879</v>
      </c>
      <c r="H766" t="s">
        <v>4888</v>
      </c>
      <c r="I766" t="s">
        <v>4901</v>
      </c>
      <c r="J766" t="s">
        <v>4921</v>
      </c>
      <c r="K766" t="s">
        <v>4924</v>
      </c>
      <c r="L766" t="s">
        <v>4937</v>
      </c>
      <c r="M766" t="s">
        <v>4944</v>
      </c>
      <c r="N766" s="11">
        <v>7664.99</v>
      </c>
      <c r="O766" t="s">
        <v>4949</v>
      </c>
      <c r="P766" t="s">
        <v>4951</v>
      </c>
      <c r="R766">
        <v>14</v>
      </c>
      <c r="S766" t="str">
        <f t="shared" si="33"/>
        <v>Middle-Aged</v>
      </c>
      <c r="T766" t="str">
        <f t="shared" si="34"/>
        <v>Medium</v>
      </c>
      <c r="U766" t="str">
        <f t="shared" si="35"/>
        <v>Short Days</v>
      </c>
    </row>
    <row r="767" spans="1:21">
      <c r="A767" t="s">
        <v>783</v>
      </c>
      <c r="B767" s="5">
        <v>45555</v>
      </c>
      <c r="C767" t="s">
        <v>3664</v>
      </c>
      <c r="D767" t="s">
        <v>4694</v>
      </c>
      <c r="E767" t="s">
        <v>4867</v>
      </c>
      <c r="F767">
        <v>57</v>
      </c>
      <c r="G767" t="s">
        <v>4878</v>
      </c>
      <c r="H767" t="s">
        <v>4889</v>
      </c>
      <c r="I767" t="s">
        <v>4894</v>
      </c>
      <c r="J767" t="s">
        <v>4904</v>
      </c>
      <c r="K767" t="s">
        <v>4933</v>
      </c>
      <c r="L767" t="s">
        <v>4938</v>
      </c>
      <c r="M767" t="s">
        <v>4942</v>
      </c>
      <c r="N767" s="11">
        <v>11459.07</v>
      </c>
      <c r="O767" t="s">
        <v>4946</v>
      </c>
      <c r="P767" t="s">
        <v>4951</v>
      </c>
      <c r="S767" t="str">
        <f t="shared" si="33"/>
        <v>Middle-Aged</v>
      </c>
      <c r="T767" t="str">
        <f t="shared" si="34"/>
        <v>High</v>
      </c>
      <c r="U767" t="str">
        <f t="shared" si="35"/>
        <v>Short Days</v>
      </c>
    </row>
    <row r="768" spans="1:21">
      <c r="A768" t="s">
        <v>784</v>
      </c>
      <c r="B768" s="5">
        <v>45629</v>
      </c>
      <c r="C768" t="s">
        <v>3665</v>
      </c>
      <c r="D768" t="s">
        <v>4705</v>
      </c>
      <c r="E768" t="s">
        <v>4868</v>
      </c>
      <c r="F768">
        <v>45</v>
      </c>
      <c r="G768" t="s">
        <v>4873</v>
      </c>
      <c r="H768" t="s">
        <v>4888</v>
      </c>
      <c r="I768" t="s">
        <v>4901</v>
      </c>
      <c r="J768" t="s">
        <v>4914</v>
      </c>
      <c r="K768" t="s">
        <v>4926</v>
      </c>
      <c r="L768" t="s">
        <v>4938</v>
      </c>
      <c r="M768" t="s">
        <v>4942</v>
      </c>
      <c r="N768" s="11">
        <v>622.83000000000004</v>
      </c>
      <c r="O768" t="s">
        <v>4949</v>
      </c>
      <c r="P768" t="s">
        <v>4951</v>
      </c>
      <c r="S768" t="str">
        <f t="shared" si="33"/>
        <v>Middle-Aged</v>
      </c>
      <c r="T768" t="str">
        <f t="shared" si="34"/>
        <v>Low</v>
      </c>
      <c r="U768" t="str">
        <f t="shared" si="35"/>
        <v>Short Days</v>
      </c>
    </row>
    <row r="769" spans="1:21">
      <c r="A769" t="s">
        <v>785</v>
      </c>
      <c r="B769" s="5">
        <v>45834</v>
      </c>
      <c r="C769" t="s">
        <v>3666</v>
      </c>
      <c r="D769" t="s">
        <v>4701</v>
      </c>
      <c r="E769" t="s">
        <v>4867</v>
      </c>
      <c r="F769">
        <v>32</v>
      </c>
      <c r="G769" t="s">
        <v>4874</v>
      </c>
      <c r="H769" t="s">
        <v>4886</v>
      </c>
      <c r="I769" t="s">
        <v>4902</v>
      </c>
      <c r="J769" t="s">
        <v>4916</v>
      </c>
      <c r="K769" t="s">
        <v>4924</v>
      </c>
      <c r="L769" t="s">
        <v>4937</v>
      </c>
      <c r="M769" t="s">
        <v>4942</v>
      </c>
      <c r="N769" s="11">
        <v>6256.62</v>
      </c>
      <c r="O769" t="s">
        <v>4947</v>
      </c>
      <c r="P769" t="s">
        <v>4951</v>
      </c>
      <c r="R769">
        <v>90</v>
      </c>
      <c r="S769" t="str">
        <f t="shared" si="33"/>
        <v>Adult</v>
      </c>
      <c r="T769" t="str">
        <f t="shared" si="34"/>
        <v>Medium</v>
      </c>
      <c r="U769" t="str">
        <f t="shared" si="35"/>
        <v>Short Days</v>
      </c>
    </row>
    <row r="770" spans="1:21">
      <c r="A770" t="s">
        <v>786</v>
      </c>
      <c r="B770" s="5">
        <v>45726</v>
      </c>
      <c r="C770" t="s">
        <v>3667</v>
      </c>
      <c r="D770" t="s">
        <v>4710</v>
      </c>
      <c r="E770" t="s">
        <v>4868</v>
      </c>
      <c r="F770">
        <v>42</v>
      </c>
      <c r="G770" t="s">
        <v>4873</v>
      </c>
      <c r="H770" t="s">
        <v>4888</v>
      </c>
      <c r="I770" t="s">
        <v>4900</v>
      </c>
      <c r="J770" t="s">
        <v>4913</v>
      </c>
      <c r="K770" t="s">
        <v>4930</v>
      </c>
      <c r="L770" t="s">
        <v>4941</v>
      </c>
      <c r="M770" t="s">
        <v>4942</v>
      </c>
      <c r="N770" s="11">
        <v>5818.22</v>
      </c>
      <c r="O770" t="s">
        <v>4946</v>
      </c>
      <c r="P770" t="s">
        <v>4951</v>
      </c>
      <c r="R770">
        <v>90</v>
      </c>
      <c r="S770" t="str">
        <f t="shared" si="33"/>
        <v>Middle-Aged</v>
      </c>
      <c r="T770" t="str">
        <f t="shared" si="34"/>
        <v>Medium</v>
      </c>
      <c r="U770" t="str">
        <f t="shared" si="35"/>
        <v>Short Days</v>
      </c>
    </row>
    <row r="771" spans="1:21">
      <c r="A771" t="s">
        <v>787</v>
      </c>
      <c r="B771" s="5">
        <v>45668</v>
      </c>
      <c r="C771" t="s">
        <v>3668</v>
      </c>
      <c r="D771" t="s">
        <v>4801</v>
      </c>
      <c r="E771" t="s">
        <v>4867</v>
      </c>
      <c r="F771">
        <v>19</v>
      </c>
      <c r="G771" t="s">
        <v>4871</v>
      </c>
      <c r="H771" t="s">
        <v>4886</v>
      </c>
      <c r="I771" t="s">
        <v>4898</v>
      </c>
      <c r="J771" t="s">
        <v>4923</v>
      </c>
      <c r="K771" t="s">
        <v>4930</v>
      </c>
      <c r="L771" t="s">
        <v>4937</v>
      </c>
      <c r="M771" t="s">
        <v>4942</v>
      </c>
      <c r="N771" s="11">
        <v>2182.1999999999998</v>
      </c>
      <c r="O771" t="s">
        <v>15</v>
      </c>
      <c r="P771" t="s">
        <v>4952</v>
      </c>
      <c r="R771">
        <v>7</v>
      </c>
      <c r="S771" t="str">
        <f t="shared" ref="S771:S834" si="36">IF(F771&lt;18,"Child",IF(F771&lt;=40,"Adult",IF(F771&lt;=60,"Middle-Aged",IF(F771,"Senior"))))</f>
        <v>Adult</v>
      </c>
      <c r="T771" t="str">
        <f t="shared" ref="T771:T834" si="37">IF(N771&lt;=5000,"Low",IF(N771&lt;=10000,"Medium","High"))</f>
        <v>Low</v>
      </c>
      <c r="U771" t="str">
        <f t="shared" ref="U771:U834" si="38">IF(Q771&lt;=5,"Short Days","Long Days")</f>
        <v>Short Days</v>
      </c>
    </row>
    <row r="772" spans="1:21">
      <c r="A772" t="s">
        <v>788</v>
      </c>
      <c r="B772" s="5">
        <v>45795</v>
      </c>
      <c r="C772" t="s">
        <v>3669</v>
      </c>
      <c r="D772" t="s">
        <v>4742</v>
      </c>
      <c r="E772" t="s">
        <v>4866</v>
      </c>
      <c r="F772">
        <v>33</v>
      </c>
      <c r="G772" t="s">
        <v>4876</v>
      </c>
      <c r="H772" t="s">
        <v>4888</v>
      </c>
      <c r="I772" t="s">
        <v>4897</v>
      </c>
      <c r="J772" t="s">
        <v>4907</v>
      </c>
      <c r="K772" t="s">
        <v>4931</v>
      </c>
      <c r="L772" t="s">
        <v>4940</v>
      </c>
      <c r="M772" t="s">
        <v>4945</v>
      </c>
      <c r="N772" s="11">
        <v>7633.61</v>
      </c>
      <c r="O772" t="s">
        <v>15</v>
      </c>
      <c r="P772" t="s">
        <v>4952</v>
      </c>
      <c r="Q772">
        <v>7</v>
      </c>
      <c r="R772">
        <v>14</v>
      </c>
      <c r="S772" t="str">
        <f t="shared" si="36"/>
        <v>Adult</v>
      </c>
      <c r="T772" t="str">
        <f t="shared" si="37"/>
        <v>Medium</v>
      </c>
      <c r="U772" t="str">
        <f t="shared" si="38"/>
        <v>Long Days</v>
      </c>
    </row>
    <row r="773" spans="1:21">
      <c r="A773" t="s">
        <v>789</v>
      </c>
      <c r="B773" s="5">
        <v>45477</v>
      </c>
      <c r="C773" t="s">
        <v>3670</v>
      </c>
      <c r="D773" t="s">
        <v>4812</v>
      </c>
      <c r="E773" t="s">
        <v>4867</v>
      </c>
      <c r="F773">
        <v>17</v>
      </c>
      <c r="G773" t="s">
        <v>4876</v>
      </c>
      <c r="H773" t="s">
        <v>4888</v>
      </c>
      <c r="I773" t="s">
        <v>4896</v>
      </c>
      <c r="J773" t="s">
        <v>4906</v>
      </c>
      <c r="K773" t="s">
        <v>4924</v>
      </c>
      <c r="L773" t="s">
        <v>4939</v>
      </c>
      <c r="M773" t="s">
        <v>4944</v>
      </c>
      <c r="N773" s="11">
        <v>8772.25</v>
      </c>
      <c r="O773" t="s">
        <v>4946</v>
      </c>
      <c r="P773" t="s">
        <v>4951</v>
      </c>
      <c r="S773" t="str">
        <f t="shared" si="36"/>
        <v>Child</v>
      </c>
      <c r="T773" t="str">
        <f t="shared" si="37"/>
        <v>Medium</v>
      </c>
      <c r="U773" t="str">
        <f t="shared" si="38"/>
        <v>Short Days</v>
      </c>
    </row>
    <row r="774" spans="1:21">
      <c r="A774" t="s">
        <v>790</v>
      </c>
      <c r="B774" s="5">
        <v>45844</v>
      </c>
      <c r="C774" t="s">
        <v>3671</v>
      </c>
      <c r="D774" t="s">
        <v>4601</v>
      </c>
      <c r="E774" t="s">
        <v>4866</v>
      </c>
      <c r="F774">
        <v>54</v>
      </c>
      <c r="G774" t="s">
        <v>4877</v>
      </c>
      <c r="H774" t="s">
        <v>4888</v>
      </c>
      <c r="I774" t="s">
        <v>4896</v>
      </c>
      <c r="J774" t="s">
        <v>4908</v>
      </c>
      <c r="K774" t="s">
        <v>4932</v>
      </c>
      <c r="L774" t="s">
        <v>4939</v>
      </c>
      <c r="M774" t="s">
        <v>4942</v>
      </c>
      <c r="N774" s="11">
        <v>1351.68</v>
      </c>
      <c r="O774" t="s">
        <v>4947</v>
      </c>
      <c r="P774" t="s">
        <v>4951</v>
      </c>
      <c r="R774">
        <v>7</v>
      </c>
      <c r="S774" t="str">
        <f t="shared" si="36"/>
        <v>Middle-Aged</v>
      </c>
      <c r="T774" t="str">
        <f t="shared" si="37"/>
        <v>Low</v>
      </c>
      <c r="U774" t="str">
        <f t="shared" si="38"/>
        <v>Short Days</v>
      </c>
    </row>
    <row r="775" spans="1:21">
      <c r="A775" t="s">
        <v>791</v>
      </c>
      <c r="B775" s="5">
        <v>45721</v>
      </c>
      <c r="C775" t="s">
        <v>3672</v>
      </c>
      <c r="D775" t="s">
        <v>4670</v>
      </c>
      <c r="E775" t="s">
        <v>4866</v>
      </c>
      <c r="F775">
        <v>55</v>
      </c>
      <c r="G775" t="s">
        <v>4880</v>
      </c>
      <c r="H775" t="s">
        <v>4890</v>
      </c>
      <c r="I775" t="s">
        <v>4902</v>
      </c>
      <c r="J775" t="s">
        <v>4916</v>
      </c>
      <c r="K775" t="s">
        <v>4932</v>
      </c>
      <c r="L775" t="s">
        <v>4941</v>
      </c>
      <c r="M775" t="s">
        <v>4942</v>
      </c>
      <c r="N775" s="11">
        <v>8003.79</v>
      </c>
      <c r="O775" t="s">
        <v>15</v>
      </c>
      <c r="P775" t="s">
        <v>4952</v>
      </c>
      <c r="R775">
        <v>90</v>
      </c>
      <c r="S775" t="str">
        <f t="shared" si="36"/>
        <v>Middle-Aged</v>
      </c>
      <c r="T775" t="str">
        <f t="shared" si="37"/>
        <v>Medium</v>
      </c>
      <c r="U775" t="str">
        <f t="shared" si="38"/>
        <v>Short Days</v>
      </c>
    </row>
    <row r="776" spans="1:21">
      <c r="A776" t="s">
        <v>792</v>
      </c>
      <c r="B776" s="5">
        <v>45540</v>
      </c>
      <c r="C776" t="s">
        <v>3138</v>
      </c>
      <c r="D776" t="s">
        <v>4628</v>
      </c>
      <c r="E776" t="s">
        <v>4866</v>
      </c>
      <c r="F776">
        <v>59</v>
      </c>
      <c r="G776" t="s">
        <v>4876</v>
      </c>
      <c r="H776" t="s">
        <v>4888</v>
      </c>
      <c r="I776" t="s">
        <v>4895</v>
      </c>
      <c r="J776" t="s">
        <v>4915</v>
      </c>
      <c r="K776" t="s">
        <v>4933</v>
      </c>
      <c r="L776" t="s">
        <v>4936</v>
      </c>
      <c r="M776" t="s">
        <v>4943</v>
      </c>
      <c r="N776" s="11">
        <v>7836.57</v>
      </c>
      <c r="O776" t="s">
        <v>4948</v>
      </c>
      <c r="P776" t="s">
        <v>4951</v>
      </c>
      <c r="R776">
        <v>14</v>
      </c>
      <c r="S776" t="str">
        <f t="shared" si="36"/>
        <v>Middle-Aged</v>
      </c>
      <c r="T776" t="str">
        <f t="shared" si="37"/>
        <v>Medium</v>
      </c>
      <c r="U776" t="str">
        <f t="shared" si="38"/>
        <v>Short Days</v>
      </c>
    </row>
    <row r="777" spans="1:21">
      <c r="A777" t="s">
        <v>793</v>
      </c>
      <c r="B777" s="5">
        <v>45618</v>
      </c>
      <c r="C777" t="s">
        <v>3604</v>
      </c>
      <c r="D777" t="s">
        <v>4735</v>
      </c>
      <c r="E777" t="s">
        <v>4867</v>
      </c>
      <c r="F777">
        <v>36</v>
      </c>
      <c r="G777" t="s">
        <v>4880</v>
      </c>
      <c r="H777" t="s">
        <v>4890</v>
      </c>
      <c r="I777" t="s">
        <v>4899</v>
      </c>
      <c r="J777" t="s">
        <v>4912</v>
      </c>
      <c r="K777" t="s">
        <v>4926</v>
      </c>
      <c r="L777" t="s">
        <v>4936</v>
      </c>
      <c r="M777" t="s">
        <v>4944</v>
      </c>
      <c r="N777" s="11">
        <v>6583.7</v>
      </c>
      <c r="O777" t="s">
        <v>4946</v>
      </c>
      <c r="P777" t="s">
        <v>4951</v>
      </c>
      <c r="S777" t="str">
        <f t="shared" si="36"/>
        <v>Adult</v>
      </c>
      <c r="T777" t="str">
        <f t="shared" si="37"/>
        <v>Medium</v>
      </c>
      <c r="U777" t="str">
        <f t="shared" si="38"/>
        <v>Short Days</v>
      </c>
    </row>
    <row r="778" spans="1:21">
      <c r="A778" t="s">
        <v>794</v>
      </c>
      <c r="B778" s="5">
        <v>45720</v>
      </c>
      <c r="C778" t="s">
        <v>3673</v>
      </c>
      <c r="D778" t="s">
        <v>4742</v>
      </c>
      <c r="E778" t="s">
        <v>4867</v>
      </c>
      <c r="F778">
        <v>8</v>
      </c>
      <c r="G778" t="s">
        <v>4870</v>
      </c>
      <c r="H778" t="s">
        <v>4885</v>
      </c>
      <c r="I778" t="s">
        <v>4895</v>
      </c>
      <c r="J778" t="s">
        <v>4905</v>
      </c>
      <c r="K778" t="s">
        <v>4932</v>
      </c>
      <c r="L778" t="s">
        <v>4936</v>
      </c>
      <c r="M778" t="s">
        <v>4942</v>
      </c>
      <c r="N778" s="11">
        <v>721.89</v>
      </c>
      <c r="O778" t="s">
        <v>15</v>
      </c>
      <c r="P778" t="s">
        <v>4952</v>
      </c>
      <c r="R778">
        <v>30</v>
      </c>
      <c r="S778" t="str">
        <f t="shared" si="36"/>
        <v>Child</v>
      </c>
      <c r="T778" t="str">
        <f t="shared" si="37"/>
        <v>Low</v>
      </c>
      <c r="U778" t="str">
        <f t="shared" si="38"/>
        <v>Short Days</v>
      </c>
    </row>
    <row r="779" spans="1:21">
      <c r="A779" t="s">
        <v>795</v>
      </c>
      <c r="B779" s="5">
        <v>45909</v>
      </c>
      <c r="C779" t="s">
        <v>3650</v>
      </c>
      <c r="D779" t="s">
        <v>4609</v>
      </c>
      <c r="E779" t="s">
        <v>4866</v>
      </c>
      <c r="F779">
        <v>3</v>
      </c>
      <c r="G779" t="s">
        <v>4871</v>
      </c>
      <c r="H779" t="s">
        <v>4886</v>
      </c>
      <c r="I779" t="s">
        <v>4898</v>
      </c>
      <c r="J779" t="s">
        <v>4918</v>
      </c>
      <c r="K779" t="s">
        <v>4927</v>
      </c>
      <c r="L779" t="s">
        <v>4935</v>
      </c>
      <c r="M779" t="s">
        <v>4942</v>
      </c>
      <c r="N779" s="11">
        <v>12212.14</v>
      </c>
      <c r="O779" t="s">
        <v>15</v>
      </c>
      <c r="P779" t="s">
        <v>4952</v>
      </c>
      <c r="S779" t="str">
        <f t="shared" si="36"/>
        <v>Child</v>
      </c>
      <c r="T779" t="str">
        <f t="shared" si="37"/>
        <v>High</v>
      </c>
      <c r="U779" t="str">
        <f t="shared" si="38"/>
        <v>Short Days</v>
      </c>
    </row>
    <row r="780" spans="1:21">
      <c r="A780" t="s">
        <v>796</v>
      </c>
      <c r="B780" s="5">
        <v>45796</v>
      </c>
      <c r="C780" t="s">
        <v>3674</v>
      </c>
      <c r="D780" t="s">
        <v>4648</v>
      </c>
      <c r="E780" t="s">
        <v>4867</v>
      </c>
      <c r="F780">
        <v>43</v>
      </c>
      <c r="G780" t="s">
        <v>4883</v>
      </c>
      <c r="H780" t="s">
        <v>4892</v>
      </c>
      <c r="I780" t="s">
        <v>4897</v>
      </c>
      <c r="J780" t="s">
        <v>4907</v>
      </c>
      <c r="K780" t="s">
        <v>4929</v>
      </c>
      <c r="L780" t="s">
        <v>4935</v>
      </c>
      <c r="M780" t="s">
        <v>4942</v>
      </c>
      <c r="N780" s="11">
        <v>6375.1</v>
      </c>
      <c r="O780" t="s">
        <v>4948</v>
      </c>
      <c r="P780" t="s">
        <v>4951</v>
      </c>
      <c r="R780">
        <v>7</v>
      </c>
      <c r="S780" t="str">
        <f t="shared" si="36"/>
        <v>Middle-Aged</v>
      </c>
      <c r="T780" t="str">
        <f t="shared" si="37"/>
        <v>Medium</v>
      </c>
      <c r="U780" t="str">
        <f t="shared" si="38"/>
        <v>Short Days</v>
      </c>
    </row>
    <row r="781" spans="1:21">
      <c r="A781" t="s">
        <v>797</v>
      </c>
      <c r="B781" s="5">
        <v>45301</v>
      </c>
      <c r="C781" t="s">
        <v>3675</v>
      </c>
      <c r="D781" t="s">
        <v>4756</v>
      </c>
      <c r="E781" t="s">
        <v>4867</v>
      </c>
      <c r="F781">
        <v>55</v>
      </c>
      <c r="G781" t="s">
        <v>4870</v>
      </c>
      <c r="H781" t="s">
        <v>4885</v>
      </c>
      <c r="I781" t="s">
        <v>4898</v>
      </c>
      <c r="J781" t="s">
        <v>4923</v>
      </c>
      <c r="K781" t="s">
        <v>4931</v>
      </c>
      <c r="L781" t="s">
        <v>4939</v>
      </c>
      <c r="M781" t="s">
        <v>4942</v>
      </c>
      <c r="N781" s="11">
        <v>1770.55</v>
      </c>
      <c r="O781" t="s">
        <v>4948</v>
      </c>
      <c r="P781" t="s">
        <v>4951</v>
      </c>
      <c r="R781">
        <v>30</v>
      </c>
      <c r="S781" t="str">
        <f t="shared" si="36"/>
        <v>Middle-Aged</v>
      </c>
      <c r="T781" t="str">
        <f t="shared" si="37"/>
        <v>Low</v>
      </c>
      <c r="U781" t="str">
        <f t="shared" si="38"/>
        <v>Short Days</v>
      </c>
    </row>
    <row r="782" spans="1:21">
      <c r="A782" t="s">
        <v>798</v>
      </c>
      <c r="B782" s="5">
        <v>45494</v>
      </c>
      <c r="C782" t="s">
        <v>3676</v>
      </c>
      <c r="D782" t="s">
        <v>4850</v>
      </c>
      <c r="E782" t="s">
        <v>4866</v>
      </c>
      <c r="F782">
        <v>44</v>
      </c>
      <c r="G782" t="s">
        <v>4883</v>
      </c>
      <c r="H782" t="s">
        <v>4892</v>
      </c>
      <c r="I782" t="s">
        <v>4895</v>
      </c>
      <c r="J782" t="s">
        <v>4905</v>
      </c>
      <c r="K782" t="s">
        <v>4927</v>
      </c>
      <c r="L782" t="s">
        <v>4937</v>
      </c>
      <c r="M782" t="s">
        <v>4942</v>
      </c>
      <c r="N782" s="11">
        <v>3068.84</v>
      </c>
      <c r="O782" t="s">
        <v>4946</v>
      </c>
      <c r="P782" t="s">
        <v>4951</v>
      </c>
      <c r="R782">
        <v>14</v>
      </c>
      <c r="S782" t="str">
        <f t="shared" si="36"/>
        <v>Middle-Aged</v>
      </c>
      <c r="T782" t="str">
        <f t="shared" si="37"/>
        <v>Low</v>
      </c>
      <c r="U782" t="str">
        <f t="shared" si="38"/>
        <v>Short Days</v>
      </c>
    </row>
    <row r="783" spans="1:21">
      <c r="A783" t="s">
        <v>799</v>
      </c>
      <c r="B783" s="5">
        <v>45641</v>
      </c>
      <c r="C783" t="s">
        <v>3086</v>
      </c>
      <c r="D783" t="s">
        <v>4757</v>
      </c>
      <c r="E783" t="s">
        <v>4866</v>
      </c>
      <c r="F783">
        <v>33</v>
      </c>
      <c r="G783" t="s">
        <v>4881</v>
      </c>
      <c r="H783" t="s">
        <v>4881</v>
      </c>
      <c r="I783" t="s">
        <v>4898</v>
      </c>
      <c r="J783" t="s">
        <v>4923</v>
      </c>
      <c r="K783" t="s">
        <v>4932</v>
      </c>
      <c r="L783" t="s">
        <v>4935</v>
      </c>
      <c r="M783" t="s">
        <v>4943</v>
      </c>
      <c r="N783" s="11">
        <v>17455.25</v>
      </c>
      <c r="O783" t="s">
        <v>4948</v>
      </c>
      <c r="P783" t="s">
        <v>4951</v>
      </c>
      <c r="R783">
        <v>7</v>
      </c>
      <c r="S783" t="str">
        <f t="shared" si="36"/>
        <v>Adult</v>
      </c>
      <c r="T783" t="str">
        <f t="shared" si="37"/>
        <v>High</v>
      </c>
      <c r="U783" t="str">
        <f t="shared" si="38"/>
        <v>Short Days</v>
      </c>
    </row>
    <row r="784" spans="1:21">
      <c r="A784" t="s">
        <v>800</v>
      </c>
      <c r="B784" s="5">
        <v>45626</v>
      </c>
      <c r="C784" t="s">
        <v>3677</v>
      </c>
      <c r="D784" t="s">
        <v>4651</v>
      </c>
      <c r="E784" t="s">
        <v>4866</v>
      </c>
      <c r="F784">
        <v>73</v>
      </c>
      <c r="G784" t="s">
        <v>4869</v>
      </c>
      <c r="H784" t="s">
        <v>4884</v>
      </c>
      <c r="I784" t="s">
        <v>4901</v>
      </c>
      <c r="J784" t="s">
        <v>4914</v>
      </c>
      <c r="K784" t="s">
        <v>4926</v>
      </c>
      <c r="L784" t="s">
        <v>4934</v>
      </c>
      <c r="M784" t="s">
        <v>4942</v>
      </c>
      <c r="N784" s="11">
        <v>1675.91</v>
      </c>
      <c r="O784" t="s">
        <v>4950</v>
      </c>
      <c r="P784" t="s">
        <v>4951</v>
      </c>
      <c r="R784">
        <v>90</v>
      </c>
      <c r="S784" t="str">
        <f t="shared" si="36"/>
        <v>Senior</v>
      </c>
      <c r="T784" t="str">
        <f t="shared" si="37"/>
        <v>Low</v>
      </c>
      <c r="U784" t="str">
        <f t="shared" si="38"/>
        <v>Short Days</v>
      </c>
    </row>
    <row r="785" spans="1:21">
      <c r="A785" t="s">
        <v>801</v>
      </c>
      <c r="B785" s="5">
        <v>45353</v>
      </c>
      <c r="C785" t="s">
        <v>3678</v>
      </c>
      <c r="D785" t="s">
        <v>4751</v>
      </c>
      <c r="E785" t="s">
        <v>4867</v>
      </c>
      <c r="F785">
        <v>29</v>
      </c>
      <c r="G785" t="s">
        <v>4871</v>
      </c>
      <c r="H785" t="s">
        <v>4886</v>
      </c>
      <c r="I785" t="s">
        <v>4897</v>
      </c>
      <c r="J785" t="s">
        <v>4922</v>
      </c>
      <c r="K785" t="s">
        <v>4930</v>
      </c>
      <c r="L785" t="s">
        <v>4940</v>
      </c>
      <c r="M785" t="s">
        <v>4943</v>
      </c>
      <c r="N785" s="11">
        <v>5640.46</v>
      </c>
      <c r="O785" t="s">
        <v>4946</v>
      </c>
      <c r="P785" t="s">
        <v>4951</v>
      </c>
      <c r="R785">
        <v>30</v>
      </c>
      <c r="S785" t="str">
        <f t="shared" si="36"/>
        <v>Adult</v>
      </c>
      <c r="T785" t="str">
        <f t="shared" si="37"/>
        <v>Medium</v>
      </c>
      <c r="U785" t="str">
        <f t="shared" si="38"/>
        <v>Short Days</v>
      </c>
    </row>
    <row r="786" spans="1:21">
      <c r="A786" t="s">
        <v>802</v>
      </c>
      <c r="B786" s="5">
        <v>45884</v>
      </c>
      <c r="C786" t="s">
        <v>3291</v>
      </c>
      <c r="D786" t="s">
        <v>4632</v>
      </c>
      <c r="E786" t="s">
        <v>4866</v>
      </c>
      <c r="F786">
        <v>32</v>
      </c>
      <c r="G786" t="s">
        <v>4877</v>
      </c>
      <c r="H786" t="s">
        <v>4888</v>
      </c>
      <c r="I786" t="s">
        <v>4895</v>
      </c>
      <c r="J786" t="s">
        <v>4905</v>
      </c>
      <c r="K786" t="s">
        <v>4931</v>
      </c>
      <c r="L786" t="s">
        <v>4941</v>
      </c>
      <c r="M786" t="s">
        <v>4943</v>
      </c>
      <c r="N786" s="11">
        <v>8683.3700000000008</v>
      </c>
      <c r="O786" t="s">
        <v>15</v>
      </c>
      <c r="P786" t="s">
        <v>4952</v>
      </c>
      <c r="S786" t="str">
        <f t="shared" si="36"/>
        <v>Adult</v>
      </c>
      <c r="T786" t="str">
        <f t="shared" si="37"/>
        <v>Medium</v>
      </c>
      <c r="U786" t="str">
        <f t="shared" si="38"/>
        <v>Short Days</v>
      </c>
    </row>
    <row r="787" spans="1:21">
      <c r="A787" t="s">
        <v>803</v>
      </c>
      <c r="B787" s="5">
        <v>45793</v>
      </c>
      <c r="C787" t="s">
        <v>3679</v>
      </c>
      <c r="D787" t="s">
        <v>4755</v>
      </c>
      <c r="E787" t="s">
        <v>4867</v>
      </c>
      <c r="F787">
        <v>30</v>
      </c>
      <c r="G787" t="s">
        <v>4869</v>
      </c>
      <c r="H787" t="s">
        <v>4884</v>
      </c>
      <c r="I787" t="s">
        <v>4898</v>
      </c>
      <c r="J787" t="s">
        <v>4923</v>
      </c>
      <c r="K787" t="s">
        <v>4931</v>
      </c>
      <c r="L787" t="s">
        <v>4940</v>
      </c>
      <c r="M787" t="s">
        <v>4944</v>
      </c>
      <c r="N787" s="11">
        <v>13362.57</v>
      </c>
      <c r="O787" t="s">
        <v>4949</v>
      </c>
      <c r="P787" t="s">
        <v>4951</v>
      </c>
      <c r="R787">
        <v>90</v>
      </c>
      <c r="S787" t="str">
        <f t="shared" si="36"/>
        <v>Adult</v>
      </c>
      <c r="T787" t="str">
        <f t="shared" si="37"/>
        <v>High</v>
      </c>
      <c r="U787" t="str">
        <f t="shared" si="38"/>
        <v>Short Days</v>
      </c>
    </row>
    <row r="788" spans="1:21">
      <c r="A788" t="s">
        <v>804</v>
      </c>
      <c r="B788" s="5">
        <v>45688</v>
      </c>
      <c r="C788" t="s">
        <v>3680</v>
      </c>
      <c r="D788" t="s">
        <v>4645</v>
      </c>
      <c r="E788" t="s">
        <v>4867</v>
      </c>
      <c r="F788">
        <v>49</v>
      </c>
      <c r="G788" t="s">
        <v>4882</v>
      </c>
      <c r="H788" t="s">
        <v>4891</v>
      </c>
      <c r="I788" t="s">
        <v>4893</v>
      </c>
      <c r="J788" t="s">
        <v>4917</v>
      </c>
      <c r="K788" t="s">
        <v>4933</v>
      </c>
      <c r="L788" t="s">
        <v>4940</v>
      </c>
      <c r="M788" t="s">
        <v>4942</v>
      </c>
      <c r="N788" s="11">
        <v>1595.23</v>
      </c>
      <c r="O788" t="s">
        <v>4950</v>
      </c>
      <c r="P788" t="s">
        <v>4951</v>
      </c>
      <c r="R788">
        <v>7</v>
      </c>
      <c r="S788" t="str">
        <f t="shared" si="36"/>
        <v>Middle-Aged</v>
      </c>
      <c r="T788" t="str">
        <f t="shared" si="37"/>
        <v>Low</v>
      </c>
      <c r="U788" t="str">
        <f t="shared" si="38"/>
        <v>Short Days</v>
      </c>
    </row>
    <row r="789" spans="1:21">
      <c r="A789" t="s">
        <v>805</v>
      </c>
      <c r="B789" s="5">
        <v>45837</v>
      </c>
      <c r="C789" t="s">
        <v>3681</v>
      </c>
      <c r="D789" t="s">
        <v>4655</v>
      </c>
      <c r="E789" t="s">
        <v>4866</v>
      </c>
      <c r="F789">
        <v>41</v>
      </c>
      <c r="G789" t="s">
        <v>4872</v>
      </c>
      <c r="H789" t="s">
        <v>4887</v>
      </c>
      <c r="I789" t="s">
        <v>4895</v>
      </c>
      <c r="J789" t="s">
        <v>4915</v>
      </c>
      <c r="K789" t="s">
        <v>4926</v>
      </c>
      <c r="L789" t="s">
        <v>4934</v>
      </c>
      <c r="M789" t="s">
        <v>4942</v>
      </c>
      <c r="N789" s="11">
        <v>1371.66</v>
      </c>
      <c r="O789" t="s">
        <v>4946</v>
      </c>
      <c r="P789" t="s">
        <v>4951</v>
      </c>
      <c r="R789">
        <v>30</v>
      </c>
      <c r="S789" t="str">
        <f t="shared" si="36"/>
        <v>Middle-Aged</v>
      </c>
      <c r="T789" t="str">
        <f t="shared" si="37"/>
        <v>Low</v>
      </c>
      <c r="U789" t="str">
        <f t="shared" si="38"/>
        <v>Short Days</v>
      </c>
    </row>
    <row r="790" spans="1:21">
      <c r="A790" t="s">
        <v>806</v>
      </c>
      <c r="B790" s="5">
        <v>45669</v>
      </c>
      <c r="C790" t="s">
        <v>3139</v>
      </c>
      <c r="D790" t="s">
        <v>4851</v>
      </c>
      <c r="E790" t="s">
        <v>4867</v>
      </c>
      <c r="F790">
        <v>25</v>
      </c>
      <c r="G790" t="s">
        <v>4876</v>
      </c>
      <c r="H790" t="s">
        <v>4888</v>
      </c>
      <c r="I790" t="s">
        <v>4896</v>
      </c>
      <c r="J790" t="s">
        <v>4906</v>
      </c>
      <c r="K790" t="s">
        <v>4928</v>
      </c>
      <c r="L790" t="s">
        <v>4938</v>
      </c>
      <c r="M790" t="s">
        <v>4942</v>
      </c>
      <c r="N790" s="11">
        <v>8957.2199999999993</v>
      </c>
      <c r="O790" t="s">
        <v>4946</v>
      </c>
      <c r="P790" t="s">
        <v>4951</v>
      </c>
      <c r="S790" t="str">
        <f t="shared" si="36"/>
        <v>Adult</v>
      </c>
      <c r="T790" t="str">
        <f t="shared" si="37"/>
        <v>Medium</v>
      </c>
      <c r="U790" t="str">
        <f t="shared" si="38"/>
        <v>Short Days</v>
      </c>
    </row>
    <row r="791" spans="1:21">
      <c r="A791" t="s">
        <v>807</v>
      </c>
      <c r="B791" s="5">
        <v>45938</v>
      </c>
      <c r="C791" t="s">
        <v>3682</v>
      </c>
      <c r="D791" t="s">
        <v>4679</v>
      </c>
      <c r="E791" t="s">
        <v>4866</v>
      </c>
      <c r="F791">
        <v>42</v>
      </c>
      <c r="G791" t="s">
        <v>4876</v>
      </c>
      <c r="H791" t="s">
        <v>4888</v>
      </c>
      <c r="I791" t="s">
        <v>4898</v>
      </c>
      <c r="J791" t="s">
        <v>4909</v>
      </c>
      <c r="K791" t="s">
        <v>4929</v>
      </c>
      <c r="L791" t="s">
        <v>4940</v>
      </c>
      <c r="M791" t="s">
        <v>4942</v>
      </c>
      <c r="N791" s="11">
        <v>1011.53</v>
      </c>
      <c r="O791" t="s">
        <v>4947</v>
      </c>
      <c r="P791" t="s">
        <v>4951</v>
      </c>
      <c r="R791">
        <v>30</v>
      </c>
      <c r="S791" t="str">
        <f t="shared" si="36"/>
        <v>Middle-Aged</v>
      </c>
      <c r="T791" t="str">
        <f t="shared" si="37"/>
        <v>Low</v>
      </c>
      <c r="U791" t="str">
        <f t="shared" si="38"/>
        <v>Short Days</v>
      </c>
    </row>
    <row r="792" spans="1:21">
      <c r="A792" t="s">
        <v>808</v>
      </c>
      <c r="B792" s="5">
        <v>45342</v>
      </c>
      <c r="C792" t="s">
        <v>3683</v>
      </c>
      <c r="D792" t="s">
        <v>4767</v>
      </c>
      <c r="E792" t="s">
        <v>4866</v>
      </c>
      <c r="F792">
        <v>39</v>
      </c>
      <c r="G792" t="s">
        <v>4880</v>
      </c>
      <c r="H792" t="s">
        <v>4890</v>
      </c>
      <c r="I792" t="s">
        <v>4901</v>
      </c>
      <c r="J792" t="s">
        <v>4921</v>
      </c>
      <c r="K792" t="s">
        <v>4926</v>
      </c>
      <c r="L792" t="s">
        <v>4935</v>
      </c>
      <c r="M792" t="s">
        <v>4943</v>
      </c>
      <c r="N792" s="11">
        <v>6942.91</v>
      </c>
      <c r="O792" t="s">
        <v>4948</v>
      </c>
      <c r="P792" t="s">
        <v>4951</v>
      </c>
      <c r="S792" t="str">
        <f t="shared" si="36"/>
        <v>Adult</v>
      </c>
      <c r="T792" t="str">
        <f t="shared" si="37"/>
        <v>Medium</v>
      </c>
      <c r="U792" t="str">
        <f t="shared" si="38"/>
        <v>Short Days</v>
      </c>
    </row>
    <row r="793" spans="1:21">
      <c r="A793" t="s">
        <v>809</v>
      </c>
      <c r="B793" s="5">
        <v>45784</v>
      </c>
      <c r="C793" t="s">
        <v>3684</v>
      </c>
      <c r="D793" t="s">
        <v>4591</v>
      </c>
      <c r="E793" t="s">
        <v>4867</v>
      </c>
      <c r="F793">
        <v>20</v>
      </c>
      <c r="G793" t="s">
        <v>4875</v>
      </c>
      <c r="H793" t="s">
        <v>4889</v>
      </c>
      <c r="I793" t="s">
        <v>4901</v>
      </c>
      <c r="J793" t="s">
        <v>4914</v>
      </c>
      <c r="K793" t="s">
        <v>4929</v>
      </c>
      <c r="L793" t="s">
        <v>4936</v>
      </c>
      <c r="M793" t="s">
        <v>4942</v>
      </c>
      <c r="N793" s="11">
        <v>936.58</v>
      </c>
      <c r="O793" t="s">
        <v>15</v>
      </c>
      <c r="P793" t="s">
        <v>4952</v>
      </c>
      <c r="S793" t="str">
        <f t="shared" si="36"/>
        <v>Adult</v>
      </c>
      <c r="T793" t="str">
        <f t="shared" si="37"/>
        <v>Low</v>
      </c>
      <c r="U793" t="str">
        <f t="shared" si="38"/>
        <v>Short Days</v>
      </c>
    </row>
    <row r="794" spans="1:21">
      <c r="A794" t="s">
        <v>810</v>
      </c>
      <c r="B794" s="5">
        <v>45558</v>
      </c>
      <c r="C794" t="s">
        <v>3384</v>
      </c>
      <c r="D794" t="s">
        <v>4830</v>
      </c>
      <c r="E794" t="s">
        <v>4866</v>
      </c>
      <c r="F794">
        <v>51</v>
      </c>
      <c r="G794" t="s">
        <v>4875</v>
      </c>
      <c r="H794" t="s">
        <v>4889</v>
      </c>
      <c r="I794" t="s">
        <v>4895</v>
      </c>
      <c r="J794" t="s">
        <v>4915</v>
      </c>
      <c r="K794" t="s">
        <v>4928</v>
      </c>
      <c r="L794" t="s">
        <v>4935</v>
      </c>
      <c r="M794" t="s">
        <v>4942</v>
      </c>
      <c r="N794" s="11">
        <v>2646.45</v>
      </c>
      <c r="O794" t="s">
        <v>4946</v>
      </c>
      <c r="P794" t="s">
        <v>4951</v>
      </c>
      <c r="R794">
        <v>90</v>
      </c>
      <c r="S794" t="str">
        <f t="shared" si="36"/>
        <v>Middle-Aged</v>
      </c>
      <c r="T794" t="str">
        <f t="shared" si="37"/>
        <v>Low</v>
      </c>
      <c r="U794" t="str">
        <f t="shared" si="38"/>
        <v>Short Days</v>
      </c>
    </row>
    <row r="795" spans="1:21">
      <c r="A795" t="s">
        <v>811</v>
      </c>
      <c r="B795" s="5">
        <v>45808</v>
      </c>
      <c r="C795" t="s">
        <v>3119</v>
      </c>
      <c r="D795" t="s">
        <v>4747</v>
      </c>
      <c r="E795" t="s">
        <v>4867</v>
      </c>
      <c r="F795">
        <v>22</v>
      </c>
      <c r="G795" t="s">
        <v>4875</v>
      </c>
      <c r="H795" t="s">
        <v>4889</v>
      </c>
      <c r="I795" t="s">
        <v>4900</v>
      </c>
      <c r="J795" t="s">
        <v>4913</v>
      </c>
      <c r="K795" t="s">
        <v>4925</v>
      </c>
      <c r="L795" t="s">
        <v>4936</v>
      </c>
      <c r="M795" t="s">
        <v>4942</v>
      </c>
      <c r="N795" s="11">
        <v>7788.27</v>
      </c>
      <c r="O795" t="s">
        <v>4947</v>
      </c>
      <c r="P795" t="s">
        <v>4951</v>
      </c>
      <c r="R795">
        <v>7</v>
      </c>
      <c r="S795" t="str">
        <f t="shared" si="36"/>
        <v>Adult</v>
      </c>
      <c r="T795" t="str">
        <f t="shared" si="37"/>
        <v>Medium</v>
      </c>
      <c r="U795" t="str">
        <f t="shared" si="38"/>
        <v>Short Days</v>
      </c>
    </row>
    <row r="796" spans="1:21">
      <c r="A796" t="s">
        <v>812</v>
      </c>
      <c r="B796" s="5">
        <v>45745</v>
      </c>
      <c r="C796" t="s">
        <v>3030</v>
      </c>
      <c r="D796" t="s">
        <v>4718</v>
      </c>
      <c r="E796" t="s">
        <v>4866</v>
      </c>
      <c r="F796">
        <v>63</v>
      </c>
      <c r="G796" t="s">
        <v>4878</v>
      </c>
      <c r="H796" t="s">
        <v>4889</v>
      </c>
      <c r="I796" t="s">
        <v>4902</v>
      </c>
      <c r="J796" t="s">
        <v>4916</v>
      </c>
      <c r="K796" t="s">
        <v>4927</v>
      </c>
      <c r="L796" t="s">
        <v>4935</v>
      </c>
      <c r="M796" t="s">
        <v>4942</v>
      </c>
      <c r="N796" s="11">
        <v>2006.91</v>
      </c>
      <c r="O796" t="s">
        <v>4946</v>
      </c>
      <c r="P796" t="s">
        <v>4951</v>
      </c>
      <c r="R796">
        <v>90</v>
      </c>
      <c r="S796" t="str">
        <f t="shared" si="36"/>
        <v>Senior</v>
      </c>
      <c r="T796" t="str">
        <f t="shared" si="37"/>
        <v>Low</v>
      </c>
      <c r="U796" t="str">
        <f t="shared" si="38"/>
        <v>Short Days</v>
      </c>
    </row>
    <row r="797" spans="1:21">
      <c r="A797" t="s">
        <v>813</v>
      </c>
      <c r="B797" s="5">
        <v>45367</v>
      </c>
      <c r="C797" t="s">
        <v>3685</v>
      </c>
      <c r="D797" t="s">
        <v>4714</v>
      </c>
      <c r="E797" t="s">
        <v>4867</v>
      </c>
      <c r="F797">
        <v>74</v>
      </c>
      <c r="G797" t="s">
        <v>4879</v>
      </c>
      <c r="H797" t="s">
        <v>4888</v>
      </c>
      <c r="I797" t="s">
        <v>4893</v>
      </c>
      <c r="J797" t="s">
        <v>4917</v>
      </c>
      <c r="K797" t="s">
        <v>4925</v>
      </c>
      <c r="L797" t="s">
        <v>4935</v>
      </c>
      <c r="M797" t="s">
        <v>4942</v>
      </c>
      <c r="N797" s="11">
        <v>1752.01</v>
      </c>
      <c r="O797" t="s">
        <v>4947</v>
      </c>
      <c r="P797" t="s">
        <v>4951</v>
      </c>
      <c r="R797">
        <v>14</v>
      </c>
      <c r="S797" t="str">
        <f t="shared" si="36"/>
        <v>Senior</v>
      </c>
      <c r="T797" t="str">
        <f t="shared" si="37"/>
        <v>Low</v>
      </c>
      <c r="U797" t="str">
        <f t="shared" si="38"/>
        <v>Short Days</v>
      </c>
    </row>
    <row r="798" spans="1:21">
      <c r="A798" t="s">
        <v>814</v>
      </c>
      <c r="B798" s="5">
        <v>45852</v>
      </c>
      <c r="C798" t="s">
        <v>3087</v>
      </c>
      <c r="D798" t="s">
        <v>4805</v>
      </c>
      <c r="E798" t="s">
        <v>4867</v>
      </c>
      <c r="F798">
        <f>AVERAGE(F791,F797)</f>
        <v>58</v>
      </c>
      <c r="G798" t="s">
        <v>4881</v>
      </c>
      <c r="H798" t="s">
        <v>4886</v>
      </c>
      <c r="I798" t="s">
        <v>4894</v>
      </c>
      <c r="J798" t="s">
        <v>4910</v>
      </c>
      <c r="K798" t="s">
        <v>4953</v>
      </c>
      <c r="L798" t="s">
        <v>4936</v>
      </c>
      <c r="M798" t="s">
        <v>4942</v>
      </c>
      <c r="N798" s="11">
        <v>12664.84</v>
      </c>
      <c r="O798" t="s">
        <v>4949</v>
      </c>
      <c r="P798" t="s">
        <v>4951</v>
      </c>
      <c r="R798">
        <v>30</v>
      </c>
      <c r="S798" t="str">
        <f t="shared" si="36"/>
        <v>Middle-Aged</v>
      </c>
      <c r="T798" t="str">
        <f t="shared" si="37"/>
        <v>High</v>
      </c>
      <c r="U798" t="str">
        <f t="shared" si="38"/>
        <v>Short Days</v>
      </c>
    </row>
    <row r="799" spans="1:21">
      <c r="A799" t="s">
        <v>815</v>
      </c>
      <c r="B799" s="5">
        <v>45964</v>
      </c>
      <c r="C799" t="s">
        <v>3686</v>
      </c>
      <c r="D799" t="s">
        <v>4647</v>
      </c>
      <c r="E799" t="s">
        <v>4866</v>
      </c>
      <c r="F799">
        <v>24</v>
      </c>
      <c r="G799" t="s">
        <v>4873</v>
      </c>
      <c r="H799" t="s">
        <v>4888</v>
      </c>
      <c r="I799" t="s">
        <v>4896</v>
      </c>
      <c r="J799" t="s">
        <v>4906</v>
      </c>
      <c r="K799" t="s">
        <v>4933</v>
      </c>
      <c r="L799" t="s">
        <v>4941</v>
      </c>
      <c r="M799" t="s">
        <v>4944</v>
      </c>
      <c r="N799" s="11">
        <v>8038.46</v>
      </c>
      <c r="O799" t="s">
        <v>4950</v>
      </c>
      <c r="P799" t="s">
        <v>4951</v>
      </c>
      <c r="S799" t="str">
        <f t="shared" si="36"/>
        <v>Adult</v>
      </c>
      <c r="T799" t="str">
        <f t="shared" si="37"/>
        <v>Medium</v>
      </c>
      <c r="U799" t="str">
        <f t="shared" si="38"/>
        <v>Short Days</v>
      </c>
    </row>
    <row r="800" spans="1:21">
      <c r="A800" t="s">
        <v>816</v>
      </c>
      <c r="B800" s="5">
        <v>45697</v>
      </c>
      <c r="C800" t="s">
        <v>3687</v>
      </c>
      <c r="D800" t="s">
        <v>4635</v>
      </c>
      <c r="E800" t="s">
        <v>4867</v>
      </c>
      <c r="F800">
        <v>30</v>
      </c>
      <c r="G800" t="s">
        <v>4879</v>
      </c>
      <c r="H800" t="s">
        <v>4888</v>
      </c>
      <c r="I800" t="s">
        <v>4893</v>
      </c>
      <c r="J800" t="s">
        <v>4903</v>
      </c>
      <c r="K800" t="s">
        <v>4927</v>
      </c>
      <c r="L800" t="s">
        <v>4941</v>
      </c>
      <c r="M800" t="s">
        <v>4944</v>
      </c>
      <c r="N800" s="11">
        <v>18279.89</v>
      </c>
      <c r="O800" t="s">
        <v>4948</v>
      </c>
      <c r="P800" t="s">
        <v>4951</v>
      </c>
      <c r="R800">
        <v>90</v>
      </c>
      <c r="S800" t="str">
        <f t="shared" si="36"/>
        <v>Adult</v>
      </c>
      <c r="T800" t="str">
        <f t="shared" si="37"/>
        <v>High</v>
      </c>
      <c r="U800" t="str">
        <f t="shared" si="38"/>
        <v>Short Days</v>
      </c>
    </row>
    <row r="801" spans="1:21">
      <c r="A801" t="s">
        <v>817</v>
      </c>
      <c r="B801" s="5">
        <v>45618</v>
      </c>
      <c r="C801" t="s">
        <v>3688</v>
      </c>
      <c r="D801" t="s">
        <v>4852</v>
      </c>
      <c r="E801" t="s">
        <v>4867</v>
      </c>
      <c r="F801">
        <v>39</v>
      </c>
      <c r="G801" t="s">
        <v>4870</v>
      </c>
      <c r="H801" t="s">
        <v>4885</v>
      </c>
      <c r="I801" t="s">
        <v>4896</v>
      </c>
      <c r="J801" t="s">
        <v>4908</v>
      </c>
      <c r="K801" t="s">
        <v>4930</v>
      </c>
      <c r="L801" t="s">
        <v>4941</v>
      </c>
      <c r="M801" t="s">
        <v>4942</v>
      </c>
      <c r="N801" s="11">
        <v>123.94</v>
      </c>
      <c r="O801" t="s">
        <v>4949</v>
      </c>
      <c r="P801" t="s">
        <v>4951</v>
      </c>
      <c r="R801">
        <v>90</v>
      </c>
      <c r="S801" t="str">
        <f t="shared" si="36"/>
        <v>Adult</v>
      </c>
      <c r="T801" t="str">
        <f t="shared" si="37"/>
        <v>Low</v>
      </c>
      <c r="U801" t="str">
        <f t="shared" si="38"/>
        <v>Short Days</v>
      </c>
    </row>
    <row r="802" spans="1:21">
      <c r="A802" t="s">
        <v>818</v>
      </c>
      <c r="B802" s="5">
        <v>45888</v>
      </c>
      <c r="C802" t="s">
        <v>3586</v>
      </c>
      <c r="D802" t="s">
        <v>4623</v>
      </c>
      <c r="E802" t="s">
        <v>4866</v>
      </c>
      <c r="F802">
        <v>46</v>
      </c>
      <c r="G802" t="s">
        <v>4871</v>
      </c>
      <c r="H802" t="s">
        <v>4886</v>
      </c>
      <c r="I802" t="s">
        <v>4897</v>
      </c>
      <c r="J802" t="s">
        <v>4922</v>
      </c>
      <c r="K802" t="s">
        <v>4932</v>
      </c>
      <c r="L802" t="s">
        <v>4938</v>
      </c>
      <c r="M802" t="s">
        <v>4942</v>
      </c>
      <c r="N802" s="11">
        <v>4624.97</v>
      </c>
      <c r="O802" t="s">
        <v>15</v>
      </c>
      <c r="P802" t="s">
        <v>4952</v>
      </c>
      <c r="S802" t="str">
        <f t="shared" si="36"/>
        <v>Middle-Aged</v>
      </c>
      <c r="T802" t="str">
        <f t="shared" si="37"/>
        <v>Low</v>
      </c>
      <c r="U802" t="str">
        <f t="shared" si="38"/>
        <v>Short Days</v>
      </c>
    </row>
    <row r="803" spans="1:21">
      <c r="A803" t="s">
        <v>819</v>
      </c>
      <c r="B803" s="5">
        <v>45914</v>
      </c>
      <c r="C803" t="s">
        <v>3041</v>
      </c>
      <c r="D803" t="s">
        <v>4659</v>
      </c>
      <c r="E803" t="s">
        <v>4867</v>
      </c>
      <c r="F803">
        <v>45</v>
      </c>
      <c r="G803" t="s">
        <v>4883</v>
      </c>
      <c r="H803" t="s">
        <v>4892</v>
      </c>
      <c r="I803" t="s">
        <v>4899</v>
      </c>
      <c r="J803" t="s">
        <v>4911</v>
      </c>
      <c r="K803" t="s">
        <v>4930</v>
      </c>
      <c r="L803" t="s">
        <v>4936</v>
      </c>
      <c r="M803" t="s">
        <v>4944</v>
      </c>
      <c r="N803" s="11">
        <v>7643.42</v>
      </c>
      <c r="O803" t="s">
        <v>15</v>
      </c>
      <c r="P803" t="s">
        <v>4952</v>
      </c>
      <c r="R803">
        <v>30</v>
      </c>
      <c r="S803" t="str">
        <f t="shared" si="36"/>
        <v>Middle-Aged</v>
      </c>
      <c r="T803" t="str">
        <f t="shared" si="37"/>
        <v>Medium</v>
      </c>
      <c r="U803" t="str">
        <f t="shared" si="38"/>
        <v>Short Days</v>
      </c>
    </row>
    <row r="804" spans="1:21">
      <c r="A804" t="s">
        <v>820</v>
      </c>
      <c r="B804" s="5">
        <v>45436</v>
      </c>
      <c r="C804" t="s">
        <v>3248</v>
      </c>
      <c r="D804" t="s">
        <v>4853</v>
      </c>
      <c r="E804" t="s">
        <v>4866</v>
      </c>
      <c r="F804">
        <v>15</v>
      </c>
      <c r="G804" t="s">
        <v>4877</v>
      </c>
      <c r="H804" t="s">
        <v>4888</v>
      </c>
      <c r="I804" t="s">
        <v>4899</v>
      </c>
      <c r="J804" t="s">
        <v>4912</v>
      </c>
      <c r="K804" t="s">
        <v>4925</v>
      </c>
      <c r="L804" t="s">
        <v>4936</v>
      </c>
      <c r="M804" t="s">
        <v>4944</v>
      </c>
      <c r="N804" s="11">
        <v>17596.060000000001</v>
      </c>
      <c r="O804" t="s">
        <v>4947</v>
      </c>
      <c r="P804" t="s">
        <v>4951</v>
      </c>
      <c r="R804">
        <v>30</v>
      </c>
      <c r="S804" t="str">
        <f t="shared" si="36"/>
        <v>Child</v>
      </c>
      <c r="T804" t="str">
        <f t="shared" si="37"/>
        <v>High</v>
      </c>
      <c r="U804" t="str">
        <f t="shared" si="38"/>
        <v>Short Days</v>
      </c>
    </row>
    <row r="805" spans="1:21">
      <c r="A805" t="s">
        <v>821</v>
      </c>
      <c r="B805" s="5">
        <v>45443</v>
      </c>
      <c r="C805" t="s">
        <v>3358</v>
      </c>
      <c r="D805" t="s">
        <v>4721</v>
      </c>
      <c r="E805" t="s">
        <v>4866</v>
      </c>
      <c r="F805">
        <v>37</v>
      </c>
      <c r="G805" t="s">
        <v>4874</v>
      </c>
      <c r="H805" t="s">
        <v>4886</v>
      </c>
      <c r="I805" t="s">
        <v>4894</v>
      </c>
      <c r="J805" t="s">
        <v>4910</v>
      </c>
      <c r="K805" t="s">
        <v>4933</v>
      </c>
      <c r="L805" t="s">
        <v>4939</v>
      </c>
      <c r="M805" t="s">
        <v>4942</v>
      </c>
      <c r="N805" s="11">
        <v>5964.67</v>
      </c>
      <c r="O805" t="s">
        <v>4949</v>
      </c>
      <c r="P805" t="s">
        <v>4951</v>
      </c>
      <c r="R805">
        <v>14</v>
      </c>
      <c r="S805" t="str">
        <f t="shared" si="36"/>
        <v>Adult</v>
      </c>
      <c r="T805" t="str">
        <f t="shared" si="37"/>
        <v>Medium</v>
      </c>
      <c r="U805" t="str">
        <f t="shared" si="38"/>
        <v>Short Days</v>
      </c>
    </row>
    <row r="806" spans="1:21">
      <c r="A806" t="s">
        <v>822</v>
      </c>
      <c r="B806" s="5">
        <v>45904</v>
      </c>
      <c r="C806" t="s">
        <v>3446</v>
      </c>
      <c r="D806" t="s">
        <v>4745</v>
      </c>
      <c r="E806" t="s">
        <v>4867</v>
      </c>
      <c r="F806">
        <v>49</v>
      </c>
      <c r="G806" t="s">
        <v>4881</v>
      </c>
      <c r="H806" t="s">
        <v>4881</v>
      </c>
      <c r="I806" t="s">
        <v>4899</v>
      </c>
      <c r="J806" t="s">
        <v>4912</v>
      </c>
      <c r="K806" t="s">
        <v>4926</v>
      </c>
      <c r="L806" t="s">
        <v>4938</v>
      </c>
      <c r="M806" t="s">
        <v>4942</v>
      </c>
      <c r="N806" s="11">
        <v>813.79</v>
      </c>
      <c r="O806" t="s">
        <v>4950</v>
      </c>
      <c r="P806" t="s">
        <v>4951</v>
      </c>
      <c r="S806" t="str">
        <f t="shared" si="36"/>
        <v>Middle-Aged</v>
      </c>
      <c r="T806" t="str">
        <f t="shared" si="37"/>
        <v>Low</v>
      </c>
      <c r="U806" t="str">
        <f t="shared" si="38"/>
        <v>Short Days</v>
      </c>
    </row>
    <row r="807" spans="1:21">
      <c r="A807" t="s">
        <v>823</v>
      </c>
      <c r="B807" s="5">
        <v>45579</v>
      </c>
      <c r="C807" t="s">
        <v>3689</v>
      </c>
      <c r="D807" t="s">
        <v>4744</v>
      </c>
      <c r="E807" t="s">
        <v>4866</v>
      </c>
      <c r="F807">
        <v>6</v>
      </c>
      <c r="G807" t="s">
        <v>4871</v>
      </c>
      <c r="H807" t="s">
        <v>4886</v>
      </c>
      <c r="I807" t="s">
        <v>4899</v>
      </c>
      <c r="J807" t="s">
        <v>4911</v>
      </c>
      <c r="K807" t="s">
        <v>4929</v>
      </c>
      <c r="L807" t="s">
        <v>4938</v>
      </c>
      <c r="M807" t="s">
        <v>4942</v>
      </c>
      <c r="N807" s="11">
        <v>1933.52</v>
      </c>
      <c r="O807" t="s">
        <v>15</v>
      </c>
      <c r="P807" t="s">
        <v>4952</v>
      </c>
      <c r="R807">
        <v>7</v>
      </c>
      <c r="S807" t="str">
        <f t="shared" si="36"/>
        <v>Child</v>
      </c>
      <c r="T807" t="str">
        <f t="shared" si="37"/>
        <v>Low</v>
      </c>
      <c r="U807" t="str">
        <f t="shared" si="38"/>
        <v>Short Days</v>
      </c>
    </row>
    <row r="808" spans="1:21">
      <c r="A808" t="s">
        <v>824</v>
      </c>
      <c r="B808" s="5">
        <v>45566</v>
      </c>
      <c r="C808" t="s">
        <v>3690</v>
      </c>
      <c r="D808" t="s">
        <v>4746</v>
      </c>
      <c r="E808" t="s">
        <v>4867</v>
      </c>
      <c r="F808">
        <v>6</v>
      </c>
      <c r="G808" t="s">
        <v>4876</v>
      </c>
      <c r="H808" t="s">
        <v>4888</v>
      </c>
      <c r="I808" t="s">
        <v>4899</v>
      </c>
      <c r="J808" t="s">
        <v>4912</v>
      </c>
      <c r="K808" t="s">
        <v>4929</v>
      </c>
      <c r="L808" t="s">
        <v>4939</v>
      </c>
      <c r="M808" t="s">
        <v>4942</v>
      </c>
      <c r="N808" s="11">
        <v>990.98</v>
      </c>
      <c r="O808" t="s">
        <v>15</v>
      </c>
      <c r="P808" t="s">
        <v>4952</v>
      </c>
      <c r="S808" t="str">
        <f t="shared" si="36"/>
        <v>Child</v>
      </c>
      <c r="T808" t="str">
        <f t="shared" si="37"/>
        <v>Low</v>
      </c>
      <c r="U808" t="str">
        <f t="shared" si="38"/>
        <v>Short Days</v>
      </c>
    </row>
    <row r="809" spans="1:21">
      <c r="A809" t="s">
        <v>825</v>
      </c>
      <c r="B809" s="5">
        <v>45683</v>
      </c>
      <c r="C809" t="s">
        <v>3691</v>
      </c>
      <c r="D809" t="s">
        <v>4664</v>
      </c>
      <c r="E809" t="s">
        <v>4867</v>
      </c>
      <c r="F809">
        <v>42</v>
      </c>
      <c r="G809" t="s">
        <v>4874</v>
      </c>
      <c r="H809" t="s">
        <v>4886</v>
      </c>
      <c r="I809" t="s">
        <v>4898</v>
      </c>
      <c r="J809" t="s">
        <v>4909</v>
      </c>
      <c r="K809" t="s">
        <v>4931</v>
      </c>
      <c r="L809" t="s">
        <v>4940</v>
      </c>
      <c r="M809" t="s">
        <v>4945</v>
      </c>
      <c r="N809" s="11">
        <v>11964.46</v>
      </c>
      <c r="O809" t="s">
        <v>15</v>
      </c>
      <c r="P809" t="s">
        <v>4952</v>
      </c>
      <c r="Q809">
        <v>5</v>
      </c>
      <c r="R809">
        <v>14</v>
      </c>
      <c r="S809" t="str">
        <f t="shared" si="36"/>
        <v>Middle-Aged</v>
      </c>
      <c r="T809" t="str">
        <f t="shared" si="37"/>
        <v>High</v>
      </c>
      <c r="U809" t="str">
        <f t="shared" si="38"/>
        <v>Short Days</v>
      </c>
    </row>
    <row r="810" spans="1:21">
      <c r="A810" t="s">
        <v>826</v>
      </c>
      <c r="B810" s="5">
        <v>45425</v>
      </c>
      <c r="C810" t="s">
        <v>3659</v>
      </c>
      <c r="D810" t="s">
        <v>4611</v>
      </c>
      <c r="E810" t="s">
        <v>4867</v>
      </c>
      <c r="F810">
        <v>73</v>
      </c>
      <c r="G810" t="s">
        <v>4876</v>
      </c>
      <c r="H810" t="s">
        <v>4888</v>
      </c>
      <c r="I810" t="s">
        <v>4899</v>
      </c>
      <c r="J810" t="s">
        <v>4911</v>
      </c>
      <c r="K810" t="s">
        <v>4924</v>
      </c>
      <c r="L810" t="s">
        <v>4935</v>
      </c>
      <c r="M810" t="s">
        <v>4944</v>
      </c>
      <c r="N810" s="11">
        <v>7483.95</v>
      </c>
      <c r="O810" t="s">
        <v>4949</v>
      </c>
      <c r="P810" t="s">
        <v>4951</v>
      </c>
      <c r="S810" t="str">
        <f t="shared" si="36"/>
        <v>Senior</v>
      </c>
      <c r="T810" t="str">
        <f t="shared" si="37"/>
        <v>Medium</v>
      </c>
      <c r="U810" t="str">
        <f t="shared" si="38"/>
        <v>Short Days</v>
      </c>
    </row>
    <row r="811" spans="1:21">
      <c r="A811" t="s">
        <v>827</v>
      </c>
      <c r="B811" s="5">
        <v>45310</v>
      </c>
      <c r="C811" t="s">
        <v>3692</v>
      </c>
      <c r="D811" t="s">
        <v>4601</v>
      </c>
      <c r="E811" t="s">
        <v>4867</v>
      </c>
      <c r="F811">
        <v>14</v>
      </c>
      <c r="G811" t="s">
        <v>4875</v>
      </c>
      <c r="H811" t="s">
        <v>4889</v>
      </c>
      <c r="I811" t="s">
        <v>4893</v>
      </c>
      <c r="J811" t="s">
        <v>4903</v>
      </c>
      <c r="K811" t="s">
        <v>4925</v>
      </c>
      <c r="L811" t="s">
        <v>4935</v>
      </c>
      <c r="M811" t="s">
        <v>4943</v>
      </c>
      <c r="N811" s="11">
        <v>8112.12</v>
      </c>
      <c r="O811" t="s">
        <v>4949</v>
      </c>
      <c r="P811" t="s">
        <v>4951</v>
      </c>
      <c r="R811">
        <v>90</v>
      </c>
      <c r="S811" t="str">
        <f t="shared" si="36"/>
        <v>Child</v>
      </c>
      <c r="T811" t="str">
        <f t="shared" si="37"/>
        <v>Medium</v>
      </c>
      <c r="U811" t="str">
        <f t="shared" si="38"/>
        <v>Short Days</v>
      </c>
    </row>
    <row r="812" spans="1:21">
      <c r="A812" t="s">
        <v>828</v>
      </c>
      <c r="B812" s="5">
        <v>45584</v>
      </c>
      <c r="C812" t="s">
        <v>3182</v>
      </c>
      <c r="D812" t="s">
        <v>4716</v>
      </c>
      <c r="E812" t="s">
        <v>4867</v>
      </c>
      <c r="F812">
        <v>60</v>
      </c>
      <c r="G812" t="s">
        <v>4880</v>
      </c>
      <c r="H812" t="s">
        <v>4890</v>
      </c>
      <c r="I812" t="s">
        <v>4901</v>
      </c>
      <c r="J812" t="s">
        <v>4921</v>
      </c>
      <c r="K812" t="s">
        <v>4925</v>
      </c>
      <c r="L812" t="s">
        <v>4938</v>
      </c>
      <c r="M812" t="s">
        <v>4943</v>
      </c>
      <c r="N812" s="11">
        <v>8109.44</v>
      </c>
      <c r="O812" t="s">
        <v>4950</v>
      </c>
      <c r="P812" t="s">
        <v>4951</v>
      </c>
      <c r="R812">
        <v>30</v>
      </c>
      <c r="S812" t="str">
        <f t="shared" si="36"/>
        <v>Middle-Aged</v>
      </c>
      <c r="T812" t="str">
        <f t="shared" si="37"/>
        <v>Medium</v>
      </c>
      <c r="U812" t="str">
        <f t="shared" si="38"/>
        <v>Short Days</v>
      </c>
    </row>
    <row r="813" spans="1:21">
      <c r="A813" t="s">
        <v>829</v>
      </c>
      <c r="B813" s="5">
        <v>45886</v>
      </c>
      <c r="C813" t="s">
        <v>3693</v>
      </c>
      <c r="D813" t="s">
        <v>4622</v>
      </c>
      <c r="E813" t="s">
        <v>4866</v>
      </c>
      <c r="F813">
        <f>AVERAGE(F806,F812)</f>
        <v>54.5</v>
      </c>
      <c r="G813" t="s">
        <v>4881</v>
      </c>
      <c r="H813" t="s">
        <v>4891</v>
      </c>
      <c r="I813" t="s">
        <v>4902</v>
      </c>
      <c r="J813" t="s">
        <v>4920</v>
      </c>
      <c r="K813" t="s">
        <v>4953</v>
      </c>
      <c r="L813" t="s">
        <v>4939</v>
      </c>
      <c r="M813" t="s">
        <v>4944</v>
      </c>
      <c r="N813" s="11">
        <v>13018.12</v>
      </c>
      <c r="O813" t="s">
        <v>4948</v>
      </c>
      <c r="P813" t="s">
        <v>4951</v>
      </c>
      <c r="R813">
        <v>7</v>
      </c>
      <c r="S813" t="str">
        <f t="shared" si="36"/>
        <v>Middle-Aged</v>
      </c>
      <c r="T813" t="str">
        <f t="shared" si="37"/>
        <v>High</v>
      </c>
      <c r="U813" t="str">
        <f t="shared" si="38"/>
        <v>Short Days</v>
      </c>
    </row>
    <row r="814" spans="1:21">
      <c r="A814" t="s">
        <v>830</v>
      </c>
      <c r="B814" s="5">
        <v>45473</v>
      </c>
      <c r="C814" t="s">
        <v>3335</v>
      </c>
      <c r="D814" t="s">
        <v>4602</v>
      </c>
      <c r="E814" t="s">
        <v>4868</v>
      </c>
      <c r="F814">
        <v>51</v>
      </c>
      <c r="G814" t="s">
        <v>4876</v>
      </c>
      <c r="H814" t="s">
        <v>4888</v>
      </c>
      <c r="I814" t="s">
        <v>4897</v>
      </c>
      <c r="J814" t="s">
        <v>4907</v>
      </c>
      <c r="K814" t="s">
        <v>4933</v>
      </c>
      <c r="L814" t="s">
        <v>4935</v>
      </c>
      <c r="M814" t="s">
        <v>4942</v>
      </c>
      <c r="N814" s="11">
        <v>3889.33</v>
      </c>
      <c r="O814" t="s">
        <v>15</v>
      </c>
      <c r="P814" t="s">
        <v>4952</v>
      </c>
      <c r="R814">
        <v>14</v>
      </c>
      <c r="S814" t="str">
        <f t="shared" si="36"/>
        <v>Middle-Aged</v>
      </c>
      <c r="T814" t="str">
        <f t="shared" si="37"/>
        <v>Low</v>
      </c>
      <c r="U814" t="str">
        <f t="shared" si="38"/>
        <v>Short Days</v>
      </c>
    </row>
    <row r="815" spans="1:21">
      <c r="A815" t="s">
        <v>831</v>
      </c>
      <c r="B815" s="5">
        <v>45503</v>
      </c>
      <c r="C815" t="s">
        <v>3694</v>
      </c>
      <c r="D815" t="s">
        <v>4835</v>
      </c>
      <c r="E815" t="s">
        <v>4866</v>
      </c>
      <c r="F815">
        <v>47</v>
      </c>
      <c r="G815" t="s">
        <v>4876</v>
      </c>
      <c r="H815" t="s">
        <v>4888</v>
      </c>
      <c r="I815" t="s">
        <v>4902</v>
      </c>
      <c r="J815" t="s">
        <v>4916</v>
      </c>
      <c r="K815" t="s">
        <v>4930</v>
      </c>
      <c r="L815" t="s">
        <v>4939</v>
      </c>
      <c r="M815" t="s">
        <v>4942</v>
      </c>
      <c r="N815" s="11">
        <v>334.54</v>
      </c>
      <c r="O815" t="s">
        <v>15</v>
      </c>
      <c r="P815" t="s">
        <v>4952</v>
      </c>
      <c r="S815" t="str">
        <f t="shared" si="36"/>
        <v>Middle-Aged</v>
      </c>
      <c r="T815" t="str">
        <f t="shared" si="37"/>
        <v>Low</v>
      </c>
      <c r="U815" t="str">
        <f t="shared" si="38"/>
        <v>Short Days</v>
      </c>
    </row>
    <row r="816" spans="1:21">
      <c r="A816" t="s">
        <v>832</v>
      </c>
      <c r="B816" s="5">
        <v>45661</v>
      </c>
      <c r="C816" t="s">
        <v>3530</v>
      </c>
      <c r="D816" t="s">
        <v>4721</v>
      </c>
      <c r="E816" t="s">
        <v>4866</v>
      </c>
      <c r="F816">
        <v>6</v>
      </c>
      <c r="G816" t="s">
        <v>4873</v>
      </c>
      <c r="H816" t="s">
        <v>4888</v>
      </c>
      <c r="I816" t="s">
        <v>4899</v>
      </c>
      <c r="J816" t="s">
        <v>4912</v>
      </c>
      <c r="K816" t="s">
        <v>4926</v>
      </c>
      <c r="L816" t="s">
        <v>4937</v>
      </c>
      <c r="M816" t="s">
        <v>4943</v>
      </c>
      <c r="N816" s="11">
        <v>7028.42</v>
      </c>
      <c r="O816" t="s">
        <v>4946</v>
      </c>
      <c r="P816" t="s">
        <v>4951</v>
      </c>
      <c r="R816">
        <v>90</v>
      </c>
      <c r="S816" t="str">
        <f t="shared" si="36"/>
        <v>Child</v>
      </c>
      <c r="T816" t="str">
        <f t="shared" si="37"/>
        <v>Medium</v>
      </c>
      <c r="U816" t="str">
        <f t="shared" si="38"/>
        <v>Short Days</v>
      </c>
    </row>
    <row r="817" spans="1:21">
      <c r="A817" t="s">
        <v>833</v>
      </c>
      <c r="B817" s="5">
        <v>45676</v>
      </c>
      <c r="C817" t="s">
        <v>3695</v>
      </c>
      <c r="D817" t="s">
        <v>4596</v>
      </c>
      <c r="E817" t="s">
        <v>4867</v>
      </c>
      <c r="F817">
        <v>33</v>
      </c>
      <c r="G817" t="s">
        <v>4870</v>
      </c>
      <c r="H817" t="s">
        <v>4885</v>
      </c>
      <c r="I817" t="s">
        <v>4900</v>
      </c>
      <c r="J817" t="s">
        <v>4913</v>
      </c>
      <c r="K817" t="s">
        <v>4932</v>
      </c>
      <c r="L817" t="s">
        <v>4934</v>
      </c>
      <c r="M817" t="s">
        <v>4942</v>
      </c>
      <c r="N817" s="11">
        <v>7566.54</v>
      </c>
      <c r="O817" t="s">
        <v>4948</v>
      </c>
      <c r="P817" t="s">
        <v>4951</v>
      </c>
      <c r="S817" t="str">
        <f t="shared" si="36"/>
        <v>Adult</v>
      </c>
      <c r="T817" t="str">
        <f t="shared" si="37"/>
        <v>Medium</v>
      </c>
      <c r="U817" t="str">
        <f t="shared" si="38"/>
        <v>Short Days</v>
      </c>
    </row>
    <row r="818" spans="1:21">
      <c r="A818" t="s">
        <v>834</v>
      </c>
      <c r="B818" s="5">
        <v>45841</v>
      </c>
      <c r="C818" t="s">
        <v>3696</v>
      </c>
      <c r="D818" t="s">
        <v>4649</v>
      </c>
      <c r="E818" t="s">
        <v>4866</v>
      </c>
      <c r="F818">
        <v>30</v>
      </c>
      <c r="G818" t="s">
        <v>4875</v>
      </c>
      <c r="H818" t="s">
        <v>4889</v>
      </c>
      <c r="I818" t="s">
        <v>4898</v>
      </c>
      <c r="J818" t="s">
        <v>4923</v>
      </c>
      <c r="K818" t="s">
        <v>4931</v>
      </c>
      <c r="L818" t="s">
        <v>4935</v>
      </c>
      <c r="M818" t="s">
        <v>4944</v>
      </c>
      <c r="N818" s="11">
        <v>5429.65</v>
      </c>
      <c r="O818" t="s">
        <v>4950</v>
      </c>
      <c r="P818" t="s">
        <v>4951</v>
      </c>
      <c r="R818">
        <v>14</v>
      </c>
      <c r="S818" t="str">
        <f t="shared" si="36"/>
        <v>Adult</v>
      </c>
      <c r="T818" t="str">
        <f t="shared" si="37"/>
        <v>Medium</v>
      </c>
      <c r="U818" t="str">
        <f t="shared" si="38"/>
        <v>Short Days</v>
      </c>
    </row>
    <row r="819" spans="1:21">
      <c r="A819" t="s">
        <v>835</v>
      </c>
      <c r="B819" s="5">
        <v>45893</v>
      </c>
      <c r="C819" t="s">
        <v>3065</v>
      </c>
      <c r="D819" t="s">
        <v>4779</v>
      </c>
      <c r="E819" t="s">
        <v>4867</v>
      </c>
      <c r="F819">
        <v>48</v>
      </c>
      <c r="G819" t="s">
        <v>4873</v>
      </c>
      <c r="H819" t="s">
        <v>4888</v>
      </c>
      <c r="I819" t="s">
        <v>4894</v>
      </c>
      <c r="J819" t="s">
        <v>4904</v>
      </c>
      <c r="K819" t="s">
        <v>4925</v>
      </c>
      <c r="L819" t="s">
        <v>4940</v>
      </c>
      <c r="M819" t="s">
        <v>4942</v>
      </c>
      <c r="N819" s="11">
        <v>4231.8500000000004</v>
      </c>
      <c r="O819" t="s">
        <v>4948</v>
      </c>
      <c r="P819" t="s">
        <v>4951</v>
      </c>
      <c r="S819" t="str">
        <f t="shared" si="36"/>
        <v>Middle-Aged</v>
      </c>
      <c r="T819" t="str">
        <f t="shared" si="37"/>
        <v>Low</v>
      </c>
      <c r="U819" t="str">
        <f t="shared" si="38"/>
        <v>Short Days</v>
      </c>
    </row>
    <row r="820" spans="1:21">
      <c r="A820" t="s">
        <v>836</v>
      </c>
      <c r="B820" s="5">
        <v>45347</v>
      </c>
      <c r="C820" t="s">
        <v>3697</v>
      </c>
      <c r="D820" t="s">
        <v>4699</v>
      </c>
      <c r="E820" t="s">
        <v>4867</v>
      </c>
      <c r="F820">
        <v>14</v>
      </c>
      <c r="G820" t="s">
        <v>4883</v>
      </c>
      <c r="H820" t="s">
        <v>4892</v>
      </c>
      <c r="I820" t="s">
        <v>4902</v>
      </c>
      <c r="J820" t="s">
        <v>4916</v>
      </c>
      <c r="K820" t="s">
        <v>4933</v>
      </c>
      <c r="L820" t="s">
        <v>4939</v>
      </c>
      <c r="M820" t="s">
        <v>4943</v>
      </c>
      <c r="N820" s="11">
        <v>8097.78</v>
      </c>
      <c r="O820" t="s">
        <v>4949</v>
      </c>
      <c r="P820" t="s">
        <v>4951</v>
      </c>
      <c r="R820">
        <v>14</v>
      </c>
      <c r="S820" t="str">
        <f t="shared" si="36"/>
        <v>Child</v>
      </c>
      <c r="T820" t="str">
        <f t="shared" si="37"/>
        <v>Medium</v>
      </c>
      <c r="U820" t="str">
        <f t="shared" si="38"/>
        <v>Short Days</v>
      </c>
    </row>
    <row r="821" spans="1:21">
      <c r="A821" t="s">
        <v>837</v>
      </c>
      <c r="B821" s="5">
        <v>45949</v>
      </c>
      <c r="C821" t="s">
        <v>3397</v>
      </c>
      <c r="D821" t="s">
        <v>4715</v>
      </c>
      <c r="E821" t="s">
        <v>4867</v>
      </c>
      <c r="F821">
        <v>0</v>
      </c>
      <c r="G821" t="s">
        <v>4882</v>
      </c>
      <c r="H821" t="s">
        <v>4891</v>
      </c>
      <c r="I821" t="s">
        <v>4895</v>
      </c>
      <c r="J821" t="s">
        <v>4915</v>
      </c>
      <c r="K821" t="s">
        <v>4931</v>
      </c>
      <c r="L821" t="s">
        <v>4934</v>
      </c>
      <c r="M821" t="s">
        <v>4944</v>
      </c>
      <c r="N821" s="11">
        <v>6916.82</v>
      </c>
      <c r="O821" t="s">
        <v>4947</v>
      </c>
      <c r="P821" t="s">
        <v>4951</v>
      </c>
      <c r="R821">
        <v>14</v>
      </c>
      <c r="S821" t="str">
        <f t="shared" si="36"/>
        <v>Child</v>
      </c>
      <c r="T821" t="str">
        <f t="shared" si="37"/>
        <v>Medium</v>
      </c>
      <c r="U821" t="str">
        <f t="shared" si="38"/>
        <v>Short Days</v>
      </c>
    </row>
    <row r="822" spans="1:21">
      <c r="A822" t="s">
        <v>838</v>
      </c>
      <c r="B822" s="5">
        <v>45546</v>
      </c>
      <c r="C822" t="s">
        <v>3698</v>
      </c>
      <c r="D822" t="s">
        <v>4784</v>
      </c>
      <c r="E822" t="s">
        <v>4867</v>
      </c>
      <c r="F822">
        <v>45</v>
      </c>
      <c r="G822" t="s">
        <v>4882</v>
      </c>
      <c r="H822" t="s">
        <v>4891</v>
      </c>
      <c r="I822" t="s">
        <v>4897</v>
      </c>
      <c r="J822" t="s">
        <v>4922</v>
      </c>
      <c r="K822" t="s">
        <v>4932</v>
      </c>
      <c r="L822" t="s">
        <v>4940</v>
      </c>
      <c r="M822" t="s">
        <v>4942</v>
      </c>
      <c r="N822" s="11">
        <v>1773.01</v>
      </c>
      <c r="O822" t="s">
        <v>4947</v>
      </c>
      <c r="P822" t="s">
        <v>4951</v>
      </c>
      <c r="S822" t="str">
        <f t="shared" si="36"/>
        <v>Middle-Aged</v>
      </c>
      <c r="T822" t="str">
        <f t="shared" si="37"/>
        <v>Low</v>
      </c>
      <c r="U822" t="str">
        <f t="shared" si="38"/>
        <v>Short Days</v>
      </c>
    </row>
    <row r="823" spans="1:21">
      <c r="A823" t="s">
        <v>839</v>
      </c>
      <c r="B823" s="5">
        <v>45381</v>
      </c>
      <c r="C823" t="s">
        <v>3699</v>
      </c>
      <c r="D823" t="s">
        <v>4649</v>
      </c>
      <c r="E823" t="s">
        <v>4868</v>
      </c>
      <c r="F823">
        <v>52</v>
      </c>
      <c r="G823" t="s">
        <v>4879</v>
      </c>
      <c r="H823" t="s">
        <v>4888</v>
      </c>
      <c r="I823" t="s">
        <v>4896</v>
      </c>
      <c r="J823" t="s">
        <v>4908</v>
      </c>
      <c r="K823" t="s">
        <v>4932</v>
      </c>
      <c r="L823" t="s">
        <v>4941</v>
      </c>
      <c r="M823" t="s">
        <v>4942</v>
      </c>
      <c r="N823" s="11">
        <v>16999.13</v>
      </c>
      <c r="O823" t="s">
        <v>4950</v>
      </c>
      <c r="P823" t="s">
        <v>4951</v>
      </c>
      <c r="S823" t="str">
        <f t="shared" si="36"/>
        <v>Middle-Aged</v>
      </c>
      <c r="T823" t="str">
        <f t="shared" si="37"/>
        <v>High</v>
      </c>
      <c r="U823" t="str">
        <f t="shared" si="38"/>
        <v>Short Days</v>
      </c>
    </row>
    <row r="824" spans="1:21">
      <c r="A824" t="s">
        <v>840</v>
      </c>
      <c r="B824" s="5">
        <v>45369</v>
      </c>
      <c r="C824" t="s">
        <v>3700</v>
      </c>
      <c r="D824" t="s">
        <v>4708</v>
      </c>
      <c r="E824" t="s">
        <v>4866</v>
      </c>
      <c r="F824">
        <v>36</v>
      </c>
      <c r="G824" t="s">
        <v>4883</v>
      </c>
      <c r="H824" t="s">
        <v>4892</v>
      </c>
      <c r="I824" t="s">
        <v>4894</v>
      </c>
      <c r="J824" t="s">
        <v>4904</v>
      </c>
      <c r="K824" t="s">
        <v>4926</v>
      </c>
      <c r="L824" t="s">
        <v>4936</v>
      </c>
      <c r="M824" t="s">
        <v>4942</v>
      </c>
      <c r="N824" s="11">
        <v>7533.81</v>
      </c>
      <c r="O824" t="s">
        <v>4946</v>
      </c>
      <c r="P824" t="s">
        <v>4951</v>
      </c>
      <c r="R824">
        <v>90</v>
      </c>
      <c r="S824" t="str">
        <f t="shared" si="36"/>
        <v>Adult</v>
      </c>
      <c r="T824" t="str">
        <f t="shared" si="37"/>
        <v>Medium</v>
      </c>
      <c r="U824" t="str">
        <f t="shared" si="38"/>
        <v>Short Days</v>
      </c>
    </row>
    <row r="825" spans="1:21">
      <c r="A825" t="s">
        <v>841</v>
      </c>
      <c r="B825" s="5">
        <v>45634</v>
      </c>
      <c r="C825" t="s">
        <v>3701</v>
      </c>
      <c r="D825" t="s">
        <v>4641</v>
      </c>
      <c r="E825" t="s">
        <v>4867</v>
      </c>
      <c r="F825">
        <v>39</v>
      </c>
      <c r="G825" t="s">
        <v>4877</v>
      </c>
      <c r="H825" t="s">
        <v>4888</v>
      </c>
      <c r="I825" t="s">
        <v>4902</v>
      </c>
      <c r="J825" t="s">
        <v>4920</v>
      </c>
      <c r="K825" t="s">
        <v>4928</v>
      </c>
      <c r="L825" t="s">
        <v>4940</v>
      </c>
      <c r="M825" t="s">
        <v>4942</v>
      </c>
      <c r="N825" s="11">
        <v>661.83</v>
      </c>
      <c r="O825" t="s">
        <v>4949</v>
      </c>
      <c r="P825" t="s">
        <v>4951</v>
      </c>
      <c r="R825">
        <v>14</v>
      </c>
      <c r="S825" t="str">
        <f t="shared" si="36"/>
        <v>Adult</v>
      </c>
      <c r="T825" t="str">
        <f t="shared" si="37"/>
        <v>Low</v>
      </c>
      <c r="U825" t="str">
        <f t="shared" si="38"/>
        <v>Short Days</v>
      </c>
    </row>
    <row r="826" spans="1:21">
      <c r="A826" t="s">
        <v>842</v>
      </c>
      <c r="B826" s="5">
        <v>45922</v>
      </c>
      <c r="C826" t="s">
        <v>3433</v>
      </c>
      <c r="D826" t="s">
        <v>4721</v>
      </c>
      <c r="E826" t="s">
        <v>4867</v>
      </c>
      <c r="F826">
        <v>36</v>
      </c>
      <c r="G826" t="s">
        <v>4879</v>
      </c>
      <c r="H826" t="s">
        <v>4888</v>
      </c>
      <c r="I826" t="s">
        <v>4893</v>
      </c>
      <c r="J826" t="s">
        <v>4903</v>
      </c>
      <c r="K826" t="s">
        <v>4933</v>
      </c>
      <c r="L826" t="s">
        <v>4941</v>
      </c>
      <c r="M826" t="s">
        <v>4944</v>
      </c>
      <c r="N826" s="11">
        <v>8563.5400000000009</v>
      </c>
      <c r="O826" t="s">
        <v>4947</v>
      </c>
      <c r="P826" t="s">
        <v>4951</v>
      </c>
      <c r="S826" t="str">
        <f t="shared" si="36"/>
        <v>Adult</v>
      </c>
      <c r="T826" t="str">
        <f t="shared" si="37"/>
        <v>Medium</v>
      </c>
      <c r="U826" t="str">
        <f t="shared" si="38"/>
        <v>Short Days</v>
      </c>
    </row>
    <row r="827" spans="1:21">
      <c r="A827" t="s">
        <v>843</v>
      </c>
      <c r="B827" s="5">
        <v>45537</v>
      </c>
      <c r="C827" t="s">
        <v>3148</v>
      </c>
      <c r="D827" t="s">
        <v>4718</v>
      </c>
      <c r="E827" t="s">
        <v>4866</v>
      </c>
      <c r="F827">
        <v>35</v>
      </c>
      <c r="G827" t="s">
        <v>4879</v>
      </c>
      <c r="H827" t="s">
        <v>4888</v>
      </c>
      <c r="I827" t="s">
        <v>4902</v>
      </c>
      <c r="J827" t="s">
        <v>4916</v>
      </c>
      <c r="K827" t="s">
        <v>4933</v>
      </c>
      <c r="L827" t="s">
        <v>4937</v>
      </c>
      <c r="M827" t="s">
        <v>4942</v>
      </c>
      <c r="N827" s="11">
        <v>3484.14</v>
      </c>
      <c r="O827" t="s">
        <v>4947</v>
      </c>
      <c r="P827" t="s">
        <v>4951</v>
      </c>
      <c r="R827">
        <v>90</v>
      </c>
      <c r="S827" t="str">
        <f t="shared" si="36"/>
        <v>Adult</v>
      </c>
      <c r="T827" t="str">
        <f t="shared" si="37"/>
        <v>Low</v>
      </c>
      <c r="U827" t="str">
        <f t="shared" si="38"/>
        <v>Short Days</v>
      </c>
    </row>
    <row r="828" spans="1:21">
      <c r="A828" t="s">
        <v>844</v>
      </c>
      <c r="B828" s="5">
        <v>45738</v>
      </c>
      <c r="C828" t="s">
        <v>3702</v>
      </c>
      <c r="D828" t="s">
        <v>4707</v>
      </c>
      <c r="E828" t="s">
        <v>4867</v>
      </c>
      <c r="F828">
        <v>29</v>
      </c>
      <c r="G828" t="s">
        <v>4872</v>
      </c>
      <c r="H828" t="s">
        <v>4887</v>
      </c>
      <c r="I828" t="s">
        <v>4894</v>
      </c>
      <c r="J828" t="s">
        <v>4910</v>
      </c>
      <c r="K828" t="s">
        <v>4924</v>
      </c>
      <c r="L828" t="s">
        <v>4935</v>
      </c>
      <c r="M828" t="s">
        <v>4942</v>
      </c>
      <c r="N828" s="11">
        <v>3614.32</v>
      </c>
      <c r="O828" t="s">
        <v>15</v>
      </c>
      <c r="P828" t="s">
        <v>4952</v>
      </c>
      <c r="R828">
        <v>14</v>
      </c>
      <c r="S828" t="str">
        <f t="shared" si="36"/>
        <v>Adult</v>
      </c>
      <c r="T828" t="str">
        <f t="shared" si="37"/>
        <v>Low</v>
      </c>
      <c r="U828" t="str">
        <f t="shared" si="38"/>
        <v>Short Days</v>
      </c>
    </row>
    <row r="829" spans="1:21">
      <c r="A829" t="s">
        <v>845</v>
      </c>
      <c r="B829" s="5">
        <v>45965</v>
      </c>
      <c r="C829" t="s">
        <v>3703</v>
      </c>
      <c r="D829" t="s">
        <v>4838</v>
      </c>
      <c r="E829" t="s">
        <v>4867</v>
      </c>
      <c r="F829">
        <v>16</v>
      </c>
      <c r="G829" t="s">
        <v>4873</v>
      </c>
      <c r="H829" t="s">
        <v>4888</v>
      </c>
      <c r="I829" t="s">
        <v>4901</v>
      </c>
      <c r="J829" t="s">
        <v>4921</v>
      </c>
      <c r="K829" t="s">
        <v>4931</v>
      </c>
      <c r="L829" t="s">
        <v>4939</v>
      </c>
      <c r="M829" t="s">
        <v>4942</v>
      </c>
      <c r="N829" s="11">
        <v>1080.9000000000001</v>
      </c>
      <c r="O829" t="s">
        <v>4948</v>
      </c>
      <c r="P829" t="s">
        <v>4951</v>
      </c>
      <c r="R829">
        <v>7</v>
      </c>
      <c r="S829" t="str">
        <f t="shared" si="36"/>
        <v>Child</v>
      </c>
      <c r="T829" t="str">
        <f t="shared" si="37"/>
        <v>Low</v>
      </c>
      <c r="U829" t="str">
        <f t="shared" si="38"/>
        <v>Short Days</v>
      </c>
    </row>
    <row r="830" spans="1:21">
      <c r="A830" t="s">
        <v>846</v>
      </c>
      <c r="B830" s="5">
        <v>45409</v>
      </c>
      <c r="C830" t="s">
        <v>3704</v>
      </c>
      <c r="D830" t="s">
        <v>4679</v>
      </c>
      <c r="E830" t="s">
        <v>4866</v>
      </c>
      <c r="F830">
        <v>81</v>
      </c>
      <c r="G830" t="s">
        <v>4876</v>
      </c>
      <c r="H830" t="s">
        <v>4888</v>
      </c>
      <c r="I830" t="s">
        <v>4897</v>
      </c>
      <c r="J830" t="s">
        <v>4907</v>
      </c>
      <c r="K830" t="s">
        <v>4927</v>
      </c>
      <c r="L830" t="s">
        <v>4937</v>
      </c>
      <c r="M830" t="s">
        <v>4944</v>
      </c>
      <c r="N830" s="11">
        <v>10017.56</v>
      </c>
      <c r="O830" t="s">
        <v>15</v>
      </c>
      <c r="P830" t="s">
        <v>4952</v>
      </c>
      <c r="S830" t="str">
        <f t="shared" si="36"/>
        <v>Senior</v>
      </c>
      <c r="T830" t="str">
        <f t="shared" si="37"/>
        <v>High</v>
      </c>
      <c r="U830" t="str">
        <f t="shared" si="38"/>
        <v>Short Days</v>
      </c>
    </row>
    <row r="831" spans="1:21">
      <c r="A831" t="s">
        <v>847</v>
      </c>
      <c r="B831" s="5">
        <v>45623</v>
      </c>
      <c r="C831" t="s">
        <v>3705</v>
      </c>
      <c r="D831" t="s">
        <v>4808</v>
      </c>
      <c r="E831" t="s">
        <v>4867</v>
      </c>
      <c r="F831">
        <v>10</v>
      </c>
      <c r="G831" t="s">
        <v>4881</v>
      </c>
      <c r="H831" t="s">
        <v>4881</v>
      </c>
      <c r="I831" t="s">
        <v>4896</v>
      </c>
      <c r="J831" t="s">
        <v>4906</v>
      </c>
      <c r="K831" t="s">
        <v>4928</v>
      </c>
      <c r="L831" t="s">
        <v>4939</v>
      </c>
      <c r="M831" t="s">
        <v>4943</v>
      </c>
      <c r="N831" s="11">
        <v>7719.28</v>
      </c>
      <c r="O831" t="s">
        <v>4947</v>
      </c>
      <c r="P831" t="s">
        <v>4951</v>
      </c>
      <c r="R831">
        <v>7</v>
      </c>
      <c r="S831" t="str">
        <f t="shared" si="36"/>
        <v>Child</v>
      </c>
      <c r="T831" t="str">
        <f t="shared" si="37"/>
        <v>Medium</v>
      </c>
      <c r="U831" t="str">
        <f t="shared" si="38"/>
        <v>Short Days</v>
      </c>
    </row>
    <row r="832" spans="1:21">
      <c r="A832" t="s">
        <v>848</v>
      </c>
      <c r="B832" s="5">
        <v>45634</v>
      </c>
      <c r="C832" t="s">
        <v>3244</v>
      </c>
      <c r="D832" t="s">
        <v>4683</v>
      </c>
      <c r="E832" t="s">
        <v>4867</v>
      </c>
      <c r="F832">
        <v>58</v>
      </c>
      <c r="G832" t="s">
        <v>4876</v>
      </c>
      <c r="H832" t="s">
        <v>4888</v>
      </c>
      <c r="I832" t="s">
        <v>4895</v>
      </c>
      <c r="J832" t="s">
        <v>4915</v>
      </c>
      <c r="K832" t="s">
        <v>4931</v>
      </c>
      <c r="L832" t="s">
        <v>4937</v>
      </c>
      <c r="M832" t="s">
        <v>4943</v>
      </c>
      <c r="N832" s="11">
        <v>7423.56</v>
      </c>
      <c r="O832" t="s">
        <v>15</v>
      </c>
      <c r="P832" t="s">
        <v>4952</v>
      </c>
      <c r="R832">
        <v>7</v>
      </c>
      <c r="S832" t="str">
        <f t="shared" si="36"/>
        <v>Middle-Aged</v>
      </c>
      <c r="T832" t="str">
        <f t="shared" si="37"/>
        <v>Medium</v>
      </c>
      <c r="U832" t="str">
        <f t="shared" si="38"/>
        <v>Short Days</v>
      </c>
    </row>
    <row r="833" spans="1:21">
      <c r="A833" t="s">
        <v>849</v>
      </c>
      <c r="B833" s="5">
        <v>45876</v>
      </c>
      <c r="C833" t="s">
        <v>3048</v>
      </c>
      <c r="D833" t="s">
        <v>4800</v>
      </c>
      <c r="E833" t="s">
        <v>4866</v>
      </c>
      <c r="F833">
        <v>40</v>
      </c>
      <c r="G833" t="s">
        <v>4871</v>
      </c>
      <c r="H833" t="s">
        <v>4886</v>
      </c>
      <c r="I833" t="s">
        <v>4894</v>
      </c>
      <c r="J833" t="s">
        <v>4904</v>
      </c>
      <c r="K833" t="s">
        <v>4931</v>
      </c>
      <c r="L833" t="s">
        <v>4941</v>
      </c>
      <c r="M833" t="s">
        <v>4944</v>
      </c>
      <c r="N833" s="11">
        <v>6118.59</v>
      </c>
      <c r="O833" t="s">
        <v>4946</v>
      </c>
      <c r="P833" t="s">
        <v>4951</v>
      </c>
      <c r="R833">
        <v>7</v>
      </c>
      <c r="S833" t="str">
        <f t="shared" si="36"/>
        <v>Adult</v>
      </c>
      <c r="T833" t="str">
        <f t="shared" si="37"/>
        <v>Medium</v>
      </c>
      <c r="U833" t="str">
        <f t="shared" si="38"/>
        <v>Short Days</v>
      </c>
    </row>
    <row r="834" spans="1:21">
      <c r="A834" t="s">
        <v>850</v>
      </c>
      <c r="B834" s="5">
        <v>45408</v>
      </c>
      <c r="C834" t="s">
        <v>3352</v>
      </c>
      <c r="D834" t="s">
        <v>4648</v>
      </c>
      <c r="E834" t="s">
        <v>4866</v>
      </c>
      <c r="F834">
        <v>37</v>
      </c>
      <c r="G834" t="s">
        <v>4882</v>
      </c>
      <c r="H834" t="s">
        <v>4891</v>
      </c>
      <c r="I834" t="s">
        <v>4897</v>
      </c>
      <c r="J834" t="s">
        <v>4907</v>
      </c>
      <c r="K834" t="s">
        <v>4926</v>
      </c>
      <c r="L834" t="s">
        <v>4935</v>
      </c>
      <c r="M834" t="s">
        <v>4942</v>
      </c>
      <c r="N834" s="11">
        <v>1298.1099999999999</v>
      </c>
      <c r="O834" t="s">
        <v>4946</v>
      </c>
      <c r="P834" t="s">
        <v>4951</v>
      </c>
      <c r="S834" t="str">
        <f t="shared" si="36"/>
        <v>Adult</v>
      </c>
      <c r="T834" t="str">
        <f t="shared" si="37"/>
        <v>Low</v>
      </c>
      <c r="U834" t="str">
        <f t="shared" si="38"/>
        <v>Short Days</v>
      </c>
    </row>
    <row r="835" spans="1:21">
      <c r="A835" t="s">
        <v>851</v>
      </c>
      <c r="B835" s="5">
        <v>45766</v>
      </c>
      <c r="C835" t="s">
        <v>3706</v>
      </c>
      <c r="D835" t="s">
        <v>4721</v>
      </c>
      <c r="E835" t="s">
        <v>4866</v>
      </c>
      <c r="F835">
        <v>36</v>
      </c>
      <c r="G835" t="s">
        <v>4882</v>
      </c>
      <c r="H835" t="s">
        <v>4891</v>
      </c>
      <c r="I835" t="s">
        <v>4896</v>
      </c>
      <c r="J835" t="s">
        <v>4906</v>
      </c>
      <c r="K835" t="s">
        <v>4925</v>
      </c>
      <c r="L835" t="s">
        <v>4936</v>
      </c>
      <c r="M835" t="s">
        <v>4944</v>
      </c>
      <c r="N835" s="11">
        <v>18279.45</v>
      </c>
      <c r="O835" t="s">
        <v>4947</v>
      </c>
      <c r="P835" t="s">
        <v>4951</v>
      </c>
      <c r="S835" t="str">
        <f t="shared" ref="S835:S898" si="39">IF(F835&lt;18,"Child",IF(F835&lt;=40,"Adult",IF(F835&lt;=60,"Middle-Aged",IF(F835,"Senior"))))</f>
        <v>Adult</v>
      </c>
      <c r="T835" t="str">
        <f t="shared" ref="T835:T898" si="40">IF(N835&lt;=5000,"Low",IF(N835&lt;=10000,"Medium","High"))</f>
        <v>High</v>
      </c>
      <c r="U835" t="str">
        <f t="shared" ref="U835:U898" si="41">IF(Q835&lt;=5,"Short Days","Long Days")</f>
        <v>Short Days</v>
      </c>
    </row>
    <row r="836" spans="1:21">
      <c r="A836" t="s">
        <v>852</v>
      </c>
      <c r="B836" s="5">
        <v>45864</v>
      </c>
      <c r="C836" t="s">
        <v>3707</v>
      </c>
      <c r="D836" t="s">
        <v>4846</v>
      </c>
      <c r="E836" t="s">
        <v>4866</v>
      </c>
      <c r="F836">
        <v>53</v>
      </c>
      <c r="G836" t="s">
        <v>4881</v>
      </c>
      <c r="H836" t="s">
        <v>4881</v>
      </c>
      <c r="I836" t="s">
        <v>4900</v>
      </c>
      <c r="J836" t="s">
        <v>4919</v>
      </c>
      <c r="K836" t="s">
        <v>4928</v>
      </c>
      <c r="L836" t="s">
        <v>4934</v>
      </c>
      <c r="M836" t="s">
        <v>4942</v>
      </c>
      <c r="N836" s="11">
        <v>734.71</v>
      </c>
      <c r="O836" t="s">
        <v>15</v>
      </c>
      <c r="P836" t="s">
        <v>4952</v>
      </c>
      <c r="R836">
        <v>30</v>
      </c>
      <c r="S836" t="str">
        <f t="shared" si="39"/>
        <v>Middle-Aged</v>
      </c>
      <c r="T836" t="str">
        <f t="shared" si="40"/>
        <v>Low</v>
      </c>
      <c r="U836" t="str">
        <f t="shared" si="41"/>
        <v>Short Days</v>
      </c>
    </row>
    <row r="837" spans="1:21">
      <c r="A837" t="s">
        <v>853</v>
      </c>
      <c r="B837" s="5">
        <v>45712</v>
      </c>
      <c r="C837" t="s">
        <v>3708</v>
      </c>
      <c r="D837" t="s">
        <v>4607</v>
      </c>
      <c r="E837" t="s">
        <v>4867</v>
      </c>
      <c r="F837">
        <v>41</v>
      </c>
      <c r="G837" t="s">
        <v>4880</v>
      </c>
      <c r="H837" t="s">
        <v>4890</v>
      </c>
      <c r="I837" t="s">
        <v>4896</v>
      </c>
      <c r="J837" t="s">
        <v>4908</v>
      </c>
      <c r="K837" t="s">
        <v>4926</v>
      </c>
      <c r="L837" t="s">
        <v>4941</v>
      </c>
      <c r="M837" t="s">
        <v>4944</v>
      </c>
      <c r="N837" s="11">
        <v>9062.44</v>
      </c>
      <c r="O837" t="s">
        <v>4946</v>
      </c>
      <c r="P837" t="s">
        <v>4951</v>
      </c>
      <c r="S837" t="str">
        <f t="shared" si="39"/>
        <v>Middle-Aged</v>
      </c>
      <c r="T837" t="str">
        <f t="shared" si="40"/>
        <v>Medium</v>
      </c>
      <c r="U837" t="str">
        <f t="shared" si="41"/>
        <v>Short Days</v>
      </c>
    </row>
    <row r="838" spans="1:21">
      <c r="A838" t="s">
        <v>854</v>
      </c>
      <c r="B838" s="5">
        <v>45741</v>
      </c>
      <c r="C838" t="s">
        <v>3709</v>
      </c>
      <c r="D838" t="s">
        <v>4825</v>
      </c>
      <c r="E838" t="s">
        <v>4867</v>
      </c>
      <c r="F838">
        <v>48</v>
      </c>
      <c r="G838" t="s">
        <v>4883</v>
      </c>
      <c r="H838" t="s">
        <v>4892</v>
      </c>
      <c r="I838" t="s">
        <v>4902</v>
      </c>
      <c r="J838" t="s">
        <v>4920</v>
      </c>
      <c r="K838" t="s">
        <v>4927</v>
      </c>
      <c r="L838" t="s">
        <v>4938</v>
      </c>
      <c r="M838" t="s">
        <v>4942</v>
      </c>
      <c r="N838" s="11">
        <v>6663.57</v>
      </c>
      <c r="O838" t="s">
        <v>15</v>
      </c>
      <c r="P838" t="s">
        <v>4952</v>
      </c>
      <c r="R838">
        <v>30</v>
      </c>
      <c r="S838" t="str">
        <f t="shared" si="39"/>
        <v>Middle-Aged</v>
      </c>
      <c r="T838" t="str">
        <f t="shared" si="40"/>
        <v>Medium</v>
      </c>
      <c r="U838" t="str">
        <f t="shared" si="41"/>
        <v>Short Days</v>
      </c>
    </row>
    <row r="839" spans="1:21">
      <c r="A839" t="s">
        <v>855</v>
      </c>
      <c r="B839" s="5">
        <v>45551</v>
      </c>
      <c r="C839" t="s">
        <v>3710</v>
      </c>
      <c r="D839" t="s">
        <v>4636</v>
      </c>
      <c r="E839" t="s">
        <v>4867</v>
      </c>
      <c r="F839">
        <v>41</v>
      </c>
      <c r="G839" t="s">
        <v>4883</v>
      </c>
      <c r="H839" t="s">
        <v>4892</v>
      </c>
      <c r="I839" t="s">
        <v>4901</v>
      </c>
      <c r="J839" t="s">
        <v>4914</v>
      </c>
      <c r="K839" t="s">
        <v>4927</v>
      </c>
      <c r="L839" t="s">
        <v>4936</v>
      </c>
      <c r="M839" t="s">
        <v>4942</v>
      </c>
      <c r="N839" s="11">
        <v>941.37</v>
      </c>
      <c r="O839" t="s">
        <v>15</v>
      </c>
      <c r="P839" t="s">
        <v>4952</v>
      </c>
      <c r="R839">
        <v>7</v>
      </c>
      <c r="S839" t="str">
        <f t="shared" si="39"/>
        <v>Middle-Aged</v>
      </c>
      <c r="T839" t="str">
        <f t="shared" si="40"/>
        <v>Low</v>
      </c>
      <c r="U839" t="str">
        <f t="shared" si="41"/>
        <v>Short Days</v>
      </c>
    </row>
    <row r="840" spans="1:21">
      <c r="A840" t="s">
        <v>856</v>
      </c>
      <c r="B840" s="5">
        <v>45949</v>
      </c>
      <c r="C840" t="s">
        <v>3711</v>
      </c>
      <c r="D840" t="s">
        <v>4634</v>
      </c>
      <c r="E840" t="s">
        <v>4866</v>
      </c>
      <c r="F840">
        <v>44</v>
      </c>
      <c r="G840" t="s">
        <v>4873</v>
      </c>
      <c r="H840" t="s">
        <v>4888</v>
      </c>
      <c r="I840" t="s">
        <v>4894</v>
      </c>
      <c r="J840" t="s">
        <v>4910</v>
      </c>
      <c r="K840" t="s">
        <v>4931</v>
      </c>
      <c r="L840" t="s">
        <v>4935</v>
      </c>
      <c r="M840" t="s">
        <v>4944</v>
      </c>
      <c r="N840" s="11">
        <v>6430.63</v>
      </c>
      <c r="O840" t="s">
        <v>4946</v>
      </c>
      <c r="P840" t="s">
        <v>4951</v>
      </c>
      <c r="R840">
        <v>7</v>
      </c>
      <c r="S840" t="str">
        <f t="shared" si="39"/>
        <v>Middle-Aged</v>
      </c>
      <c r="T840" t="str">
        <f t="shared" si="40"/>
        <v>Medium</v>
      </c>
      <c r="U840" t="str">
        <f t="shared" si="41"/>
        <v>Short Days</v>
      </c>
    </row>
    <row r="841" spans="1:21">
      <c r="A841" t="s">
        <v>857</v>
      </c>
      <c r="B841" s="5">
        <v>45935</v>
      </c>
      <c r="C841" t="s">
        <v>3339</v>
      </c>
      <c r="D841" t="s">
        <v>4760</v>
      </c>
      <c r="E841" t="s">
        <v>4866</v>
      </c>
      <c r="F841">
        <v>22</v>
      </c>
      <c r="G841" t="s">
        <v>4874</v>
      </c>
      <c r="H841" t="s">
        <v>4886</v>
      </c>
      <c r="I841" t="s">
        <v>4898</v>
      </c>
      <c r="J841" t="s">
        <v>4923</v>
      </c>
      <c r="K841" t="s">
        <v>4932</v>
      </c>
      <c r="L841" t="s">
        <v>4936</v>
      </c>
      <c r="M841" t="s">
        <v>4942</v>
      </c>
      <c r="N841" s="11">
        <v>3500.63</v>
      </c>
      <c r="O841" t="s">
        <v>4950</v>
      </c>
      <c r="P841" t="s">
        <v>4951</v>
      </c>
      <c r="R841">
        <v>30</v>
      </c>
      <c r="S841" t="str">
        <f t="shared" si="39"/>
        <v>Adult</v>
      </c>
      <c r="T841" t="str">
        <f t="shared" si="40"/>
        <v>Low</v>
      </c>
      <c r="U841" t="str">
        <f t="shared" si="41"/>
        <v>Short Days</v>
      </c>
    </row>
    <row r="842" spans="1:21">
      <c r="A842" t="s">
        <v>858</v>
      </c>
      <c r="B842" s="5">
        <v>45313</v>
      </c>
      <c r="C842" t="s">
        <v>3446</v>
      </c>
      <c r="D842" t="s">
        <v>4794</v>
      </c>
      <c r="E842" t="s">
        <v>4867</v>
      </c>
      <c r="F842">
        <v>23</v>
      </c>
      <c r="G842" t="s">
        <v>4883</v>
      </c>
      <c r="H842" t="s">
        <v>4892</v>
      </c>
      <c r="I842" t="s">
        <v>4895</v>
      </c>
      <c r="J842" t="s">
        <v>4905</v>
      </c>
      <c r="K842" t="s">
        <v>4932</v>
      </c>
      <c r="L842" t="s">
        <v>4935</v>
      </c>
      <c r="M842" t="s">
        <v>4942</v>
      </c>
      <c r="N842" s="11">
        <v>2918.3</v>
      </c>
      <c r="O842" t="s">
        <v>15</v>
      </c>
      <c r="P842" t="s">
        <v>4952</v>
      </c>
      <c r="S842" t="str">
        <f t="shared" si="39"/>
        <v>Adult</v>
      </c>
      <c r="T842" t="str">
        <f t="shared" si="40"/>
        <v>Low</v>
      </c>
      <c r="U842" t="str">
        <f t="shared" si="41"/>
        <v>Short Days</v>
      </c>
    </row>
    <row r="843" spans="1:21">
      <c r="A843" t="s">
        <v>859</v>
      </c>
      <c r="B843" s="5">
        <v>45305</v>
      </c>
      <c r="C843" t="s">
        <v>3387</v>
      </c>
      <c r="D843" t="s">
        <v>4827</v>
      </c>
      <c r="E843" t="s">
        <v>4866</v>
      </c>
      <c r="F843">
        <v>38</v>
      </c>
      <c r="G843" t="s">
        <v>4876</v>
      </c>
      <c r="H843" t="s">
        <v>4888</v>
      </c>
      <c r="I843" t="s">
        <v>4901</v>
      </c>
      <c r="J843" t="s">
        <v>4914</v>
      </c>
      <c r="K843" t="s">
        <v>4930</v>
      </c>
      <c r="L843" t="s">
        <v>4938</v>
      </c>
      <c r="M843" t="s">
        <v>4942</v>
      </c>
      <c r="N843" s="11">
        <v>2361.77</v>
      </c>
      <c r="O843" t="s">
        <v>4946</v>
      </c>
      <c r="P843" t="s">
        <v>4951</v>
      </c>
      <c r="R843">
        <v>7</v>
      </c>
      <c r="S843" t="str">
        <f t="shared" si="39"/>
        <v>Adult</v>
      </c>
      <c r="T843" t="str">
        <f t="shared" si="40"/>
        <v>Low</v>
      </c>
      <c r="U843" t="str">
        <f t="shared" si="41"/>
        <v>Short Days</v>
      </c>
    </row>
    <row r="844" spans="1:21">
      <c r="A844" t="s">
        <v>860</v>
      </c>
      <c r="B844" s="5">
        <v>45575</v>
      </c>
      <c r="C844" t="s">
        <v>3712</v>
      </c>
      <c r="D844" t="s">
        <v>4728</v>
      </c>
      <c r="E844" t="s">
        <v>4867</v>
      </c>
      <c r="F844">
        <v>33</v>
      </c>
      <c r="G844" t="s">
        <v>4881</v>
      </c>
      <c r="H844" t="s">
        <v>4881</v>
      </c>
      <c r="I844" t="s">
        <v>4899</v>
      </c>
      <c r="J844" t="s">
        <v>4911</v>
      </c>
      <c r="K844" t="s">
        <v>4928</v>
      </c>
      <c r="L844" t="s">
        <v>4934</v>
      </c>
      <c r="M844" t="s">
        <v>4942</v>
      </c>
      <c r="N844" s="11">
        <v>248.77</v>
      </c>
      <c r="O844" t="s">
        <v>4949</v>
      </c>
      <c r="P844" t="s">
        <v>4951</v>
      </c>
      <c r="R844">
        <v>14</v>
      </c>
      <c r="S844" t="str">
        <f t="shared" si="39"/>
        <v>Adult</v>
      </c>
      <c r="T844" t="str">
        <f t="shared" si="40"/>
        <v>Low</v>
      </c>
      <c r="U844" t="str">
        <f t="shared" si="41"/>
        <v>Short Days</v>
      </c>
    </row>
    <row r="845" spans="1:21">
      <c r="A845" t="s">
        <v>861</v>
      </c>
      <c r="B845" s="5">
        <v>45491</v>
      </c>
      <c r="C845" t="s">
        <v>3713</v>
      </c>
      <c r="D845" t="s">
        <v>4812</v>
      </c>
      <c r="E845" t="s">
        <v>4866</v>
      </c>
      <c r="F845">
        <v>42</v>
      </c>
      <c r="G845" t="s">
        <v>4876</v>
      </c>
      <c r="H845" t="s">
        <v>4888</v>
      </c>
      <c r="I845" t="s">
        <v>4896</v>
      </c>
      <c r="J845" t="s">
        <v>4906</v>
      </c>
      <c r="K845" t="s">
        <v>4932</v>
      </c>
      <c r="L845" t="s">
        <v>4936</v>
      </c>
      <c r="M845" t="s">
        <v>4942</v>
      </c>
      <c r="N845" s="11">
        <v>11226.84</v>
      </c>
      <c r="O845" t="s">
        <v>4949</v>
      </c>
      <c r="P845" t="s">
        <v>4951</v>
      </c>
      <c r="R845">
        <v>14</v>
      </c>
      <c r="S845" t="str">
        <f t="shared" si="39"/>
        <v>Middle-Aged</v>
      </c>
      <c r="T845" t="str">
        <f t="shared" si="40"/>
        <v>High</v>
      </c>
      <c r="U845" t="str">
        <f t="shared" si="41"/>
        <v>Short Days</v>
      </c>
    </row>
    <row r="846" spans="1:21">
      <c r="A846" t="s">
        <v>862</v>
      </c>
      <c r="B846" s="5">
        <v>45659</v>
      </c>
      <c r="C846" t="s">
        <v>3714</v>
      </c>
      <c r="D846" t="s">
        <v>4746</v>
      </c>
      <c r="E846" t="s">
        <v>4867</v>
      </c>
      <c r="F846">
        <v>43</v>
      </c>
      <c r="G846" t="s">
        <v>4875</v>
      </c>
      <c r="H846" t="s">
        <v>4889</v>
      </c>
      <c r="I846" t="s">
        <v>4894</v>
      </c>
      <c r="J846" t="s">
        <v>4904</v>
      </c>
      <c r="K846" t="s">
        <v>4928</v>
      </c>
      <c r="L846" t="s">
        <v>4939</v>
      </c>
      <c r="M846" t="s">
        <v>4942</v>
      </c>
      <c r="N846" s="11">
        <v>9948.1</v>
      </c>
      <c r="O846" t="s">
        <v>4948</v>
      </c>
      <c r="P846" t="s">
        <v>4951</v>
      </c>
      <c r="R846">
        <v>14</v>
      </c>
      <c r="S846" t="str">
        <f t="shared" si="39"/>
        <v>Middle-Aged</v>
      </c>
      <c r="T846" t="str">
        <f t="shared" si="40"/>
        <v>Medium</v>
      </c>
      <c r="U846" t="str">
        <f t="shared" si="41"/>
        <v>Short Days</v>
      </c>
    </row>
    <row r="847" spans="1:21">
      <c r="A847" t="s">
        <v>863</v>
      </c>
      <c r="B847" s="5">
        <v>45318</v>
      </c>
      <c r="C847" t="s">
        <v>3715</v>
      </c>
      <c r="D847" t="s">
        <v>4593</v>
      </c>
      <c r="E847" t="s">
        <v>4867</v>
      </c>
      <c r="F847">
        <v>65</v>
      </c>
      <c r="G847" t="s">
        <v>4878</v>
      </c>
      <c r="H847" t="s">
        <v>4889</v>
      </c>
      <c r="I847" t="s">
        <v>4902</v>
      </c>
      <c r="J847" t="s">
        <v>4916</v>
      </c>
      <c r="K847" t="s">
        <v>4932</v>
      </c>
      <c r="L847" t="s">
        <v>4939</v>
      </c>
      <c r="M847" t="s">
        <v>4942</v>
      </c>
      <c r="N847" s="11">
        <v>1639.34</v>
      </c>
      <c r="O847" t="s">
        <v>4946</v>
      </c>
      <c r="P847" t="s">
        <v>4951</v>
      </c>
      <c r="S847" t="str">
        <f t="shared" si="39"/>
        <v>Senior</v>
      </c>
      <c r="T847" t="str">
        <f t="shared" si="40"/>
        <v>Low</v>
      </c>
      <c r="U847" t="str">
        <f t="shared" si="41"/>
        <v>Short Days</v>
      </c>
    </row>
    <row r="848" spans="1:21">
      <c r="A848" t="s">
        <v>864</v>
      </c>
      <c r="B848" s="5">
        <v>45801</v>
      </c>
      <c r="C848" t="s">
        <v>3716</v>
      </c>
      <c r="D848" t="s">
        <v>4642</v>
      </c>
      <c r="E848" t="s">
        <v>4868</v>
      </c>
      <c r="F848">
        <v>44</v>
      </c>
      <c r="G848" t="s">
        <v>4875</v>
      </c>
      <c r="H848" t="s">
        <v>4889</v>
      </c>
      <c r="I848" t="s">
        <v>4898</v>
      </c>
      <c r="J848" t="s">
        <v>4909</v>
      </c>
      <c r="K848" t="s">
        <v>4926</v>
      </c>
      <c r="L848" t="s">
        <v>4936</v>
      </c>
      <c r="M848" t="s">
        <v>4942</v>
      </c>
      <c r="N848" s="11">
        <v>2136.4</v>
      </c>
      <c r="O848" t="s">
        <v>15</v>
      </c>
      <c r="P848" t="s">
        <v>4952</v>
      </c>
      <c r="R848">
        <v>14</v>
      </c>
      <c r="S848" t="str">
        <f t="shared" si="39"/>
        <v>Middle-Aged</v>
      </c>
      <c r="T848" t="str">
        <f t="shared" si="40"/>
        <v>Low</v>
      </c>
      <c r="U848" t="str">
        <f t="shared" si="41"/>
        <v>Short Days</v>
      </c>
    </row>
    <row r="849" spans="1:21">
      <c r="A849" t="s">
        <v>865</v>
      </c>
      <c r="B849" s="5">
        <v>45751</v>
      </c>
      <c r="C849" t="s">
        <v>3717</v>
      </c>
      <c r="D849" t="s">
        <v>4810</v>
      </c>
      <c r="E849" t="s">
        <v>4867</v>
      </c>
      <c r="F849">
        <v>22</v>
      </c>
      <c r="G849" t="s">
        <v>4880</v>
      </c>
      <c r="H849" t="s">
        <v>4890</v>
      </c>
      <c r="I849" t="s">
        <v>4898</v>
      </c>
      <c r="J849" t="s">
        <v>4918</v>
      </c>
      <c r="K849" t="s">
        <v>4928</v>
      </c>
      <c r="L849" t="s">
        <v>4939</v>
      </c>
      <c r="M849" t="s">
        <v>4942</v>
      </c>
      <c r="N849" s="11">
        <v>2194.69</v>
      </c>
      <c r="O849" t="s">
        <v>4949</v>
      </c>
      <c r="P849" t="s">
        <v>4951</v>
      </c>
      <c r="R849">
        <v>7</v>
      </c>
      <c r="S849" t="str">
        <f t="shared" si="39"/>
        <v>Adult</v>
      </c>
      <c r="T849" t="str">
        <f t="shared" si="40"/>
        <v>Low</v>
      </c>
      <c r="U849" t="str">
        <f t="shared" si="41"/>
        <v>Short Days</v>
      </c>
    </row>
    <row r="850" spans="1:21">
      <c r="A850" t="s">
        <v>866</v>
      </c>
      <c r="B850" s="5">
        <v>45541</v>
      </c>
      <c r="C850" t="s">
        <v>3718</v>
      </c>
      <c r="D850" t="s">
        <v>4697</v>
      </c>
      <c r="E850" t="s">
        <v>4867</v>
      </c>
      <c r="F850">
        <v>47</v>
      </c>
      <c r="G850" t="s">
        <v>4877</v>
      </c>
      <c r="H850" t="s">
        <v>4888</v>
      </c>
      <c r="I850" t="s">
        <v>4894</v>
      </c>
      <c r="J850" t="s">
        <v>4910</v>
      </c>
      <c r="K850" t="s">
        <v>4930</v>
      </c>
      <c r="L850" t="s">
        <v>4935</v>
      </c>
      <c r="M850" t="s">
        <v>4945</v>
      </c>
      <c r="N850" s="11">
        <v>5477.36</v>
      </c>
      <c r="O850" t="s">
        <v>4946</v>
      </c>
      <c r="P850" t="s">
        <v>4951</v>
      </c>
      <c r="Q850">
        <v>7</v>
      </c>
      <c r="R850">
        <v>7</v>
      </c>
      <c r="S850" t="str">
        <f t="shared" si="39"/>
        <v>Middle-Aged</v>
      </c>
      <c r="T850" t="str">
        <f t="shared" si="40"/>
        <v>Medium</v>
      </c>
      <c r="U850" t="str">
        <f t="shared" si="41"/>
        <v>Long Days</v>
      </c>
    </row>
    <row r="851" spans="1:21">
      <c r="A851" t="s">
        <v>867</v>
      </c>
      <c r="B851" s="5">
        <v>45414</v>
      </c>
      <c r="C851" t="s">
        <v>3719</v>
      </c>
      <c r="D851" t="s">
        <v>4854</v>
      </c>
      <c r="E851" t="s">
        <v>4867</v>
      </c>
      <c r="F851">
        <v>13</v>
      </c>
      <c r="G851" t="s">
        <v>4877</v>
      </c>
      <c r="H851" t="s">
        <v>4888</v>
      </c>
      <c r="I851" t="s">
        <v>4896</v>
      </c>
      <c r="J851" t="s">
        <v>4908</v>
      </c>
      <c r="K851" t="s">
        <v>4928</v>
      </c>
      <c r="L851" t="s">
        <v>4935</v>
      </c>
      <c r="M851" t="s">
        <v>4942</v>
      </c>
      <c r="N851" s="11">
        <v>568.26</v>
      </c>
      <c r="O851" t="s">
        <v>4948</v>
      </c>
      <c r="P851" t="s">
        <v>4951</v>
      </c>
      <c r="R851">
        <v>14</v>
      </c>
      <c r="S851" t="str">
        <f t="shared" si="39"/>
        <v>Child</v>
      </c>
      <c r="T851" t="str">
        <f t="shared" si="40"/>
        <v>Low</v>
      </c>
      <c r="U851" t="str">
        <f t="shared" si="41"/>
        <v>Short Days</v>
      </c>
    </row>
    <row r="852" spans="1:21">
      <c r="A852" t="s">
        <v>868</v>
      </c>
      <c r="B852" s="5">
        <v>45963</v>
      </c>
      <c r="C852" t="s">
        <v>3720</v>
      </c>
      <c r="D852" t="s">
        <v>4775</v>
      </c>
      <c r="E852" t="s">
        <v>4866</v>
      </c>
      <c r="F852">
        <v>39</v>
      </c>
      <c r="G852" t="s">
        <v>4877</v>
      </c>
      <c r="H852" t="s">
        <v>4888</v>
      </c>
      <c r="I852" t="s">
        <v>4893</v>
      </c>
      <c r="J852" t="s">
        <v>4903</v>
      </c>
      <c r="K852" t="s">
        <v>4933</v>
      </c>
      <c r="L852" t="s">
        <v>4939</v>
      </c>
      <c r="M852" t="s">
        <v>4944</v>
      </c>
      <c r="N852" s="11">
        <v>10650.95</v>
      </c>
      <c r="O852" t="s">
        <v>4946</v>
      </c>
      <c r="P852" t="s">
        <v>4951</v>
      </c>
      <c r="R852">
        <v>90</v>
      </c>
      <c r="S852" t="str">
        <f t="shared" si="39"/>
        <v>Adult</v>
      </c>
      <c r="T852" t="str">
        <f t="shared" si="40"/>
        <v>High</v>
      </c>
      <c r="U852" t="str">
        <f t="shared" si="41"/>
        <v>Short Days</v>
      </c>
    </row>
    <row r="853" spans="1:21">
      <c r="A853" t="s">
        <v>869</v>
      </c>
      <c r="B853" s="5">
        <v>45383</v>
      </c>
      <c r="C853" t="s">
        <v>3721</v>
      </c>
      <c r="D853" t="s">
        <v>4804</v>
      </c>
      <c r="E853" t="s">
        <v>4867</v>
      </c>
      <c r="F853">
        <v>64</v>
      </c>
      <c r="G853" t="s">
        <v>4878</v>
      </c>
      <c r="H853" t="s">
        <v>4889</v>
      </c>
      <c r="I853" t="s">
        <v>4893</v>
      </c>
      <c r="J853" t="s">
        <v>4903</v>
      </c>
      <c r="K853" t="s">
        <v>4925</v>
      </c>
      <c r="L853" t="s">
        <v>4940</v>
      </c>
      <c r="M853" t="s">
        <v>4942</v>
      </c>
      <c r="N853" s="11">
        <v>1259.8599999999999</v>
      </c>
      <c r="O853" t="s">
        <v>4948</v>
      </c>
      <c r="P853" t="s">
        <v>4951</v>
      </c>
      <c r="R853">
        <v>90</v>
      </c>
      <c r="S853" t="str">
        <f t="shared" si="39"/>
        <v>Senior</v>
      </c>
      <c r="T853" t="str">
        <f t="shared" si="40"/>
        <v>Low</v>
      </c>
      <c r="U853" t="str">
        <f t="shared" si="41"/>
        <v>Short Days</v>
      </c>
    </row>
    <row r="854" spans="1:21">
      <c r="A854" t="s">
        <v>870</v>
      </c>
      <c r="B854" s="5">
        <v>45826</v>
      </c>
      <c r="C854" t="s">
        <v>3266</v>
      </c>
      <c r="D854" t="s">
        <v>4732</v>
      </c>
      <c r="E854" t="s">
        <v>4867</v>
      </c>
      <c r="F854">
        <v>48</v>
      </c>
      <c r="G854" t="s">
        <v>4873</v>
      </c>
      <c r="H854" t="s">
        <v>4888</v>
      </c>
      <c r="I854" t="s">
        <v>4898</v>
      </c>
      <c r="J854" t="s">
        <v>4923</v>
      </c>
      <c r="K854" t="s">
        <v>4926</v>
      </c>
      <c r="L854" t="s">
        <v>4936</v>
      </c>
      <c r="M854" t="s">
        <v>4942</v>
      </c>
      <c r="N854" s="11">
        <v>3134.13</v>
      </c>
      <c r="O854" t="s">
        <v>4946</v>
      </c>
      <c r="P854" t="s">
        <v>4951</v>
      </c>
      <c r="S854" t="str">
        <f t="shared" si="39"/>
        <v>Middle-Aged</v>
      </c>
      <c r="T854" t="str">
        <f t="shared" si="40"/>
        <v>Low</v>
      </c>
      <c r="U854" t="str">
        <f t="shared" si="41"/>
        <v>Short Days</v>
      </c>
    </row>
    <row r="855" spans="1:21">
      <c r="A855" t="s">
        <v>871</v>
      </c>
      <c r="B855" s="5">
        <v>45727</v>
      </c>
      <c r="C855" t="s">
        <v>3712</v>
      </c>
      <c r="D855" t="s">
        <v>4855</v>
      </c>
      <c r="E855" t="s">
        <v>4867</v>
      </c>
      <c r="F855">
        <v>5</v>
      </c>
      <c r="G855" t="s">
        <v>4881</v>
      </c>
      <c r="H855" t="s">
        <v>4881</v>
      </c>
      <c r="I855" t="s">
        <v>4898</v>
      </c>
      <c r="J855" t="s">
        <v>4923</v>
      </c>
      <c r="K855" t="s">
        <v>4927</v>
      </c>
      <c r="L855" t="s">
        <v>4934</v>
      </c>
      <c r="M855" t="s">
        <v>4942</v>
      </c>
      <c r="N855" s="11">
        <v>17311.73</v>
      </c>
      <c r="O855" t="s">
        <v>15</v>
      </c>
      <c r="P855" t="s">
        <v>4952</v>
      </c>
      <c r="R855">
        <v>90</v>
      </c>
      <c r="S855" t="str">
        <f t="shared" si="39"/>
        <v>Child</v>
      </c>
      <c r="T855" t="str">
        <f t="shared" si="40"/>
        <v>High</v>
      </c>
      <c r="U855" t="str">
        <f t="shared" si="41"/>
        <v>Short Days</v>
      </c>
    </row>
    <row r="856" spans="1:21">
      <c r="A856" t="s">
        <v>872</v>
      </c>
      <c r="B856" s="5">
        <v>45567</v>
      </c>
      <c r="C856" t="s">
        <v>3496</v>
      </c>
      <c r="D856" t="s">
        <v>4629</v>
      </c>
      <c r="E856" t="s">
        <v>4866</v>
      </c>
      <c r="F856">
        <v>30</v>
      </c>
      <c r="G856" t="s">
        <v>4871</v>
      </c>
      <c r="H856" t="s">
        <v>4886</v>
      </c>
      <c r="I856" t="s">
        <v>4901</v>
      </c>
      <c r="J856" t="s">
        <v>4921</v>
      </c>
      <c r="K856" t="s">
        <v>4931</v>
      </c>
      <c r="L856" t="s">
        <v>4934</v>
      </c>
      <c r="M856" t="s">
        <v>4942</v>
      </c>
      <c r="N856" s="11">
        <v>5975.51</v>
      </c>
      <c r="O856" t="s">
        <v>4947</v>
      </c>
      <c r="P856" t="s">
        <v>4951</v>
      </c>
      <c r="R856">
        <v>30</v>
      </c>
      <c r="S856" t="str">
        <f t="shared" si="39"/>
        <v>Adult</v>
      </c>
      <c r="T856" t="str">
        <f t="shared" si="40"/>
        <v>Medium</v>
      </c>
      <c r="U856" t="str">
        <f t="shared" si="41"/>
        <v>Short Days</v>
      </c>
    </row>
    <row r="857" spans="1:21">
      <c r="A857" t="s">
        <v>873</v>
      </c>
      <c r="B857" s="5">
        <v>45486</v>
      </c>
      <c r="C857" t="s">
        <v>3722</v>
      </c>
      <c r="D857" t="s">
        <v>4763</v>
      </c>
      <c r="E857" t="s">
        <v>4867</v>
      </c>
      <c r="F857">
        <v>33</v>
      </c>
      <c r="G857" t="s">
        <v>4871</v>
      </c>
      <c r="H857" t="s">
        <v>4886</v>
      </c>
      <c r="I857" t="s">
        <v>4900</v>
      </c>
      <c r="J857" t="s">
        <v>4913</v>
      </c>
      <c r="K857" t="s">
        <v>4928</v>
      </c>
      <c r="L857" t="s">
        <v>4938</v>
      </c>
      <c r="M857" t="s">
        <v>4942</v>
      </c>
      <c r="N857" s="11">
        <v>4068.94</v>
      </c>
      <c r="O857" t="s">
        <v>4946</v>
      </c>
      <c r="P857" t="s">
        <v>4951</v>
      </c>
      <c r="S857" t="str">
        <f t="shared" si="39"/>
        <v>Adult</v>
      </c>
      <c r="T857" t="str">
        <f t="shared" si="40"/>
        <v>Low</v>
      </c>
      <c r="U857" t="str">
        <f t="shared" si="41"/>
        <v>Short Days</v>
      </c>
    </row>
    <row r="858" spans="1:21">
      <c r="A858" t="s">
        <v>874</v>
      </c>
      <c r="B858" s="5">
        <v>45431</v>
      </c>
      <c r="C858" t="s">
        <v>3474</v>
      </c>
      <c r="D858" t="s">
        <v>4687</v>
      </c>
      <c r="E858" t="s">
        <v>4867</v>
      </c>
      <c r="F858">
        <v>52</v>
      </c>
      <c r="G858" t="s">
        <v>4877</v>
      </c>
      <c r="H858" t="s">
        <v>4888</v>
      </c>
      <c r="I858" t="s">
        <v>4902</v>
      </c>
      <c r="J858" t="s">
        <v>4920</v>
      </c>
      <c r="K858" t="s">
        <v>4926</v>
      </c>
      <c r="L858" t="s">
        <v>4937</v>
      </c>
      <c r="M858" t="s">
        <v>4942</v>
      </c>
      <c r="N858" s="11">
        <v>3120.74</v>
      </c>
      <c r="O858" t="s">
        <v>4946</v>
      </c>
      <c r="P858" t="s">
        <v>4951</v>
      </c>
      <c r="R858">
        <v>7</v>
      </c>
      <c r="S858" t="str">
        <f t="shared" si="39"/>
        <v>Middle-Aged</v>
      </c>
      <c r="T858" t="str">
        <f t="shared" si="40"/>
        <v>Low</v>
      </c>
      <c r="U858" t="str">
        <f t="shared" si="41"/>
        <v>Short Days</v>
      </c>
    </row>
    <row r="859" spans="1:21">
      <c r="A859" t="s">
        <v>875</v>
      </c>
      <c r="B859" s="5">
        <v>45371</v>
      </c>
      <c r="C859" t="s">
        <v>3723</v>
      </c>
      <c r="D859" t="s">
        <v>4610</v>
      </c>
      <c r="E859" t="s">
        <v>4867</v>
      </c>
      <c r="F859">
        <v>0</v>
      </c>
      <c r="G859" t="s">
        <v>4876</v>
      </c>
      <c r="H859" t="s">
        <v>4888</v>
      </c>
      <c r="I859" t="s">
        <v>4894</v>
      </c>
      <c r="J859" t="s">
        <v>4910</v>
      </c>
      <c r="K859" t="s">
        <v>4924</v>
      </c>
      <c r="L859" t="s">
        <v>4936</v>
      </c>
      <c r="M859" t="s">
        <v>4944</v>
      </c>
      <c r="N859" s="11">
        <v>7077.67</v>
      </c>
      <c r="O859" t="s">
        <v>4948</v>
      </c>
      <c r="P859" t="s">
        <v>4951</v>
      </c>
      <c r="R859">
        <v>90</v>
      </c>
      <c r="S859" t="str">
        <f t="shared" si="39"/>
        <v>Child</v>
      </c>
      <c r="T859" t="str">
        <f t="shared" si="40"/>
        <v>Medium</v>
      </c>
      <c r="U859" t="str">
        <f t="shared" si="41"/>
        <v>Short Days</v>
      </c>
    </row>
    <row r="860" spans="1:21">
      <c r="A860" t="s">
        <v>876</v>
      </c>
      <c r="B860" s="5">
        <v>45298</v>
      </c>
      <c r="C860" t="s">
        <v>3032</v>
      </c>
      <c r="D860" t="s">
        <v>4614</v>
      </c>
      <c r="E860" t="s">
        <v>4866</v>
      </c>
      <c r="F860">
        <v>49</v>
      </c>
      <c r="G860" t="s">
        <v>4881</v>
      </c>
      <c r="H860" t="s">
        <v>4881</v>
      </c>
      <c r="I860" t="s">
        <v>4899</v>
      </c>
      <c r="J860" t="s">
        <v>4911</v>
      </c>
      <c r="K860" t="s">
        <v>4931</v>
      </c>
      <c r="L860" t="s">
        <v>4938</v>
      </c>
      <c r="M860" t="s">
        <v>4944</v>
      </c>
      <c r="N860" s="11">
        <v>8498.32</v>
      </c>
      <c r="O860" t="s">
        <v>4946</v>
      </c>
      <c r="P860" t="s">
        <v>4951</v>
      </c>
      <c r="R860">
        <v>30</v>
      </c>
      <c r="S860" t="str">
        <f t="shared" si="39"/>
        <v>Middle-Aged</v>
      </c>
      <c r="T860" t="str">
        <f t="shared" si="40"/>
        <v>Medium</v>
      </c>
      <c r="U860" t="str">
        <f t="shared" si="41"/>
        <v>Short Days</v>
      </c>
    </row>
    <row r="861" spans="1:21">
      <c r="A861" t="s">
        <v>877</v>
      </c>
      <c r="B861" s="5">
        <v>45324</v>
      </c>
      <c r="C861" t="s">
        <v>3724</v>
      </c>
      <c r="D861" t="s">
        <v>4672</v>
      </c>
      <c r="E861" t="s">
        <v>4866</v>
      </c>
      <c r="F861">
        <v>65</v>
      </c>
      <c r="G861" t="s">
        <v>4872</v>
      </c>
      <c r="H861" t="s">
        <v>4887</v>
      </c>
      <c r="I861" t="s">
        <v>4897</v>
      </c>
      <c r="J861" t="s">
        <v>4907</v>
      </c>
      <c r="K861" t="s">
        <v>4927</v>
      </c>
      <c r="L861" t="s">
        <v>4938</v>
      </c>
      <c r="M861" t="s">
        <v>4942</v>
      </c>
      <c r="N861" s="11">
        <v>4572.87</v>
      </c>
      <c r="O861" t="s">
        <v>4948</v>
      </c>
      <c r="P861" t="s">
        <v>4951</v>
      </c>
      <c r="R861">
        <v>30</v>
      </c>
      <c r="S861" t="str">
        <f t="shared" si="39"/>
        <v>Senior</v>
      </c>
      <c r="T861" t="str">
        <f t="shared" si="40"/>
        <v>Low</v>
      </c>
      <c r="U861" t="str">
        <f t="shared" si="41"/>
        <v>Short Days</v>
      </c>
    </row>
    <row r="862" spans="1:21">
      <c r="A862" t="s">
        <v>878</v>
      </c>
      <c r="B862" s="5">
        <v>45852</v>
      </c>
      <c r="C862" t="s">
        <v>3192</v>
      </c>
      <c r="D862" t="s">
        <v>4633</v>
      </c>
      <c r="E862" t="s">
        <v>4867</v>
      </c>
      <c r="F862">
        <v>30</v>
      </c>
      <c r="G862" t="s">
        <v>4875</v>
      </c>
      <c r="H862" t="s">
        <v>4889</v>
      </c>
      <c r="I862" t="s">
        <v>4901</v>
      </c>
      <c r="J862" t="s">
        <v>4914</v>
      </c>
      <c r="K862" t="s">
        <v>4933</v>
      </c>
      <c r="L862" t="s">
        <v>4935</v>
      </c>
      <c r="M862" t="s">
        <v>4942</v>
      </c>
      <c r="N862" s="11">
        <v>7235.05</v>
      </c>
      <c r="O862" t="s">
        <v>4948</v>
      </c>
      <c r="P862" t="s">
        <v>4951</v>
      </c>
      <c r="S862" t="str">
        <f t="shared" si="39"/>
        <v>Adult</v>
      </c>
      <c r="T862" t="str">
        <f t="shared" si="40"/>
        <v>Medium</v>
      </c>
      <c r="U862" t="str">
        <f t="shared" si="41"/>
        <v>Short Days</v>
      </c>
    </row>
    <row r="863" spans="1:21">
      <c r="A863" t="s">
        <v>879</v>
      </c>
      <c r="B863" s="5">
        <v>45447</v>
      </c>
      <c r="C863" t="s">
        <v>3599</v>
      </c>
      <c r="D863" t="s">
        <v>4742</v>
      </c>
      <c r="E863" t="s">
        <v>4867</v>
      </c>
      <c r="F863">
        <f>AVERAGE(F856,F862)</f>
        <v>30</v>
      </c>
      <c r="G863" t="s">
        <v>4881</v>
      </c>
      <c r="H863" t="s">
        <v>4888</v>
      </c>
      <c r="I863" t="s">
        <v>4901</v>
      </c>
      <c r="J863" t="s">
        <v>4914</v>
      </c>
      <c r="K863" t="s">
        <v>4953</v>
      </c>
      <c r="L863" t="s">
        <v>4938</v>
      </c>
      <c r="M863" t="s">
        <v>4942</v>
      </c>
      <c r="N863" s="11">
        <v>4437.0200000000004</v>
      </c>
      <c r="O863" t="s">
        <v>4949</v>
      </c>
      <c r="P863" t="s">
        <v>4951</v>
      </c>
      <c r="S863" t="str">
        <f t="shared" si="39"/>
        <v>Adult</v>
      </c>
      <c r="T863" t="str">
        <f t="shared" si="40"/>
        <v>Low</v>
      </c>
      <c r="U863" t="str">
        <f t="shared" si="41"/>
        <v>Short Days</v>
      </c>
    </row>
    <row r="864" spans="1:21">
      <c r="A864" t="s">
        <v>880</v>
      </c>
      <c r="B864" s="5">
        <v>45660</v>
      </c>
      <c r="C864" t="s">
        <v>3725</v>
      </c>
      <c r="D864" t="s">
        <v>4604</v>
      </c>
      <c r="E864" t="s">
        <v>4867</v>
      </c>
      <c r="F864">
        <v>43</v>
      </c>
      <c r="G864" t="s">
        <v>4873</v>
      </c>
      <c r="H864" t="s">
        <v>4884</v>
      </c>
      <c r="I864" t="s">
        <v>4899</v>
      </c>
      <c r="J864" t="s">
        <v>4911</v>
      </c>
      <c r="K864" t="s">
        <v>4932</v>
      </c>
      <c r="L864" t="s">
        <v>4939</v>
      </c>
      <c r="M864" t="s">
        <v>4942</v>
      </c>
      <c r="N864" s="11">
        <v>1463.94</v>
      </c>
      <c r="O864" t="s">
        <v>4947</v>
      </c>
      <c r="P864" t="s">
        <v>4951</v>
      </c>
      <c r="R864">
        <v>7</v>
      </c>
      <c r="S864" t="str">
        <f t="shared" si="39"/>
        <v>Middle-Aged</v>
      </c>
      <c r="T864" t="str">
        <f t="shared" si="40"/>
        <v>Low</v>
      </c>
      <c r="U864" t="str">
        <f t="shared" si="41"/>
        <v>Short Days</v>
      </c>
    </row>
    <row r="865" spans="1:21">
      <c r="A865" t="s">
        <v>881</v>
      </c>
      <c r="B865" s="5">
        <v>45585</v>
      </c>
      <c r="C865" t="s">
        <v>3726</v>
      </c>
      <c r="D865" t="s">
        <v>4775</v>
      </c>
      <c r="E865" t="s">
        <v>4866</v>
      </c>
      <c r="F865">
        <v>47</v>
      </c>
      <c r="G865" t="s">
        <v>4873</v>
      </c>
      <c r="H865" t="s">
        <v>4892</v>
      </c>
      <c r="I865" t="s">
        <v>4899</v>
      </c>
      <c r="J865" t="s">
        <v>4911</v>
      </c>
      <c r="K865" t="s">
        <v>4927</v>
      </c>
      <c r="L865" t="s">
        <v>4934</v>
      </c>
      <c r="M865" t="s">
        <v>4944</v>
      </c>
      <c r="N865" s="11">
        <v>18796.7</v>
      </c>
      <c r="O865" t="s">
        <v>4946</v>
      </c>
      <c r="P865" t="s">
        <v>4951</v>
      </c>
      <c r="R865">
        <v>7</v>
      </c>
      <c r="S865" t="str">
        <f t="shared" si="39"/>
        <v>Middle-Aged</v>
      </c>
      <c r="T865" t="str">
        <f t="shared" si="40"/>
        <v>High</v>
      </c>
      <c r="U865" t="str">
        <f t="shared" si="41"/>
        <v>Short Days</v>
      </c>
    </row>
    <row r="866" spans="1:21">
      <c r="A866" t="s">
        <v>882</v>
      </c>
      <c r="B866" s="5">
        <v>45806</v>
      </c>
      <c r="C866" t="s">
        <v>3727</v>
      </c>
      <c r="D866" t="s">
        <v>4783</v>
      </c>
      <c r="E866" t="s">
        <v>4868</v>
      </c>
      <c r="F866">
        <v>53</v>
      </c>
      <c r="G866" t="s">
        <v>4873</v>
      </c>
      <c r="H866" t="s">
        <v>4887</v>
      </c>
      <c r="I866" t="s">
        <v>4896</v>
      </c>
      <c r="J866" t="s">
        <v>4906</v>
      </c>
      <c r="K866" t="s">
        <v>4927</v>
      </c>
      <c r="L866" t="s">
        <v>4940</v>
      </c>
      <c r="M866" t="s">
        <v>4944</v>
      </c>
      <c r="N866" s="11">
        <v>5201.04</v>
      </c>
      <c r="O866" t="s">
        <v>4947</v>
      </c>
      <c r="P866" t="s">
        <v>4951</v>
      </c>
      <c r="S866" t="str">
        <f t="shared" si="39"/>
        <v>Middle-Aged</v>
      </c>
      <c r="T866" t="str">
        <f t="shared" si="40"/>
        <v>Medium</v>
      </c>
      <c r="U866" t="str">
        <f t="shared" si="41"/>
        <v>Short Days</v>
      </c>
    </row>
    <row r="867" spans="1:21">
      <c r="A867" t="s">
        <v>883</v>
      </c>
      <c r="B867" s="5">
        <v>45376</v>
      </c>
      <c r="C867" t="s">
        <v>3728</v>
      </c>
      <c r="D867" t="s">
        <v>4837</v>
      </c>
      <c r="E867" t="s">
        <v>4866</v>
      </c>
      <c r="F867">
        <v>60</v>
      </c>
      <c r="G867" t="s">
        <v>4873</v>
      </c>
      <c r="H867" t="s">
        <v>4892</v>
      </c>
      <c r="I867" t="s">
        <v>4900</v>
      </c>
      <c r="J867" t="s">
        <v>4913</v>
      </c>
      <c r="K867" t="s">
        <v>4927</v>
      </c>
      <c r="L867" t="s">
        <v>4936</v>
      </c>
      <c r="M867" t="s">
        <v>4942</v>
      </c>
      <c r="N867" s="11">
        <v>527.03</v>
      </c>
      <c r="O867" t="s">
        <v>15</v>
      </c>
      <c r="P867" t="s">
        <v>4952</v>
      </c>
      <c r="S867" t="str">
        <f t="shared" si="39"/>
        <v>Middle-Aged</v>
      </c>
      <c r="T867" t="str">
        <f t="shared" si="40"/>
        <v>Low</v>
      </c>
      <c r="U867" t="str">
        <f t="shared" si="41"/>
        <v>Short Days</v>
      </c>
    </row>
    <row r="868" spans="1:21">
      <c r="A868" t="s">
        <v>884</v>
      </c>
      <c r="B868" s="5">
        <v>45402</v>
      </c>
      <c r="C868" t="s">
        <v>3729</v>
      </c>
      <c r="D868" t="s">
        <v>4694</v>
      </c>
      <c r="E868" t="s">
        <v>4867</v>
      </c>
      <c r="F868">
        <v>62</v>
      </c>
      <c r="G868" t="s">
        <v>4873</v>
      </c>
      <c r="H868" t="s">
        <v>4881</v>
      </c>
      <c r="I868" t="s">
        <v>4900</v>
      </c>
      <c r="J868" t="s">
        <v>4913</v>
      </c>
      <c r="K868" t="s">
        <v>4927</v>
      </c>
      <c r="L868" t="s">
        <v>4936</v>
      </c>
      <c r="M868" t="s">
        <v>4944</v>
      </c>
      <c r="N868" s="11">
        <v>5028.16</v>
      </c>
      <c r="O868" t="s">
        <v>4949</v>
      </c>
      <c r="P868" t="s">
        <v>4951</v>
      </c>
      <c r="R868">
        <v>30</v>
      </c>
      <c r="S868" t="str">
        <f t="shared" si="39"/>
        <v>Senior</v>
      </c>
      <c r="T868" t="str">
        <f t="shared" si="40"/>
        <v>Medium</v>
      </c>
      <c r="U868" t="str">
        <f t="shared" si="41"/>
        <v>Short Days</v>
      </c>
    </row>
    <row r="869" spans="1:21">
      <c r="A869" t="s">
        <v>885</v>
      </c>
      <c r="B869" s="5">
        <v>45894</v>
      </c>
      <c r="C869" t="s">
        <v>3730</v>
      </c>
      <c r="D869" t="s">
        <v>4699</v>
      </c>
      <c r="E869" t="s">
        <v>4866</v>
      </c>
      <c r="F869">
        <v>48</v>
      </c>
      <c r="G869" t="s">
        <v>4873</v>
      </c>
      <c r="H869" t="s">
        <v>4886</v>
      </c>
      <c r="I869" t="s">
        <v>4897</v>
      </c>
      <c r="J869" t="s">
        <v>4922</v>
      </c>
      <c r="K869" t="s">
        <v>4929</v>
      </c>
      <c r="L869" t="s">
        <v>4936</v>
      </c>
      <c r="M869" t="s">
        <v>4944</v>
      </c>
      <c r="N869" s="11">
        <v>6631.77</v>
      </c>
      <c r="O869" t="s">
        <v>4948</v>
      </c>
      <c r="P869" t="s">
        <v>4951</v>
      </c>
      <c r="S869" t="str">
        <f t="shared" si="39"/>
        <v>Middle-Aged</v>
      </c>
      <c r="T869" t="str">
        <f t="shared" si="40"/>
        <v>Medium</v>
      </c>
      <c r="U869" t="str">
        <f t="shared" si="41"/>
        <v>Short Days</v>
      </c>
    </row>
    <row r="870" spans="1:21">
      <c r="A870" t="s">
        <v>886</v>
      </c>
      <c r="B870" s="5">
        <v>45731</v>
      </c>
      <c r="C870" t="s">
        <v>3731</v>
      </c>
      <c r="D870" t="s">
        <v>4856</v>
      </c>
      <c r="E870" t="s">
        <v>4867</v>
      </c>
      <c r="F870">
        <v>40</v>
      </c>
      <c r="G870" t="s">
        <v>4873</v>
      </c>
      <c r="H870" t="s">
        <v>4889</v>
      </c>
      <c r="I870" t="s">
        <v>4899</v>
      </c>
      <c r="J870" t="s">
        <v>4912</v>
      </c>
      <c r="K870" t="s">
        <v>4927</v>
      </c>
      <c r="L870" t="s">
        <v>4938</v>
      </c>
      <c r="M870" t="s">
        <v>4942</v>
      </c>
      <c r="N870" s="11">
        <v>4284.99</v>
      </c>
      <c r="O870" t="s">
        <v>15</v>
      </c>
      <c r="P870" t="s">
        <v>4952</v>
      </c>
      <c r="S870" t="str">
        <f t="shared" si="39"/>
        <v>Adult</v>
      </c>
      <c r="T870" t="str">
        <f t="shared" si="40"/>
        <v>Low</v>
      </c>
      <c r="U870" t="str">
        <f t="shared" si="41"/>
        <v>Short Days</v>
      </c>
    </row>
    <row r="871" spans="1:21">
      <c r="A871" t="s">
        <v>887</v>
      </c>
      <c r="B871" s="5">
        <v>45419</v>
      </c>
      <c r="C871" t="s">
        <v>3732</v>
      </c>
      <c r="D871" t="s">
        <v>4674</v>
      </c>
      <c r="E871" t="s">
        <v>4866</v>
      </c>
      <c r="F871">
        <v>50</v>
      </c>
      <c r="G871" t="s">
        <v>4873</v>
      </c>
      <c r="H871" t="s">
        <v>4887</v>
      </c>
      <c r="I871" t="s">
        <v>4900</v>
      </c>
      <c r="J871" t="s">
        <v>4919</v>
      </c>
      <c r="K871" t="s">
        <v>4931</v>
      </c>
      <c r="L871" t="s">
        <v>4936</v>
      </c>
      <c r="M871" t="s">
        <v>4942</v>
      </c>
      <c r="N871" s="11">
        <v>6336.6</v>
      </c>
      <c r="O871" t="s">
        <v>15</v>
      </c>
      <c r="P871" t="s">
        <v>4952</v>
      </c>
      <c r="R871">
        <v>14</v>
      </c>
      <c r="S871" t="str">
        <f t="shared" si="39"/>
        <v>Middle-Aged</v>
      </c>
      <c r="T871" t="str">
        <f t="shared" si="40"/>
        <v>Medium</v>
      </c>
      <c r="U871" t="str">
        <f t="shared" si="41"/>
        <v>Short Days</v>
      </c>
    </row>
    <row r="872" spans="1:21">
      <c r="A872" t="s">
        <v>888</v>
      </c>
      <c r="B872" s="5">
        <v>45487</v>
      </c>
      <c r="C872" t="s">
        <v>3671</v>
      </c>
      <c r="D872" t="s">
        <v>4665</v>
      </c>
      <c r="E872" t="s">
        <v>4867</v>
      </c>
      <c r="F872">
        <v>65</v>
      </c>
      <c r="G872" t="s">
        <v>4873</v>
      </c>
      <c r="H872" t="s">
        <v>4889</v>
      </c>
      <c r="I872" t="s">
        <v>4897</v>
      </c>
      <c r="J872" t="s">
        <v>4907</v>
      </c>
      <c r="K872" t="s">
        <v>4931</v>
      </c>
      <c r="L872" t="s">
        <v>4938</v>
      </c>
      <c r="M872" t="s">
        <v>4942</v>
      </c>
      <c r="N872" s="11">
        <v>10744.99</v>
      </c>
      <c r="O872" t="s">
        <v>15</v>
      </c>
      <c r="P872" t="s">
        <v>4952</v>
      </c>
      <c r="S872" t="str">
        <f t="shared" si="39"/>
        <v>Senior</v>
      </c>
      <c r="T872" t="str">
        <f t="shared" si="40"/>
        <v>High</v>
      </c>
      <c r="U872" t="str">
        <f t="shared" si="41"/>
        <v>Short Days</v>
      </c>
    </row>
    <row r="873" spans="1:21">
      <c r="A873" t="s">
        <v>889</v>
      </c>
      <c r="B873" s="5">
        <v>45683</v>
      </c>
      <c r="C873" t="s">
        <v>3733</v>
      </c>
      <c r="D873" t="s">
        <v>4763</v>
      </c>
      <c r="E873" t="s">
        <v>4867</v>
      </c>
      <c r="F873">
        <v>32</v>
      </c>
      <c r="G873" t="s">
        <v>4873</v>
      </c>
      <c r="H873" t="s">
        <v>4890</v>
      </c>
      <c r="I873" t="s">
        <v>4899</v>
      </c>
      <c r="J873" t="s">
        <v>4912</v>
      </c>
      <c r="K873" t="s">
        <v>4928</v>
      </c>
      <c r="L873" t="s">
        <v>4937</v>
      </c>
      <c r="M873" t="s">
        <v>4942</v>
      </c>
      <c r="N873" s="11">
        <v>2265.66</v>
      </c>
      <c r="O873" t="s">
        <v>4949</v>
      </c>
      <c r="P873" t="s">
        <v>4951</v>
      </c>
      <c r="R873">
        <v>14</v>
      </c>
      <c r="S873" t="str">
        <f t="shared" si="39"/>
        <v>Adult</v>
      </c>
      <c r="T873" t="str">
        <f t="shared" si="40"/>
        <v>Low</v>
      </c>
      <c r="U873" t="str">
        <f t="shared" si="41"/>
        <v>Short Days</v>
      </c>
    </row>
    <row r="874" spans="1:21">
      <c r="A874" t="s">
        <v>890</v>
      </c>
      <c r="B874" s="5">
        <v>45712</v>
      </c>
      <c r="C874" t="s">
        <v>3734</v>
      </c>
      <c r="D874" t="s">
        <v>4649</v>
      </c>
      <c r="E874" t="s">
        <v>4866</v>
      </c>
      <c r="F874">
        <v>47</v>
      </c>
      <c r="G874" t="s">
        <v>4873</v>
      </c>
      <c r="H874" t="s">
        <v>4888</v>
      </c>
      <c r="I874" t="s">
        <v>4896</v>
      </c>
      <c r="J874" t="s">
        <v>4906</v>
      </c>
      <c r="K874" t="s">
        <v>4930</v>
      </c>
      <c r="L874" t="s">
        <v>4941</v>
      </c>
      <c r="M874" t="s">
        <v>4943</v>
      </c>
      <c r="N874" s="11">
        <v>19241.400000000001</v>
      </c>
      <c r="O874" t="s">
        <v>4946</v>
      </c>
      <c r="P874" t="s">
        <v>4951</v>
      </c>
      <c r="S874" t="str">
        <f t="shared" si="39"/>
        <v>Middle-Aged</v>
      </c>
      <c r="T874" t="str">
        <f t="shared" si="40"/>
        <v>High</v>
      </c>
      <c r="U874" t="str">
        <f t="shared" si="41"/>
        <v>Short Days</v>
      </c>
    </row>
    <row r="875" spans="1:21">
      <c r="A875" t="s">
        <v>891</v>
      </c>
      <c r="B875" s="5">
        <v>45936</v>
      </c>
      <c r="C875" t="s">
        <v>3735</v>
      </c>
      <c r="D875" t="s">
        <v>4687</v>
      </c>
      <c r="E875" t="s">
        <v>4867</v>
      </c>
      <c r="F875">
        <v>38</v>
      </c>
      <c r="G875" t="s">
        <v>4873</v>
      </c>
      <c r="H875" t="s">
        <v>4889</v>
      </c>
      <c r="I875" t="s">
        <v>4894</v>
      </c>
      <c r="J875" t="s">
        <v>4910</v>
      </c>
      <c r="K875" t="s">
        <v>4927</v>
      </c>
      <c r="L875" t="s">
        <v>4938</v>
      </c>
      <c r="M875" t="s">
        <v>4942</v>
      </c>
      <c r="N875" s="11">
        <v>7944.76</v>
      </c>
      <c r="O875" t="s">
        <v>4949</v>
      </c>
      <c r="P875" t="s">
        <v>4951</v>
      </c>
      <c r="R875">
        <v>14</v>
      </c>
      <c r="S875" t="str">
        <f t="shared" si="39"/>
        <v>Adult</v>
      </c>
      <c r="T875" t="str">
        <f t="shared" si="40"/>
        <v>Medium</v>
      </c>
      <c r="U875" t="str">
        <f t="shared" si="41"/>
        <v>Short Days</v>
      </c>
    </row>
    <row r="876" spans="1:21">
      <c r="A876" t="s">
        <v>892</v>
      </c>
      <c r="B876" s="5">
        <v>45532</v>
      </c>
      <c r="C876" t="s">
        <v>3736</v>
      </c>
      <c r="D876" t="s">
        <v>4825</v>
      </c>
      <c r="E876" t="s">
        <v>4867</v>
      </c>
      <c r="F876">
        <v>20</v>
      </c>
      <c r="G876" t="s">
        <v>4873</v>
      </c>
      <c r="H876" t="s">
        <v>4890</v>
      </c>
      <c r="I876" t="s">
        <v>4897</v>
      </c>
      <c r="J876" t="s">
        <v>4907</v>
      </c>
      <c r="K876" t="s">
        <v>4926</v>
      </c>
      <c r="L876" t="s">
        <v>4939</v>
      </c>
      <c r="M876" t="s">
        <v>4942</v>
      </c>
      <c r="N876" s="11">
        <v>6537.15</v>
      </c>
      <c r="O876" t="s">
        <v>4946</v>
      </c>
      <c r="P876" t="s">
        <v>4951</v>
      </c>
      <c r="R876">
        <v>30</v>
      </c>
      <c r="S876" t="str">
        <f t="shared" si="39"/>
        <v>Adult</v>
      </c>
      <c r="T876" t="str">
        <f t="shared" si="40"/>
        <v>Medium</v>
      </c>
      <c r="U876" t="str">
        <f t="shared" si="41"/>
        <v>Short Days</v>
      </c>
    </row>
    <row r="877" spans="1:21">
      <c r="A877" t="s">
        <v>893</v>
      </c>
      <c r="B877" s="5">
        <v>45649</v>
      </c>
      <c r="C877" t="s">
        <v>3493</v>
      </c>
      <c r="D877" t="s">
        <v>4719</v>
      </c>
      <c r="E877" t="s">
        <v>4867</v>
      </c>
      <c r="F877">
        <v>50</v>
      </c>
      <c r="G877" t="s">
        <v>4873</v>
      </c>
      <c r="H877" t="s">
        <v>4886</v>
      </c>
      <c r="I877" t="s">
        <v>4897</v>
      </c>
      <c r="J877" t="s">
        <v>4907</v>
      </c>
      <c r="K877" t="s">
        <v>4933</v>
      </c>
      <c r="L877" t="s">
        <v>4937</v>
      </c>
      <c r="M877" t="s">
        <v>4942</v>
      </c>
      <c r="N877" s="11">
        <v>23679.71</v>
      </c>
      <c r="O877" t="s">
        <v>4947</v>
      </c>
      <c r="P877" t="s">
        <v>4951</v>
      </c>
      <c r="S877" t="str">
        <f t="shared" si="39"/>
        <v>Middle-Aged</v>
      </c>
      <c r="T877" t="str">
        <f t="shared" si="40"/>
        <v>High</v>
      </c>
      <c r="U877" t="str">
        <f t="shared" si="41"/>
        <v>Short Days</v>
      </c>
    </row>
    <row r="878" spans="1:21">
      <c r="A878" t="s">
        <v>894</v>
      </c>
      <c r="B878" s="5">
        <v>45881</v>
      </c>
      <c r="C878" t="s">
        <v>3737</v>
      </c>
      <c r="D878" t="s">
        <v>4731</v>
      </c>
      <c r="E878" t="s">
        <v>4868</v>
      </c>
      <c r="F878">
        <v>33</v>
      </c>
      <c r="G878" t="s">
        <v>4873</v>
      </c>
      <c r="H878" t="s">
        <v>4888</v>
      </c>
      <c r="I878" t="s">
        <v>4896</v>
      </c>
      <c r="J878" t="s">
        <v>4908</v>
      </c>
      <c r="K878" t="s">
        <v>4929</v>
      </c>
      <c r="L878" t="s">
        <v>4939</v>
      </c>
      <c r="M878" t="s">
        <v>4942</v>
      </c>
      <c r="N878" s="11">
        <v>4350.12</v>
      </c>
      <c r="O878" t="s">
        <v>4946</v>
      </c>
      <c r="P878" t="s">
        <v>4951</v>
      </c>
      <c r="R878">
        <v>7</v>
      </c>
      <c r="S878" t="str">
        <f t="shared" si="39"/>
        <v>Adult</v>
      </c>
      <c r="T878" t="str">
        <f t="shared" si="40"/>
        <v>Low</v>
      </c>
      <c r="U878" t="str">
        <f t="shared" si="41"/>
        <v>Short Days</v>
      </c>
    </row>
    <row r="879" spans="1:21">
      <c r="A879" t="s">
        <v>895</v>
      </c>
      <c r="B879" s="5">
        <v>45486</v>
      </c>
      <c r="C879" t="s">
        <v>3738</v>
      </c>
      <c r="D879" t="s">
        <v>4712</v>
      </c>
      <c r="E879" t="s">
        <v>4867</v>
      </c>
      <c r="F879">
        <v>27</v>
      </c>
      <c r="G879" t="s">
        <v>4873</v>
      </c>
      <c r="H879" t="s">
        <v>4889</v>
      </c>
      <c r="I879" t="s">
        <v>4897</v>
      </c>
      <c r="J879" t="s">
        <v>4922</v>
      </c>
      <c r="K879" t="s">
        <v>4932</v>
      </c>
      <c r="L879" t="s">
        <v>4937</v>
      </c>
      <c r="M879" t="s">
        <v>4944</v>
      </c>
      <c r="N879" s="11">
        <v>27661.31</v>
      </c>
      <c r="O879" t="s">
        <v>4949</v>
      </c>
      <c r="P879" t="s">
        <v>4951</v>
      </c>
      <c r="R879">
        <v>14</v>
      </c>
      <c r="S879" t="str">
        <f t="shared" si="39"/>
        <v>Adult</v>
      </c>
      <c r="T879" t="str">
        <f t="shared" si="40"/>
        <v>High</v>
      </c>
      <c r="U879" t="str">
        <f t="shared" si="41"/>
        <v>Short Days</v>
      </c>
    </row>
    <row r="880" spans="1:21">
      <c r="A880" t="s">
        <v>896</v>
      </c>
      <c r="B880" s="5">
        <v>45944</v>
      </c>
      <c r="C880" t="s">
        <v>3453</v>
      </c>
      <c r="D880" t="s">
        <v>4723</v>
      </c>
      <c r="E880" t="s">
        <v>4866</v>
      </c>
      <c r="F880">
        <f>AVERAGE(F873,F879)</f>
        <v>29.5</v>
      </c>
      <c r="G880" t="s">
        <v>4881</v>
      </c>
      <c r="H880" t="s">
        <v>4875</v>
      </c>
      <c r="I880" t="s">
        <v>4899</v>
      </c>
      <c r="J880" t="s">
        <v>4911</v>
      </c>
      <c r="K880" t="s">
        <v>4953</v>
      </c>
      <c r="L880" t="s">
        <v>4934</v>
      </c>
      <c r="M880" t="s">
        <v>4945</v>
      </c>
      <c r="N880" s="11">
        <v>8703.06</v>
      </c>
      <c r="O880" t="s">
        <v>15</v>
      </c>
      <c r="P880" t="s">
        <v>4952</v>
      </c>
      <c r="Q880">
        <v>7</v>
      </c>
      <c r="R880">
        <v>14</v>
      </c>
      <c r="S880" t="str">
        <f t="shared" si="39"/>
        <v>Adult</v>
      </c>
      <c r="T880" t="str">
        <f t="shared" si="40"/>
        <v>Medium</v>
      </c>
      <c r="U880" t="str">
        <f t="shared" si="41"/>
        <v>Long Days</v>
      </c>
    </row>
    <row r="881" spans="1:21">
      <c r="A881" t="s">
        <v>897</v>
      </c>
      <c r="B881" s="5">
        <v>45915</v>
      </c>
      <c r="C881" t="s">
        <v>3214</v>
      </c>
      <c r="D881" t="s">
        <v>4735</v>
      </c>
      <c r="E881" t="s">
        <v>4867</v>
      </c>
      <c r="F881">
        <v>36</v>
      </c>
      <c r="G881" t="s">
        <v>4876</v>
      </c>
      <c r="H881" t="s">
        <v>4869</v>
      </c>
      <c r="I881" t="s">
        <v>4900</v>
      </c>
      <c r="J881" t="s">
        <v>4919</v>
      </c>
      <c r="K881" t="s">
        <v>4930</v>
      </c>
      <c r="L881" t="s">
        <v>4937</v>
      </c>
      <c r="M881" t="s">
        <v>4942</v>
      </c>
      <c r="N881" s="11">
        <v>3798.09</v>
      </c>
      <c r="O881" t="s">
        <v>4946</v>
      </c>
      <c r="P881" t="s">
        <v>4951</v>
      </c>
      <c r="R881">
        <v>7</v>
      </c>
      <c r="S881" t="str">
        <f t="shared" si="39"/>
        <v>Adult</v>
      </c>
      <c r="T881" t="str">
        <f t="shared" si="40"/>
        <v>Low</v>
      </c>
      <c r="U881" t="str">
        <f t="shared" si="41"/>
        <v>Short Days</v>
      </c>
    </row>
    <row r="882" spans="1:21">
      <c r="A882" t="s">
        <v>898</v>
      </c>
      <c r="B882" s="5">
        <v>45655</v>
      </c>
      <c r="C882" t="s">
        <v>3705</v>
      </c>
      <c r="D882" t="s">
        <v>4689</v>
      </c>
      <c r="E882" t="s">
        <v>4866</v>
      </c>
      <c r="F882">
        <v>49</v>
      </c>
      <c r="G882" t="s">
        <v>4872</v>
      </c>
      <c r="H882" t="s">
        <v>4883</v>
      </c>
      <c r="I882" t="s">
        <v>4899</v>
      </c>
      <c r="J882" t="s">
        <v>4911</v>
      </c>
      <c r="K882" t="s">
        <v>4926</v>
      </c>
      <c r="L882" t="s">
        <v>4936</v>
      </c>
      <c r="M882" t="s">
        <v>4945</v>
      </c>
      <c r="N882" s="11">
        <v>17176.47</v>
      </c>
      <c r="O882" t="s">
        <v>4949</v>
      </c>
      <c r="P882" t="s">
        <v>4951</v>
      </c>
      <c r="Q882">
        <v>6</v>
      </c>
      <c r="R882">
        <v>14</v>
      </c>
      <c r="S882" t="str">
        <f t="shared" si="39"/>
        <v>Middle-Aged</v>
      </c>
      <c r="T882" t="str">
        <f t="shared" si="40"/>
        <v>High</v>
      </c>
      <c r="U882" t="str">
        <f t="shared" si="41"/>
        <v>Long Days</v>
      </c>
    </row>
    <row r="883" spans="1:21">
      <c r="A883" t="s">
        <v>899</v>
      </c>
      <c r="B883" s="5">
        <v>45732</v>
      </c>
      <c r="C883" t="s">
        <v>3739</v>
      </c>
      <c r="D883" t="s">
        <v>4784</v>
      </c>
      <c r="E883" t="s">
        <v>4866</v>
      </c>
      <c r="F883">
        <v>60</v>
      </c>
      <c r="G883" t="s">
        <v>4877</v>
      </c>
      <c r="H883" t="s">
        <v>4872</v>
      </c>
      <c r="I883" t="s">
        <v>4895</v>
      </c>
      <c r="J883" t="s">
        <v>4915</v>
      </c>
      <c r="K883" t="s">
        <v>4929</v>
      </c>
      <c r="L883" t="s">
        <v>4941</v>
      </c>
      <c r="M883" t="s">
        <v>4942</v>
      </c>
      <c r="N883" s="11">
        <v>4091.48</v>
      </c>
      <c r="O883" t="s">
        <v>4946</v>
      </c>
      <c r="P883" t="s">
        <v>4951</v>
      </c>
      <c r="S883" t="str">
        <f t="shared" si="39"/>
        <v>Middle-Aged</v>
      </c>
      <c r="T883" t="str">
        <f t="shared" si="40"/>
        <v>Low</v>
      </c>
      <c r="U883" t="str">
        <f t="shared" si="41"/>
        <v>Short Days</v>
      </c>
    </row>
    <row r="884" spans="1:21">
      <c r="A884" t="s">
        <v>900</v>
      </c>
      <c r="B884" s="5">
        <v>45739</v>
      </c>
      <c r="C884" t="s">
        <v>3740</v>
      </c>
      <c r="D884" t="s">
        <v>4590</v>
      </c>
      <c r="E884" t="s">
        <v>4866</v>
      </c>
      <c r="F884">
        <v>28</v>
      </c>
      <c r="G884" t="s">
        <v>4882</v>
      </c>
      <c r="H884" t="s">
        <v>4883</v>
      </c>
      <c r="I884" t="s">
        <v>4901</v>
      </c>
      <c r="J884" t="s">
        <v>4921</v>
      </c>
      <c r="K884" t="s">
        <v>4931</v>
      </c>
      <c r="L884" t="s">
        <v>4941</v>
      </c>
      <c r="M884" t="s">
        <v>4944</v>
      </c>
      <c r="N884" s="11">
        <v>14983.08</v>
      </c>
      <c r="O884" t="s">
        <v>4948</v>
      </c>
      <c r="P884" t="s">
        <v>4951</v>
      </c>
      <c r="R884">
        <v>7</v>
      </c>
      <c r="S884" t="str">
        <f t="shared" si="39"/>
        <v>Adult</v>
      </c>
      <c r="T884" t="str">
        <f t="shared" si="40"/>
        <v>High</v>
      </c>
      <c r="U884" t="str">
        <f t="shared" si="41"/>
        <v>Short Days</v>
      </c>
    </row>
    <row r="885" spans="1:21">
      <c r="A885" t="s">
        <v>901</v>
      </c>
      <c r="B885" s="5">
        <v>45791</v>
      </c>
      <c r="C885" t="s">
        <v>3741</v>
      </c>
      <c r="D885" t="s">
        <v>4720</v>
      </c>
      <c r="E885" t="s">
        <v>4866</v>
      </c>
      <c r="F885">
        <v>42</v>
      </c>
      <c r="G885" t="s">
        <v>4869</v>
      </c>
      <c r="H885" t="s">
        <v>4881</v>
      </c>
      <c r="I885" t="s">
        <v>4900</v>
      </c>
      <c r="J885" t="s">
        <v>4913</v>
      </c>
      <c r="K885" t="s">
        <v>4930</v>
      </c>
      <c r="L885" t="s">
        <v>4934</v>
      </c>
      <c r="M885" t="s">
        <v>4943</v>
      </c>
      <c r="N885" s="11">
        <v>10250.44</v>
      </c>
      <c r="O885" t="s">
        <v>15</v>
      </c>
      <c r="P885" t="s">
        <v>4952</v>
      </c>
      <c r="R885">
        <v>30</v>
      </c>
      <c r="S885" t="str">
        <f t="shared" si="39"/>
        <v>Middle-Aged</v>
      </c>
      <c r="T885" t="str">
        <f t="shared" si="40"/>
        <v>High</v>
      </c>
      <c r="U885" t="str">
        <f t="shared" si="41"/>
        <v>Short Days</v>
      </c>
    </row>
    <row r="886" spans="1:21">
      <c r="A886" t="s">
        <v>902</v>
      </c>
      <c r="B886" s="5">
        <v>45615</v>
      </c>
      <c r="C886" t="s">
        <v>3702</v>
      </c>
      <c r="D886" t="s">
        <v>4739</v>
      </c>
      <c r="E886" t="s">
        <v>4866</v>
      </c>
      <c r="F886">
        <v>51</v>
      </c>
      <c r="G886" t="s">
        <v>4878</v>
      </c>
      <c r="H886" t="s">
        <v>4871</v>
      </c>
      <c r="I886" t="s">
        <v>4897</v>
      </c>
      <c r="J886" t="s">
        <v>4922</v>
      </c>
      <c r="K886" t="s">
        <v>4932</v>
      </c>
      <c r="L886" t="s">
        <v>4935</v>
      </c>
      <c r="M886" t="s">
        <v>4942</v>
      </c>
      <c r="N886" s="11">
        <v>2554.88</v>
      </c>
      <c r="O886" t="s">
        <v>4946</v>
      </c>
      <c r="P886" t="s">
        <v>4951</v>
      </c>
      <c r="R886">
        <v>90</v>
      </c>
      <c r="S886" t="str">
        <f t="shared" si="39"/>
        <v>Middle-Aged</v>
      </c>
      <c r="T886" t="str">
        <f t="shared" si="40"/>
        <v>Low</v>
      </c>
      <c r="U886" t="str">
        <f t="shared" si="41"/>
        <v>Short Days</v>
      </c>
    </row>
    <row r="887" spans="1:21">
      <c r="A887" t="s">
        <v>903</v>
      </c>
      <c r="B887" s="5">
        <v>45685</v>
      </c>
      <c r="C887" t="s">
        <v>3742</v>
      </c>
      <c r="D887" t="s">
        <v>4730</v>
      </c>
      <c r="E887" t="s">
        <v>4867</v>
      </c>
      <c r="F887">
        <v>54</v>
      </c>
      <c r="G887" t="s">
        <v>4877</v>
      </c>
      <c r="H887" t="s">
        <v>4875</v>
      </c>
      <c r="I887" t="s">
        <v>4901</v>
      </c>
      <c r="J887" t="s">
        <v>4921</v>
      </c>
      <c r="K887" t="s">
        <v>4933</v>
      </c>
      <c r="L887" t="s">
        <v>4937</v>
      </c>
      <c r="M887" t="s">
        <v>4944</v>
      </c>
      <c r="N887" s="11">
        <v>5883.3</v>
      </c>
      <c r="O887" t="s">
        <v>4948</v>
      </c>
      <c r="P887" t="s">
        <v>4951</v>
      </c>
      <c r="R887">
        <v>7</v>
      </c>
      <c r="S887" t="str">
        <f t="shared" si="39"/>
        <v>Middle-Aged</v>
      </c>
      <c r="T887" t="str">
        <f t="shared" si="40"/>
        <v>Medium</v>
      </c>
      <c r="U887" t="str">
        <f t="shared" si="41"/>
        <v>Short Days</v>
      </c>
    </row>
    <row r="888" spans="1:21">
      <c r="A888" t="s">
        <v>904</v>
      </c>
      <c r="B888" s="5">
        <v>45602</v>
      </c>
      <c r="C888" t="s">
        <v>3035</v>
      </c>
      <c r="D888" t="s">
        <v>4785</v>
      </c>
      <c r="E888" t="s">
        <v>4866</v>
      </c>
      <c r="F888">
        <v>72</v>
      </c>
      <c r="G888" t="s">
        <v>4880</v>
      </c>
      <c r="H888" t="s">
        <v>4872</v>
      </c>
      <c r="I888" t="s">
        <v>4895</v>
      </c>
      <c r="J888" t="s">
        <v>4905</v>
      </c>
      <c r="K888" t="s">
        <v>4928</v>
      </c>
      <c r="L888" t="s">
        <v>4936</v>
      </c>
      <c r="M888" t="s">
        <v>4943</v>
      </c>
      <c r="N888" s="11">
        <v>27254.09</v>
      </c>
      <c r="O888" t="s">
        <v>15</v>
      </c>
      <c r="P888" t="s">
        <v>4952</v>
      </c>
      <c r="S888" t="str">
        <f t="shared" si="39"/>
        <v>Senior</v>
      </c>
      <c r="T888" t="str">
        <f t="shared" si="40"/>
        <v>High</v>
      </c>
      <c r="U888" t="str">
        <f t="shared" si="41"/>
        <v>Short Days</v>
      </c>
    </row>
    <row r="889" spans="1:21">
      <c r="A889" t="s">
        <v>905</v>
      </c>
      <c r="B889" s="5">
        <v>45415</v>
      </c>
      <c r="C889" t="s">
        <v>3319</v>
      </c>
      <c r="D889" t="s">
        <v>4813</v>
      </c>
      <c r="E889" t="s">
        <v>4867</v>
      </c>
      <c r="F889">
        <v>10</v>
      </c>
      <c r="G889" t="s">
        <v>4874</v>
      </c>
      <c r="H889" t="s">
        <v>4875</v>
      </c>
      <c r="I889" t="s">
        <v>4897</v>
      </c>
      <c r="J889" t="s">
        <v>4922</v>
      </c>
      <c r="K889" t="s">
        <v>4927</v>
      </c>
      <c r="L889" t="s">
        <v>4937</v>
      </c>
      <c r="M889" t="s">
        <v>4942</v>
      </c>
      <c r="N889" s="11">
        <v>4266.45</v>
      </c>
      <c r="O889" t="s">
        <v>4947</v>
      </c>
      <c r="P889" t="s">
        <v>4951</v>
      </c>
      <c r="R889">
        <v>30</v>
      </c>
      <c r="S889" t="str">
        <f t="shared" si="39"/>
        <v>Child</v>
      </c>
      <c r="T889" t="str">
        <f t="shared" si="40"/>
        <v>Low</v>
      </c>
      <c r="U889" t="str">
        <f t="shared" si="41"/>
        <v>Short Days</v>
      </c>
    </row>
    <row r="890" spans="1:21">
      <c r="A890" t="s">
        <v>906</v>
      </c>
      <c r="B890" s="5">
        <v>45687</v>
      </c>
      <c r="C890" t="s">
        <v>3562</v>
      </c>
      <c r="D890" t="s">
        <v>4803</v>
      </c>
      <c r="E890" t="s">
        <v>4867</v>
      </c>
      <c r="F890">
        <v>37</v>
      </c>
      <c r="G890" t="s">
        <v>4869</v>
      </c>
      <c r="H890" t="s">
        <v>4880</v>
      </c>
      <c r="I890" t="s">
        <v>4896</v>
      </c>
      <c r="J890" t="s">
        <v>4906</v>
      </c>
      <c r="K890" t="s">
        <v>4926</v>
      </c>
      <c r="L890" t="s">
        <v>4940</v>
      </c>
      <c r="M890" t="s">
        <v>4942</v>
      </c>
      <c r="N890" s="11">
        <v>720</v>
      </c>
      <c r="O890" t="s">
        <v>4948</v>
      </c>
      <c r="P890" t="s">
        <v>4951</v>
      </c>
      <c r="R890">
        <v>7</v>
      </c>
      <c r="S890" t="str">
        <f t="shared" si="39"/>
        <v>Adult</v>
      </c>
      <c r="T890" t="str">
        <f t="shared" si="40"/>
        <v>Low</v>
      </c>
      <c r="U890" t="str">
        <f t="shared" si="41"/>
        <v>Short Days</v>
      </c>
    </row>
    <row r="891" spans="1:21">
      <c r="A891" t="s">
        <v>907</v>
      </c>
      <c r="B891" s="5">
        <v>45364</v>
      </c>
      <c r="C891" t="s">
        <v>3660</v>
      </c>
      <c r="D891" t="s">
        <v>4631</v>
      </c>
      <c r="E891" t="s">
        <v>4867</v>
      </c>
      <c r="F891">
        <v>43</v>
      </c>
      <c r="G891" t="s">
        <v>4876</v>
      </c>
      <c r="H891" t="s">
        <v>4876</v>
      </c>
      <c r="I891" t="s">
        <v>4897</v>
      </c>
      <c r="J891" t="s">
        <v>4922</v>
      </c>
      <c r="K891" t="s">
        <v>4931</v>
      </c>
      <c r="L891" t="s">
        <v>4940</v>
      </c>
      <c r="M891" t="s">
        <v>4942</v>
      </c>
      <c r="N891" s="11">
        <v>542.77</v>
      </c>
      <c r="O891" t="s">
        <v>4947</v>
      </c>
      <c r="P891" t="s">
        <v>4951</v>
      </c>
      <c r="R891">
        <v>14</v>
      </c>
      <c r="S891" t="str">
        <f t="shared" si="39"/>
        <v>Middle-Aged</v>
      </c>
      <c r="T891" t="str">
        <f t="shared" si="40"/>
        <v>Low</v>
      </c>
      <c r="U891" t="str">
        <f t="shared" si="41"/>
        <v>Short Days</v>
      </c>
    </row>
    <row r="892" spans="1:21">
      <c r="A892" t="s">
        <v>908</v>
      </c>
      <c r="B892" s="5">
        <v>45510</v>
      </c>
      <c r="C892" t="s">
        <v>3447</v>
      </c>
      <c r="D892" t="s">
        <v>4623</v>
      </c>
      <c r="E892" t="s">
        <v>4866</v>
      </c>
      <c r="F892">
        <v>32</v>
      </c>
      <c r="G892" t="s">
        <v>4876</v>
      </c>
      <c r="H892" t="s">
        <v>4875</v>
      </c>
      <c r="I892" t="s">
        <v>4895</v>
      </c>
      <c r="J892" t="s">
        <v>4905</v>
      </c>
      <c r="K892" t="s">
        <v>4928</v>
      </c>
      <c r="L892" t="s">
        <v>4934</v>
      </c>
      <c r="M892" t="s">
        <v>4942</v>
      </c>
      <c r="N892" s="11">
        <v>671.81</v>
      </c>
      <c r="O892" t="s">
        <v>4950</v>
      </c>
      <c r="P892" t="s">
        <v>4951</v>
      </c>
      <c r="R892">
        <v>90</v>
      </c>
      <c r="S892" t="str">
        <f t="shared" si="39"/>
        <v>Adult</v>
      </c>
      <c r="T892" t="str">
        <f t="shared" si="40"/>
        <v>Low</v>
      </c>
      <c r="U892" t="str">
        <f t="shared" si="41"/>
        <v>Short Days</v>
      </c>
    </row>
    <row r="893" spans="1:21">
      <c r="A893" t="s">
        <v>909</v>
      </c>
      <c r="B893" s="5">
        <v>45882</v>
      </c>
      <c r="C893" t="s">
        <v>3743</v>
      </c>
      <c r="D893" t="s">
        <v>4751</v>
      </c>
      <c r="E893" t="s">
        <v>4866</v>
      </c>
      <c r="F893">
        <v>15</v>
      </c>
      <c r="G893" t="s">
        <v>4882</v>
      </c>
      <c r="H893" t="s">
        <v>4880</v>
      </c>
      <c r="I893" t="s">
        <v>4901</v>
      </c>
      <c r="J893" t="s">
        <v>4921</v>
      </c>
      <c r="K893" t="s">
        <v>4932</v>
      </c>
      <c r="L893" t="s">
        <v>4941</v>
      </c>
      <c r="M893" t="s">
        <v>4942</v>
      </c>
      <c r="N893" s="11">
        <v>6913.12</v>
      </c>
      <c r="O893" t="s">
        <v>4950</v>
      </c>
      <c r="P893" t="s">
        <v>4951</v>
      </c>
      <c r="R893">
        <v>30</v>
      </c>
      <c r="S893" t="str">
        <f t="shared" si="39"/>
        <v>Child</v>
      </c>
      <c r="T893" t="str">
        <f t="shared" si="40"/>
        <v>Medium</v>
      </c>
      <c r="U893" t="str">
        <f t="shared" si="41"/>
        <v>Short Days</v>
      </c>
    </row>
    <row r="894" spans="1:21">
      <c r="A894" t="s">
        <v>910</v>
      </c>
      <c r="B894" s="5">
        <v>45735</v>
      </c>
      <c r="C894" t="s">
        <v>3684</v>
      </c>
      <c r="D894" t="s">
        <v>4619</v>
      </c>
      <c r="E894" t="s">
        <v>4867</v>
      </c>
      <c r="F894">
        <v>32</v>
      </c>
      <c r="G894" t="s">
        <v>4883</v>
      </c>
      <c r="H894" t="s">
        <v>4871</v>
      </c>
      <c r="I894" t="s">
        <v>4900</v>
      </c>
      <c r="J894" t="s">
        <v>4913</v>
      </c>
      <c r="K894" t="s">
        <v>4927</v>
      </c>
      <c r="L894" t="s">
        <v>4936</v>
      </c>
      <c r="M894" t="s">
        <v>4942</v>
      </c>
      <c r="N894" s="11">
        <v>3844.59</v>
      </c>
      <c r="O894" t="s">
        <v>4947</v>
      </c>
      <c r="P894" t="s">
        <v>4951</v>
      </c>
      <c r="S894" t="str">
        <f t="shared" si="39"/>
        <v>Adult</v>
      </c>
      <c r="T894" t="str">
        <f t="shared" si="40"/>
        <v>Low</v>
      </c>
      <c r="U894" t="str">
        <f t="shared" si="41"/>
        <v>Short Days</v>
      </c>
    </row>
    <row r="895" spans="1:21">
      <c r="A895" t="s">
        <v>911</v>
      </c>
      <c r="B895" s="5">
        <v>45849</v>
      </c>
      <c r="C895" t="s">
        <v>3744</v>
      </c>
      <c r="D895" t="s">
        <v>4602</v>
      </c>
      <c r="E895" t="s">
        <v>4866</v>
      </c>
      <c r="F895">
        <v>30</v>
      </c>
      <c r="G895" t="s">
        <v>4869</v>
      </c>
      <c r="H895" t="s">
        <v>4876</v>
      </c>
      <c r="I895" t="s">
        <v>4895</v>
      </c>
      <c r="J895" t="s">
        <v>4905</v>
      </c>
      <c r="K895" t="s">
        <v>4928</v>
      </c>
      <c r="L895" t="s">
        <v>4938</v>
      </c>
      <c r="M895" t="s">
        <v>4942</v>
      </c>
      <c r="N895" s="11">
        <v>2803.91</v>
      </c>
      <c r="O895" t="s">
        <v>15</v>
      </c>
      <c r="P895" t="s">
        <v>4952</v>
      </c>
      <c r="R895">
        <v>14</v>
      </c>
      <c r="S895" t="str">
        <f t="shared" si="39"/>
        <v>Adult</v>
      </c>
      <c r="T895" t="str">
        <f t="shared" si="40"/>
        <v>Low</v>
      </c>
      <c r="U895" t="str">
        <f t="shared" si="41"/>
        <v>Short Days</v>
      </c>
    </row>
    <row r="896" spans="1:21">
      <c r="A896" t="s">
        <v>912</v>
      </c>
      <c r="B896" s="5">
        <v>45472</v>
      </c>
      <c r="C896" t="s">
        <v>3745</v>
      </c>
      <c r="D896" t="s">
        <v>4788</v>
      </c>
      <c r="E896" t="s">
        <v>4867</v>
      </c>
      <c r="F896">
        <v>9</v>
      </c>
      <c r="G896" t="s">
        <v>4878</v>
      </c>
      <c r="H896" t="s">
        <v>4875</v>
      </c>
      <c r="I896" t="s">
        <v>4894</v>
      </c>
      <c r="J896" t="s">
        <v>4910</v>
      </c>
      <c r="K896" t="s">
        <v>4932</v>
      </c>
      <c r="L896" t="s">
        <v>4937</v>
      </c>
      <c r="M896" t="s">
        <v>4942</v>
      </c>
      <c r="N896" s="11">
        <v>23196.799999999999</v>
      </c>
      <c r="O896" t="s">
        <v>4946</v>
      </c>
      <c r="P896" t="s">
        <v>4951</v>
      </c>
      <c r="R896">
        <v>14</v>
      </c>
      <c r="S896" t="str">
        <f t="shared" si="39"/>
        <v>Child</v>
      </c>
      <c r="T896" t="str">
        <f t="shared" si="40"/>
        <v>High</v>
      </c>
      <c r="U896" t="str">
        <f t="shared" si="41"/>
        <v>Short Days</v>
      </c>
    </row>
    <row r="897" spans="1:21">
      <c r="A897" t="s">
        <v>913</v>
      </c>
      <c r="B897" s="5">
        <v>45840</v>
      </c>
      <c r="C897" t="s">
        <v>3746</v>
      </c>
      <c r="D897" t="s">
        <v>4723</v>
      </c>
      <c r="E897" t="s">
        <v>4867</v>
      </c>
      <c r="F897">
        <v>15</v>
      </c>
      <c r="G897" t="s">
        <v>4880</v>
      </c>
      <c r="H897" t="s">
        <v>4890</v>
      </c>
      <c r="I897" t="s">
        <v>4902</v>
      </c>
      <c r="J897" t="s">
        <v>4916</v>
      </c>
      <c r="K897" t="s">
        <v>4931</v>
      </c>
      <c r="L897" t="s">
        <v>4941</v>
      </c>
      <c r="M897" t="s">
        <v>4943</v>
      </c>
      <c r="N897" s="11">
        <v>9149.5</v>
      </c>
      <c r="O897" t="s">
        <v>15</v>
      </c>
      <c r="P897" t="s">
        <v>4952</v>
      </c>
      <c r="S897" t="str">
        <f t="shared" si="39"/>
        <v>Child</v>
      </c>
      <c r="T897" t="str">
        <f t="shared" si="40"/>
        <v>Medium</v>
      </c>
      <c r="U897" t="str">
        <f t="shared" si="41"/>
        <v>Short Days</v>
      </c>
    </row>
    <row r="898" spans="1:21">
      <c r="A898" t="s">
        <v>914</v>
      </c>
      <c r="B898" s="5">
        <v>45769</v>
      </c>
      <c r="C898" t="s">
        <v>3747</v>
      </c>
      <c r="D898" t="s">
        <v>4791</v>
      </c>
      <c r="E898" t="s">
        <v>4867</v>
      </c>
      <c r="F898">
        <v>32</v>
      </c>
      <c r="G898" t="s">
        <v>4878</v>
      </c>
      <c r="H898" t="s">
        <v>4889</v>
      </c>
      <c r="I898" t="s">
        <v>4896</v>
      </c>
      <c r="J898" t="s">
        <v>4906</v>
      </c>
      <c r="K898" t="s">
        <v>4928</v>
      </c>
      <c r="L898" t="s">
        <v>4940</v>
      </c>
      <c r="M898" t="s">
        <v>4942</v>
      </c>
      <c r="N898" s="11">
        <v>907.11</v>
      </c>
      <c r="O898" t="s">
        <v>4947</v>
      </c>
      <c r="P898" t="s">
        <v>4951</v>
      </c>
      <c r="S898" t="str">
        <f t="shared" si="39"/>
        <v>Adult</v>
      </c>
      <c r="T898" t="str">
        <f t="shared" si="40"/>
        <v>Low</v>
      </c>
      <c r="U898" t="str">
        <f t="shared" si="41"/>
        <v>Short Days</v>
      </c>
    </row>
    <row r="899" spans="1:21">
      <c r="A899" t="s">
        <v>915</v>
      </c>
      <c r="B899" s="5">
        <v>45823</v>
      </c>
      <c r="C899" t="s">
        <v>3748</v>
      </c>
      <c r="D899" t="s">
        <v>4738</v>
      </c>
      <c r="E899" t="s">
        <v>4867</v>
      </c>
      <c r="F899">
        <v>37</v>
      </c>
      <c r="G899" t="s">
        <v>4871</v>
      </c>
      <c r="H899" t="s">
        <v>4886</v>
      </c>
      <c r="I899" t="s">
        <v>4893</v>
      </c>
      <c r="J899" t="s">
        <v>4917</v>
      </c>
      <c r="K899" t="s">
        <v>4929</v>
      </c>
      <c r="L899" t="s">
        <v>4935</v>
      </c>
      <c r="M899" t="s">
        <v>4942</v>
      </c>
      <c r="N899" s="11">
        <v>14886.42</v>
      </c>
      <c r="O899" t="s">
        <v>4947</v>
      </c>
      <c r="P899" t="s">
        <v>4951</v>
      </c>
      <c r="R899">
        <v>90</v>
      </c>
      <c r="S899" t="str">
        <f t="shared" ref="S899:S962" si="42">IF(F899&lt;18,"Child",IF(F899&lt;=40,"Adult",IF(F899&lt;=60,"Middle-Aged",IF(F899,"Senior"))))</f>
        <v>Adult</v>
      </c>
      <c r="T899" t="str">
        <f t="shared" ref="T899:T962" si="43">IF(N899&lt;=5000,"Low",IF(N899&lt;=10000,"Medium","High"))</f>
        <v>High</v>
      </c>
      <c r="U899" t="str">
        <f t="shared" ref="U899:U962" si="44">IF(Q899&lt;=5,"Short Days","Long Days")</f>
        <v>Short Days</v>
      </c>
    </row>
    <row r="900" spans="1:21">
      <c r="A900" t="s">
        <v>916</v>
      </c>
      <c r="B900" s="5">
        <v>45804</v>
      </c>
      <c r="C900" t="s">
        <v>3749</v>
      </c>
      <c r="D900" t="s">
        <v>4682</v>
      </c>
      <c r="E900" t="s">
        <v>4866</v>
      </c>
      <c r="F900">
        <v>24</v>
      </c>
      <c r="G900" t="s">
        <v>4877</v>
      </c>
      <c r="H900" t="s">
        <v>4888</v>
      </c>
      <c r="I900" t="s">
        <v>4899</v>
      </c>
      <c r="J900" t="s">
        <v>4911</v>
      </c>
      <c r="K900" t="s">
        <v>4927</v>
      </c>
      <c r="L900" t="s">
        <v>4937</v>
      </c>
      <c r="M900" t="s">
        <v>4942</v>
      </c>
      <c r="N900" s="11">
        <v>1626.05</v>
      </c>
      <c r="O900" t="s">
        <v>15</v>
      </c>
      <c r="P900" t="s">
        <v>4952</v>
      </c>
      <c r="R900">
        <v>90</v>
      </c>
      <c r="S900" t="str">
        <f t="shared" si="42"/>
        <v>Adult</v>
      </c>
      <c r="T900" t="str">
        <f t="shared" si="43"/>
        <v>Low</v>
      </c>
      <c r="U900" t="str">
        <f t="shared" si="44"/>
        <v>Short Days</v>
      </c>
    </row>
    <row r="901" spans="1:21">
      <c r="A901" t="s">
        <v>917</v>
      </c>
      <c r="B901" s="5">
        <v>45681</v>
      </c>
      <c r="C901" t="s">
        <v>3750</v>
      </c>
      <c r="D901" t="s">
        <v>4618</v>
      </c>
      <c r="E901" t="s">
        <v>4866</v>
      </c>
      <c r="F901">
        <v>58</v>
      </c>
      <c r="G901" t="s">
        <v>4870</v>
      </c>
      <c r="H901" t="s">
        <v>4885</v>
      </c>
      <c r="I901" t="s">
        <v>4899</v>
      </c>
      <c r="J901" t="s">
        <v>4912</v>
      </c>
      <c r="K901" t="s">
        <v>4932</v>
      </c>
      <c r="L901" t="s">
        <v>4938</v>
      </c>
      <c r="M901" t="s">
        <v>4942</v>
      </c>
      <c r="N901" s="11">
        <v>4573.32</v>
      </c>
      <c r="O901" t="s">
        <v>4949</v>
      </c>
      <c r="P901" t="s">
        <v>4951</v>
      </c>
      <c r="S901" t="str">
        <f t="shared" si="42"/>
        <v>Middle-Aged</v>
      </c>
      <c r="T901" t="str">
        <f t="shared" si="43"/>
        <v>Low</v>
      </c>
      <c r="U901" t="str">
        <f t="shared" si="44"/>
        <v>Short Days</v>
      </c>
    </row>
    <row r="902" spans="1:21">
      <c r="A902" t="s">
        <v>918</v>
      </c>
      <c r="B902" s="5">
        <v>45495</v>
      </c>
      <c r="C902" t="s">
        <v>3751</v>
      </c>
      <c r="D902" t="s">
        <v>4663</v>
      </c>
      <c r="E902" t="s">
        <v>4866</v>
      </c>
      <c r="F902">
        <v>27</v>
      </c>
      <c r="G902" t="s">
        <v>4872</v>
      </c>
      <c r="H902" t="s">
        <v>4887</v>
      </c>
      <c r="I902" t="s">
        <v>4901</v>
      </c>
      <c r="J902" t="s">
        <v>4921</v>
      </c>
      <c r="K902" t="s">
        <v>4926</v>
      </c>
      <c r="L902" t="s">
        <v>4937</v>
      </c>
      <c r="M902" t="s">
        <v>4942</v>
      </c>
      <c r="N902" s="11">
        <v>5933.44</v>
      </c>
      <c r="O902" t="s">
        <v>15</v>
      </c>
      <c r="P902" t="s">
        <v>4952</v>
      </c>
      <c r="R902">
        <v>7</v>
      </c>
      <c r="S902" t="str">
        <f t="shared" si="42"/>
        <v>Adult</v>
      </c>
      <c r="T902" t="str">
        <f t="shared" si="43"/>
        <v>Medium</v>
      </c>
      <c r="U902" t="str">
        <f t="shared" si="44"/>
        <v>Short Days</v>
      </c>
    </row>
    <row r="903" spans="1:21">
      <c r="A903" t="s">
        <v>919</v>
      </c>
      <c r="B903" s="5">
        <v>45732</v>
      </c>
      <c r="C903" t="s">
        <v>3752</v>
      </c>
      <c r="D903" t="s">
        <v>4603</v>
      </c>
      <c r="E903" t="s">
        <v>4867</v>
      </c>
      <c r="F903">
        <v>52</v>
      </c>
      <c r="G903" t="s">
        <v>4879</v>
      </c>
      <c r="H903" t="s">
        <v>4888</v>
      </c>
      <c r="I903" t="s">
        <v>4895</v>
      </c>
      <c r="J903" t="s">
        <v>4915</v>
      </c>
      <c r="K903" t="s">
        <v>4924</v>
      </c>
      <c r="L903" t="s">
        <v>4940</v>
      </c>
      <c r="M903" t="s">
        <v>4945</v>
      </c>
      <c r="N903" s="11">
        <v>9615.99</v>
      </c>
      <c r="O903" t="s">
        <v>4948</v>
      </c>
      <c r="P903" t="s">
        <v>4951</v>
      </c>
      <c r="Q903">
        <v>3</v>
      </c>
      <c r="S903" t="str">
        <f t="shared" si="42"/>
        <v>Middle-Aged</v>
      </c>
      <c r="T903" t="str">
        <f t="shared" si="43"/>
        <v>Medium</v>
      </c>
      <c r="U903" t="str">
        <f t="shared" si="44"/>
        <v>Short Days</v>
      </c>
    </row>
    <row r="904" spans="1:21">
      <c r="A904" t="s">
        <v>920</v>
      </c>
      <c r="B904" s="5">
        <v>45398</v>
      </c>
      <c r="C904" t="s">
        <v>3753</v>
      </c>
      <c r="D904" t="s">
        <v>4645</v>
      </c>
      <c r="E904" t="s">
        <v>4866</v>
      </c>
      <c r="F904">
        <v>29</v>
      </c>
      <c r="G904" t="s">
        <v>4882</v>
      </c>
      <c r="H904" t="s">
        <v>4891</v>
      </c>
      <c r="I904" t="s">
        <v>4900</v>
      </c>
      <c r="J904" t="s">
        <v>4913</v>
      </c>
      <c r="K904" t="s">
        <v>4932</v>
      </c>
      <c r="L904" t="s">
        <v>4941</v>
      </c>
      <c r="M904" t="s">
        <v>4942</v>
      </c>
      <c r="N904" s="11">
        <v>3780.15</v>
      </c>
      <c r="O904" t="s">
        <v>15</v>
      </c>
      <c r="P904" t="s">
        <v>4952</v>
      </c>
      <c r="S904" t="str">
        <f t="shared" si="42"/>
        <v>Adult</v>
      </c>
      <c r="T904" t="str">
        <f t="shared" si="43"/>
        <v>Low</v>
      </c>
      <c r="U904" t="str">
        <f t="shared" si="44"/>
        <v>Short Days</v>
      </c>
    </row>
    <row r="905" spans="1:21">
      <c r="A905" t="s">
        <v>921</v>
      </c>
      <c r="B905" s="5">
        <v>45477</v>
      </c>
      <c r="C905" t="s">
        <v>3754</v>
      </c>
      <c r="D905" t="s">
        <v>4673</v>
      </c>
      <c r="E905" t="s">
        <v>4866</v>
      </c>
      <c r="F905">
        <v>46</v>
      </c>
      <c r="G905" t="s">
        <v>4879</v>
      </c>
      <c r="H905" t="s">
        <v>4888</v>
      </c>
      <c r="I905" t="s">
        <v>4898</v>
      </c>
      <c r="J905" t="s">
        <v>4918</v>
      </c>
      <c r="K905" t="s">
        <v>4928</v>
      </c>
      <c r="L905" t="s">
        <v>4940</v>
      </c>
      <c r="M905" t="s">
        <v>4942</v>
      </c>
      <c r="N905" s="11">
        <v>12751.09</v>
      </c>
      <c r="O905" t="s">
        <v>4948</v>
      </c>
      <c r="P905" t="s">
        <v>4951</v>
      </c>
      <c r="S905" t="str">
        <f t="shared" si="42"/>
        <v>Middle-Aged</v>
      </c>
      <c r="T905" t="str">
        <f t="shared" si="43"/>
        <v>High</v>
      </c>
      <c r="U905" t="str">
        <f t="shared" si="44"/>
        <v>Short Days</v>
      </c>
    </row>
    <row r="906" spans="1:21">
      <c r="A906" t="s">
        <v>922</v>
      </c>
      <c r="B906" s="5">
        <v>45770</v>
      </c>
      <c r="C906" t="s">
        <v>3134</v>
      </c>
      <c r="D906" t="s">
        <v>4840</v>
      </c>
      <c r="E906" t="s">
        <v>4866</v>
      </c>
      <c r="F906">
        <v>0</v>
      </c>
      <c r="G906" t="s">
        <v>4874</v>
      </c>
      <c r="H906" t="s">
        <v>4886</v>
      </c>
      <c r="I906" t="s">
        <v>4899</v>
      </c>
      <c r="J906" t="s">
        <v>4911</v>
      </c>
      <c r="K906" t="s">
        <v>4932</v>
      </c>
      <c r="L906" t="s">
        <v>4940</v>
      </c>
      <c r="M906" t="s">
        <v>4942</v>
      </c>
      <c r="N906" s="11">
        <v>8678.26</v>
      </c>
      <c r="O906" t="s">
        <v>15</v>
      </c>
      <c r="P906" t="s">
        <v>4952</v>
      </c>
      <c r="R906">
        <v>14</v>
      </c>
      <c r="S906" t="str">
        <f t="shared" si="42"/>
        <v>Child</v>
      </c>
      <c r="T906" t="str">
        <f t="shared" si="43"/>
        <v>Medium</v>
      </c>
      <c r="U906" t="str">
        <f t="shared" si="44"/>
        <v>Short Days</v>
      </c>
    </row>
    <row r="907" spans="1:21">
      <c r="A907" t="s">
        <v>923</v>
      </c>
      <c r="B907" s="5">
        <v>45647</v>
      </c>
      <c r="C907" t="s">
        <v>3292</v>
      </c>
      <c r="D907" t="s">
        <v>4758</v>
      </c>
      <c r="E907" t="s">
        <v>4867</v>
      </c>
      <c r="F907">
        <f>AVERAGE(F900,F906)</f>
        <v>12</v>
      </c>
      <c r="G907" t="s">
        <v>4881</v>
      </c>
      <c r="H907" t="s">
        <v>4884</v>
      </c>
      <c r="I907" t="s">
        <v>4901</v>
      </c>
      <c r="J907" t="s">
        <v>4914</v>
      </c>
      <c r="K907" t="s">
        <v>4953</v>
      </c>
      <c r="L907" t="s">
        <v>4939</v>
      </c>
      <c r="M907" t="s">
        <v>4943</v>
      </c>
      <c r="N907" s="11">
        <v>6385.96</v>
      </c>
      <c r="O907" t="s">
        <v>4946</v>
      </c>
      <c r="P907" t="s">
        <v>4951</v>
      </c>
      <c r="R907">
        <v>90</v>
      </c>
      <c r="S907" t="str">
        <f t="shared" si="42"/>
        <v>Child</v>
      </c>
      <c r="T907" t="str">
        <f t="shared" si="43"/>
        <v>Medium</v>
      </c>
      <c r="U907" t="str">
        <f t="shared" si="44"/>
        <v>Short Days</v>
      </c>
    </row>
    <row r="908" spans="1:21">
      <c r="A908" t="s">
        <v>924</v>
      </c>
      <c r="B908" s="5">
        <v>45505</v>
      </c>
      <c r="C908" t="s">
        <v>3217</v>
      </c>
      <c r="D908" t="s">
        <v>4735</v>
      </c>
      <c r="E908" t="s">
        <v>4867</v>
      </c>
      <c r="F908">
        <v>56</v>
      </c>
      <c r="G908" t="s">
        <v>4875</v>
      </c>
      <c r="H908" t="s">
        <v>4889</v>
      </c>
      <c r="I908" t="s">
        <v>4901</v>
      </c>
      <c r="J908" t="s">
        <v>4921</v>
      </c>
      <c r="K908" t="s">
        <v>4933</v>
      </c>
      <c r="L908" t="s">
        <v>4937</v>
      </c>
      <c r="M908" t="s">
        <v>4942</v>
      </c>
      <c r="N908" s="11">
        <v>1739.88</v>
      </c>
      <c r="O908" t="s">
        <v>15</v>
      </c>
      <c r="P908" t="s">
        <v>4952</v>
      </c>
      <c r="R908">
        <v>7</v>
      </c>
      <c r="S908" t="str">
        <f t="shared" si="42"/>
        <v>Middle-Aged</v>
      </c>
      <c r="T908" t="str">
        <f t="shared" si="43"/>
        <v>Low</v>
      </c>
      <c r="U908" t="str">
        <f t="shared" si="44"/>
        <v>Short Days</v>
      </c>
    </row>
    <row r="909" spans="1:21">
      <c r="A909" t="s">
        <v>925</v>
      </c>
      <c r="B909" s="5">
        <v>45591</v>
      </c>
      <c r="C909" t="s">
        <v>3755</v>
      </c>
      <c r="D909" t="s">
        <v>4793</v>
      </c>
      <c r="E909" t="s">
        <v>4867</v>
      </c>
      <c r="F909">
        <v>61</v>
      </c>
      <c r="G909" t="s">
        <v>4881</v>
      </c>
      <c r="H909" t="s">
        <v>4881</v>
      </c>
      <c r="I909" t="s">
        <v>4894</v>
      </c>
      <c r="J909" t="s">
        <v>4904</v>
      </c>
      <c r="K909" t="s">
        <v>4928</v>
      </c>
      <c r="L909" t="s">
        <v>4934</v>
      </c>
      <c r="M909" t="s">
        <v>4944</v>
      </c>
      <c r="N909" s="11">
        <v>5998.53</v>
      </c>
      <c r="O909" t="s">
        <v>4947</v>
      </c>
      <c r="P909" t="s">
        <v>4951</v>
      </c>
      <c r="S909" t="str">
        <f t="shared" si="42"/>
        <v>Senior</v>
      </c>
      <c r="T909" t="str">
        <f t="shared" si="43"/>
        <v>Medium</v>
      </c>
      <c r="U909" t="str">
        <f t="shared" si="44"/>
        <v>Short Days</v>
      </c>
    </row>
    <row r="910" spans="1:21">
      <c r="A910" t="s">
        <v>926</v>
      </c>
      <c r="B910" s="5">
        <v>45531</v>
      </c>
      <c r="C910" t="s">
        <v>3311</v>
      </c>
      <c r="D910" t="s">
        <v>4616</v>
      </c>
      <c r="E910" t="s">
        <v>4866</v>
      </c>
      <c r="F910">
        <v>45</v>
      </c>
      <c r="G910" t="s">
        <v>4873</v>
      </c>
      <c r="H910" t="s">
        <v>4888</v>
      </c>
      <c r="I910" t="s">
        <v>4895</v>
      </c>
      <c r="J910" t="s">
        <v>4905</v>
      </c>
      <c r="K910" t="s">
        <v>4931</v>
      </c>
      <c r="L910" t="s">
        <v>4936</v>
      </c>
      <c r="M910" t="s">
        <v>4944</v>
      </c>
      <c r="N910" s="11">
        <v>8421.91</v>
      </c>
      <c r="O910" t="s">
        <v>4949</v>
      </c>
      <c r="P910" t="s">
        <v>4951</v>
      </c>
      <c r="S910" t="str">
        <f t="shared" si="42"/>
        <v>Middle-Aged</v>
      </c>
      <c r="T910" t="str">
        <f t="shared" si="43"/>
        <v>Medium</v>
      </c>
      <c r="U910" t="str">
        <f t="shared" si="44"/>
        <v>Short Days</v>
      </c>
    </row>
    <row r="911" spans="1:21">
      <c r="A911" t="s">
        <v>927</v>
      </c>
      <c r="B911" s="5">
        <v>45962</v>
      </c>
      <c r="C911" t="s">
        <v>3756</v>
      </c>
      <c r="D911" t="s">
        <v>4627</v>
      </c>
      <c r="E911" t="s">
        <v>4866</v>
      </c>
      <c r="F911">
        <v>72</v>
      </c>
      <c r="G911" t="s">
        <v>4875</v>
      </c>
      <c r="H911" t="s">
        <v>4889</v>
      </c>
      <c r="I911" t="s">
        <v>4895</v>
      </c>
      <c r="J911" t="s">
        <v>4905</v>
      </c>
      <c r="K911" t="s">
        <v>4931</v>
      </c>
      <c r="L911" t="s">
        <v>4941</v>
      </c>
      <c r="M911" t="s">
        <v>4944</v>
      </c>
      <c r="N911" s="11">
        <v>14074.09</v>
      </c>
      <c r="O911" t="s">
        <v>4947</v>
      </c>
      <c r="P911" t="s">
        <v>4951</v>
      </c>
      <c r="S911" t="str">
        <f t="shared" si="42"/>
        <v>Senior</v>
      </c>
      <c r="T911" t="str">
        <f t="shared" si="43"/>
        <v>High</v>
      </c>
      <c r="U911" t="str">
        <f t="shared" si="44"/>
        <v>Short Days</v>
      </c>
    </row>
    <row r="912" spans="1:21">
      <c r="A912" t="s">
        <v>928</v>
      </c>
      <c r="B912" s="5">
        <v>45492</v>
      </c>
      <c r="C912" t="s">
        <v>3372</v>
      </c>
      <c r="D912" t="s">
        <v>4679</v>
      </c>
      <c r="E912" t="s">
        <v>4867</v>
      </c>
      <c r="F912">
        <v>49</v>
      </c>
      <c r="G912" t="s">
        <v>4878</v>
      </c>
      <c r="H912" t="s">
        <v>4889</v>
      </c>
      <c r="I912" t="s">
        <v>4899</v>
      </c>
      <c r="J912" t="s">
        <v>4912</v>
      </c>
      <c r="K912" t="s">
        <v>4933</v>
      </c>
      <c r="L912" t="s">
        <v>4940</v>
      </c>
      <c r="M912" t="s">
        <v>4942</v>
      </c>
      <c r="N912" s="11">
        <v>3205.44</v>
      </c>
      <c r="O912" t="s">
        <v>4946</v>
      </c>
      <c r="P912" t="s">
        <v>4951</v>
      </c>
      <c r="R912">
        <v>30</v>
      </c>
      <c r="S912" t="str">
        <f t="shared" si="42"/>
        <v>Middle-Aged</v>
      </c>
      <c r="T912" t="str">
        <f t="shared" si="43"/>
        <v>Low</v>
      </c>
      <c r="U912" t="str">
        <f t="shared" si="44"/>
        <v>Short Days</v>
      </c>
    </row>
    <row r="913" spans="1:21">
      <c r="A913" t="s">
        <v>929</v>
      </c>
      <c r="B913" s="5">
        <v>45931</v>
      </c>
      <c r="C913" t="s">
        <v>3757</v>
      </c>
      <c r="D913" t="s">
        <v>4685</v>
      </c>
      <c r="E913" t="s">
        <v>4867</v>
      </c>
      <c r="F913">
        <v>61</v>
      </c>
      <c r="G913" t="s">
        <v>4875</v>
      </c>
      <c r="H913" t="s">
        <v>4889</v>
      </c>
      <c r="I913" t="s">
        <v>4902</v>
      </c>
      <c r="J913" t="s">
        <v>4920</v>
      </c>
      <c r="K913" t="s">
        <v>4932</v>
      </c>
      <c r="L913" t="s">
        <v>4934</v>
      </c>
      <c r="M913" t="s">
        <v>4942</v>
      </c>
      <c r="N913" s="11">
        <v>8880</v>
      </c>
      <c r="O913" t="s">
        <v>4947</v>
      </c>
      <c r="P913" t="s">
        <v>4951</v>
      </c>
      <c r="S913" t="str">
        <f t="shared" si="42"/>
        <v>Senior</v>
      </c>
      <c r="T913" t="str">
        <f t="shared" si="43"/>
        <v>Medium</v>
      </c>
      <c r="U913" t="str">
        <f t="shared" si="44"/>
        <v>Short Days</v>
      </c>
    </row>
    <row r="914" spans="1:21">
      <c r="A914" t="s">
        <v>930</v>
      </c>
      <c r="B914" s="5">
        <v>45755</v>
      </c>
      <c r="C914" t="s">
        <v>3758</v>
      </c>
      <c r="D914" t="s">
        <v>4842</v>
      </c>
      <c r="E914" t="s">
        <v>4866</v>
      </c>
      <c r="F914">
        <v>38</v>
      </c>
      <c r="G914" t="s">
        <v>4876</v>
      </c>
      <c r="H914" t="s">
        <v>4888</v>
      </c>
      <c r="I914" t="s">
        <v>4896</v>
      </c>
      <c r="J914" t="s">
        <v>4906</v>
      </c>
      <c r="K914" t="s">
        <v>4932</v>
      </c>
      <c r="L914" t="s">
        <v>4939</v>
      </c>
      <c r="M914" t="s">
        <v>4945</v>
      </c>
      <c r="N914" s="11">
        <v>7917.56</v>
      </c>
      <c r="O914" t="s">
        <v>4948</v>
      </c>
      <c r="P914" t="s">
        <v>4951</v>
      </c>
      <c r="Q914">
        <v>4</v>
      </c>
      <c r="R914">
        <v>90</v>
      </c>
      <c r="S914" t="str">
        <f t="shared" si="42"/>
        <v>Adult</v>
      </c>
      <c r="T914" t="str">
        <f t="shared" si="43"/>
        <v>Medium</v>
      </c>
      <c r="U914" t="str">
        <f t="shared" si="44"/>
        <v>Short Days</v>
      </c>
    </row>
    <row r="915" spans="1:21">
      <c r="A915" t="s">
        <v>931</v>
      </c>
      <c r="B915" s="5">
        <v>45869</v>
      </c>
      <c r="C915" t="s">
        <v>3085</v>
      </c>
      <c r="D915" t="s">
        <v>4747</v>
      </c>
      <c r="E915" t="s">
        <v>4866</v>
      </c>
      <c r="F915">
        <v>17</v>
      </c>
      <c r="G915" t="s">
        <v>4878</v>
      </c>
      <c r="H915" t="s">
        <v>4889</v>
      </c>
      <c r="I915" t="s">
        <v>4902</v>
      </c>
      <c r="J915" t="s">
        <v>4916</v>
      </c>
      <c r="K915" t="s">
        <v>4924</v>
      </c>
      <c r="L915" t="s">
        <v>4934</v>
      </c>
      <c r="M915" t="s">
        <v>4942</v>
      </c>
      <c r="N915" s="11">
        <v>863.05</v>
      </c>
      <c r="O915" t="s">
        <v>4947</v>
      </c>
      <c r="P915" t="s">
        <v>4951</v>
      </c>
      <c r="R915">
        <v>7</v>
      </c>
      <c r="S915" t="str">
        <f t="shared" si="42"/>
        <v>Child</v>
      </c>
      <c r="T915" t="str">
        <f t="shared" si="43"/>
        <v>Low</v>
      </c>
      <c r="U915" t="str">
        <f t="shared" si="44"/>
        <v>Short Days</v>
      </c>
    </row>
    <row r="916" spans="1:21">
      <c r="A916" t="s">
        <v>932</v>
      </c>
      <c r="B916" s="5">
        <v>45488</v>
      </c>
      <c r="C916" t="s">
        <v>3104</v>
      </c>
      <c r="D916" t="s">
        <v>4615</v>
      </c>
      <c r="E916" t="s">
        <v>4866</v>
      </c>
      <c r="F916">
        <v>31</v>
      </c>
      <c r="G916" t="s">
        <v>4877</v>
      </c>
      <c r="H916" t="s">
        <v>4888</v>
      </c>
      <c r="I916" t="s">
        <v>4894</v>
      </c>
      <c r="J916" t="s">
        <v>4910</v>
      </c>
      <c r="K916" t="s">
        <v>4926</v>
      </c>
      <c r="L916" t="s">
        <v>4934</v>
      </c>
      <c r="M916" t="s">
        <v>4944</v>
      </c>
      <c r="N916" s="11">
        <v>11941.69</v>
      </c>
      <c r="O916" t="s">
        <v>4950</v>
      </c>
      <c r="P916" t="s">
        <v>4951</v>
      </c>
      <c r="S916" t="str">
        <f t="shared" si="42"/>
        <v>Adult</v>
      </c>
      <c r="T916" t="str">
        <f t="shared" si="43"/>
        <v>High</v>
      </c>
      <c r="U916" t="str">
        <f t="shared" si="44"/>
        <v>Short Days</v>
      </c>
    </row>
    <row r="917" spans="1:21">
      <c r="A917" t="s">
        <v>933</v>
      </c>
      <c r="B917" s="5">
        <v>45315</v>
      </c>
      <c r="C917" t="s">
        <v>3759</v>
      </c>
      <c r="D917" t="s">
        <v>4837</v>
      </c>
      <c r="E917" t="s">
        <v>4866</v>
      </c>
      <c r="F917">
        <v>10</v>
      </c>
      <c r="G917" t="s">
        <v>4878</v>
      </c>
      <c r="H917" t="s">
        <v>4889</v>
      </c>
      <c r="I917" t="s">
        <v>4893</v>
      </c>
      <c r="J917" t="s">
        <v>4917</v>
      </c>
      <c r="K917" t="s">
        <v>4932</v>
      </c>
      <c r="L917" t="s">
        <v>4941</v>
      </c>
      <c r="M917" t="s">
        <v>4944</v>
      </c>
      <c r="N917" s="11">
        <v>6252.38</v>
      </c>
      <c r="O917" t="s">
        <v>4949</v>
      </c>
      <c r="P917" t="s">
        <v>4951</v>
      </c>
      <c r="R917">
        <v>90</v>
      </c>
      <c r="S917" t="str">
        <f t="shared" si="42"/>
        <v>Child</v>
      </c>
      <c r="T917" t="str">
        <f t="shared" si="43"/>
        <v>Medium</v>
      </c>
      <c r="U917" t="str">
        <f t="shared" si="44"/>
        <v>Short Days</v>
      </c>
    </row>
    <row r="918" spans="1:21">
      <c r="A918" t="s">
        <v>934</v>
      </c>
      <c r="B918" s="5">
        <v>45866</v>
      </c>
      <c r="C918" t="s">
        <v>3760</v>
      </c>
      <c r="D918" t="s">
        <v>4736</v>
      </c>
      <c r="E918" t="s">
        <v>4867</v>
      </c>
      <c r="F918">
        <v>56</v>
      </c>
      <c r="G918" t="s">
        <v>4871</v>
      </c>
      <c r="H918" t="s">
        <v>4886</v>
      </c>
      <c r="I918" t="s">
        <v>4898</v>
      </c>
      <c r="J918" t="s">
        <v>4918</v>
      </c>
      <c r="K918" t="s">
        <v>4933</v>
      </c>
      <c r="L918" t="s">
        <v>4940</v>
      </c>
      <c r="M918" t="s">
        <v>4942</v>
      </c>
      <c r="N918" s="11">
        <v>2009.45</v>
      </c>
      <c r="O918" t="s">
        <v>4949</v>
      </c>
      <c r="P918" t="s">
        <v>4951</v>
      </c>
      <c r="R918">
        <v>90</v>
      </c>
      <c r="S918" t="str">
        <f t="shared" si="42"/>
        <v>Middle-Aged</v>
      </c>
      <c r="T918" t="str">
        <f t="shared" si="43"/>
        <v>Low</v>
      </c>
      <c r="U918" t="str">
        <f t="shared" si="44"/>
        <v>Short Days</v>
      </c>
    </row>
    <row r="919" spans="1:21">
      <c r="A919" t="s">
        <v>935</v>
      </c>
      <c r="B919" s="5">
        <v>45928</v>
      </c>
      <c r="C919" t="s">
        <v>3761</v>
      </c>
      <c r="D919" t="s">
        <v>4652</v>
      </c>
      <c r="E919" t="s">
        <v>4867</v>
      </c>
      <c r="F919">
        <v>51</v>
      </c>
      <c r="G919" t="s">
        <v>4878</v>
      </c>
      <c r="H919" t="s">
        <v>4889</v>
      </c>
      <c r="I919" t="s">
        <v>4894</v>
      </c>
      <c r="J919" t="s">
        <v>4904</v>
      </c>
      <c r="K919" t="s">
        <v>4930</v>
      </c>
      <c r="L919" t="s">
        <v>4939</v>
      </c>
      <c r="M919" t="s">
        <v>4943</v>
      </c>
      <c r="N919" s="11">
        <v>6072.23</v>
      </c>
      <c r="O919" t="s">
        <v>4948</v>
      </c>
      <c r="P919" t="s">
        <v>4951</v>
      </c>
      <c r="S919" t="str">
        <f t="shared" si="42"/>
        <v>Middle-Aged</v>
      </c>
      <c r="T919" t="str">
        <f t="shared" si="43"/>
        <v>Medium</v>
      </c>
      <c r="U919" t="str">
        <f t="shared" si="44"/>
        <v>Short Days</v>
      </c>
    </row>
    <row r="920" spans="1:21">
      <c r="A920" t="s">
        <v>936</v>
      </c>
      <c r="B920" s="5">
        <v>45584</v>
      </c>
      <c r="C920" t="s">
        <v>3762</v>
      </c>
      <c r="D920" t="s">
        <v>4714</v>
      </c>
      <c r="E920" t="s">
        <v>4867</v>
      </c>
      <c r="F920">
        <v>25</v>
      </c>
      <c r="G920" t="s">
        <v>4877</v>
      </c>
      <c r="H920" t="s">
        <v>4888</v>
      </c>
      <c r="I920" t="s">
        <v>4896</v>
      </c>
      <c r="J920" t="s">
        <v>4906</v>
      </c>
      <c r="K920" t="s">
        <v>4928</v>
      </c>
      <c r="L920" t="s">
        <v>4941</v>
      </c>
      <c r="M920" t="s">
        <v>4944</v>
      </c>
      <c r="N920" s="11">
        <v>6984.01</v>
      </c>
      <c r="O920" t="s">
        <v>15</v>
      </c>
      <c r="P920" t="s">
        <v>4952</v>
      </c>
      <c r="S920" t="str">
        <f t="shared" si="42"/>
        <v>Adult</v>
      </c>
      <c r="T920" t="str">
        <f t="shared" si="43"/>
        <v>Medium</v>
      </c>
      <c r="U920" t="str">
        <f t="shared" si="44"/>
        <v>Short Days</v>
      </c>
    </row>
    <row r="921" spans="1:21">
      <c r="A921" t="s">
        <v>937</v>
      </c>
      <c r="B921" s="5">
        <v>45300</v>
      </c>
      <c r="C921" t="s">
        <v>3763</v>
      </c>
      <c r="D921" t="s">
        <v>4728</v>
      </c>
      <c r="E921" t="s">
        <v>4867</v>
      </c>
      <c r="F921">
        <v>34</v>
      </c>
      <c r="G921" t="s">
        <v>4879</v>
      </c>
      <c r="H921" t="s">
        <v>4888</v>
      </c>
      <c r="I921" t="s">
        <v>4901</v>
      </c>
      <c r="J921" t="s">
        <v>4921</v>
      </c>
      <c r="K921" t="s">
        <v>4932</v>
      </c>
      <c r="L921" t="s">
        <v>4936</v>
      </c>
      <c r="M921" t="s">
        <v>4943</v>
      </c>
      <c r="N921" s="11">
        <v>7327.93</v>
      </c>
      <c r="O921" t="s">
        <v>15</v>
      </c>
      <c r="P921" t="s">
        <v>4952</v>
      </c>
      <c r="S921" t="str">
        <f t="shared" si="42"/>
        <v>Adult</v>
      </c>
      <c r="T921" t="str">
        <f t="shared" si="43"/>
        <v>Medium</v>
      </c>
      <c r="U921" t="str">
        <f t="shared" si="44"/>
        <v>Short Days</v>
      </c>
    </row>
    <row r="922" spans="1:21">
      <c r="A922" t="s">
        <v>938</v>
      </c>
      <c r="B922" s="5">
        <v>45477</v>
      </c>
      <c r="C922" t="s">
        <v>3764</v>
      </c>
      <c r="D922" t="s">
        <v>4669</v>
      </c>
      <c r="E922" t="s">
        <v>4866</v>
      </c>
      <c r="F922">
        <v>36</v>
      </c>
      <c r="G922" t="s">
        <v>4879</v>
      </c>
      <c r="H922" t="s">
        <v>4888</v>
      </c>
      <c r="I922" t="s">
        <v>4897</v>
      </c>
      <c r="J922" t="s">
        <v>4922</v>
      </c>
      <c r="K922" t="s">
        <v>4924</v>
      </c>
      <c r="L922" t="s">
        <v>4935</v>
      </c>
      <c r="M922" t="s">
        <v>4942</v>
      </c>
      <c r="N922" s="11">
        <v>8732.9</v>
      </c>
      <c r="O922" t="s">
        <v>4947</v>
      </c>
      <c r="P922" t="s">
        <v>4951</v>
      </c>
      <c r="S922" t="str">
        <f t="shared" si="42"/>
        <v>Adult</v>
      </c>
      <c r="T922" t="str">
        <f t="shared" si="43"/>
        <v>Medium</v>
      </c>
      <c r="U922" t="str">
        <f t="shared" si="44"/>
        <v>Short Days</v>
      </c>
    </row>
    <row r="923" spans="1:21">
      <c r="A923" t="s">
        <v>939</v>
      </c>
      <c r="B923" s="5">
        <v>45303</v>
      </c>
      <c r="C923" t="s">
        <v>3765</v>
      </c>
      <c r="D923" t="s">
        <v>4649</v>
      </c>
      <c r="E923" t="s">
        <v>4866</v>
      </c>
      <c r="F923">
        <v>8</v>
      </c>
      <c r="G923" t="s">
        <v>4871</v>
      </c>
      <c r="H923" t="s">
        <v>4886</v>
      </c>
      <c r="I923" t="s">
        <v>4902</v>
      </c>
      <c r="J923" t="s">
        <v>4920</v>
      </c>
      <c r="K923" t="s">
        <v>4932</v>
      </c>
      <c r="L923" t="s">
        <v>4940</v>
      </c>
      <c r="M923" t="s">
        <v>4944</v>
      </c>
      <c r="N923" s="11">
        <v>19547.439999999999</v>
      </c>
      <c r="O923" t="s">
        <v>4947</v>
      </c>
      <c r="P923" t="s">
        <v>4951</v>
      </c>
      <c r="S923" t="str">
        <f t="shared" si="42"/>
        <v>Child</v>
      </c>
      <c r="T923" t="str">
        <f t="shared" si="43"/>
        <v>High</v>
      </c>
      <c r="U923" t="str">
        <f t="shared" si="44"/>
        <v>Short Days</v>
      </c>
    </row>
    <row r="924" spans="1:21">
      <c r="A924" t="s">
        <v>940</v>
      </c>
      <c r="B924" s="5">
        <v>45512</v>
      </c>
      <c r="C924" t="s">
        <v>3766</v>
      </c>
      <c r="D924" t="s">
        <v>4732</v>
      </c>
      <c r="E924" t="s">
        <v>4867</v>
      </c>
      <c r="F924">
        <v>38</v>
      </c>
      <c r="G924" t="s">
        <v>4872</v>
      </c>
      <c r="H924" t="s">
        <v>4887</v>
      </c>
      <c r="I924" t="s">
        <v>4897</v>
      </c>
      <c r="J924" t="s">
        <v>4922</v>
      </c>
      <c r="K924" t="s">
        <v>4924</v>
      </c>
      <c r="L924" t="s">
        <v>4936</v>
      </c>
      <c r="M924" t="s">
        <v>4942</v>
      </c>
      <c r="N924" s="11">
        <v>2047.01</v>
      </c>
      <c r="O924" t="s">
        <v>4947</v>
      </c>
      <c r="P924" t="s">
        <v>4951</v>
      </c>
      <c r="S924" t="str">
        <f t="shared" si="42"/>
        <v>Adult</v>
      </c>
      <c r="T924" t="str">
        <f t="shared" si="43"/>
        <v>Low</v>
      </c>
      <c r="U924" t="str">
        <f t="shared" si="44"/>
        <v>Short Days</v>
      </c>
    </row>
    <row r="925" spans="1:21">
      <c r="A925" t="s">
        <v>941</v>
      </c>
      <c r="B925" s="5">
        <v>45791</v>
      </c>
      <c r="C925" t="s">
        <v>3767</v>
      </c>
      <c r="D925" t="s">
        <v>4808</v>
      </c>
      <c r="E925" t="s">
        <v>4867</v>
      </c>
      <c r="F925">
        <v>57</v>
      </c>
      <c r="G925" t="s">
        <v>4878</v>
      </c>
      <c r="H925" t="s">
        <v>4889</v>
      </c>
      <c r="I925" t="s">
        <v>4893</v>
      </c>
      <c r="J925" t="s">
        <v>4903</v>
      </c>
      <c r="K925" t="s">
        <v>4927</v>
      </c>
      <c r="L925" t="s">
        <v>4937</v>
      </c>
      <c r="M925" t="s">
        <v>4944</v>
      </c>
      <c r="N925" s="11">
        <v>5633.07</v>
      </c>
      <c r="O925" t="s">
        <v>15</v>
      </c>
      <c r="P925" t="s">
        <v>4952</v>
      </c>
      <c r="R925">
        <v>14</v>
      </c>
      <c r="S925" t="str">
        <f t="shared" si="42"/>
        <v>Middle-Aged</v>
      </c>
      <c r="T925" t="str">
        <f t="shared" si="43"/>
        <v>Medium</v>
      </c>
      <c r="U925" t="str">
        <f t="shared" si="44"/>
        <v>Short Days</v>
      </c>
    </row>
    <row r="926" spans="1:21">
      <c r="A926" t="s">
        <v>942</v>
      </c>
      <c r="B926" s="5">
        <v>45587</v>
      </c>
      <c r="C926" t="s">
        <v>3166</v>
      </c>
      <c r="D926" t="s">
        <v>4718</v>
      </c>
      <c r="E926" t="s">
        <v>4866</v>
      </c>
      <c r="F926">
        <v>32</v>
      </c>
      <c r="G926" t="s">
        <v>4872</v>
      </c>
      <c r="H926" t="s">
        <v>4887</v>
      </c>
      <c r="I926" t="s">
        <v>4894</v>
      </c>
      <c r="J926" t="s">
        <v>4904</v>
      </c>
      <c r="K926" t="s">
        <v>4931</v>
      </c>
      <c r="L926" t="s">
        <v>4939</v>
      </c>
      <c r="M926" t="s">
        <v>4942</v>
      </c>
      <c r="N926" s="11">
        <v>1704.06</v>
      </c>
      <c r="O926" t="s">
        <v>15</v>
      </c>
      <c r="P926" t="s">
        <v>4952</v>
      </c>
      <c r="R926">
        <v>14</v>
      </c>
      <c r="S926" t="str">
        <f t="shared" si="42"/>
        <v>Adult</v>
      </c>
      <c r="T926" t="str">
        <f t="shared" si="43"/>
        <v>Low</v>
      </c>
      <c r="U926" t="str">
        <f t="shared" si="44"/>
        <v>Short Days</v>
      </c>
    </row>
    <row r="927" spans="1:21">
      <c r="A927" t="s">
        <v>943</v>
      </c>
      <c r="B927" s="5">
        <v>45651</v>
      </c>
      <c r="C927" t="s">
        <v>3768</v>
      </c>
      <c r="D927" t="s">
        <v>4694</v>
      </c>
      <c r="E927" t="s">
        <v>4867</v>
      </c>
      <c r="F927">
        <v>42</v>
      </c>
      <c r="G927" t="s">
        <v>4876</v>
      </c>
      <c r="H927" t="s">
        <v>4888</v>
      </c>
      <c r="I927" t="s">
        <v>4900</v>
      </c>
      <c r="J927" t="s">
        <v>4919</v>
      </c>
      <c r="K927" t="s">
        <v>4925</v>
      </c>
      <c r="L927" t="s">
        <v>4937</v>
      </c>
      <c r="M927" t="s">
        <v>4942</v>
      </c>
      <c r="N927" s="11">
        <v>1784.7</v>
      </c>
      <c r="O927" t="s">
        <v>4946</v>
      </c>
      <c r="P927" t="s">
        <v>4951</v>
      </c>
      <c r="R927">
        <v>7</v>
      </c>
      <c r="S927" t="str">
        <f t="shared" si="42"/>
        <v>Middle-Aged</v>
      </c>
      <c r="T927" t="str">
        <f t="shared" si="43"/>
        <v>Low</v>
      </c>
      <c r="U927" t="str">
        <f t="shared" si="44"/>
        <v>Short Days</v>
      </c>
    </row>
    <row r="928" spans="1:21">
      <c r="A928" t="s">
        <v>944</v>
      </c>
      <c r="B928" s="5">
        <v>45880</v>
      </c>
      <c r="C928" t="s">
        <v>3550</v>
      </c>
      <c r="D928" t="s">
        <v>4589</v>
      </c>
      <c r="E928" t="s">
        <v>4866</v>
      </c>
      <c r="F928">
        <v>7</v>
      </c>
      <c r="G928" t="s">
        <v>4883</v>
      </c>
      <c r="H928" t="s">
        <v>4892</v>
      </c>
      <c r="I928" t="s">
        <v>4902</v>
      </c>
      <c r="J928" t="s">
        <v>4916</v>
      </c>
      <c r="K928" t="s">
        <v>4929</v>
      </c>
      <c r="L928" t="s">
        <v>4938</v>
      </c>
      <c r="M928" t="s">
        <v>4942</v>
      </c>
      <c r="N928" s="11">
        <v>2872.72</v>
      </c>
      <c r="O928" t="s">
        <v>4950</v>
      </c>
      <c r="P928" t="s">
        <v>4951</v>
      </c>
      <c r="S928" t="str">
        <f t="shared" si="42"/>
        <v>Child</v>
      </c>
      <c r="T928" t="str">
        <f t="shared" si="43"/>
        <v>Low</v>
      </c>
      <c r="U928" t="str">
        <f t="shared" si="44"/>
        <v>Short Days</v>
      </c>
    </row>
    <row r="929" spans="1:21">
      <c r="A929" t="s">
        <v>945</v>
      </c>
      <c r="B929" s="5">
        <v>45632</v>
      </c>
      <c r="C929" t="s">
        <v>3769</v>
      </c>
      <c r="D929" t="s">
        <v>4702</v>
      </c>
      <c r="E929" t="s">
        <v>4867</v>
      </c>
      <c r="F929">
        <v>46</v>
      </c>
      <c r="G929" t="s">
        <v>4882</v>
      </c>
      <c r="H929" t="s">
        <v>4891</v>
      </c>
      <c r="I929" t="s">
        <v>4898</v>
      </c>
      <c r="J929" t="s">
        <v>4918</v>
      </c>
      <c r="K929" t="s">
        <v>4931</v>
      </c>
      <c r="L929" t="s">
        <v>4941</v>
      </c>
      <c r="M929" t="s">
        <v>4942</v>
      </c>
      <c r="N929" s="11">
        <v>13756.67</v>
      </c>
      <c r="O929" t="s">
        <v>4946</v>
      </c>
      <c r="P929" t="s">
        <v>4951</v>
      </c>
      <c r="R929">
        <v>14</v>
      </c>
      <c r="S929" t="str">
        <f t="shared" si="42"/>
        <v>Middle-Aged</v>
      </c>
      <c r="T929" t="str">
        <f t="shared" si="43"/>
        <v>High</v>
      </c>
      <c r="U929" t="str">
        <f t="shared" si="44"/>
        <v>Short Days</v>
      </c>
    </row>
    <row r="930" spans="1:21">
      <c r="A930" t="s">
        <v>946</v>
      </c>
      <c r="B930" s="5">
        <v>45514</v>
      </c>
      <c r="C930" t="s">
        <v>3404</v>
      </c>
      <c r="D930" t="s">
        <v>4600</v>
      </c>
      <c r="E930" t="s">
        <v>4868</v>
      </c>
      <c r="F930">
        <v>38</v>
      </c>
      <c r="G930" t="s">
        <v>4883</v>
      </c>
      <c r="H930" t="s">
        <v>4892</v>
      </c>
      <c r="I930" t="s">
        <v>4895</v>
      </c>
      <c r="J930" t="s">
        <v>4915</v>
      </c>
      <c r="K930" t="s">
        <v>4931</v>
      </c>
      <c r="L930" t="s">
        <v>4939</v>
      </c>
      <c r="M930" t="s">
        <v>4942</v>
      </c>
      <c r="N930" s="11">
        <v>8866.66</v>
      </c>
      <c r="O930" t="s">
        <v>4949</v>
      </c>
      <c r="P930" t="s">
        <v>4951</v>
      </c>
      <c r="S930" t="str">
        <f t="shared" si="42"/>
        <v>Adult</v>
      </c>
      <c r="T930" t="str">
        <f t="shared" si="43"/>
        <v>Medium</v>
      </c>
      <c r="U930" t="str">
        <f t="shared" si="44"/>
        <v>Short Days</v>
      </c>
    </row>
    <row r="931" spans="1:21">
      <c r="A931" t="s">
        <v>947</v>
      </c>
      <c r="B931" s="5">
        <v>45657</v>
      </c>
      <c r="C931" t="s">
        <v>3770</v>
      </c>
      <c r="D931" t="s">
        <v>4772</v>
      </c>
      <c r="E931" t="s">
        <v>4867</v>
      </c>
      <c r="F931">
        <v>24</v>
      </c>
      <c r="G931" t="s">
        <v>4880</v>
      </c>
      <c r="H931" t="s">
        <v>4890</v>
      </c>
      <c r="I931" t="s">
        <v>4900</v>
      </c>
      <c r="J931" t="s">
        <v>4919</v>
      </c>
      <c r="K931" t="s">
        <v>4929</v>
      </c>
      <c r="L931" t="s">
        <v>4934</v>
      </c>
      <c r="M931" t="s">
        <v>4944</v>
      </c>
      <c r="N931" s="11">
        <v>6328.26</v>
      </c>
      <c r="O931" t="s">
        <v>4946</v>
      </c>
      <c r="P931" t="s">
        <v>4951</v>
      </c>
      <c r="R931">
        <v>30</v>
      </c>
      <c r="S931" t="str">
        <f t="shared" si="42"/>
        <v>Adult</v>
      </c>
      <c r="T931" t="str">
        <f t="shared" si="43"/>
        <v>Medium</v>
      </c>
      <c r="U931" t="str">
        <f t="shared" si="44"/>
        <v>Short Days</v>
      </c>
    </row>
    <row r="932" spans="1:21">
      <c r="A932" t="s">
        <v>948</v>
      </c>
      <c r="B932" s="5">
        <v>45440</v>
      </c>
      <c r="C932" t="s">
        <v>3771</v>
      </c>
      <c r="D932" t="s">
        <v>4857</v>
      </c>
      <c r="E932" t="s">
        <v>4866</v>
      </c>
      <c r="F932">
        <v>59</v>
      </c>
      <c r="G932" t="s">
        <v>4883</v>
      </c>
      <c r="H932" t="s">
        <v>4892</v>
      </c>
      <c r="I932" t="s">
        <v>4900</v>
      </c>
      <c r="J932" t="s">
        <v>4913</v>
      </c>
      <c r="K932" t="s">
        <v>4930</v>
      </c>
      <c r="L932" t="s">
        <v>4936</v>
      </c>
      <c r="M932" t="s">
        <v>4942</v>
      </c>
      <c r="N932" s="11">
        <v>4261.5</v>
      </c>
      <c r="O932" t="s">
        <v>4948</v>
      </c>
      <c r="P932" t="s">
        <v>4951</v>
      </c>
      <c r="S932" t="str">
        <f t="shared" si="42"/>
        <v>Middle-Aged</v>
      </c>
      <c r="T932" t="str">
        <f t="shared" si="43"/>
        <v>Low</v>
      </c>
      <c r="U932" t="str">
        <f t="shared" si="44"/>
        <v>Short Days</v>
      </c>
    </row>
    <row r="933" spans="1:21">
      <c r="A933" t="s">
        <v>949</v>
      </c>
      <c r="B933" s="5">
        <v>45745</v>
      </c>
      <c r="C933" t="s">
        <v>3772</v>
      </c>
      <c r="D933" t="s">
        <v>4711</v>
      </c>
      <c r="E933" t="s">
        <v>4867</v>
      </c>
      <c r="F933">
        <v>47</v>
      </c>
      <c r="G933" t="s">
        <v>4883</v>
      </c>
      <c r="H933" t="s">
        <v>4892</v>
      </c>
      <c r="I933" t="s">
        <v>4894</v>
      </c>
      <c r="J933" t="s">
        <v>4904</v>
      </c>
      <c r="K933" t="s">
        <v>4931</v>
      </c>
      <c r="L933" t="s">
        <v>4938</v>
      </c>
      <c r="M933" t="s">
        <v>4942</v>
      </c>
      <c r="N933" s="11">
        <v>132.61000000000001</v>
      </c>
      <c r="O933" t="s">
        <v>4946</v>
      </c>
      <c r="P933" t="s">
        <v>4951</v>
      </c>
      <c r="R933">
        <v>90</v>
      </c>
      <c r="S933" t="str">
        <f t="shared" si="42"/>
        <v>Middle-Aged</v>
      </c>
      <c r="T933" t="str">
        <f t="shared" si="43"/>
        <v>Low</v>
      </c>
      <c r="U933" t="str">
        <f t="shared" si="44"/>
        <v>Short Days</v>
      </c>
    </row>
    <row r="934" spans="1:21">
      <c r="A934" t="s">
        <v>950</v>
      </c>
      <c r="B934" s="5">
        <v>45422</v>
      </c>
      <c r="C934" t="s">
        <v>3032</v>
      </c>
      <c r="D934" t="s">
        <v>4677</v>
      </c>
      <c r="E934" t="s">
        <v>4866</v>
      </c>
      <c r="F934">
        <v>33</v>
      </c>
      <c r="G934" t="s">
        <v>4880</v>
      </c>
      <c r="H934" t="s">
        <v>4890</v>
      </c>
      <c r="I934" t="s">
        <v>4901</v>
      </c>
      <c r="J934" t="s">
        <v>4914</v>
      </c>
      <c r="K934" t="s">
        <v>4924</v>
      </c>
      <c r="L934" t="s">
        <v>4935</v>
      </c>
      <c r="M934" t="s">
        <v>4942</v>
      </c>
      <c r="N934" s="11">
        <v>7826.54</v>
      </c>
      <c r="O934" t="s">
        <v>4948</v>
      </c>
      <c r="P934" t="s">
        <v>4951</v>
      </c>
      <c r="R934">
        <v>7</v>
      </c>
      <c r="S934" t="str">
        <f t="shared" si="42"/>
        <v>Adult</v>
      </c>
      <c r="T934" t="str">
        <f t="shared" si="43"/>
        <v>Medium</v>
      </c>
      <c r="U934" t="str">
        <f t="shared" si="44"/>
        <v>Short Days</v>
      </c>
    </row>
    <row r="935" spans="1:21">
      <c r="A935" t="s">
        <v>951</v>
      </c>
      <c r="B935" s="5">
        <v>45528</v>
      </c>
      <c r="C935" t="s">
        <v>3773</v>
      </c>
      <c r="D935" t="s">
        <v>4703</v>
      </c>
      <c r="E935" t="s">
        <v>4867</v>
      </c>
      <c r="F935">
        <v>67</v>
      </c>
      <c r="G935" t="s">
        <v>4873</v>
      </c>
      <c r="H935" t="s">
        <v>4888</v>
      </c>
      <c r="I935" t="s">
        <v>4897</v>
      </c>
      <c r="J935" t="s">
        <v>4922</v>
      </c>
      <c r="K935" t="s">
        <v>4926</v>
      </c>
      <c r="L935" t="s">
        <v>4938</v>
      </c>
      <c r="M935" t="s">
        <v>4942</v>
      </c>
      <c r="N935" s="11">
        <v>3175.61</v>
      </c>
      <c r="O935" t="s">
        <v>4949</v>
      </c>
      <c r="P935" t="s">
        <v>4951</v>
      </c>
      <c r="R935">
        <v>14</v>
      </c>
      <c r="S935" t="str">
        <f t="shared" si="42"/>
        <v>Senior</v>
      </c>
      <c r="T935" t="str">
        <f t="shared" si="43"/>
        <v>Low</v>
      </c>
      <c r="U935" t="str">
        <f t="shared" si="44"/>
        <v>Short Days</v>
      </c>
    </row>
    <row r="936" spans="1:21">
      <c r="A936" t="s">
        <v>952</v>
      </c>
      <c r="B936" s="5">
        <v>45635</v>
      </c>
      <c r="C936" t="s">
        <v>3774</v>
      </c>
      <c r="D936" t="s">
        <v>4595</v>
      </c>
      <c r="E936" t="s">
        <v>4867</v>
      </c>
      <c r="F936">
        <v>19</v>
      </c>
      <c r="G936" t="s">
        <v>4878</v>
      </c>
      <c r="H936" t="s">
        <v>4889</v>
      </c>
      <c r="I936" t="s">
        <v>4900</v>
      </c>
      <c r="J936" t="s">
        <v>4919</v>
      </c>
      <c r="K936" t="s">
        <v>4926</v>
      </c>
      <c r="L936" t="s">
        <v>4935</v>
      </c>
      <c r="M936" t="s">
        <v>4942</v>
      </c>
      <c r="N936" s="11">
        <v>4886.71</v>
      </c>
      <c r="O936" t="s">
        <v>4946</v>
      </c>
      <c r="P936" t="s">
        <v>4951</v>
      </c>
      <c r="R936">
        <v>7</v>
      </c>
      <c r="S936" t="str">
        <f t="shared" si="42"/>
        <v>Adult</v>
      </c>
      <c r="T936" t="str">
        <f t="shared" si="43"/>
        <v>Low</v>
      </c>
      <c r="U936" t="str">
        <f t="shared" si="44"/>
        <v>Short Days</v>
      </c>
    </row>
    <row r="937" spans="1:21">
      <c r="A937" t="s">
        <v>953</v>
      </c>
      <c r="B937" s="5">
        <v>45375</v>
      </c>
      <c r="C937" t="s">
        <v>3775</v>
      </c>
      <c r="D937" t="s">
        <v>4760</v>
      </c>
      <c r="E937" t="s">
        <v>4866</v>
      </c>
      <c r="F937">
        <v>49</v>
      </c>
      <c r="G937" t="s">
        <v>4883</v>
      </c>
      <c r="H937" t="s">
        <v>4892</v>
      </c>
      <c r="I937" t="s">
        <v>4899</v>
      </c>
      <c r="J937" t="s">
        <v>4911</v>
      </c>
      <c r="K937" t="s">
        <v>4925</v>
      </c>
      <c r="L937" t="s">
        <v>4934</v>
      </c>
      <c r="M937" t="s">
        <v>4942</v>
      </c>
      <c r="N937" s="11">
        <v>1321.06</v>
      </c>
      <c r="O937" t="s">
        <v>4946</v>
      </c>
      <c r="P937" t="s">
        <v>4951</v>
      </c>
      <c r="R937">
        <v>7</v>
      </c>
      <c r="S937" t="str">
        <f t="shared" si="42"/>
        <v>Middle-Aged</v>
      </c>
      <c r="T937" t="str">
        <f t="shared" si="43"/>
        <v>Low</v>
      </c>
      <c r="U937" t="str">
        <f t="shared" si="44"/>
        <v>Short Days</v>
      </c>
    </row>
    <row r="938" spans="1:21">
      <c r="A938" t="s">
        <v>954</v>
      </c>
      <c r="B938" s="5">
        <v>45822</v>
      </c>
      <c r="C938" t="s">
        <v>3776</v>
      </c>
      <c r="D938" t="s">
        <v>4614</v>
      </c>
      <c r="E938" t="s">
        <v>4866</v>
      </c>
      <c r="F938">
        <v>51</v>
      </c>
      <c r="G938" t="s">
        <v>4880</v>
      </c>
      <c r="H938" t="s">
        <v>4890</v>
      </c>
      <c r="I938" t="s">
        <v>4897</v>
      </c>
      <c r="J938" t="s">
        <v>4907</v>
      </c>
      <c r="K938" t="s">
        <v>4926</v>
      </c>
      <c r="L938" t="s">
        <v>4940</v>
      </c>
      <c r="M938" t="s">
        <v>4944</v>
      </c>
      <c r="N938" s="11">
        <v>12227.61</v>
      </c>
      <c r="O938" t="s">
        <v>4950</v>
      </c>
      <c r="P938" t="s">
        <v>4951</v>
      </c>
      <c r="R938">
        <v>7</v>
      </c>
      <c r="S938" t="str">
        <f t="shared" si="42"/>
        <v>Middle-Aged</v>
      </c>
      <c r="T938" t="str">
        <f t="shared" si="43"/>
        <v>High</v>
      </c>
      <c r="U938" t="str">
        <f t="shared" si="44"/>
        <v>Short Days</v>
      </c>
    </row>
    <row r="939" spans="1:21">
      <c r="A939" t="s">
        <v>955</v>
      </c>
      <c r="B939" s="5">
        <v>45407</v>
      </c>
      <c r="C939" t="s">
        <v>3777</v>
      </c>
      <c r="D939" t="s">
        <v>4677</v>
      </c>
      <c r="E939" t="s">
        <v>4866</v>
      </c>
      <c r="F939">
        <v>77</v>
      </c>
      <c r="G939" t="s">
        <v>4876</v>
      </c>
      <c r="H939" t="s">
        <v>4888</v>
      </c>
      <c r="I939" t="s">
        <v>4896</v>
      </c>
      <c r="J939" t="s">
        <v>4908</v>
      </c>
      <c r="K939" t="s">
        <v>4927</v>
      </c>
      <c r="L939" t="s">
        <v>4940</v>
      </c>
      <c r="M939" t="s">
        <v>4942</v>
      </c>
      <c r="N939" s="11">
        <v>2058.4299999999998</v>
      </c>
      <c r="O939" t="s">
        <v>4947</v>
      </c>
      <c r="P939" t="s">
        <v>4951</v>
      </c>
      <c r="S939" t="str">
        <f t="shared" si="42"/>
        <v>Senior</v>
      </c>
      <c r="T939" t="str">
        <f t="shared" si="43"/>
        <v>Low</v>
      </c>
      <c r="U939" t="str">
        <f t="shared" si="44"/>
        <v>Short Days</v>
      </c>
    </row>
    <row r="940" spans="1:21">
      <c r="A940" t="s">
        <v>956</v>
      </c>
      <c r="B940" s="5">
        <v>45672</v>
      </c>
      <c r="C940" t="s">
        <v>3778</v>
      </c>
      <c r="D940" t="s">
        <v>4655</v>
      </c>
      <c r="E940" t="s">
        <v>4866</v>
      </c>
      <c r="F940">
        <v>17</v>
      </c>
      <c r="G940" t="s">
        <v>4883</v>
      </c>
      <c r="H940" t="s">
        <v>4892</v>
      </c>
      <c r="I940" t="s">
        <v>4901</v>
      </c>
      <c r="J940" t="s">
        <v>4921</v>
      </c>
      <c r="K940" t="s">
        <v>4928</v>
      </c>
      <c r="L940" t="s">
        <v>4937</v>
      </c>
      <c r="M940" t="s">
        <v>4944</v>
      </c>
      <c r="N940" s="11">
        <v>6429.24</v>
      </c>
      <c r="O940" t="s">
        <v>4948</v>
      </c>
      <c r="P940" t="s">
        <v>4951</v>
      </c>
      <c r="R940">
        <v>30</v>
      </c>
      <c r="S940" t="str">
        <f t="shared" si="42"/>
        <v>Child</v>
      </c>
      <c r="T940" t="str">
        <f t="shared" si="43"/>
        <v>Medium</v>
      </c>
      <c r="U940" t="str">
        <f t="shared" si="44"/>
        <v>Short Days</v>
      </c>
    </row>
    <row r="941" spans="1:21">
      <c r="A941" t="s">
        <v>957</v>
      </c>
      <c r="B941" s="5">
        <v>45311</v>
      </c>
      <c r="C941" t="s">
        <v>3672</v>
      </c>
      <c r="D941" t="s">
        <v>4591</v>
      </c>
      <c r="E941" t="s">
        <v>4866</v>
      </c>
      <c r="F941">
        <f>AVERAGE(F934,F940)</f>
        <v>25</v>
      </c>
      <c r="G941" t="s">
        <v>4881</v>
      </c>
      <c r="H941" t="s">
        <v>4889</v>
      </c>
      <c r="I941" t="s">
        <v>4902</v>
      </c>
      <c r="J941" t="s">
        <v>4916</v>
      </c>
      <c r="K941" t="s">
        <v>4953</v>
      </c>
      <c r="L941" t="s">
        <v>4935</v>
      </c>
      <c r="M941" t="s">
        <v>4945</v>
      </c>
      <c r="N941" s="11">
        <v>11314.99</v>
      </c>
      <c r="O941" t="s">
        <v>4950</v>
      </c>
      <c r="P941" t="s">
        <v>4951</v>
      </c>
      <c r="Q941">
        <v>9</v>
      </c>
      <c r="R941">
        <v>7</v>
      </c>
      <c r="S941" t="str">
        <f t="shared" si="42"/>
        <v>Adult</v>
      </c>
      <c r="T941" t="str">
        <f t="shared" si="43"/>
        <v>High</v>
      </c>
      <c r="U941" t="str">
        <f t="shared" si="44"/>
        <v>Long Days</v>
      </c>
    </row>
    <row r="942" spans="1:21">
      <c r="A942" t="s">
        <v>958</v>
      </c>
      <c r="B942" s="5">
        <v>45572</v>
      </c>
      <c r="C942" t="s">
        <v>3779</v>
      </c>
      <c r="D942" t="s">
        <v>4746</v>
      </c>
      <c r="E942" t="s">
        <v>4866</v>
      </c>
      <c r="F942">
        <v>54</v>
      </c>
      <c r="G942" t="s">
        <v>4869</v>
      </c>
      <c r="H942" t="s">
        <v>4884</v>
      </c>
      <c r="I942" t="s">
        <v>4899</v>
      </c>
      <c r="J942" t="s">
        <v>4912</v>
      </c>
      <c r="K942" t="s">
        <v>4927</v>
      </c>
      <c r="L942" t="s">
        <v>4937</v>
      </c>
      <c r="M942" t="s">
        <v>4942</v>
      </c>
      <c r="N942" s="11">
        <v>3147.33</v>
      </c>
      <c r="O942" t="s">
        <v>4946</v>
      </c>
      <c r="P942" t="s">
        <v>4951</v>
      </c>
      <c r="S942" t="str">
        <f t="shared" si="42"/>
        <v>Middle-Aged</v>
      </c>
      <c r="T942" t="str">
        <f t="shared" si="43"/>
        <v>Low</v>
      </c>
      <c r="U942" t="str">
        <f t="shared" si="44"/>
        <v>Short Days</v>
      </c>
    </row>
    <row r="943" spans="1:21">
      <c r="A943" t="s">
        <v>959</v>
      </c>
      <c r="B943" s="5">
        <v>45553</v>
      </c>
      <c r="C943" t="s">
        <v>3780</v>
      </c>
      <c r="D943" t="s">
        <v>4600</v>
      </c>
      <c r="E943" t="s">
        <v>4866</v>
      </c>
      <c r="F943">
        <v>58</v>
      </c>
      <c r="G943" t="s">
        <v>4873</v>
      </c>
      <c r="H943" t="s">
        <v>4888</v>
      </c>
      <c r="I943" t="s">
        <v>4902</v>
      </c>
      <c r="J943" t="s">
        <v>4916</v>
      </c>
      <c r="K943" t="s">
        <v>4932</v>
      </c>
      <c r="L943" t="s">
        <v>4934</v>
      </c>
      <c r="M943" t="s">
        <v>4942</v>
      </c>
      <c r="N943" s="11">
        <v>3120.03</v>
      </c>
      <c r="O943" t="s">
        <v>15</v>
      </c>
      <c r="P943" t="s">
        <v>4952</v>
      </c>
      <c r="S943" t="str">
        <f t="shared" si="42"/>
        <v>Middle-Aged</v>
      </c>
      <c r="T943" t="str">
        <f t="shared" si="43"/>
        <v>Low</v>
      </c>
      <c r="U943" t="str">
        <f t="shared" si="44"/>
        <v>Short Days</v>
      </c>
    </row>
    <row r="944" spans="1:21">
      <c r="A944" t="s">
        <v>960</v>
      </c>
      <c r="B944" s="5">
        <v>45388</v>
      </c>
      <c r="C944" t="s">
        <v>3781</v>
      </c>
      <c r="D944" t="s">
        <v>4634</v>
      </c>
      <c r="E944" t="s">
        <v>4867</v>
      </c>
      <c r="F944">
        <v>46</v>
      </c>
      <c r="G944" t="s">
        <v>4881</v>
      </c>
      <c r="H944" t="s">
        <v>4881</v>
      </c>
      <c r="I944" t="s">
        <v>4898</v>
      </c>
      <c r="J944" t="s">
        <v>4918</v>
      </c>
      <c r="K944" t="s">
        <v>4931</v>
      </c>
      <c r="L944" t="s">
        <v>4934</v>
      </c>
      <c r="M944" t="s">
        <v>4942</v>
      </c>
      <c r="N944" s="11">
        <v>11579.41</v>
      </c>
      <c r="O944" t="s">
        <v>4946</v>
      </c>
      <c r="P944" t="s">
        <v>4951</v>
      </c>
      <c r="R944">
        <v>30</v>
      </c>
      <c r="S944" t="str">
        <f t="shared" si="42"/>
        <v>Middle-Aged</v>
      </c>
      <c r="T944" t="str">
        <f t="shared" si="43"/>
        <v>High</v>
      </c>
      <c r="U944" t="str">
        <f t="shared" si="44"/>
        <v>Short Days</v>
      </c>
    </row>
    <row r="945" spans="1:21">
      <c r="A945" t="s">
        <v>961</v>
      </c>
      <c r="B945" s="5">
        <v>45335</v>
      </c>
      <c r="C945" t="s">
        <v>3038</v>
      </c>
      <c r="D945" t="s">
        <v>4757</v>
      </c>
      <c r="E945" t="s">
        <v>4867</v>
      </c>
      <c r="F945">
        <v>45</v>
      </c>
      <c r="G945" t="s">
        <v>4881</v>
      </c>
      <c r="H945" t="s">
        <v>4881</v>
      </c>
      <c r="I945" t="s">
        <v>4894</v>
      </c>
      <c r="J945" t="s">
        <v>4904</v>
      </c>
      <c r="K945" t="s">
        <v>4933</v>
      </c>
      <c r="L945" t="s">
        <v>4941</v>
      </c>
      <c r="M945" t="s">
        <v>4942</v>
      </c>
      <c r="N945" s="11">
        <v>4693.7</v>
      </c>
      <c r="O945" t="s">
        <v>4947</v>
      </c>
      <c r="P945" t="s">
        <v>4951</v>
      </c>
      <c r="R945">
        <v>90</v>
      </c>
      <c r="S945" t="str">
        <f t="shared" si="42"/>
        <v>Middle-Aged</v>
      </c>
      <c r="T945" t="str">
        <f t="shared" si="43"/>
        <v>Low</v>
      </c>
      <c r="U945" t="str">
        <f t="shared" si="44"/>
        <v>Short Days</v>
      </c>
    </row>
    <row r="946" spans="1:21">
      <c r="A946" t="s">
        <v>962</v>
      </c>
      <c r="B946" s="5">
        <v>45641</v>
      </c>
      <c r="C946" t="s">
        <v>3782</v>
      </c>
      <c r="D946" t="s">
        <v>4773</v>
      </c>
      <c r="E946" t="s">
        <v>4866</v>
      </c>
      <c r="F946">
        <v>58</v>
      </c>
      <c r="G946" t="s">
        <v>4883</v>
      </c>
      <c r="H946" t="s">
        <v>4892</v>
      </c>
      <c r="I946" t="s">
        <v>4896</v>
      </c>
      <c r="J946" t="s">
        <v>4906</v>
      </c>
      <c r="K946" t="s">
        <v>4928</v>
      </c>
      <c r="L946" t="s">
        <v>4939</v>
      </c>
      <c r="M946" t="s">
        <v>4942</v>
      </c>
      <c r="N946" s="11">
        <v>5136.87</v>
      </c>
      <c r="O946" t="s">
        <v>15</v>
      </c>
      <c r="P946" t="s">
        <v>4952</v>
      </c>
      <c r="R946">
        <v>14</v>
      </c>
      <c r="S946" t="str">
        <f t="shared" si="42"/>
        <v>Middle-Aged</v>
      </c>
      <c r="T946" t="str">
        <f t="shared" si="43"/>
        <v>Medium</v>
      </c>
      <c r="U946" t="str">
        <f t="shared" si="44"/>
        <v>Short Days</v>
      </c>
    </row>
    <row r="947" spans="1:21">
      <c r="A947" t="s">
        <v>963</v>
      </c>
      <c r="B947" s="5">
        <v>45775</v>
      </c>
      <c r="C947" t="s">
        <v>3783</v>
      </c>
      <c r="D947" t="s">
        <v>4653</v>
      </c>
      <c r="E947" t="s">
        <v>4866</v>
      </c>
      <c r="F947">
        <v>43</v>
      </c>
      <c r="G947" t="s">
        <v>4872</v>
      </c>
      <c r="H947" t="s">
        <v>4887</v>
      </c>
      <c r="I947" t="s">
        <v>4895</v>
      </c>
      <c r="J947" t="s">
        <v>4905</v>
      </c>
      <c r="K947" t="s">
        <v>4927</v>
      </c>
      <c r="L947" t="s">
        <v>4938</v>
      </c>
      <c r="M947" t="s">
        <v>4942</v>
      </c>
      <c r="N947" s="11">
        <v>16161.8</v>
      </c>
      <c r="O947" t="s">
        <v>15</v>
      </c>
      <c r="P947" t="s">
        <v>4952</v>
      </c>
      <c r="S947" t="str">
        <f t="shared" si="42"/>
        <v>Middle-Aged</v>
      </c>
      <c r="T947" t="str">
        <f t="shared" si="43"/>
        <v>High</v>
      </c>
      <c r="U947" t="str">
        <f t="shared" si="44"/>
        <v>Short Days</v>
      </c>
    </row>
    <row r="948" spans="1:21">
      <c r="A948" t="s">
        <v>964</v>
      </c>
      <c r="B948" s="5">
        <v>45413</v>
      </c>
      <c r="C948" t="s">
        <v>3784</v>
      </c>
      <c r="D948" t="s">
        <v>4587</v>
      </c>
      <c r="E948" t="s">
        <v>4867</v>
      </c>
      <c r="F948">
        <v>56</v>
      </c>
      <c r="G948" t="s">
        <v>4872</v>
      </c>
      <c r="H948" t="s">
        <v>4887</v>
      </c>
      <c r="I948" t="s">
        <v>4900</v>
      </c>
      <c r="J948" t="s">
        <v>4913</v>
      </c>
      <c r="K948" t="s">
        <v>4930</v>
      </c>
      <c r="L948" t="s">
        <v>4939</v>
      </c>
      <c r="M948" t="s">
        <v>4942</v>
      </c>
      <c r="N948" s="11">
        <v>251.79</v>
      </c>
      <c r="O948" t="s">
        <v>4950</v>
      </c>
      <c r="P948" t="s">
        <v>4951</v>
      </c>
      <c r="S948" t="str">
        <f t="shared" si="42"/>
        <v>Middle-Aged</v>
      </c>
      <c r="T948" t="str">
        <f t="shared" si="43"/>
        <v>Low</v>
      </c>
      <c r="U948" t="str">
        <f t="shared" si="44"/>
        <v>Short Days</v>
      </c>
    </row>
    <row r="949" spans="1:21">
      <c r="A949" t="s">
        <v>965</v>
      </c>
      <c r="B949" s="5">
        <v>45748</v>
      </c>
      <c r="C949" t="s">
        <v>3515</v>
      </c>
      <c r="D949" t="s">
        <v>4824</v>
      </c>
      <c r="E949" t="s">
        <v>4867</v>
      </c>
      <c r="F949">
        <v>1</v>
      </c>
      <c r="G949" t="s">
        <v>4873</v>
      </c>
      <c r="H949" t="s">
        <v>4888</v>
      </c>
      <c r="I949" t="s">
        <v>4902</v>
      </c>
      <c r="J949" t="s">
        <v>4916</v>
      </c>
      <c r="K949" t="s">
        <v>4925</v>
      </c>
      <c r="L949" t="s">
        <v>4937</v>
      </c>
      <c r="M949" t="s">
        <v>4942</v>
      </c>
      <c r="N949" s="11">
        <v>4235.46</v>
      </c>
      <c r="O949" t="s">
        <v>4946</v>
      </c>
      <c r="P949" t="s">
        <v>4951</v>
      </c>
      <c r="R949">
        <v>14</v>
      </c>
      <c r="S949" t="str">
        <f t="shared" si="42"/>
        <v>Child</v>
      </c>
      <c r="T949" t="str">
        <f t="shared" si="43"/>
        <v>Low</v>
      </c>
      <c r="U949" t="str">
        <f t="shared" si="44"/>
        <v>Short Days</v>
      </c>
    </row>
    <row r="950" spans="1:21">
      <c r="A950" t="s">
        <v>966</v>
      </c>
      <c r="B950" s="5">
        <v>45501</v>
      </c>
      <c r="C950" t="s">
        <v>3785</v>
      </c>
      <c r="D950" t="s">
        <v>4853</v>
      </c>
      <c r="E950" t="s">
        <v>4867</v>
      </c>
      <c r="F950">
        <v>39</v>
      </c>
      <c r="G950" t="s">
        <v>4878</v>
      </c>
      <c r="H950" t="s">
        <v>4889</v>
      </c>
      <c r="I950" t="s">
        <v>4899</v>
      </c>
      <c r="J950" t="s">
        <v>4911</v>
      </c>
      <c r="K950" t="s">
        <v>4931</v>
      </c>
      <c r="L950" t="s">
        <v>4938</v>
      </c>
      <c r="M950" t="s">
        <v>4942</v>
      </c>
      <c r="N950" s="11">
        <v>2826.46</v>
      </c>
      <c r="O950" t="s">
        <v>4946</v>
      </c>
      <c r="P950" t="s">
        <v>4951</v>
      </c>
      <c r="R950">
        <v>14</v>
      </c>
      <c r="S950" t="str">
        <f t="shared" si="42"/>
        <v>Adult</v>
      </c>
      <c r="T950" t="str">
        <f t="shared" si="43"/>
        <v>Low</v>
      </c>
      <c r="U950" t="str">
        <f t="shared" si="44"/>
        <v>Short Days</v>
      </c>
    </row>
    <row r="951" spans="1:21">
      <c r="A951" t="s">
        <v>967</v>
      </c>
      <c r="B951" s="5">
        <v>45449</v>
      </c>
      <c r="C951" t="s">
        <v>3785</v>
      </c>
      <c r="D951" t="s">
        <v>4595</v>
      </c>
      <c r="E951" t="s">
        <v>4866</v>
      </c>
      <c r="F951">
        <v>23</v>
      </c>
      <c r="G951" t="s">
        <v>4875</v>
      </c>
      <c r="H951" t="s">
        <v>4889</v>
      </c>
      <c r="I951" t="s">
        <v>4901</v>
      </c>
      <c r="J951" t="s">
        <v>4921</v>
      </c>
      <c r="K951" t="s">
        <v>4929</v>
      </c>
      <c r="L951" t="s">
        <v>4938</v>
      </c>
      <c r="M951" t="s">
        <v>4943</v>
      </c>
      <c r="N951" s="11">
        <v>12979.72</v>
      </c>
      <c r="O951" t="s">
        <v>4948</v>
      </c>
      <c r="P951" t="s">
        <v>4951</v>
      </c>
      <c r="R951">
        <v>30</v>
      </c>
      <c r="S951" t="str">
        <f t="shared" si="42"/>
        <v>Adult</v>
      </c>
      <c r="T951" t="str">
        <f t="shared" si="43"/>
        <v>High</v>
      </c>
      <c r="U951" t="str">
        <f t="shared" si="44"/>
        <v>Short Days</v>
      </c>
    </row>
    <row r="952" spans="1:21">
      <c r="A952" t="s">
        <v>968</v>
      </c>
      <c r="B952" s="5">
        <v>45946</v>
      </c>
      <c r="C952" t="s">
        <v>3786</v>
      </c>
      <c r="D952" t="s">
        <v>4707</v>
      </c>
      <c r="E952" t="s">
        <v>4867</v>
      </c>
      <c r="F952">
        <v>30</v>
      </c>
      <c r="G952" t="s">
        <v>4875</v>
      </c>
      <c r="H952" t="s">
        <v>4889</v>
      </c>
      <c r="I952" t="s">
        <v>4901</v>
      </c>
      <c r="J952" t="s">
        <v>4914</v>
      </c>
      <c r="K952" t="s">
        <v>4930</v>
      </c>
      <c r="L952" t="s">
        <v>4938</v>
      </c>
      <c r="M952" t="s">
        <v>4944</v>
      </c>
      <c r="N952" s="11">
        <v>11478.06</v>
      </c>
      <c r="O952" t="s">
        <v>4947</v>
      </c>
      <c r="P952" t="s">
        <v>4951</v>
      </c>
      <c r="R952">
        <v>7</v>
      </c>
      <c r="S952" t="str">
        <f t="shared" si="42"/>
        <v>Adult</v>
      </c>
      <c r="T952" t="str">
        <f t="shared" si="43"/>
        <v>High</v>
      </c>
      <c r="U952" t="str">
        <f t="shared" si="44"/>
        <v>Short Days</v>
      </c>
    </row>
    <row r="953" spans="1:21">
      <c r="A953" t="s">
        <v>969</v>
      </c>
      <c r="B953" s="5">
        <v>45333</v>
      </c>
      <c r="C953" t="s">
        <v>3572</v>
      </c>
      <c r="D953" t="s">
        <v>4599</v>
      </c>
      <c r="E953" t="s">
        <v>4867</v>
      </c>
      <c r="F953">
        <v>59</v>
      </c>
      <c r="G953" t="s">
        <v>4871</v>
      </c>
      <c r="H953" t="s">
        <v>4886</v>
      </c>
      <c r="I953" t="s">
        <v>4894</v>
      </c>
      <c r="J953" t="s">
        <v>4910</v>
      </c>
      <c r="K953" t="s">
        <v>4932</v>
      </c>
      <c r="L953" t="s">
        <v>4940</v>
      </c>
      <c r="M953" t="s">
        <v>4942</v>
      </c>
      <c r="N953" s="11">
        <v>841.75</v>
      </c>
      <c r="O953" t="s">
        <v>4948</v>
      </c>
      <c r="P953" t="s">
        <v>4951</v>
      </c>
      <c r="R953">
        <v>7</v>
      </c>
      <c r="S953" t="str">
        <f t="shared" si="42"/>
        <v>Middle-Aged</v>
      </c>
      <c r="T953" t="str">
        <f t="shared" si="43"/>
        <v>Low</v>
      </c>
      <c r="U953" t="str">
        <f t="shared" si="44"/>
        <v>Short Days</v>
      </c>
    </row>
    <row r="954" spans="1:21">
      <c r="A954" t="s">
        <v>970</v>
      </c>
      <c r="B954" s="5">
        <v>45452</v>
      </c>
      <c r="C954" t="s">
        <v>3787</v>
      </c>
      <c r="D954" t="s">
        <v>4716</v>
      </c>
      <c r="E954" t="s">
        <v>4866</v>
      </c>
      <c r="F954">
        <v>38</v>
      </c>
      <c r="G954" t="s">
        <v>4881</v>
      </c>
      <c r="H954" t="s">
        <v>4881</v>
      </c>
      <c r="I954" t="s">
        <v>4898</v>
      </c>
      <c r="J954" t="s">
        <v>4923</v>
      </c>
      <c r="K954" t="s">
        <v>4925</v>
      </c>
      <c r="L954" t="s">
        <v>4934</v>
      </c>
      <c r="M954" t="s">
        <v>4942</v>
      </c>
      <c r="N954" s="11">
        <v>2753.66</v>
      </c>
      <c r="O954" t="s">
        <v>15</v>
      </c>
      <c r="P954" t="s">
        <v>4952</v>
      </c>
      <c r="S954" t="str">
        <f t="shared" si="42"/>
        <v>Adult</v>
      </c>
      <c r="T954" t="str">
        <f t="shared" si="43"/>
        <v>Low</v>
      </c>
      <c r="U954" t="str">
        <f t="shared" si="44"/>
        <v>Short Days</v>
      </c>
    </row>
    <row r="955" spans="1:21">
      <c r="A955" t="s">
        <v>971</v>
      </c>
      <c r="B955" s="5">
        <v>45379</v>
      </c>
      <c r="C955" t="s">
        <v>3427</v>
      </c>
      <c r="D955" t="s">
        <v>4620</v>
      </c>
      <c r="E955" t="s">
        <v>4867</v>
      </c>
      <c r="F955">
        <v>7</v>
      </c>
      <c r="G955" t="s">
        <v>4881</v>
      </c>
      <c r="H955" t="s">
        <v>4881</v>
      </c>
      <c r="I955" t="s">
        <v>4896</v>
      </c>
      <c r="J955" t="s">
        <v>4908</v>
      </c>
      <c r="K955" t="s">
        <v>4933</v>
      </c>
      <c r="L955" t="s">
        <v>4936</v>
      </c>
      <c r="M955" t="s">
        <v>4942</v>
      </c>
      <c r="N955" s="11">
        <v>7657.67</v>
      </c>
      <c r="O955" t="s">
        <v>4949</v>
      </c>
      <c r="P955" t="s">
        <v>4951</v>
      </c>
      <c r="R955">
        <v>14</v>
      </c>
      <c r="S955" t="str">
        <f t="shared" si="42"/>
        <v>Child</v>
      </c>
      <c r="T955" t="str">
        <f t="shared" si="43"/>
        <v>Medium</v>
      </c>
      <c r="U955" t="str">
        <f t="shared" si="44"/>
        <v>Short Days</v>
      </c>
    </row>
    <row r="956" spans="1:21">
      <c r="A956" t="s">
        <v>972</v>
      </c>
      <c r="B956" s="5">
        <v>45489</v>
      </c>
      <c r="C956" t="s">
        <v>3211</v>
      </c>
      <c r="D956" t="s">
        <v>4810</v>
      </c>
      <c r="E956" t="s">
        <v>4867</v>
      </c>
      <c r="F956">
        <v>35</v>
      </c>
      <c r="G956" t="s">
        <v>4869</v>
      </c>
      <c r="H956" t="s">
        <v>4884</v>
      </c>
      <c r="I956" t="s">
        <v>4895</v>
      </c>
      <c r="J956" t="s">
        <v>4905</v>
      </c>
      <c r="K956" t="s">
        <v>4925</v>
      </c>
      <c r="L956" t="s">
        <v>4938</v>
      </c>
      <c r="M956" t="s">
        <v>4942</v>
      </c>
      <c r="N956" s="11">
        <v>1281.46</v>
      </c>
      <c r="O956" t="s">
        <v>15</v>
      </c>
      <c r="P956" t="s">
        <v>4952</v>
      </c>
      <c r="S956" t="str">
        <f t="shared" si="42"/>
        <v>Adult</v>
      </c>
      <c r="T956" t="str">
        <f t="shared" si="43"/>
        <v>Low</v>
      </c>
      <c r="U956" t="str">
        <f t="shared" si="44"/>
        <v>Short Days</v>
      </c>
    </row>
    <row r="957" spans="1:21">
      <c r="A957" t="s">
        <v>973</v>
      </c>
      <c r="B957" s="5">
        <v>45533</v>
      </c>
      <c r="C957" t="s">
        <v>3788</v>
      </c>
      <c r="D957" t="s">
        <v>4762</v>
      </c>
      <c r="E957" t="s">
        <v>4867</v>
      </c>
      <c r="F957">
        <v>18</v>
      </c>
      <c r="G957" t="s">
        <v>4882</v>
      </c>
      <c r="H957" t="s">
        <v>4891</v>
      </c>
      <c r="I957" t="s">
        <v>4901</v>
      </c>
      <c r="J957" t="s">
        <v>4921</v>
      </c>
      <c r="K957" t="s">
        <v>4931</v>
      </c>
      <c r="L957" t="s">
        <v>4936</v>
      </c>
      <c r="M957" t="s">
        <v>4945</v>
      </c>
      <c r="N957" s="11">
        <v>5045.08</v>
      </c>
      <c r="O957" t="s">
        <v>4947</v>
      </c>
      <c r="P957" t="s">
        <v>4951</v>
      </c>
      <c r="Q957">
        <v>5</v>
      </c>
      <c r="R957">
        <v>7</v>
      </c>
      <c r="S957" t="str">
        <f t="shared" si="42"/>
        <v>Adult</v>
      </c>
      <c r="T957" t="str">
        <f t="shared" si="43"/>
        <v>Medium</v>
      </c>
      <c r="U957" t="str">
        <f t="shared" si="44"/>
        <v>Short Days</v>
      </c>
    </row>
    <row r="958" spans="1:21">
      <c r="A958" t="s">
        <v>974</v>
      </c>
      <c r="B958" s="5">
        <v>45896</v>
      </c>
      <c r="C958" t="s">
        <v>3347</v>
      </c>
      <c r="D958" t="s">
        <v>4676</v>
      </c>
      <c r="E958" t="s">
        <v>4866</v>
      </c>
      <c r="F958">
        <v>15</v>
      </c>
      <c r="G958" t="s">
        <v>4875</v>
      </c>
      <c r="H958" t="s">
        <v>4889</v>
      </c>
      <c r="I958" t="s">
        <v>4896</v>
      </c>
      <c r="J958" t="s">
        <v>4906</v>
      </c>
      <c r="K958" t="s">
        <v>4925</v>
      </c>
      <c r="L958" t="s">
        <v>4938</v>
      </c>
      <c r="M958" t="s">
        <v>4944</v>
      </c>
      <c r="N958" s="11">
        <v>5397.9</v>
      </c>
      <c r="O958" t="s">
        <v>4946</v>
      </c>
      <c r="P958" t="s">
        <v>4951</v>
      </c>
      <c r="S958" t="str">
        <f t="shared" si="42"/>
        <v>Child</v>
      </c>
      <c r="T958" t="str">
        <f t="shared" si="43"/>
        <v>Medium</v>
      </c>
      <c r="U958" t="str">
        <f t="shared" si="44"/>
        <v>Short Days</v>
      </c>
    </row>
    <row r="959" spans="1:21">
      <c r="A959" t="s">
        <v>975</v>
      </c>
      <c r="B959" s="5">
        <v>45409</v>
      </c>
      <c r="C959" t="s">
        <v>3196</v>
      </c>
      <c r="D959" t="s">
        <v>4819</v>
      </c>
      <c r="E959" t="s">
        <v>4867</v>
      </c>
      <c r="F959">
        <v>44</v>
      </c>
      <c r="G959" t="s">
        <v>4869</v>
      </c>
      <c r="H959" t="s">
        <v>4884</v>
      </c>
      <c r="I959" t="s">
        <v>4901</v>
      </c>
      <c r="J959" t="s">
        <v>4914</v>
      </c>
      <c r="K959" t="s">
        <v>4926</v>
      </c>
      <c r="L959" t="s">
        <v>4935</v>
      </c>
      <c r="M959" t="s">
        <v>4942</v>
      </c>
      <c r="N959" s="11">
        <v>10162.6</v>
      </c>
      <c r="O959" t="s">
        <v>4947</v>
      </c>
      <c r="P959" t="s">
        <v>4951</v>
      </c>
      <c r="R959">
        <v>14</v>
      </c>
      <c r="S959" t="str">
        <f t="shared" si="42"/>
        <v>Middle-Aged</v>
      </c>
      <c r="T959" t="str">
        <f t="shared" si="43"/>
        <v>High</v>
      </c>
      <c r="U959" t="str">
        <f t="shared" si="44"/>
        <v>Short Days</v>
      </c>
    </row>
    <row r="960" spans="1:21">
      <c r="A960" t="s">
        <v>976</v>
      </c>
      <c r="B960" s="5">
        <v>45576</v>
      </c>
      <c r="C960" t="s">
        <v>3789</v>
      </c>
      <c r="D960" t="s">
        <v>4753</v>
      </c>
      <c r="E960" t="s">
        <v>4867</v>
      </c>
      <c r="F960">
        <v>24</v>
      </c>
      <c r="G960" t="s">
        <v>4877</v>
      </c>
      <c r="H960" t="s">
        <v>4888</v>
      </c>
      <c r="I960" t="s">
        <v>4899</v>
      </c>
      <c r="J960" t="s">
        <v>4912</v>
      </c>
      <c r="K960" t="s">
        <v>4924</v>
      </c>
      <c r="L960" t="s">
        <v>4936</v>
      </c>
      <c r="M960" t="s">
        <v>4942</v>
      </c>
      <c r="N960" s="11">
        <v>2137.8200000000002</v>
      </c>
      <c r="O960" t="s">
        <v>4946</v>
      </c>
      <c r="P960" t="s">
        <v>4951</v>
      </c>
      <c r="S960" t="str">
        <f t="shared" si="42"/>
        <v>Adult</v>
      </c>
      <c r="T960" t="str">
        <f t="shared" si="43"/>
        <v>Low</v>
      </c>
      <c r="U960" t="str">
        <f t="shared" si="44"/>
        <v>Short Days</v>
      </c>
    </row>
    <row r="961" spans="1:21">
      <c r="A961" t="s">
        <v>977</v>
      </c>
      <c r="B961" s="5">
        <v>45803</v>
      </c>
      <c r="C961" t="s">
        <v>3615</v>
      </c>
      <c r="D961" t="s">
        <v>4661</v>
      </c>
      <c r="E961" t="s">
        <v>4867</v>
      </c>
      <c r="F961">
        <v>49</v>
      </c>
      <c r="G961" t="s">
        <v>4872</v>
      </c>
      <c r="H961" t="s">
        <v>4887</v>
      </c>
      <c r="I961" t="s">
        <v>4893</v>
      </c>
      <c r="J961" t="s">
        <v>4917</v>
      </c>
      <c r="K961" t="s">
        <v>4924</v>
      </c>
      <c r="L961" t="s">
        <v>4935</v>
      </c>
      <c r="M961" t="s">
        <v>4942</v>
      </c>
      <c r="N961" s="11">
        <v>3449.9</v>
      </c>
      <c r="O961" t="s">
        <v>4950</v>
      </c>
      <c r="P961" t="s">
        <v>4951</v>
      </c>
      <c r="R961">
        <v>90</v>
      </c>
      <c r="S961" t="str">
        <f t="shared" si="42"/>
        <v>Middle-Aged</v>
      </c>
      <c r="T961" t="str">
        <f t="shared" si="43"/>
        <v>Low</v>
      </c>
      <c r="U961" t="str">
        <f t="shared" si="44"/>
        <v>Short Days</v>
      </c>
    </row>
    <row r="962" spans="1:21">
      <c r="A962" t="s">
        <v>978</v>
      </c>
      <c r="B962" s="5">
        <v>45874</v>
      </c>
      <c r="C962" t="s">
        <v>3459</v>
      </c>
      <c r="D962" t="s">
        <v>4825</v>
      </c>
      <c r="E962" t="s">
        <v>4866</v>
      </c>
      <c r="F962">
        <v>12</v>
      </c>
      <c r="G962" t="s">
        <v>4871</v>
      </c>
      <c r="H962" t="s">
        <v>4886</v>
      </c>
      <c r="I962" t="s">
        <v>4893</v>
      </c>
      <c r="J962" t="s">
        <v>4917</v>
      </c>
      <c r="K962" t="s">
        <v>4924</v>
      </c>
      <c r="L962" t="s">
        <v>4938</v>
      </c>
      <c r="M962" t="s">
        <v>4942</v>
      </c>
      <c r="N962" s="11">
        <v>11933.09</v>
      </c>
      <c r="O962" t="s">
        <v>4947</v>
      </c>
      <c r="P962" t="s">
        <v>4951</v>
      </c>
      <c r="R962">
        <v>7</v>
      </c>
      <c r="S962" t="str">
        <f t="shared" si="42"/>
        <v>Child</v>
      </c>
      <c r="T962" t="str">
        <f t="shared" si="43"/>
        <v>High</v>
      </c>
      <c r="U962" t="str">
        <f t="shared" si="44"/>
        <v>Short Days</v>
      </c>
    </row>
    <row r="963" spans="1:21">
      <c r="A963" t="s">
        <v>979</v>
      </c>
      <c r="B963" s="5">
        <v>45906</v>
      </c>
      <c r="C963" t="s">
        <v>3115</v>
      </c>
      <c r="D963" t="s">
        <v>4849</v>
      </c>
      <c r="E963" t="s">
        <v>4867</v>
      </c>
      <c r="F963">
        <v>0</v>
      </c>
      <c r="G963" t="s">
        <v>4880</v>
      </c>
      <c r="H963" t="s">
        <v>4890</v>
      </c>
      <c r="I963" t="s">
        <v>4898</v>
      </c>
      <c r="J963" t="s">
        <v>4918</v>
      </c>
      <c r="K963" t="s">
        <v>4932</v>
      </c>
      <c r="L963" t="s">
        <v>4939</v>
      </c>
      <c r="M963" t="s">
        <v>4942</v>
      </c>
      <c r="N963" s="11">
        <v>2874.86</v>
      </c>
      <c r="O963" t="s">
        <v>4949</v>
      </c>
      <c r="P963" t="s">
        <v>4951</v>
      </c>
      <c r="S963" t="str">
        <f t="shared" ref="S963:S1026" si="45">IF(F963&lt;18,"Child",IF(F963&lt;=40,"Adult",IF(F963&lt;=60,"Middle-Aged",IF(F963,"Senior"))))</f>
        <v>Child</v>
      </c>
      <c r="T963" t="str">
        <f t="shared" ref="T963:T1026" si="46">IF(N963&lt;=5000,"Low",IF(N963&lt;=10000,"Medium","High"))</f>
        <v>Low</v>
      </c>
      <c r="U963" t="str">
        <f t="shared" ref="U963:U1026" si="47">IF(Q963&lt;=5,"Short Days","Long Days")</f>
        <v>Short Days</v>
      </c>
    </row>
    <row r="964" spans="1:21">
      <c r="A964" t="s">
        <v>980</v>
      </c>
      <c r="B964" s="5">
        <v>45808</v>
      </c>
      <c r="C964" t="s">
        <v>3790</v>
      </c>
      <c r="D964" t="s">
        <v>4821</v>
      </c>
      <c r="E964" t="s">
        <v>4866</v>
      </c>
      <c r="F964">
        <v>30</v>
      </c>
      <c r="G964" t="s">
        <v>4878</v>
      </c>
      <c r="H964" t="s">
        <v>4889</v>
      </c>
      <c r="I964" t="s">
        <v>4900</v>
      </c>
      <c r="J964" t="s">
        <v>4919</v>
      </c>
      <c r="K964" t="s">
        <v>4927</v>
      </c>
      <c r="L964" t="s">
        <v>4939</v>
      </c>
      <c r="M964" t="s">
        <v>4943</v>
      </c>
      <c r="N964" s="11">
        <v>5195.43</v>
      </c>
      <c r="O964" t="s">
        <v>4949</v>
      </c>
      <c r="P964" t="s">
        <v>4951</v>
      </c>
      <c r="S964" t="str">
        <f t="shared" si="45"/>
        <v>Adult</v>
      </c>
      <c r="T964" t="str">
        <f t="shared" si="46"/>
        <v>Medium</v>
      </c>
      <c r="U964" t="str">
        <f t="shared" si="47"/>
        <v>Short Days</v>
      </c>
    </row>
    <row r="965" spans="1:21">
      <c r="A965" t="s">
        <v>981</v>
      </c>
      <c r="B965" s="5">
        <v>45879</v>
      </c>
      <c r="C965" t="s">
        <v>3791</v>
      </c>
      <c r="D965" t="s">
        <v>4606</v>
      </c>
      <c r="E965" t="s">
        <v>4866</v>
      </c>
      <c r="F965">
        <v>29</v>
      </c>
      <c r="G965" t="s">
        <v>4876</v>
      </c>
      <c r="H965" t="s">
        <v>4888</v>
      </c>
      <c r="I965" t="s">
        <v>4897</v>
      </c>
      <c r="J965" t="s">
        <v>4922</v>
      </c>
      <c r="K965" t="s">
        <v>4930</v>
      </c>
      <c r="L965" t="s">
        <v>4937</v>
      </c>
      <c r="M965" t="s">
        <v>4944</v>
      </c>
      <c r="N965" s="11">
        <v>23628.97</v>
      </c>
      <c r="O965" t="s">
        <v>4949</v>
      </c>
      <c r="P965" t="s">
        <v>4951</v>
      </c>
      <c r="S965" t="str">
        <f t="shared" si="45"/>
        <v>Adult</v>
      </c>
      <c r="T965" t="str">
        <f t="shared" si="46"/>
        <v>High</v>
      </c>
      <c r="U965" t="str">
        <f t="shared" si="47"/>
        <v>Short Days</v>
      </c>
    </row>
    <row r="966" spans="1:21">
      <c r="A966" t="s">
        <v>982</v>
      </c>
      <c r="B966" s="5">
        <v>45904</v>
      </c>
      <c r="C966" t="s">
        <v>3549</v>
      </c>
      <c r="D966" t="s">
        <v>4858</v>
      </c>
      <c r="E966" t="s">
        <v>4867</v>
      </c>
      <c r="F966">
        <v>39</v>
      </c>
      <c r="G966" t="s">
        <v>4875</v>
      </c>
      <c r="H966" t="s">
        <v>4889</v>
      </c>
      <c r="I966" t="s">
        <v>4894</v>
      </c>
      <c r="J966" t="s">
        <v>4910</v>
      </c>
      <c r="K966" t="s">
        <v>4926</v>
      </c>
      <c r="L966" t="s">
        <v>4941</v>
      </c>
      <c r="M966" t="s">
        <v>4942</v>
      </c>
      <c r="N966" s="11">
        <v>1854.14</v>
      </c>
      <c r="O966" t="s">
        <v>15</v>
      </c>
      <c r="P966" t="s">
        <v>4952</v>
      </c>
      <c r="R966">
        <v>7</v>
      </c>
      <c r="S966" t="str">
        <f t="shared" si="45"/>
        <v>Adult</v>
      </c>
      <c r="T966" t="str">
        <f t="shared" si="46"/>
        <v>Low</v>
      </c>
      <c r="U966" t="str">
        <f t="shared" si="47"/>
        <v>Short Days</v>
      </c>
    </row>
    <row r="967" spans="1:21">
      <c r="A967" t="s">
        <v>983</v>
      </c>
      <c r="B967" s="5">
        <v>45364</v>
      </c>
      <c r="C967" t="s">
        <v>3750</v>
      </c>
      <c r="D967" t="s">
        <v>4680</v>
      </c>
      <c r="E967" t="s">
        <v>4866</v>
      </c>
      <c r="F967">
        <v>16</v>
      </c>
      <c r="G967" t="s">
        <v>4873</v>
      </c>
      <c r="H967" t="s">
        <v>4888</v>
      </c>
      <c r="I967" t="s">
        <v>4899</v>
      </c>
      <c r="J967" t="s">
        <v>4911</v>
      </c>
      <c r="K967" t="s">
        <v>4926</v>
      </c>
      <c r="L967" t="s">
        <v>4935</v>
      </c>
      <c r="M967" t="s">
        <v>4944</v>
      </c>
      <c r="N967" s="11">
        <v>8983.0300000000007</v>
      </c>
      <c r="O967" t="s">
        <v>4948</v>
      </c>
      <c r="P967" t="s">
        <v>4951</v>
      </c>
      <c r="R967">
        <v>7</v>
      </c>
      <c r="S967" t="str">
        <f t="shared" si="45"/>
        <v>Child</v>
      </c>
      <c r="T967" t="str">
        <f t="shared" si="46"/>
        <v>Medium</v>
      </c>
      <c r="U967" t="str">
        <f t="shared" si="47"/>
        <v>Short Days</v>
      </c>
    </row>
    <row r="968" spans="1:21">
      <c r="A968" t="s">
        <v>984</v>
      </c>
      <c r="B968" s="5">
        <v>45697</v>
      </c>
      <c r="C968" t="s">
        <v>3231</v>
      </c>
      <c r="D968" t="s">
        <v>4787</v>
      </c>
      <c r="E968" t="s">
        <v>4866</v>
      </c>
      <c r="F968">
        <v>68</v>
      </c>
      <c r="G968" t="s">
        <v>4869</v>
      </c>
      <c r="H968" t="s">
        <v>4884</v>
      </c>
      <c r="I968" t="s">
        <v>4899</v>
      </c>
      <c r="J968" t="s">
        <v>4911</v>
      </c>
      <c r="K968" t="s">
        <v>4929</v>
      </c>
      <c r="L968" t="s">
        <v>4941</v>
      </c>
      <c r="M968" t="s">
        <v>4944</v>
      </c>
      <c r="N968" s="11">
        <v>11012.33</v>
      </c>
      <c r="O968" t="s">
        <v>4948</v>
      </c>
      <c r="P968" t="s">
        <v>4951</v>
      </c>
      <c r="R968">
        <v>90</v>
      </c>
      <c r="S968" t="str">
        <f t="shared" si="45"/>
        <v>Senior</v>
      </c>
      <c r="T968" t="str">
        <f t="shared" si="46"/>
        <v>High</v>
      </c>
      <c r="U968" t="str">
        <f t="shared" si="47"/>
        <v>Short Days</v>
      </c>
    </row>
    <row r="969" spans="1:21">
      <c r="A969" t="s">
        <v>985</v>
      </c>
      <c r="B969" s="5">
        <v>45911</v>
      </c>
      <c r="C969" t="s">
        <v>3792</v>
      </c>
      <c r="D969" t="s">
        <v>4779</v>
      </c>
      <c r="E969" t="s">
        <v>4867</v>
      </c>
      <c r="F969">
        <v>21</v>
      </c>
      <c r="G969" t="s">
        <v>4873</v>
      </c>
      <c r="H969" t="s">
        <v>4888</v>
      </c>
      <c r="I969" t="s">
        <v>4901</v>
      </c>
      <c r="J969" t="s">
        <v>4921</v>
      </c>
      <c r="K969" t="s">
        <v>4926</v>
      </c>
      <c r="L969" t="s">
        <v>4941</v>
      </c>
      <c r="M969" t="s">
        <v>4942</v>
      </c>
      <c r="N969" s="11">
        <v>1133.3499999999999</v>
      </c>
      <c r="O969" t="s">
        <v>15</v>
      </c>
      <c r="P969" t="s">
        <v>4952</v>
      </c>
      <c r="R969">
        <v>7</v>
      </c>
      <c r="S969" t="str">
        <f t="shared" si="45"/>
        <v>Adult</v>
      </c>
      <c r="T969" t="str">
        <f t="shared" si="46"/>
        <v>Low</v>
      </c>
      <c r="U969" t="str">
        <f t="shared" si="47"/>
        <v>Short Days</v>
      </c>
    </row>
    <row r="970" spans="1:21">
      <c r="A970" t="s">
        <v>986</v>
      </c>
      <c r="B970" s="5">
        <v>45328</v>
      </c>
      <c r="C970" t="s">
        <v>3793</v>
      </c>
      <c r="D970" t="s">
        <v>4614</v>
      </c>
      <c r="E970" t="s">
        <v>4867</v>
      </c>
      <c r="F970">
        <v>64</v>
      </c>
      <c r="G970" t="s">
        <v>4872</v>
      </c>
      <c r="H970" t="s">
        <v>4887</v>
      </c>
      <c r="I970" t="s">
        <v>4895</v>
      </c>
      <c r="J970" t="s">
        <v>4905</v>
      </c>
      <c r="K970" t="s">
        <v>4925</v>
      </c>
      <c r="L970" t="s">
        <v>4936</v>
      </c>
      <c r="M970" t="s">
        <v>4942</v>
      </c>
      <c r="N970" s="11">
        <v>8717.86</v>
      </c>
      <c r="O970" t="s">
        <v>4949</v>
      </c>
      <c r="P970" t="s">
        <v>4951</v>
      </c>
      <c r="R970">
        <v>90</v>
      </c>
      <c r="S970" t="str">
        <f t="shared" si="45"/>
        <v>Senior</v>
      </c>
      <c r="T970" t="str">
        <f t="shared" si="46"/>
        <v>Medium</v>
      </c>
      <c r="U970" t="str">
        <f t="shared" si="47"/>
        <v>Short Days</v>
      </c>
    </row>
    <row r="971" spans="1:21">
      <c r="A971" t="s">
        <v>987</v>
      </c>
      <c r="B971" s="5">
        <v>45438</v>
      </c>
      <c r="C971" t="s">
        <v>3794</v>
      </c>
      <c r="D971" t="s">
        <v>4672</v>
      </c>
      <c r="E971" t="s">
        <v>4867</v>
      </c>
      <c r="F971">
        <v>18</v>
      </c>
      <c r="G971" t="s">
        <v>4878</v>
      </c>
      <c r="H971" t="s">
        <v>4889</v>
      </c>
      <c r="I971" t="s">
        <v>4896</v>
      </c>
      <c r="J971" t="s">
        <v>4906</v>
      </c>
      <c r="K971" t="s">
        <v>4928</v>
      </c>
      <c r="L971" t="s">
        <v>4934</v>
      </c>
      <c r="M971" t="s">
        <v>4942</v>
      </c>
      <c r="N971" s="11">
        <v>3237.52</v>
      </c>
      <c r="O971" t="s">
        <v>4946</v>
      </c>
      <c r="P971" t="s">
        <v>4951</v>
      </c>
      <c r="R971">
        <v>30</v>
      </c>
      <c r="S971" t="str">
        <f t="shared" si="45"/>
        <v>Adult</v>
      </c>
      <c r="T971" t="str">
        <f t="shared" si="46"/>
        <v>Low</v>
      </c>
      <c r="U971" t="str">
        <f t="shared" si="47"/>
        <v>Short Days</v>
      </c>
    </row>
    <row r="972" spans="1:21">
      <c r="A972" t="s">
        <v>988</v>
      </c>
      <c r="B972" s="5">
        <v>45810</v>
      </c>
      <c r="C972" t="s">
        <v>3795</v>
      </c>
      <c r="D972" t="s">
        <v>4659</v>
      </c>
      <c r="E972" t="s">
        <v>4866</v>
      </c>
      <c r="F972">
        <v>35</v>
      </c>
      <c r="G972" t="s">
        <v>4876</v>
      </c>
      <c r="H972" t="s">
        <v>4888</v>
      </c>
      <c r="I972" t="s">
        <v>4898</v>
      </c>
      <c r="J972" t="s">
        <v>4909</v>
      </c>
      <c r="K972" t="s">
        <v>4932</v>
      </c>
      <c r="L972" t="s">
        <v>4940</v>
      </c>
      <c r="M972" t="s">
        <v>4942</v>
      </c>
      <c r="N972" s="11">
        <v>7905.02</v>
      </c>
      <c r="O972" t="s">
        <v>15</v>
      </c>
      <c r="P972" t="s">
        <v>4952</v>
      </c>
      <c r="R972">
        <v>30</v>
      </c>
      <c r="S972" t="str">
        <f t="shared" si="45"/>
        <v>Adult</v>
      </c>
      <c r="T972" t="str">
        <f t="shared" si="46"/>
        <v>Medium</v>
      </c>
      <c r="U972" t="str">
        <f t="shared" si="47"/>
        <v>Short Days</v>
      </c>
    </row>
    <row r="973" spans="1:21">
      <c r="A973" t="s">
        <v>989</v>
      </c>
      <c r="B973" s="5">
        <v>45719</v>
      </c>
      <c r="C973" t="s">
        <v>3796</v>
      </c>
      <c r="D973" t="s">
        <v>4616</v>
      </c>
      <c r="E973" t="s">
        <v>4867</v>
      </c>
      <c r="F973">
        <v>23</v>
      </c>
      <c r="G973" t="s">
        <v>4882</v>
      </c>
      <c r="H973" t="s">
        <v>4891</v>
      </c>
      <c r="I973" t="s">
        <v>4898</v>
      </c>
      <c r="J973" t="s">
        <v>4918</v>
      </c>
      <c r="K973" t="s">
        <v>4931</v>
      </c>
      <c r="L973" t="s">
        <v>4937</v>
      </c>
      <c r="M973" t="s">
        <v>4942</v>
      </c>
      <c r="N973" s="11">
        <v>3124.88</v>
      </c>
      <c r="O973" t="s">
        <v>15</v>
      </c>
      <c r="P973" t="s">
        <v>4952</v>
      </c>
      <c r="R973">
        <v>7</v>
      </c>
      <c r="S973" t="str">
        <f t="shared" si="45"/>
        <v>Adult</v>
      </c>
      <c r="T973" t="str">
        <f t="shared" si="46"/>
        <v>Low</v>
      </c>
      <c r="U973" t="str">
        <f t="shared" si="47"/>
        <v>Short Days</v>
      </c>
    </row>
    <row r="974" spans="1:21">
      <c r="A974" t="s">
        <v>990</v>
      </c>
      <c r="B974" s="5">
        <v>45534</v>
      </c>
      <c r="C974" t="s">
        <v>3072</v>
      </c>
      <c r="D974" t="s">
        <v>4743</v>
      </c>
      <c r="E974" t="s">
        <v>4866</v>
      </c>
      <c r="F974">
        <v>20</v>
      </c>
      <c r="G974" t="s">
        <v>4872</v>
      </c>
      <c r="H974" t="s">
        <v>4887</v>
      </c>
      <c r="I974" t="s">
        <v>4901</v>
      </c>
      <c r="J974" t="s">
        <v>4921</v>
      </c>
      <c r="K974" t="s">
        <v>4925</v>
      </c>
      <c r="L974" t="s">
        <v>4938</v>
      </c>
      <c r="M974" t="s">
        <v>4942</v>
      </c>
      <c r="N974" s="11">
        <v>7094.07</v>
      </c>
      <c r="O974" t="s">
        <v>15</v>
      </c>
      <c r="P974" t="s">
        <v>4952</v>
      </c>
      <c r="R974">
        <v>7</v>
      </c>
      <c r="S974" t="str">
        <f t="shared" si="45"/>
        <v>Adult</v>
      </c>
      <c r="T974" t="str">
        <f t="shared" si="46"/>
        <v>Medium</v>
      </c>
      <c r="U974" t="str">
        <f t="shared" si="47"/>
        <v>Short Days</v>
      </c>
    </row>
    <row r="975" spans="1:21">
      <c r="A975" t="s">
        <v>991</v>
      </c>
      <c r="B975" s="5">
        <v>45844</v>
      </c>
      <c r="C975" t="s">
        <v>3797</v>
      </c>
      <c r="D975" t="s">
        <v>4670</v>
      </c>
      <c r="E975" t="s">
        <v>4866</v>
      </c>
      <c r="F975">
        <v>48</v>
      </c>
      <c r="G975" t="s">
        <v>4877</v>
      </c>
      <c r="H975" t="s">
        <v>4888</v>
      </c>
      <c r="I975" t="s">
        <v>4898</v>
      </c>
      <c r="J975" t="s">
        <v>4909</v>
      </c>
      <c r="K975" t="s">
        <v>4928</v>
      </c>
      <c r="L975" t="s">
        <v>4934</v>
      </c>
      <c r="M975" t="s">
        <v>4944</v>
      </c>
      <c r="N975" s="11">
        <v>15791.65</v>
      </c>
      <c r="O975" t="s">
        <v>4946</v>
      </c>
      <c r="P975" t="s">
        <v>4951</v>
      </c>
      <c r="S975" t="str">
        <f t="shared" si="45"/>
        <v>Middle-Aged</v>
      </c>
      <c r="T975" t="str">
        <f t="shared" si="46"/>
        <v>High</v>
      </c>
      <c r="U975" t="str">
        <f t="shared" si="47"/>
        <v>Short Days</v>
      </c>
    </row>
    <row r="976" spans="1:21">
      <c r="A976" t="s">
        <v>992</v>
      </c>
      <c r="B976" s="5">
        <v>45817</v>
      </c>
      <c r="C976" t="s">
        <v>3798</v>
      </c>
      <c r="D976" t="s">
        <v>4844</v>
      </c>
      <c r="E976" t="s">
        <v>4867</v>
      </c>
      <c r="F976">
        <v>61</v>
      </c>
      <c r="G976" t="s">
        <v>4875</v>
      </c>
      <c r="H976" t="s">
        <v>4889</v>
      </c>
      <c r="I976" t="s">
        <v>4899</v>
      </c>
      <c r="J976" t="s">
        <v>4911</v>
      </c>
      <c r="K976" t="s">
        <v>4929</v>
      </c>
      <c r="L976" t="s">
        <v>4941</v>
      </c>
      <c r="M976" t="s">
        <v>4944</v>
      </c>
      <c r="N976" s="11">
        <v>12419.5</v>
      </c>
      <c r="O976" t="s">
        <v>4946</v>
      </c>
      <c r="P976" t="s">
        <v>4951</v>
      </c>
      <c r="R976">
        <v>30</v>
      </c>
      <c r="S976" t="str">
        <f t="shared" si="45"/>
        <v>Senior</v>
      </c>
      <c r="T976" t="str">
        <f t="shared" si="46"/>
        <v>High</v>
      </c>
      <c r="U976" t="str">
        <f t="shared" si="47"/>
        <v>Short Days</v>
      </c>
    </row>
    <row r="977" spans="1:21">
      <c r="A977" t="s">
        <v>993</v>
      </c>
      <c r="B977" s="5">
        <v>45333</v>
      </c>
      <c r="C977" t="s">
        <v>3582</v>
      </c>
      <c r="D977" t="s">
        <v>4850</v>
      </c>
      <c r="E977" t="s">
        <v>4867</v>
      </c>
      <c r="F977">
        <v>24</v>
      </c>
      <c r="G977" t="s">
        <v>4883</v>
      </c>
      <c r="H977" t="s">
        <v>4892</v>
      </c>
      <c r="I977" t="s">
        <v>4893</v>
      </c>
      <c r="J977" t="s">
        <v>4903</v>
      </c>
      <c r="K977" t="s">
        <v>4929</v>
      </c>
      <c r="L977" t="s">
        <v>4939</v>
      </c>
      <c r="M977" t="s">
        <v>4942</v>
      </c>
      <c r="N977" s="11">
        <v>8334.7000000000007</v>
      </c>
      <c r="O977" t="s">
        <v>4946</v>
      </c>
      <c r="P977" t="s">
        <v>4951</v>
      </c>
      <c r="R977">
        <v>90</v>
      </c>
      <c r="S977" t="str">
        <f t="shared" si="45"/>
        <v>Adult</v>
      </c>
      <c r="T977" t="str">
        <f t="shared" si="46"/>
        <v>Medium</v>
      </c>
      <c r="U977" t="str">
        <f t="shared" si="47"/>
        <v>Short Days</v>
      </c>
    </row>
    <row r="978" spans="1:21">
      <c r="A978" t="s">
        <v>994</v>
      </c>
      <c r="B978" s="5">
        <v>45523</v>
      </c>
      <c r="C978" t="s">
        <v>3799</v>
      </c>
      <c r="D978" t="s">
        <v>4731</v>
      </c>
      <c r="E978" t="s">
        <v>4867</v>
      </c>
      <c r="F978">
        <v>14</v>
      </c>
      <c r="G978" t="s">
        <v>4875</v>
      </c>
      <c r="H978" t="s">
        <v>4889</v>
      </c>
      <c r="I978" t="s">
        <v>4900</v>
      </c>
      <c r="J978" t="s">
        <v>4913</v>
      </c>
      <c r="K978" t="s">
        <v>4932</v>
      </c>
      <c r="L978" t="s">
        <v>4938</v>
      </c>
      <c r="M978" t="s">
        <v>4942</v>
      </c>
      <c r="N978" s="11">
        <v>1743.43</v>
      </c>
      <c r="O978" t="s">
        <v>4949</v>
      </c>
      <c r="P978" t="s">
        <v>4951</v>
      </c>
      <c r="R978">
        <v>14</v>
      </c>
      <c r="S978" t="str">
        <f t="shared" si="45"/>
        <v>Child</v>
      </c>
      <c r="T978" t="str">
        <f t="shared" si="46"/>
        <v>Low</v>
      </c>
      <c r="U978" t="str">
        <f t="shared" si="47"/>
        <v>Short Days</v>
      </c>
    </row>
    <row r="979" spans="1:21">
      <c r="A979" t="s">
        <v>995</v>
      </c>
      <c r="B979" s="5">
        <v>45908</v>
      </c>
      <c r="C979" t="s">
        <v>3800</v>
      </c>
      <c r="D979" t="s">
        <v>4686</v>
      </c>
      <c r="E979" t="s">
        <v>4866</v>
      </c>
      <c r="F979">
        <v>57</v>
      </c>
      <c r="G979" t="s">
        <v>4880</v>
      </c>
      <c r="H979" t="s">
        <v>4890</v>
      </c>
      <c r="I979" t="s">
        <v>4895</v>
      </c>
      <c r="J979" t="s">
        <v>4915</v>
      </c>
      <c r="K979" t="s">
        <v>4929</v>
      </c>
      <c r="L979" t="s">
        <v>4940</v>
      </c>
      <c r="M979" t="s">
        <v>4942</v>
      </c>
      <c r="N979" s="11">
        <v>566.84</v>
      </c>
      <c r="O979" t="s">
        <v>15</v>
      </c>
      <c r="P979" t="s">
        <v>4952</v>
      </c>
      <c r="S979" t="str">
        <f t="shared" si="45"/>
        <v>Middle-Aged</v>
      </c>
      <c r="T979" t="str">
        <f t="shared" si="46"/>
        <v>Low</v>
      </c>
      <c r="U979" t="str">
        <f t="shared" si="47"/>
        <v>Short Days</v>
      </c>
    </row>
    <row r="980" spans="1:21">
      <c r="A980" t="s">
        <v>996</v>
      </c>
      <c r="B980" s="5">
        <v>45880</v>
      </c>
      <c r="C980" t="s">
        <v>3792</v>
      </c>
      <c r="D980" t="s">
        <v>4776</v>
      </c>
      <c r="E980" t="s">
        <v>4867</v>
      </c>
      <c r="F980">
        <v>30</v>
      </c>
      <c r="G980" t="s">
        <v>4877</v>
      </c>
      <c r="H980" t="s">
        <v>4888</v>
      </c>
      <c r="I980" t="s">
        <v>4895</v>
      </c>
      <c r="J980" t="s">
        <v>4915</v>
      </c>
      <c r="K980" t="s">
        <v>4924</v>
      </c>
      <c r="L980" t="s">
        <v>4935</v>
      </c>
      <c r="M980" t="s">
        <v>4944</v>
      </c>
      <c r="N980" s="11">
        <v>22999.61</v>
      </c>
      <c r="O980" t="s">
        <v>4949</v>
      </c>
      <c r="P980" t="s">
        <v>4951</v>
      </c>
      <c r="R980">
        <v>30</v>
      </c>
      <c r="S980" t="str">
        <f t="shared" si="45"/>
        <v>Adult</v>
      </c>
      <c r="T980" t="str">
        <f t="shared" si="46"/>
        <v>High</v>
      </c>
      <c r="U980" t="str">
        <f t="shared" si="47"/>
        <v>Short Days</v>
      </c>
    </row>
    <row r="981" spans="1:21">
      <c r="A981" t="s">
        <v>997</v>
      </c>
      <c r="B981" s="5">
        <v>45597</v>
      </c>
      <c r="C981" t="s">
        <v>3801</v>
      </c>
      <c r="D981" t="s">
        <v>4767</v>
      </c>
      <c r="E981" t="s">
        <v>4867</v>
      </c>
      <c r="F981">
        <v>24</v>
      </c>
      <c r="G981" t="s">
        <v>4871</v>
      </c>
      <c r="H981" t="s">
        <v>4886</v>
      </c>
      <c r="I981" t="s">
        <v>4893</v>
      </c>
      <c r="J981" t="s">
        <v>4917</v>
      </c>
      <c r="K981" t="s">
        <v>4932</v>
      </c>
      <c r="L981" t="s">
        <v>4941</v>
      </c>
      <c r="M981" t="s">
        <v>4942</v>
      </c>
      <c r="N981" s="11">
        <v>4133.6499999999996</v>
      </c>
      <c r="O981" t="s">
        <v>4946</v>
      </c>
      <c r="P981" t="s">
        <v>4951</v>
      </c>
      <c r="S981" t="str">
        <f t="shared" si="45"/>
        <v>Adult</v>
      </c>
      <c r="T981" t="str">
        <f t="shared" si="46"/>
        <v>Low</v>
      </c>
      <c r="U981" t="str">
        <f t="shared" si="47"/>
        <v>Short Days</v>
      </c>
    </row>
    <row r="982" spans="1:21">
      <c r="A982" t="s">
        <v>998</v>
      </c>
      <c r="B982" s="5">
        <v>45801</v>
      </c>
      <c r="C982" t="s">
        <v>3227</v>
      </c>
      <c r="D982" t="s">
        <v>4743</v>
      </c>
      <c r="E982" t="s">
        <v>4866</v>
      </c>
      <c r="F982">
        <v>37</v>
      </c>
      <c r="G982" t="s">
        <v>4878</v>
      </c>
      <c r="H982" t="s">
        <v>4889</v>
      </c>
      <c r="I982" t="s">
        <v>4902</v>
      </c>
      <c r="J982" t="s">
        <v>4916</v>
      </c>
      <c r="K982" t="s">
        <v>4932</v>
      </c>
      <c r="L982" t="s">
        <v>4940</v>
      </c>
      <c r="M982" t="s">
        <v>4942</v>
      </c>
      <c r="N982" s="11">
        <v>1100.04</v>
      </c>
      <c r="O982" t="s">
        <v>4948</v>
      </c>
      <c r="P982" t="s">
        <v>4951</v>
      </c>
      <c r="S982" t="str">
        <f t="shared" si="45"/>
        <v>Adult</v>
      </c>
      <c r="T982" t="str">
        <f t="shared" si="46"/>
        <v>Low</v>
      </c>
      <c r="U982" t="str">
        <f t="shared" si="47"/>
        <v>Short Days</v>
      </c>
    </row>
    <row r="983" spans="1:21">
      <c r="A983" t="s">
        <v>999</v>
      </c>
      <c r="B983" s="5">
        <v>45423</v>
      </c>
      <c r="C983" t="s">
        <v>3802</v>
      </c>
      <c r="D983" t="s">
        <v>4643</v>
      </c>
      <c r="E983" t="s">
        <v>4867</v>
      </c>
      <c r="F983">
        <v>44</v>
      </c>
      <c r="G983" t="s">
        <v>4880</v>
      </c>
      <c r="H983" t="s">
        <v>4890</v>
      </c>
      <c r="I983" t="s">
        <v>4898</v>
      </c>
      <c r="J983" t="s">
        <v>4918</v>
      </c>
      <c r="K983" t="s">
        <v>4931</v>
      </c>
      <c r="L983" t="s">
        <v>4937</v>
      </c>
      <c r="M983" t="s">
        <v>4943</v>
      </c>
      <c r="N983" s="11">
        <v>18942.75</v>
      </c>
      <c r="O983" t="s">
        <v>4947</v>
      </c>
      <c r="P983" t="s">
        <v>4951</v>
      </c>
      <c r="R983">
        <v>90</v>
      </c>
      <c r="S983" t="str">
        <f t="shared" si="45"/>
        <v>Middle-Aged</v>
      </c>
      <c r="T983" t="str">
        <f t="shared" si="46"/>
        <v>High</v>
      </c>
      <c r="U983" t="str">
        <f t="shared" si="47"/>
        <v>Short Days</v>
      </c>
    </row>
    <row r="984" spans="1:21">
      <c r="A984" t="s">
        <v>1000</v>
      </c>
      <c r="B984" s="5">
        <v>45723</v>
      </c>
      <c r="C984" t="s">
        <v>3803</v>
      </c>
      <c r="D984" t="s">
        <v>4638</v>
      </c>
      <c r="E984" t="s">
        <v>4867</v>
      </c>
      <c r="F984">
        <v>25</v>
      </c>
      <c r="G984" t="s">
        <v>4870</v>
      </c>
      <c r="H984" t="s">
        <v>4885</v>
      </c>
      <c r="I984" t="s">
        <v>4900</v>
      </c>
      <c r="J984" t="s">
        <v>4919</v>
      </c>
      <c r="K984" t="s">
        <v>4929</v>
      </c>
      <c r="L984" t="s">
        <v>4940</v>
      </c>
      <c r="M984" t="s">
        <v>4942</v>
      </c>
      <c r="N984" s="11">
        <v>1500.27</v>
      </c>
      <c r="O984" t="s">
        <v>4946</v>
      </c>
      <c r="P984" t="s">
        <v>4951</v>
      </c>
      <c r="R984">
        <v>30</v>
      </c>
      <c r="S984" t="str">
        <f t="shared" si="45"/>
        <v>Adult</v>
      </c>
      <c r="T984" t="str">
        <f t="shared" si="46"/>
        <v>Low</v>
      </c>
      <c r="U984" t="str">
        <f t="shared" si="47"/>
        <v>Short Days</v>
      </c>
    </row>
    <row r="985" spans="1:21">
      <c r="A985" t="s">
        <v>1001</v>
      </c>
      <c r="B985" s="5">
        <v>45925</v>
      </c>
      <c r="C985" t="s">
        <v>3804</v>
      </c>
      <c r="D985" t="s">
        <v>4796</v>
      </c>
      <c r="E985" t="s">
        <v>4867</v>
      </c>
      <c r="F985">
        <v>68</v>
      </c>
      <c r="G985" t="s">
        <v>4874</v>
      </c>
      <c r="H985" t="s">
        <v>4886</v>
      </c>
      <c r="I985" t="s">
        <v>4898</v>
      </c>
      <c r="J985" t="s">
        <v>4918</v>
      </c>
      <c r="K985" t="s">
        <v>4933</v>
      </c>
      <c r="L985" t="s">
        <v>4934</v>
      </c>
      <c r="M985" t="s">
        <v>4944</v>
      </c>
      <c r="N985" s="11">
        <v>6770.48</v>
      </c>
      <c r="O985" t="s">
        <v>4949</v>
      </c>
      <c r="P985" t="s">
        <v>4951</v>
      </c>
      <c r="R985">
        <v>90</v>
      </c>
      <c r="S985" t="str">
        <f t="shared" si="45"/>
        <v>Senior</v>
      </c>
      <c r="T985" t="str">
        <f t="shared" si="46"/>
        <v>Medium</v>
      </c>
      <c r="U985" t="str">
        <f t="shared" si="47"/>
        <v>Short Days</v>
      </c>
    </row>
    <row r="986" spans="1:21">
      <c r="A986" t="s">
        <v>1002</v>
      </c>
      <c r="B986" s="5">
        <v>45733</v>
      </c>
      <c r="C986" t="s">
        <v>3805</v>
      </c>
      <c r="D986" t="s">
        <v>4776</v>
      </c>
      <c r="E986" t="s">
        <v>4867</v>
      </c>
      <c r="F986">
        <v>48</v>
      </c>
      <c r="G986" t="s">
        <v>4869</v>
      </c>
      <c r="H986" t="s">
        <v>4884</v>
      </c>
      <c r="I986" t="s">
        <v>4901</v>
      </c>
      <c r="J986" t="s">
        <v>4914</v>
      </c>
      <c r="K986" t="s">
        <v>4924</v>
      </c>
      <c r="L986" t="s">
        <v>4937</v>
      </c>
      <c r="M986" t="s">
        <v>4943</v>
      </c>
      <c r="N986" s="11">
        <v>12292.38</v>
      </c>
      <c r="O986" t="s">
        <v>4947</v>
      </c>
      <c r="P986" t="s">
        <v>4951</v>
      </c>
      <c r="S986" t="str">
        <f t="shared" si="45"/>
        <v>Middle-Aged</v>
      </c>
      <c r="T986" t="str">
        <f t="shared" si="46"/>
        <v>High</v>
      </c>
      <c r="U986" t="str">
        <f t="shared" si="47"/>
        <v>Short Days</v>
      </c>
    </row>
    <row r="987" spans="1:21">
      <c r="A987" t="s">
        <v>1003</v>
      </c>
      <c r="B987" s="5">
        <v>45438</v>
      </c>
      <c r="C987" t="s">
        <v>3407</v>
      </c>
      <c r="D987" t="s">
        <v>4752</v>
      </c>
      <c r="E987" t="s">
        <v>4867</v>
      </c>
      <c r="F987">
        <v>83</v>
      </c>
      <c r="G987" t="s">
        <v>4880</v>
      </c>
      <c r="H987" t="s">
        <v>4890</v>
      </c>
      <c r="I987" t="s">
        <v>4896</v>
      </c>
      <c r="J987" t="s">
        <v>4906</v>
      </c>
      <c r="K987" t="s">
        <v>4929</v>
      </c>
      <c r="L987" t="s">
        <v>4941</v>
      </c>
      <c r="M987" t="s">
        <v>4942</v>
      </c>
      <c r="N987" s="11">
        <v>4339.97</v>
      </c>
      <c r="O987" t="s">
        <v>4947</v>
      </c>
      <c r="P987" t="s">
        <v>4951</v>
      </c>
      <c r="R987">
        <v>90</v>
      </c>
      <c r="S987" t="str">
        <f t="shared" si="45"/>
        <v>Senior</v>
      </c>
      <c r="T987" t="str">
        <f t="shared" si="46"/>
        <v>Low</v>
      </c>
      <c r="U987" t="str">
        <f t="shared" si="47"/>
        <v>Short Days</v>
      </c>
    </row>
    <row r="988" spans="1:21">
      <c r="A988" t="s">
        <v>1004</v>
      </c>
      <c r="B988" s="5">
        <v>45432</v>
      </c>
      <c r="C988" t="s">
        <v>3806</v>
      </c>
      <c r="D988" t="s">
        <v>4825</v>
      </c>
      <c r="E988" t="s">
        <v>4866</v>
      </c>
      <c r="F988">
        <v>46</v>
      </c>
      <c r="G988" t="s">
        <v>4874</v>
      </c>
      <c r="H988" t="s">
        <v>4886</v>
      </c>
      <c r="I988" t="s">
        <v>4902</v>
      </c>
      <c r="J988" t="s">
        <v>4920</v>
      </c>
      <c r="K988" t="s">
        <v>4933</v>
      </c>
      <c r="L988" t="s">
        <v>4938</v>
      </c>
      <c r="M988" t="s">
        <v>4942</v>
      </c>
      <c r="N988" s="11">
        <v>6063.8</v>
      </c>
      <c r="O988" t="s">
        <v>4946</v>
      </c>
      <c r="P988" t="s">
        <v>4951</v>
      </c>
      <c r="R988">
        <v>7</v>
      </c>
      <c r="S988" t="str">
        <f t="shared" si="45"/>
        <v>Middle-Aged</v>
      </c>
      <c r="T988" t="str">
        <f t="shared" si="46"/>
        <v>Medium</v>
      </c>
      <c r="U988" t="str">
        <f t="shared" si="47"/>
        <v>Short Days</v>
      </c>
    </row>
    <row r="989" spans="1:21">
      <c r="A989" t="s">
        <v>1005</v>
      </c>
      <c r="B989" s="5">
        <v>45387</v>
      </c>
      <c r="C989" t="s">
        <v>3807</v>
      </c>
      <c r="D989" t="s">
        <v>4595</v>
      </c>
      <c r="E989" t="s">
        <v>4866</v>
      </c>
      <c r="F989">
        <v>26</v>
      </c>
      <c r="G989" t="s">
        <v>4874</v>
      </c>
      <c r="H989" t="s">
        <v>4886</v>
      </c>
      <c r="I989" t="s">
        <v>4898</v>
      </c>
      <c r="J989" t="s">
        <v>4918</v>
      </c>
      <c r="K989" t="s">
        <v>4926</v>
      </c>
      <c r="L989" t="s">
        <v>4935</v>
      </c>
      <c r="M989" t="s">
        <v>4945</v>
      </c>
      <c r="N989" s="11">
        <v>7618.51</v>
      </c>
      <c r="O989" t="s">
        <v>4950</v>
      </c>
      <c r="P989" t="s">
        <v>4951</v>
      </c>
      <c r="Q989">
        <v>7</v>
      </c>
      <c r="R989">
        <v>30</v>
      </c>
      <c r="S989" t="str">
        <f t="shared" si="45"/>
        <v>Adult</v>
      </c>
      <c r="T989" t="str">
        <f t="shared" si="46"/>
        <v>Medium</v>
      </c>
      <c r="U989" t="str">
        <f t="shared" si="47"/>
        <v>Long Days</v>
      </c>
    </row>
    <row r="990" spans="1:21">
      <c r="A990" t="s">
        <v>1006</v>
      </c>
      <c r="B990" s="5">
        <v>45929</v>
      </c>
      <c r="C990" t="s">
        <v>3808</v>
      </c>
      <c r="D990" t="s">
        <v>4676</v>
      </c>
      <c r="E990" t="s">
        <v>4866</v>
      </c>
      <c r="F990">
        <v>25</v>
      </c>
      <c r="G990" t="s">
        <v>4869</v>
      </c>
      <c r="H990" t="s">
        <v>4884</v>
      </c>
      <c r="I990" t="s">
        <v>4896</v>
      </c>
      <c r="J990" t="s">
        <v>4906</v>
      </c>
      <c r="K990" t="s">
        <v>4925</v>
      </c>
      <c r="L990" t="s">
        <v>4941</v>
      </c>
      <c r="M990" t="s">
        <v>4942</v>
      </c>
      <c r="N990" s="11">
        <v>4810.93</v>
      </c>
      <c r="O990" t="s">
        <v>4950</v>
      </c>
      <c r="P990" t="s">
        <v>4951</v>
      </c>
      <c r="R990">
        <v>14</v>
      </c>
      <c r="S990" t="str">
        <f t="shared" si="45"/>
        <v>Adult</v>
      </c>
      <c r="T990" t="str">
        <f t="shared" si="46"/>
        <v>Low</v>
      </c>
      <c r="U990" t="str">
        <f t="shared" si="47"/>
        <v>Short Days</v>
      </c>
    </row>
    <row r="991" spans="1:21">
      <c r="A991" t="s">
        <v>1007</v>
      </c>
      <c r="B991" s="5">
        <v>45867</v>
      </c>
      <c r="C991" t="s">
        <v>3809</v>
      </c>
      <c r="D991" t="s">
        <v>4733</v>
      </c>
      <c r="E991" t="s">
        <v>4867</v>
      </c>
      <c r="F991">
        <v>25</v>
      </c>
      <c r="G991" t="s">
        <v>4873</v>
      </c>
      <c r="H991" t="s">
        <v>4888</v>
      </c>
      <c r="I991" t="s">
        <v>4901</v>
      </c>
      <c r="J991" t="s">
        <v>4914</v>
      </c>
      <c r="K991" t="s">
        <v>4932</v>
      </c>
      <c r="L991" t="s">
        <v>4935</v>
      </c>
      <c r="M991" t="s">
        <v>4944</v>
      </c>
      <c r="N991" s="11">
        <v>8909.1</v>
      </c>
      <c r="O991" t="s">
        <v>4946</v>
      </c>
      <c r="P991" t="s">
        <v>4951</v>
      </c>
      <c r="R991">
        <v>14</v>
      </c>
      <c r="S991" t="str">
        <f t="shared" si="45"/>
        <v>Adult</v>
      </c>
      <c r="T991" t="str">
        <f t="shared" si="46"/>
        <v>Medium</v>
      </c>
      <c r="U991" t="str">
        <f t="shared" si="47"/>
        <v>Short Days</v>
      </c>
    </row>
    <row r="992" spans="1:21">
      <c r="A992" t="s">
        <v>1008</v>
      </c>
      <c r="B992" s="5">
        <v>45300</v>
      </c>
      <c r="C992" t="s">
        <v>3810</v>
      </c>
      <c r="D992" t="s">
        <v>4761</v>
      </c>
      <c r="E992" t="s">
        <v>4867</v>
      </c>
      <c r="F992">
        <v>44</v>
      </c>
      <c r="G992" t="s">
        <v>4879</v>
      </c>
      <c r="H992" t="s">
        <v>4888</v>
      </c>
      <c r="I992" t="s">
        <v>4898</v>
      </c>
      <c r="J992" t="s">
        <v>4909</v>
      </c>
      <c r="K992" t="s">
        <v>4929</v>
      </c>
      <c r="L992" t="s">
        <v>4940</v>
      </c>
      <c r="M992" t="s">
        <v>4943</v>
      </c>
      <c r="N992" s="11">
        <v>9676.66</v>
      </c>
      <c r="O992" t="s">
        <v>4946</v>
      </c>
      <c r="P992" t="s">
        <v>4951</v>
      </c>
      <c r="S992" t="str">
        <f t="shared" si="45"/>
        <v>Middle-Aged</v>
      </c>
      <c r="T992" t="str">
        <f t="shared" si="46"/>
        <v>Medium</v>
      </c>
      <c r="U992" t="str">
        <f t="shared" si="47"/>
        <v>Short Days</v>
      </c>
    </row>
    <row r="993" spans="1:21">
      <c r="A993" t="s">
        <v>1009</v>
      </c>
      <c r="B993" s="5">
        <v>45955</v>
      </c>
      <c r="C993" t="s">
        <v>3811</v>
      </c>
      <c r="D993" t="s">
        <v>4782</v>
      </c>
      <c r="E993" t="s">
        <v>4867</v>
      </c>
      <c r="F993">
        <v>49</v>
      </c>
      <c r="G993" t="s">
        <v>4874</v>
      </c>
      <c r="H993" t="s">
        <v>4886</v>
      </c>
      <c r="I993" t="s">
        <v>4897</v>
      </c>
      <c r="J993" t="s">
        <v>4907</v>
      </c>
      <c r="K993" t="s">
        <v>4927</v>
      </c>
      <c r="L993" t="s">
        <v>4939</v>
      </c>
      <c r="M993" t="s">
        <v>4942</v>
      </c>
      <c r="N993" s="11">
        <v>2187.36</v>
      </c>
      <c r="O993" t="s">
        <v>4947</v>
      </c>
      <c r="P993" t="s">
        <v>4951</v>
      </c>
      <c r="S993" t="str">
        <f t="shared" si="45"/>
        <v>Middle-Aged</v>
      </c>
      <c r="T993" t="str">
        <f t="shared" si="46"/>
        <v>Low</v>
      </c>
      <c r="U993" t="str">
        <f t="shared" si="47"/>
        <v>Short Days</v>
      </c>
    </row>
    <row r="994" spans="1:21">
      <c r="A994" t="s">
        <v>1010</v>
      </c>
      <c r="B994" s="5">
        <v>45852</v>
      </c>
      <c r="C994" t="s">
        <v>3514</v>
      </c>
      <c r="D994" t="s">
        <v>4774</v>
      </c>
      <c r="E994" t="s">
        <v>4866</v>
      </c>
      <c r="F994">
        <v>25</v>
      </c>
      <c r="G994" t="s">
        <v>4871</v>
      </c>
      <c r="H994" t="s">
        <v>4886</v>
      </c>
      <c r="I994" t="s">
        <v>4900</v>
      </c>
      <c r="J994" t="s">
        <v>4919</v>
      </c>
      <c r="K994" t="s">
        <v>4924</v>
      </c>
      <c r="L994" t="s">
        <v>4941</v>
      </c>
      <c r="M994" t="s">
        <v>4943</v>
      </c>
      <c r="N994" s="11">
        <v>5454.77</v>
      </c>
      <c r="O994" t="s">
        <v>4946</v>
      </c>
      <c r="P994" t="s">
        <v>4951</v>
      </c>
      <c r="R994">
        <v>30</v>
      </c>
      <c r="S994" t="str">
        <f t="shared" si="45"/>
        <v>Adult</v>
      </c>
      <c r="T994" t="str">
        <f t="shared" si="46"/>
        <v>Medium</v>
      </c>
      <c r="U994" t="str">
        <f t="shared" si="47"/>
        <v>Short Days</v>
      </c>
    </row>
    <row r="995" spans="1:21">
      <c r="A995" t="s">
        <v>1011</v>
      </c>
      <c r="B995" s="5">
        <v>45747</v>
      </c>
      <c r="C995" t="s">
        <v>3812</v>
      </c>
      <c r="D995" t="s">
        <v>4727</v>
      </c>
      <c r="E995" t="s">
        <v>4866</v>
      </c>
      <c r="F995">
        <v>50</v>
      </c>
      <c r="G995" t="s">
        <v>4873</v>
      </c>
      <c r="H995" t="s">
        <v>4888</v>
      </c>
      <c r="I995" t="s">
        <v>4898</v>
      </c>
      <c r="J995" t="s">
        <v>4909</v>
      </c>
      <c r="K995" t="s">
        <v>4928</v>
      </c>
      <c r="L995" t="s">
        <v>4936</v>
      </c>
      <c r="M995" t="s">
        <v>4942</v>
      </c>
      <c r="N995" s="11">
        <v>4306.99</v>
      </c>
      <c r="O995" t="s">
        <v>15</v>
      </c>
      <c r="P995" t="s">
        <v>4952</v>
      </c>
      <c r="R995">
        <v>14</v>
      </c>
      <c r="S995" t="str">
        <f t="shared" si="45"/>
        <v>Middle-Aged</v>
      </c>
      <c r="T995" t="str">
        <f t="shared" si="46"/>
        <v>Low</v>
      </c>
      <c r="U995" t="str">
        <f t="shared" si="47"/>
        <v>Short Days</v>
      </c>
    </row>
    <row r="996" spans="1:21">
      <c r="A996" t="s">
        <v>1012</v>
      </c>
      <c r="B996" s="5">
        <v>45825</v>
      </c>
      <c r="C996" t="s">
        <v>3813</v>
      </c>
      <c r="D996" t="s">
        <v>4687</v>
      </c>
      <c r="E996" t="s">
        <v>4866</v>
      </c>
      <c r="F996">
        <v>43</v>
      </c>
      <c r="G996" t="s">
        <v>4872</v>
      </c>
      <c r="H996" t="s">
        <v>4887</v>
      </c>
      <c r="I996" t="s">
        <v>4896</v>
      </c>
      <c r="J996" t="s">
        <v>4908</v>
      </c>
      <c r="K996" t="s">
        <v>4926</v>
      </c>
      <c r="L996" t="s">
        <v>4935</v>
      </c>
      <c r="M996" t="s">
        <v>4944</v>
      </c>
      <c r="N996" s="11">
        <v>18956.02</v>
      </c>
      <c r="O996" t="s">
        <v>4949</v>
      </c>
      <c r="P996" t="s">
        <v>4951</v>
      </c>
      <c r="R996">
        <v>90</v>
      </c>
      <c r="S996" t="str">
        <f t="shared" si="45"/>
        <v>Middle-Aged</v>
      </c>
      <c r="T996" t="str">
        <f t="shared" si="46"/>
        <v>High</v>
      </c>
      <c r="U996" t="str">
        <f t="shared" si="47"/>
        <v>Short Days</v>
      </c>
    </row>
    <row r="997" spans="1:21">
      <c r="A997" t="s">
        <v>1013</v>
      </c>
      <c r="B997" s="5">
        <v>45963</v>
      </c>
      <c r="C997" t="s">
        <v>3814</v>
      </c>
      <c r="D997" t="s">
        <v>4736</v>
      </c>
      <c r="E997" t="s">
        <v>4867</v>
      </c>
      <c r="F997">
        <v>53</v>
      </c>
      <c r="G997" t="s">
        <v>4882</v>
      </c>
      <c r="H997" t="s">
        <v>4891</v>
      </c>
      <c r="I997" t="s">
        <v>4898</v>
      </c>
      <c r="J997" t="s">
        <v>4909</v>
      </c>
      <c r="K997" t="s">
        <v>4926</v>
      </c>
      <c r="L997" t="s">
        <v>4939</v>
      </c>
      <c r="M997" t="s">
        <v>4943</v>
      </c>
      <c r="N997" s="11">
        <v>9194.56</v>
      </c>
      <c r="O997" t="s">
        <v>4946</v>
      </c>
      <c r="P997" t="s">
        <v>4951</v>
      </c>
      <c r="S997" t="str">
        <f t="shared" si="45"/>
        <v>Middle-Aged</v>
      </c>
      <c r="T997" t="str">
        <f t="shared" si="46"/>
        <v>Medium</v>
      </c>
      <c r="U997" t="str">
        <f t="shared" si="47"/>
        <v>Short Days</v>
      </c>
    </row>
    <row r="998" spans="1:21">
      <c r="A998" t="s">
        <v>1014</v>
      </c>
      <c r="B998" s="5">
        <v>45635</v>
      </c>
      <c r="C998" t="s">
        <v>3381</v>
      </c>
      <c r="D998" t="s">
        <v>4664</v>
      </c>
      <c r="E998" t="s">
        <v>4867</v>
      </c>
      <c r="F998">
        <v>52</v>
      </c>
      <c r="G998" t="s">
        <v>4874</v>
      </c>
      <c r="H998" t="s">
        <v>4886</v>
      </c>
      <c r="I998" t="s">
        <v>4897</v>
      </c>
      <c r="J998" t="s">
        <v>4922</v>
      </c>
      <c r="K998" t="s">
        <v>4930</v>
      </c>
      <c r="L998" t="s">
        <v>4940</v>
      </c>
      <c r="M998" t="s">
        <v>4944</v>
      </c>
      <c r="N998" s="11">
        <v>15101.2</v>
      </c>
      <c r="O998" t="s">
        <v>4946</v>
      </c>
      <c r="P998" t="s">
        <v>4951</v>
      </c>
      <c r="R998">
        <v>30</v>
      </c>
      <c r="S998" t="str">
        <f t="shared" si="45"/>
        <v>Middle-Aged</v>
      </c>
      <c r="T998" t="str">
        <f t="shared" si="46"/>
        <v>High</v>
      </c>
      <c r="U998" t="str">
        <f t="shared" si="47"/>
        <v>Short Days</v>
      </c>
    </row>
    <row r="999" spans="1:21">
      <c r="A999" t="s">
        <v>1015</v>
      </c>
      <c r="B999" s="5">
        <v>45354</v>
      </c>
      <c r="C999" t="s">
        <v>3337</v>
      </c>
      <c r="D999" t="s">
        <v>4623</v>
      </c>
      <c r="E999" t="s">
        <v>4866</v>
      </c>
      <c r="F999">
        <v>42</v>
      </c>
      <c r="G999" t="s">
        <v>4875</v>
      </c>
      <c r="H999" t="s">
        <v>4889</v>
      </c>
      <c r="I999" t="s">
        <v>4898</v>
      </c>
      <c r="J999" t="s">
        <v>4909</v>
      </c>
      <c r="K999" t="s">
        <v>4932</v>
      </c>
      <c r="L999" t="s">
        <v>4939</v>
      </c>
      <c r="M999" t="s">
        <v>4942</v>
      </c>
      <c r="N999" s="11">
        <v>670.03</v>
      </c>
      <c r="O999" t="s">
        <v>4948</v>
      </c>
      <c r="P999" t="s">
        <v>4951</v>
      </c>
      <c r="S999" t="str">
        <f t="shared" si="45"/>
        <v>Middle-Aged</v>
      </c>
      <c r="T999" t="str">
        <f t="shared" si="46"/>
        <v>Low</v>
      </c>
      <c r="U999" t="str">
        <f t="shared" si="47"/>
        <v>Short Days</v>
      </c>
    </row>
    <row r="1000" spans="1:21">
      <c r="A1000" t="s">
        <v>1016</v>
      </c>
      <c r="B1000" s="5">
        <v>45395</v>
      </c>
      <c r="C1000" t="s">
        <v>3437</v>
      </c>
      <c r="D1000" t="s">
        <v>4660</v>
      </c>
      <c r="E1000" t="s">
        <v>4866</v>
      </c>
      <c r="F1000">
        <v>22</v>
      </c>
      <c r="G1000" t="s">
        <v>4877</v>
      </c>
      <c r="H1000" t="s">
        <v>4888</v>
      </c>
      <c r="I1000" t="s">
        <v>4894</v>
      </c>
      <c r="J1000" t="s">
        <v>4904</v>
      </c>
      <c r="K1000" t="s">
        <v>4953</v>
      </c>
      <c r="L1000" t="s">
        <v>4937</v>
      </c>
      <c r="M1000" t="s">
        <v>4945</v>
      </c>
      <c r="N1000" s="11">
        <v>9258.35</v>
      </c>
      <c r="O1000" t="s">
        <v>4950</v>
      </c>
      <c r="P1000" t="s">
        <v>4951</v>
      </c>
      <c r="Q1000">
        <v>5</v>
      </c>
      <c r="S1000" t="str">
        <f t="shared" si="45"/>
        <v>Adult</v>
      </c>
      <c r="T1000" t="str">
        <f t="shared" si="46"/>
        <v>Medium</v>
      </c>
      <c r="U1000" t="str">
        <f t="shared" si="47"/>
        <v>Short Days</v>
      </c>
    </row>
    <row r="1001" spans="1:21">
      <c r="A1001" t="s">
        <v>1017</v>
      </c>
      <c r="B1001" s="5">
        <v>45403</v>
      </c>
      <c r="C1001" t="s">
        <v>3815</v>
      </c>
      <c r="D1001" t="s">
        <v>4773</v>
      </c>
      <c r="E1001" t="s">
        <v>4867</v>
      </c>
      <c r="F1001">
        <v>26</v>
      </c>
      <c r="G1001" t="s">
        <v>4869</v>
      </c>
      <c r="H1001" t="s">
        <v>4884</v>
      </c>
      <c r="I1001" t="s">
        <v>4895</v>
      </c>
      <c r="J1001" t="s">
        <v>4905</v>
      </c>
      <c r="K1001" t="s">
        <v>4931</v>
      </c>
      <c r="L1001" t="s">
        <v>4934</v>
      </c>
      <c r="M1001" t="s">
        <v>4943</v>
      </c>
      <c r="N1001" s="11">
        <v>5905.72</v>
      </c>
      <c r="O1001" t="s">
        <v>4948</v>
      </c>
      <c r="P1001" t="s">
        <v>4951</v>
      </c>
      <c r="R1001">
        <v>14</v>
      </c>
      <c r="S1001" t="str">
        <f t="shared" si="45"/>
        <v>Adult</v>
      </c>
      <c r="T1001" t="str">
        <f t="shared" si="46"/>
        <v>Medium</v>
      </c>
      <c r="U1001" t="str">
        <f t="shared" si="47"/>
        <v>Short Days</v>
      </c>
    </row>
    <row r="1002" spans="1:21">
      <c r="A1002" t="s">
        <v>1018</v>
      </c>
      <c r="B1002" s="5">
        <v>45466</v>
      </c>
      <c r="C1002" t="s">
        <v>3816</v>
      </c>
      <c r="D1002" t="s">
        <v>4617</v>
      </c>
      <c r="E1002" t="s">
        <v>4867</v>
      </c>
      <c r="F1002">
        <v>47</v>
      </c>
      <c r="G1002" t="s">
        <v>4873</v>
      </c>
      <c r="H1002" t="s">
        <v>4888</v>
      </c>
      <c r="I1002" t="s">
        <v>4897</v>
      </c>
      <c r="J1002" t="s">
        <v>4907</v>
      </c>
      <c r="K1002" t="s">
        <v>4931</v>
      </c>
      <c r="L1002" t="s">
        <v>4940</v>
      </c>
      <c r="M1002" t="s">
        <v>4942</v>
      </c>
      <c r="N1002" s="11">
        <v>4810.7</v>
      </c>
      <c r="O1002" t="s">
        <v>4949</v>
      </c>
      <c r="P1002" t="s">
        <v>4951</v>
      </c>
      <c r="S1002" t="str">
        <f t="shared" si="45"/>
        <v>Middle-Aged</v>
      </c>
      <c r="T1002" t="str">
        <f t="shared" si="46"/>
        <v>Low</v>
      </c>
      <c r="U1002" t="str">
        <f t="shared" si="47"/>
        <v>Short Days</v>
      </c>
    </row>
    <row r="1003" spans="1:21">
      <c r="A1003" t="s">
        <v>1019</v>
      </c>
      <c r="B1003" s="5">
        <v>45550</v>
      </c>
      <c r="C1003" t="s">
        <v>3184</v>
      </c>
      <c r="D1003" t="s">
        <v>4609</v>
      </c>
      <c r="E1003" t="s">
        <v>4867</v>
      </c>
      <c r="F1003">
        <v>35</v>
      </c>
      <c r="G1003" t="s">
        <v>4882</v>
      </c>
      <c r="H1003" t="s">
        <v>4891</v>
      </c>
      <c r="I1003" t="s">
        <v>4901</v>
      </c>
      <c r="J1003" t="s">
        <v>4921</v>
      </c>
      <c r="K1003" t="s">
        <v>4925</v>
      </c>
      <c r="L1003" t="s">
        <v>4935</v>
      </c>
      <c r="M1003" t="s">
        <v>4942</v>
      </c>
      <c r="N1003" s="11">
        <v>10912.86</v>
      </c>
      <c r="O1003" t="s">
        <v>4946</v>
      </c>
      <c r="P1003" t="s">
        <v>4951</v>
      </c>
      <c r="R1003">
        <v>90</v>
      </c>
      <c r="S1003" t="str">
        <f t="shared" si="45"/>
        <v>Adult</v>
      </c>
      <c r="T1003" t="str">
        <f t="shared" si="46"/>
        <v>High</v>
      </c>
      <c r="U1003" t="str">
        <f t="shared" si="47"/>
        <v>Short Days</v>
      </c>
    </row>
    <row r="1004" spans="1:21">
      <c r="A1004" t="s">
        <v>1020</v>
      </c>
      <c r="B1004" s="5">
        <v>45779</v>
      </c>
      <c r="C1004" t="s">
        <v>3361</v>
      </c>
      <c r="D1004" t="s">
        <v>4621</v>
      </c>
      <c r="E1004" t="s">
        <v>4866</v>
      </c>
      <c r="F1004">
        <v>45</v>
      </c>
      <c r="G1004" t="s">
        <v>4876</v>
      </c>
      <c r="H1004" t="s">
        <v>4888</v>
      </c>
      <c r="I1004" t="s">
        <v>4897</v>
      </c>
      <c r="J1004" t="s">
        <v>4922</v>
      </c>
      <c r="K1004" t="s">
        <v>4926</v>
      </c>
      <c r="L1004" t="s">
        <v>4937</v>
      </c>
      <c r="M1004" t="s">
        <v>4942</v>
      </c>
      <c r="N1004" s="11">
        <v>5269.51</v>
      </c>
      <c r="O1004" t="s">
        <v>4948</v>
      </c>
      <c r="P1004" t="s">
        <v>4951</v>
      </c>
      <c r="R1004">
        <v>14</v>
      </c>
      <c r="S1004" t="str">
        <f t="shared" si="45"/>
        <v>Middle-Aged</v>
      </c>
      <c r="T1004" t="str">
        <f t="shared" si="46"/>
        <v>Medium</v>
      </c>
      <c r="U1004" t="str">
        <f t="shared" si="47"/>
        <v>Short Days</v>
      </c>
    </row>
    <row r="1005" spans="1:21">
      <c r="A1005" t="s">
        <v>1021</v>
      </c>
      <c r="B1005" s="5">
        <v>45875</v>
      </c>
      <c r="C1005" t="s">
        <v>3217</v>
      </c>
      <c r="D1005" t="s">
        <v>4827</v>
      </c>
      <c r="E1005" t="s">
        <v>4867</v>
      </c>
      <c r="F1005">
        <v>64</v>
      </c>
      <c r="G1005" t="s">
        <v>4882</v>
      </c>
      <c r="H1005" t="s">
        <v>4891</v>
      </c>
      <c r="I1005" t="s">
        <v>4896</v>
      </c>
      <c r="J1005" t="s">
        <v>4906</v>
      </c>
      <c r="K1005" t="s">
        <v>4924</v>
      </c>
      <c r="L1005" t="s">
        <v>4935</v>
      </c>
      <c r="M1005" t="s">
        <v>4942</v>
      </c>
      <c r="N1005" s="11">
        <v>2680.89</v>
      </c>
      <c r="O1005" t="s">
        <v>4948</v>
      </c>
      <c r="P1005" t="s">
        <v>4951</v>
      </c>
      <c r="S1005" t="str">
        <f t="shared" si="45"/>
        <v>Senior</v>
      </c>
      <c r="T1005" t="str">
        <f t="shared" si="46"/>
        <v>Low</v>
      </c>
      <c r="U1005" t="str">
        <f t="shared" si="47"/>
        <v>Short Days</v>
      </c>
    </row>
    <row r="1006" spans="1:21">
      <c r="A1006" t="s">
        <v>1022</v>
      </c>
      <c r="B1006" s="5">
        <v>45687</v>
      </c>
      <c r="C1006" t="s">
        <v>3817</v>
      </c>
      <c r="D1006" t="s">
        <v>4619</v>
      </c>
      <c r="E1006" t="s">
        <v>4867</v>
      </c>
      <c r="F1006">
        <v>35</v>
      </c>
      <c r="G1006" t="s">
        <v>4875</v>
      </c>
      <c r="H1006" t="s">
        <v>4889</v>
      </c>
      <c r="I1006" t="s">
        <v>4898</v>
      </c>
      <c r="J1006" t="s">
        <v>4918</v>
      </c>
      <c r="K1006" t="s">
        <v>4929</v>
      </c>
      <c r="L1006" t="s">
        <v>4937</v>
      </c>
      <c r="M1006" t="s">
        <v>4942</v>
      </c>
      <c r="N1006" s="11">
        <v>2392.64</v>
      </c>
      <c r="O1006" t="s">
        <v>4949</v>
      </c>
      <c r="P1006" t="s">
        <v>4951</v>
      </c>
      <c r="R1006">
        <v>30</v>
      </c>
      <c r="S1006" t="str">
        <f t="shared" si="45"/>
        <v>Adult</v>
      </c>
      <c r="T1006" t="str">
        <f t="shared" si="46"/>
        <v>Low</v>
      </c>
      <c r="U1006" t="str">
        <f t="shared" si="47"/>
        <v>Short Days</v>
      </c>
    </row>
    <row r="1007" spans="1:21">
      <c r="A1007" t="s">
        <v>1023</v>
      </c>
      <c r="B1007" s="5">
        <v>45439</v>
      </c>
      <c r="C1007" t="s">
        <v>3695</v>
      </c>
      <c r="D1007" t="s">
        <v>4790</v>
      </c>
      <c r="E1007" t="s">
        <v>4867</v>
      </c>
      <c r="F1007">
        <v>22</v>
      </c>
      <c r="G1007" t="s">
        <v>4883</v>
      </c>
      <c r="H1007" t="s">
        <v>4892</v>
      </c>
      <c r="I1007" t="s">
        <v>4896</v>
      </c>
      <c r="J1007" t="s">
        <v>4908</v>
      </c>
      <c r="K1007" t="s">
        <v>4933</v>
      </c>
      <c r="L1007" t="s">
        <v>4940</v>
      </c>
      <c r="M1007" t="s">
        <v>4945</v>
      </c>
      <c r="N1007" s="11">
        <v>6059.51</v>
      </c>
      <c r="O1007" t="s">
        <v>15</v>
      </c>
      <c r="P1007" t="s">
        <v>4952</v>
      </c>
      <c r="Q1007">
        <v>7</v>
      </c>
      <c r="R1007">
        <v>90</v>
      </c>
      <c r="S1007" t="str">
        <f t="shared" si="45"/>
        <v>Adult</v>
      </c>
      <c r="T1007" t="str">
        <f t="shared" si="46"/>
        <v>Medium</v>
      </c>
      <c r="U1007" t="str">
        <f t="shared" si="47"/>
        <v>Long Days</v>
      </c>
    </row>
    <row r="1008" spans="1:21">
      <c r="A1008" t="s">
        <v>1024</v>
      </c>
      <c r="B1008" s="5">
        <v>45461</v>
      </c>
      <c r="C1008" t="s">
        <v>3329</v>
      </c>
      <c r="D1008" t="s">
        <v>4717</v>
      </c>
      <c r="E1008" t="s">
        <v>4867</v>
      </c>
      <c r="F1008">
        <v>59</v>
      </c>
      <c r="G1008" t="s">
        <v>4872</v>
      </c>
      <c r="H1008" t="s">
        <v>4887</v>
      </c>
      <c r="I1008" t="s">
        <v>4896</v>
      </c>
      <c r="J1008" t="s">
        <v>4908</v>
      </c>
      <c r="K1008" t="s">
        <v>4929</v>
      </c>
      <c r="L1008" t="s">
        <v>4938</v>
      </c>
      <c r="M1008" t="s">
        <v>4942</v>
      </c>
      <c r="N1008" s="11">
        <v>276.23</v>
      </c>
      <c r="O1008" t="s">
        <v>4946</v>
      </c>
      <c r="P1008" t="s">
        <v>4951</v>
      </c>
      <c r="R1008">
        <v>30</v>
      </c>
      <c r="S1008" t="str">
        <f t="shared" si="45"/>
        <v>Middle-Aged</v>
      </c>
      <c r="T1008" t="str">
        <f t="shared" si="46"/>
        <v>Low</v>
      </c>
      <c r="U1008" t="str">
        <f t="shared" si="47"/>
        <v>Short Days</v>
      </c>
    </row>
    <row r="1009" spans="1:21">
      <c r="A1009" t="s">
        <v>1025</v>
      </c>
      <c r="B1009" s="5">
        <v>45665</v>
      </c>
      <c r="C1009" t="s">
        <v>3777</v>
      </c>
      <c r="D1009" t="s">
        <v>4780</v>
      </c>
      <c r="E1009" t="s">
        <v>4867</v>
      </c>
      <c r="F1009">
        <v>10</v>
      </c>
      <c r="G1009" t="s">
        <v>4879</v>
      </c>
      <c r="H1009" t="s">
        <v>4888</v>
      </c>
      <c r="I1009" t="s">
        <v>4896</v>
      </c>
      <c r="J1009" t="s">
        <v>4906</v>
      </c>
      <c r="K1009" t="s">
        <v>4932</v>
      </c>
      <c r="L1009" t="s">
        <v>4940</v>
      </c>
      <c r="M1009" t="s">
        <v>4944</v>
      </c>
      <c r="N1009" s="11">
        <v>9553.6</v>
      </c>
      <c r="O1009" t="s">
        <v>4946</v>
      </c>
      <c r="P1009" t="s">
        <v>4951</v>
      </c>
      <c r="R1009">
        <v>14</v>
      </c>
      <c r="S1009" t="str">
        <f t="shared" si="45"/>
        <v>Child</v>
      </c>
      <c r="T1009" t="str">
        <f t="shared" si="46"/>
        <v>Medium</v>
      </c>
      <c r="U1009" t="str">
        <f t="shared" si="47"/>
        <v>Short Days</v>
      </c>
    </row>
    <row r="1010" spans="1:21">
      <c r="A1010" t="s">
        <v>1026</v>
      </c>
      <c r="B1010" s="5">
        <v>45539</v>
      </c>
      <c r="C1010" t="s">
        <v>3206</v>
      </c>
      <c r="D1010" t="s">
        <v>4638</v>
      </c>
      <c r="E1010" t="s">
        <v>4866</v>
      </c>
      <c r="F1010">
        <v>21</v>
      </c>
      <c r="G1010" t="s">
        <v>4870</v>
      </c>
      <c r="H1010" t="s">
        <v>4885</v>
      </c>
      <c r="I1010" t="s">
        <v>4900</v>
      </c>
      <c r="J1010" t="s">
        <v>4919</v>
      </c>
      <c r="K1010" t="s">
        <v>4925</v>
      </c>
      <c r="L1010" t="s">
        <v>4941</v>
      </c>
      <c r="M1010" t="s">
        <v>4943</v>
      </c>
      <c r="N1010" s="11">
        <v>12239.75</v>
      </c>
      <c r="O1010" t="s">
        <v>4948</v>
      </c>
      <c r="P1010" t="s">
        <v>4951</v>
      </c>
      <c r="S1010" t="str">
        <f t="shared" si="45"/>
        <v>Adult</v>
      </c>
      <c r="T1010" t="str">
        <f t="shared" si="46"/>
        <v>High</v>
      </c>
      <c r="U1010" t="str">
        <f t="shared" si="47"/>
        <v>Short Days</v>
      </c>
    </row>
    <row r="1011" spans="1:21">
      <c r="A1011" t="s">
        <v>1027</v>
      </c>
      <c r="B1011" s="5">
        <v>45535</v>
      </c>
      <c r="C1011" t="s">
        <v>3818</v>
      </c>
      <c r="D1011" t="s">
        <v>4736</v>
      </c>
      <c r="E1011" t="s">
        <v>4867</v>
      </c>
      <c r="F1011">
        <v>51</v>
      </c>
      <c r="G1011" t="s">
        <v>4874</v>
      </c>
      <c r="H1011" t="s">
        <v>4886</v>
      </c>
      <c r="I1011" t="s">
        <v>4902</v>
      </c>
      <c r="J1011" t="s">
        <v>4920</v>
      </c>
      <c r="K1011" t="s">
        <v>4928</v>
      </c>
      <c r="L1011" t="s">
        <v>4940</v>
      </c>
      <c r="M1011" t="s">
        <v>4942</v>
      </c>
      <c r="N1011" s="11">
        <v>2023.95</v>
      </c>
      <c r="O1011" t="s">
        <v>4948</v>
      </c>
      <c r="P1011" t="s">
        <v>4951</v>
      </c>
      <c r="R1011">
        <v>7</v>
      </c>
      <c r="S1011" t="str">
        <f t="shared" si="45"/>
        <v>Middle-Aged</v>
      </c>
      <c r="T1011" t="str">
        <f t="shared" si="46"/>
        <v>Low</v>
      </c>
      <c r="U1011" t="str">
        <f t="shared" si="47"/>
        <v>Short Days</v>
      </c>
    </row>
    <row r="1012" spans="1:21">
      <c r="A1012" t="s">
        <v>1028</v>
      </c>
      <c r="B1012" s="5">
        <v>45872</v>
      </c>
      <c r="C1012" t="s">
        <v>3819</v>
      </c>
      <c r="D1012" t="s">
        <v>4627</v>
      </c>
      <c r="E1012" t="s">
        <v>4866</v>
      </c>
      <c r="F1012">
        <v>32</v>
      </c>
      <c r="G1012" t="s">
        <v>4883</v>
      </c>
      <c r="H1012" t="s">
        <v>4892</v>
      </c>
      <c r="I1012" t="s">
        <v>4896</v>
      </c>
      <c r="J1012" t="s">
        <v>4908</v>
      </c>
      <c r="K1012" t="s">
        <v>4925</v>
      </c>
      <c r="L1012" t="s">
        <v>4939</v>
      </c>
      <c r="M1012" t="s">
        <v>4943</v>
      </c>
      <c r="N1012" s="11">
        <v>9034.17</v>
      </c>
      <c r="O1012" t="s">
        <v>4949</v>
      </c>
      <c r="P1012" t="s">
        <v>4951</v>
      </c>
      <c r="R1012">
        <v>30</v>
      </c>
      <c r="S1012" t="str">
        <f t="shared" si="45"/>
        <v>Adult</v>
      </c>
      <c r="T1012" t="str">
        <f t="shared" si="46"/>
        <v>Medium</v>
      </c>
      <c r="U1012" t="str">
        <f t="shared" si="47"/>
        <v>Short Days</v>
      </c>
    </row>
    <row r="1013" spans="1:21">
      <c r="A1013" t="s">
        <v>1029</v>
      </c>
      <c r="B1013" s="5">
        <v>45753</v>
      </c>
      <c r="C1013" t="s">
        <v>3820</v>
      </c>
      <c r="D1013" t="s">
        <v>4809</v>
      </c>
      <c r="E1013" t="s">
        <v>4867</v>
      </c>
      <c r="F1013">
        <v>36</v>
      </c>
      <c r="G1013" t="s">
        <v>4872</v>
      </c>
      <c r="H1013" t="s">
        <v>4887</v>
      </c>
      <c r="I1013" t="s">
        <v>4900</v>
      </c>
      <c r="J1013" t="s">
        <v>4913</v>
      </c>
      <c r="K1013" t="s">
        <v>4930</v>
      </c>
      <c r="L1013" t="s">
        <v>4940</v>
      </c>
      <c r="M1013" t="s">
        <v>4942</v>
      </c>
      <c r="N1013" s="11">
        <v>2071.6799999999998</v>
      </c>
      <c r="O1013" t="s">
        <v>15</v>
      </c>
      <c r="P1013" t="s">
        <v>4952</v>
      </c>
      <c r="R1013">
        <v>30</v>
      </c>
      <c r="S1013" t="str">
        <f t="shared" si="45"/>
        <v>Adult</v>
      </c>
      <c r="T1013" t="str">
        <f t="shared" si="46"/>
        <v>Low</v>
      </c>
      <c r="U1013" t="str">
        <f t="shared" si="47"/>
        <v>Short Days</v>
      </c>
    </row>
    <row r="1014" spans="1:21">
      <c r="A1014" t="s">
        <v>1030</v>
      </c>
      <c r="B1014" s="5">
        <v>45705</v>
      </c>
      <c r="C1014" t="s">
        <v>3183</v>
      </c>
      <c r="D1014" t="s">
        <v>4634</v>
      </c>
      <c r="E1014" t="s">
        <v>4866</v>
      </c>
      <c r="F1014">
        <v>46</v>
      </c>
      <c r="G1014" t="s">
        <v>4880</v>
      </c>
      <c r="H1014" t="s">
        <v>4890</v>
      </c>
      <c r="I1014" t="s">
        <v>4893</v>
      </c>
      <c r="J1014" t="s">
        <v>4903</v>
      </c>
      <c r="K1014" t="s">
        <v>4933</v>
      </c>
      <c r="L1014" t="s">
        <v>4937</v>
      </c>
      <c r="M1014" t="s">
        <v>4942</v>
      </c>
      <c r="N1014" s="11">
        <v>3372.83</v>
      </c>
      <c r="O1014" t="s">
        <v>4949</v>
      </c>
      <c r="P1014" t="s">
        <v>4951</v>
      </c>
      <c r="R1014">
        <v>14</v>
      </c>
      <c r="S1014" t="str">
        <f t="shared" si="45"/>
        <v>Middle-Aged</v>
      </c>
      <c r="T1014" t="str">
        <f t="shared" si="46"/>
        <v>Low</v>
      </c>
      <c r="U1014" t="str">
        <f t="shared" si="47"/>
        <v>Short Days</v>
      </c>
    </row>
    <row r="1015" spans="1:21">
      <c r="A1015" t="s">
        <v>1031</v>
      </c>
      <c r="B1015" s="5">
        <v>45479</v>
      </c>
      <c r="C1015" t="s">
        <v>3821</v>
      </c>
      <c r="D1015" t="s">
        <v>4834</v>
      </c>
      <c r="E1015" t="s">
        <v>4867</v>
      </c>
      <c r="F1015">
        <v>32</v>
      </c>
      <c r="G1015" t="s">
        <v>4869</v>
      </c>
      <c r="H1015" t="s">
        <v>4884</v>
      </c>
      <c r="I1015" t="s">
        <v>4901</v>
      </c>
      <c r="J1015" t="s">
        <v>4914</v>
      </c>
      <c r="K1015" t="s">
        <v>4924</v>
      </c>
      <c r="L1015" t="s">
        <v>4934</v>
      </c>
      <c r="M1015" t="s">
        <v>4942</v>
      </c>
      <c r="N1015" s="11">
        <v>2510.44</v>
      </c>
      <c r="O1015" t="s">
        <v>4950</v>
      </c>
      <c r="P1015" t="s">
        <v>4951</v>
      </c>
      <c r="S1015" t="str">
        <f t="shared" si="45"/>
        <v>Adult</v>
      </c>
      <c r="T1015" t="str">
        <f t="shared" si="46"/>
        <v>Low</v>
      </c>
      <c r="U1015" t="str">
        <f t="shared" si="47"/>
        <v>Short Days</v>
      </c>
    </row>
    <row r="1016" spans="1:21">
      <c r="A1016" t="s">
        <v>1032</v>
      </c>
      <c r="B1016" s="5">
        <v>45476</v>
      </c>
      <c r="C1016" t="s">
        <v>3034</v>
      </c>
      <c r="D1016" t="s">
        <v>4610</v>
      </c>
      <c r="E1016" t="s">
        <v>4867</v>
      </c>
      <c r="F1016">
        <v>84</v>
      </c>
      <c r="G1016" t="s">
        <v>4883</v>
      </c>
      <c r="H1016" t="s">
        <v>4892</v>
      </c>
      <c r="I1016" t="s">
        <v>4893</v>
      </c>
      <c r="J1016" t="s">
        <v>4903</v>
      </c>
      <c r="K1016" t="s">
        <v>4933</v>
      </c>
      <c r="L1016" t="s">
        <v>4941</v>
      </c>
      <c r="M1016" t="s">
        <v>4942</v>
      </c>
      <c r="N1016" s="11">
        <v>412.05</v>
      </c>
      <c r="O1016" t="s">
        <v>4947</v>
      </c>
      <c r="P1016" t="s">
        <v>4951</v>
      </c>
      <c r="R1016">
        <v>14</v>
      </c>
      <c r="S1016" t="str">
        <f t="shared" si="45"/>
        <v>Senior</v>
      </c>
      <c r="T1016" t="str">
        <f t="shared" si="46"/>
        <v>Low</v>
      </c>
      <c r="U1016" t="str">
        <f t="shared" si="47"/>
        <v>Short Days</v>
      </c>
    </row>
    <row r="1017" spans="1:21">
      <c r="A1017" t="s">
        <v>1033</v>
      </c>
      <c r="B1017" s="5">
        <v>45950</v>
      </c>
      <c r="C1017" t="s">
        <v>3400</v>
      </c>
      <c r="D1017" t="s">
        <v>4631</v>
      </c>
      <c r="E1017" t="s">
        <v>4867</v>
      </c>
      <c r="F1017">
        <v>31</v>
      </c>
      <c r="G1017" t="s">
        <v>4875</v>
      </c>
      <c r="H1017" t="s">
        <v>4889</v>
      </c>
      <c r="I1017" t="s">
        <v>4900</v>
      </c>
      <c r="J1017" t="s">
        <v>4913</v>
      </c>
      <c r="K1017" t="s">
        <v>4933</v>
      </c>
      <c r="L1017" t="s">
        <v>4938</v>
      </c>
      <c r="M1017" t="s">
        <v>4942</v>
      </c>
      <c r="N1017" s="11">
        <v>6180.58</v>
      </c>
      <c r="O1017" t="s">
        <v>15</v>
      </c>
      <c r="P1017" t="s">
        <v>4952</v>
      </c>
      <c r="S1017" t="str">
        <f t="shared" si="45"/>
        <v>Adult</v>
      </c>
      <c r="T1017" t="str">
        <f t="shared" si="46"/>
        <v>Medium</v>
      </c>
      <c r="U1017" t="str">
        <f t="shared" si="47"/>
        <v>Short Days</v>
      </c>
    </row>
    <row r="1018" spans="1:21">
      <c r="A1018" t="s">
        <v>1034</v>
      </c>
      <c r="B1018" s="5">
        <v>45613</v>
      </c>
      <c r="C1018" t="s">
        <v>3822</v>
      </c>
      <c r="D1018" t="s">
        <v>4699</v>
      </c>
      <c r="E1018" t="s">
        <v>4867</v>
      </c>
      <c r="F1018">
        <v>8</v>
      </c>
      <c r="G1018" t="s">
        <v>4870</v>
      </c>
      <c r="H1018" t="s">
        <v>4885</v>
      </c>
      <c r="I1018" t="s">
        <v>4897</v>
      </c>
      <c r="J1018" t="s">
        <v>4907</v>
      </c>
      <c r="K1018" t="s">
        <v>4924</v>
      </c>
      <c r="L1018" t="s">
        <v>4941</v>
      </c>
      <c r="M1018" t="s">
        <v>4944</v>
      </c>
      <c r="N1018" s="11">
        <v>14729.91</v>
      </c>
      <c r="O1018" t="s">
        <v>4949</v>
      </c>
      <c r="P1018" t="s">
        <v>4951</v>
      </c>
      <c r="S1018" t="str">
        <f t="shared" si="45"/>
        <v>Child</v>
      </c>
      <c r="T1018" t="str">
        <f t="shared" si="46"/>
        <v>High</v>
      </c>
      <c r="U1018" t="str">
        <f t="shared" si="47"/>
        <v>Short Days</v>
      </c>
    </row>
    <row r="1019" spans="1:21">
      <c r="A1019" t="s">
        <v>1035</v>
      </c>
      <c r="B1019" s="5">
        <v>45951</v>
      </c>
      <c r="C1019" t="s">
        <v>3823</v>
      </c>
      <c r="D1019" t="s">
        <v>4711</v>
      </c>
      <c r="E1019" t="s">
        <v>4867</v>
      </c>
      <c r="F1019">
        <v>54</v>
      </c>
      <c r="G1019" t="s">
        <v>4875</v>
      </c>
      <c r="H1019" t="s">
        <v>4889</v>
      </c>
      <c r="I1019" t="s">
        <v>4893</v>
      </c>
      <c r="J1019" t="s">
        <v>4917</v>
      </c>
      <c r="K1019" t="s">
        <v>4930</v>
      </c>
      <c r="L1019" t="s">
        <v>4938</v>
      </c>
      <c r="M1019" t="s">
        <v>4943</v>
      </c>
      <c r="N1019" s="11">
        <v>9170.67</v>
      </c>
      <c r="O1019" t="s">
        <v>4946</v>
      </c>
      <c r="P1019" t="s">
        <v>4951</v>
      </c>
      <c r="S1019" t="str">
        <f t="shared" si="45"/>
        <v>Middle-Aged</v>
      </c>
      <c r="T1019" t="str">
        <f t="shared" si="46"/>
        <v>Medium</v>
      </c>
      <c r="U1019" t="str">
        <f t="shared" si="47"/>
        <v>Short Days</v>
      </c>
    </row>
    <row r="1020" spans="1:21">
      <c r="A1020" t="s">
        <v>1036</v>
      </c>
      <c r="B1020" s="5">
        <v>45919</v>
      </c>
      <c r="C1020" t="s">
        <v>3365</v>
      </c>
      <c r="D1020" t="s">
        <v>4694</v>
      </c>
      <c r="E1020" t="s">
        <v>4866</v>
      </c>
      <c r="F1020">
        <v>51</v>
      </c>
      <c r="G1020" t="s">
        <v>4874</v>
      </c>
      <c r="H1020" t="s">
        <v>4886</v>
      </c>
      <c r="I1020" t="s">
        <v>4895</v>
      </c>
      <c r="J1020" t="s">
        <v>4915</v>
      </c>
      <c r="K1020" t="s">
        <v>4932</v>
      </c>
      <c r="L1020" t="s">
        <v>4940</v>
      </c>
      <c r="M1020" t="s">
        <v>4943</v>
      </c>
      <c r="N1020" s="11">
        <v>7295.29</v>
      </c>
      <c r="O1020" t="s">
        <v>4947</v>
      </c>
      <c r="P1020" t="s">
        <v>4951</v>
      </c>
      <c r="R1020">
        <v>7</v>
      </c>
      <c r="S1020" t="str">
        <f t="shared" si="45"/>
        <v>Middle-Aged</v>
      </c>
      <c r="T1020" t="str">
        <f t="shared" si="46"/>
        <v>Medium</v>
      </c>
      <c r="U1020" t="str">
        <f t="shared" si="47"/>
        <v>Short Days</v>
      </c>
    </row>
    <row r="1021" spans="1:21">
      <c r="A1021" t="s">
        <v>1037</v>
      </c>
      <c r="B1021" s="5">
        <v>45466</v>
      </c>
      <c r="C1021" t="s">
        <v>3133</v>
      </c>
      <c r="D1021" t="s">
        <v>4832</v>
      </c>
      <c r="E1021" t="s">
        <v>4867</v>
      </c>
      <c r="F1021">
        <v>41</v>
      </c>
      <c r="G1021" t="s">
        <v>4877</v>
      </c>
      <c r="H1021" t="s">
        <v>4888</v>
      </c>
      <c r="I1021" t="s">
        <v>4893</v>
      </c>
      <c r="J1021" t="s">
        <v>4917</v>
      </c>
      <c r="K1021" t="s">
        <v>4924</v>
      </c>
      <c r="L1021" t="s">
        <v>4937</v>
      </c>
      <c r="M1021" t="s">
        <v>4944</v>
      </c>
      <c r="N1021" s="11">
        <v>7871.32</v>
      </c>
      <c r="O1021" t="s">
        <v>4949</v>
      </c>
      <c r="P1021" t="s">
        <v>4951</v>
      </c>
      <c r="S1021" t="str">
        <f t="shared" si="45"/>
        <v>Middle-Aged</v>
      </c>
      <c r="T1021" t="str">
        <f t="shared" si="46"/>
        <v>Medium</v>
      </c>
      <c r="U1021" t="str">
        <f t="shared" si="47"/>
        <v>Short Days</v>
      </c>
    </row>
    <row r="1022" spans="1:21">
      <c r="A1022" t="s">
        <v>1038</v>
      </c>
      <c r="B1022" s="5">
        <v>45833</v>
      </c>
      <c r="C1022" t="s">
        <v>3824</v>
      </c>
      <c r="D1022" t="s">
        <v>4794</v>
      </c>
      <c r="E1022" t="s">
        <v>4867</v>
      </c>
      <c r="F1022">
        <v>4</v>
      </c>
      <c r="G1022" t="s">
        <v>4869</v>
      </c>
      <c r="H1022" t="s">
        <v>4884</v>
      </c>
      <c r="I1022" t="s">
        <v>4901</v>
      </c>
      <c r="J1022" t="s">
        <v>4921</v>
      </c>
      <c r="K1022" t="s">
        <v>4927</v>
      </c>
      <c r="L1022" t="s">
        <v>4941</v>
      </c>
      <c r="M1022" t="s">
        <v>4942</v>
      </c>
      <c r="N1022" s="11">
        <v>671.59</v>
      </c>
      <c r="O1022" t="s">
        <v>15</v>
      </c>
      <c r="P1022" t="s">
        <v>4952</v>
      </c>
      <c r="R1022">
        <v>30</v>
      </c>
      <c r="S1022" t="str">
        <f t="shared" si="45"/>
        <v>Child</v>
      </c>
      <c r="T1022" t="str">
        <f t="shared" si="46"/>
        <v>Low</v>
      </c>
      <c r="U1022" t="str">
        <f t="shared" si="47"/>
        <v>Short Days</v>
      </c>
    </row>
    <row r="1023" spans="1:21">
      <c r="A1023" t="s">
        <v>1039</v>
      </c>
      <c r="B1023" s="5">
        <v>45645</v>
      </c>
      <c r="C1023" t="s">
        <v>3023</v>
      </c>
      <c r="D1023" t="s">
        <v>4683</v>
      </c>
      <c r="E1023" t="s">
        <v>4866</v>
      </c>
      <c r="F1023">
        <v>39</v>
      </c>
      <c r="G1023" t="s">
        <v>4869</v>
      </c>
      <c r="H1023" t="s">
        <v>4884</v>
      </c>
      <c r="I1023" t="s">
        <v>4893</v>
      </c>
      <c r="J1023" t="s">
        <v>4917</v>
      </c>
      <c r="K1023" t="s">
        <v>4927</v>
      </c>
      <c r="L1023" t="s">
        <v>4939</v>
      </c>
      <c r="M1023" t="s">
        <v>4942</v>
      </c>
      <c r="N1023" s="11">
        <v>21256.3</v>
      </c>
      <c r="O1023" t="s">
        <v>4946</v>
      </c>
      <c r="P1023" t="s">
        <v>4951</v>
      </c>
      <c r="R1023">
        <v>14</v>
      </c>
      <c r="S1023" t="str">
        <f t="shared" si="45"/>
        <v>Adult</v>
      </c>
      <c r="T1023" t="str">
        <f t="shared" si="46"/>
        <v>High</v>
      </c>
      <c r="U1023" t="str">
        <f t="shared" si="47"/>
        <v>Short Days</v>
      </c>
    </row>
    <row r="1024" spans="1:21">
      <c r="A1024" t="s">
        <v>1040</v>
      </c>
      <c r="B1024" s="5">
        <v>45429</v>
      </c>
      <c r="C1024" t="s">
        <v>3825</v>
      </c>
      <c r="D1024" t="s">
        <v>4656</v>
      </c>
      <c r="E1024" t="s">
        <v>4866</v>
      </c>
      <c r="F1024">
        <v>11</v>
      </c>
      <c r="G1024" t="s">
        <v>4869</v>
      </c>
      <c r="H1024" t="s">
        <v>4884</v>
      </c>
      <c r="I1024" t="s">
        <v>4895</v>
      </c>
      <c r="J1024" t="s">
        <v>4915</v>
      </c>
      <c r="K1024" t="s">
        <v>4932</v>
      </c>
      <c r="L1024" t="s">
        <v>4940</v>
      </c>
      <c r="M1024" t="s">
        <v>4942</v>
      </c>
      <c r="N1024" s="11">
        <v>3360.37</v>
      </c>
      <c r="O1024" t="s">
        <v>4947</v>
      </c>
      <c r="P1024" t="s">
        <v>4951</v>
      </c>
      <c r="R1024">
        <v>90</v>
      </c>
      <c r="S1024" t="str">
        <f t="shared" si="45"/>
        <v>Child</v>
      </c>
      <c r="T1024" t="str">
        <f t="shared" si="46"/>
        <v>Low</v>
      </c>
      <c r="U1024" t="str">
        <f t="shared" si="47"/>
        <v>Short Days</v>
      </c>
    </row>
    <row r="1025" spans="1:21">
      <c r="A1025" t="s">
        <v>1041</v>
      </c>
      <c r="B1025" s="5">
        <v>45872</v>
      </c>
      <c r="C1025" t="s">
        <v>3826</v>
      </c>
      <c r="D1025" t="s">
        <v>4828</v>
      </c>
      <c r="E1025" t="s">
        <v>4866</v>
      </c>
      <c r="F1025">
        <v>35</v>
      </c>
      <c r="G1025" t="s">
        <v>4878</v>
      </c>
      <c r="H1025" t="s">
        <v>4889</v>
      </c>
      <c r="I1025" t="s">
        <v>4898</v>
      </c>
      <c r="J1025" t="s">
        <v>4918</v>
      </c>
      <c r="K1025" t="s">
        <v>4929</v>
      </c>
      <c r="L1025" t="s">
        <v>4939</v>
      </c>
      <c r="M1025" t="s">
        <v>4943</v>
      </c>
      <c r="N1025" s="11">
        <v>8895.74</v>
      </c>
      <c r="O1025" t="s">
        <v>4948</v>
      </c>
      <c r="P1025" t="s">
        <v>4951</v>
      </c>
      <c r="S1025" t="str">
        <f t="shared" si="45"/>
        <v>Adult</v>
      </c>
      <c r="T1025" t="str">
        <f t="shared" si="46"/>
        <v>Medium</v>
      </c>
      <c r="U1025" t="str">
        <f t="shared" si="47"/>
        <v>Short Days</v>
      </c>
    </row>
    <row r="1026" spans="1:21">
      <c r="A1026" t="s">
        <v>1042</v>
      </c>
      <c r="B1026" s="5">
        <v>45300</v>
      </c>
      <c r="C1026" t="s">
        <v>3193</v>
      </c>
      <c r="D1026" t="s">
        <v>4703</v>
      </c>
      <c r="E1026" t="s">
        <v>4867</v>
      </c>
      <c r="F1026">
        <v>57</v>
      </c>
      <c r="G1026" t="s">
        <v>4880</v>
      </c>
      <c r="H1026" t="s">
        <v>4890</v>
      </c>
      <c r="I1026" t="s">
        <v>4894</v>
      </c>
      <c r="J1026" t="s">
        <v>4904</v>
      </c>
      <c r="K1026" t="s">
        <v>4927</v>
      </c>
      <c r="L1026" t="s">
        <v>4939</v>
      </c>
      <c r="M1026" t="s">
        <v>4943</v>
      </c>
      <c r="N1026" s="11">
        <v>5213.5200000000004</v>
      </c>
      <c r="O1026" t="s">
        <v>15</v>
      </c>
      <c r="P1026" t="s">
        <v>4952</v>
      </c>
      <c r="S1026" t="str">
        <f t="shared" si="45"/>
        <v>Middle-Aged</v>
      </c>
      <c r="T1026" t="str">
        <f t="shared" si="46"/>
        <v>Medium</v>
      </c>
      <c r="U1026" t="str">
        <f t="shared" si="47"/>
        <v>Short Days</v>
      </c>
    </row>
    <row r="1027" spans="1:21">
      <c r="A1027" t="s">
        <v>1043</v>
      </c>
      <c r="B1027" s="5">
        <v>45924</v>
      </c>
      <c r="C1027" t="s">
        <v>3827</v>
      </c>
      <c r="D1027" t="s">
        <v>4645</v>
      </c>
      <c r="E1027" t="s">
        <v>4867</v>
      </c>
      <c r="F1027">
        <v>34</v>
      </c>
      <c r="G1027" t="s">
        <v>4879</v>
      </c>
      <c r="H1027" t="s">
        <v>4888</v>
      </c>
      <c r="I1027" t="s">
        <v>4900</v>
      </c>
      <c r="J1027" t="s">
        <v>4913</v>
      </c>
      <c r="K1027" t="s">
        <v>4927</v>
      </c>
      <c r="L1027" t="s">
        <v>4934</v>
      </c>
      <c r="M1027" t="s">
        <v>4942</v>
      </c>
      <c r="N1027" s="11">
        <v>4995.57</v>
      </c>
      <c r="O1027" t="s">
        <v>15</v>
      </c>
      <c r="P1027" t="s">
        <v>4952</v>
      </c>
      <c r="R1027">
        <v>90</v>
      </c>
      <c r="S1027" t="str">
        <f t="shared" ref="S1027:S1090" si="48">IF(F1027&lt;18,"Child",IF(F1027&lt;=40,"Adult",IF(F1027&lt;=60,"Middle-Aged",IF(F1027,"Senior"))))</f>
        <v>Adult</v>
      </c>
      <c r="T1027" t="str">
        <f t="shared" ref="T1027:T1090" si="49">IF(N1027&lt;=5000,"Low",IF(N1027&lt;=10000,"Medium","High"))</f>
        <v>Low</v>
      </c>
      <c r="U1027" t="str">
        <f t="shared" ref="U1027:U1090" si="50">IF(Q1027&lt;=5,"Short Days","Long Days")</f>
        <v>Short Days</v>
      </c>
    </row>
    <row r="1028" spans="1:21">
      <c r="A1028" t="s">
        <v>1044</v>
      </c>
      <c r="B1028" s="5">
        <v>45764</v>
      </c>
      <c r="C1028" t="s">
        <v>3258</v>
      </c>
      <c r="D1028" t="s">
        <v>4678</v>
      </c>
      <c r="E1028" t="s">
        <v>4867</v>
      </c>
      <c r="F1028">
        <v>26</v>
      </c>
      <c r="G1028" t="s">
        <v>4880</v>
      </c>
      <c r="H1028" t="s">
        <v>4890</v>
      </c>
      <c r="I1028" t="s">
        <v>4897</v>
      </c>
      <c r="J1028" t="s">
        <v>4922</v>
      </c>
      <c r="K1028" t="s">
        <v>4928</v>
      </c>
      <c r="L1028" t="s">
        <v>4934</v>
      </c>
      <c r="M1028" t="s">
        <v>4943</v>
      </c>
      <c r="N1028" s="11">
        <v>28432.799999999999</v>
      </c>
      <c r="O1028" t="s">
        <v>4950</v>
      </c>
      <c r="P1028" t="s">
        <v>4951</v>
      </c>
      <c r="S1028" t="str">
        <f t="shared" si="48"/>
        <v>Adult</v>
      </c>
      <c r="T1028" t="str">
        <f t="shared" si="49"/>
        <v>High</v>
      </c>
      <c r="U1028" t="str">
        <f t="shared" si="50"/>
        <v>Short Days</v>
      </c>
    </row>
    <row r="1029" spans="1:21">
      <c r="A1029" t="s">
        <v>1045</v>
      </c>
      <c r="B1029" s="5">
        <v>45598</v>
      </c>
      <c r="C1029" t="s">
        <v>3828</v>
      </c>
      <c r="D1029" t="s">
        <v>4590</v>
      </c>
      <c r="E1029" t="s">
        <v>4867</v>
      </c>
      <c r="F1029">
        <v>49</v>
      </c>
      <c r="G1029" t="s">
        <v>4878</v>
      </c>
      <c r="H1029" t="s">
        <v>4889</v>
      </c>
      <c r="I1029" t="s">
        <v>4899</v>
      </c>
      <c r="J1029" t="s">
        <v>4912</v>
      </c>
      <c r="K1029" t="s">
        <v>4929</v>
      </c>
      <c r="L1029" t="s">
        <v>4941</v>
      </c>
      <c r="M1029" t="s">
        <v>4942</v>
      </c>
      <c r="N1029" s="11">
        <v>7954.34</v>
      </c>
      <c r="O1029" t="s">
        <v>4948</v>
      </c>
      <c r="P1029" t="s">
        <v>4951</v>
      </c>
      <c r="S1029" t="str">
        <f t="shared" si="48"/>
        <v>Middle-Aged</v>
      </c>
      <c r="T1029" t="str">
        <f t="shared" si="49"/>
        <v>Medium</v>
      </c>
      <c r="U1029" t="str">
        <f t="shared" si="50"/>
        <v>Short Days</v>
      </c>
    </row>
    <row r="1030" spans="1:21">
      <c r="A1030" t="s">
        <v>1046</v>
      </c>
      <c r="B1030" s="5">
        <v>45393</v>
      </c>
      <c r="C1030" t="s">
        <v>3230</v>
      </c>
      <c r="D1030" t="s">
        <v>4737</v>
      </c>
      <c r="E1030" t="s">
        <v>4867</v>
      </c>
      <c r="F1030">
        <v>26</v>
      </c>
      <c r="G1030" t="s">
        <v>4869</v>
      </c>
      <c r="H1030" t="s">
        <v>4884</v>
      </c>
      <c r="I1030" t="s">
        <v>4900</v>
      </c>
      <c r="J1030" t="s">
        <v>4913</v>
      </c>
      <c r="K1030" t="s">
        <v>4932</v>
      </c>
      <c r="L1030" t="s">
        <v>4936</v>
      </c>
      <c r="M1030" t="s">
        <v>4943</v>
      </c>
      <c r="N1030" s="11">
        <v>9590.19</v>
      </c>
      <c r="O1030" t="s">
        <v>4947</v>
      </c>
      <c r="P1030" t="s">
        <v>4951</v>
      </c>
      <c r="S1030" t="str">
        <f t="shared" si="48"/>
        <v>Adult</v>
      </c>
      <c r="T1030" t="str">
        <f t="shared" si="49"/>
        <v>Medium</v>
      </c>
      <c r="U1030" t="str">
        <f t="shared" si="50"/>
        <v>Short Days</v>
      </c>
    </row>
    <row r="1031" spans="1:21">
      <c r="A1031" t="s">
        <v>1047</v>
      </c>
      <c r="B1031" s="5">
        <v>45604</v>
      </c>
      <c r="C1031" t="s">
        <v>3829</v>
      </c>
      <c r="D1031" t="s">
        <v>4708</v>
      </c>
      <c r="E1031" t="s">
        <v>4866</v>
      </c>
      <c r="F1031">
        <v>17</v>
      </c>
      <c r="G1031" t="s">
        <v>4872</v>
      </c>
      <c r="H1031" t="s">
        <v>4887</v>
      </c>
      <c r="I1031" t="s">
        <v>4894</v>
      </c>
      <c r="J1031" t="s">
        <v>4910</v>
      </c>
      <c r="K1031" t="s">
        <v>4927</v>
      </c>
      <c r="L1031" t="s">
        <v>4934</v>
      </c>
      <c r="M1031" t="s">
        <v>4942</v>
      </c>
      <c r="N1031" s="11">
        <v>11963.11</v>
      </c>
      <c r="O1031" t="s">
        <v>4947</v>
      </c>
      <c r="P1031" t="s">
        <v>4951</v>
      </c>
      <c r="R1031">
        <v>14</v>
      </c>
      <c r="S1031" t="str">
        <f t="shared" si="48"/>
        <v>Child</v>
      </c>
      <c r="T1031" t="str">
        <f t="shared" si="49"/>
        <v>High</v>
      </c>
      <c r="U1031" t="str">
        <f t="shared" si="50"/>
        <v>Short Days</v>
      </c>
    </row>
    <row r="1032" spans="1:21">
      <c r="A1032" t="s">
        <v>1048</v>
      </c>
      <c r="B1032" s="5">
        <v>45737</v>
      </c>
      <c r="C1032" t="s">
        <v>3830</v>
      </c>
      <c r="D1032" t="s">
        <v>4801</v>
      </c>
      <c r="E1032" t="s">
        <v>4866</v>
      </c>
      <c r="F1032">
        <v>49</v>
      </c>
      <c r="G1032" t="s">
        <v>4870</v>
      </c>
      <c r="H1032" t="s">
        <v>4885</v>
      </c>
      <c r="I1032" t="s">
        <v>4895</v>
      </c>
      <c r="J1032" t="s">
        <v>4915</v>
      </c>
      <c r="K1032" t="s">
        <v>4924</v>
      </c>
      <c r="L1032" t="s">
        <v>4941</v>
      </c>
      <c r="M1032" t="s">
        <v>4942</v>
      </c>
      <c r="N1032" s="11">
        <v>709.89</v>
      </c>
      <c r="O1032" t="s">
        <v>4946</v>
      </c>
      <c r="P1032" t="s">
        <v>4951</v>
      </c>
      <c r="S1032" t="str">
        <f t="shared" si="48"/>
        <v>Middle-Aged</v>
      </c>
      <c r="T1032" t="str">
        <f t="shared" si="49"/>
        <v>Low</v>
      </c>
      <c r="U1032" t="str">
        <f t="shared" si="50"/>
        <v>Short Days</v>
      </c>
    </row>
    <row r="1033" spans="1:21">
      <c r="A1033" t="s">
        <v>1049</v>
      </c>
      <c r="B1033" s="5">
        <v>45444</v>
      </c>
      <c r="C1033" t="s">
        <v>3411</v>
      </c>
      <c r="D1033" t="s">
        <v>4853</v>
      </c>
      <c r="E1033" t="s">
        <v>4866</v>
      </c>
      <c r="F1033">
        <v>68</v>
      </c>
      <c r="G1033" t="s">
        <v>4877</v>
      </c>
      <c r="H1033" t="s">
        <v>4888</v>
      </c>
      <c r="I1033" t="s">
        <v>4894</v>
      </c>
      <c r="J1033" t="s">
        <v>4910</v>
      </c>
      <c r="K1033" t="s">
        <v>4933</v>
      </c>
      <c r="L1033" t="s">
        <v>4941</v>
      </c>
      <c r="M1033" t="s">
        <v>4944</v>
      </c>
      <c r="N1033" s="11">
        <v>5931.87</v>
      </c>
      <c r="O1033" t="s">
        <v>4946</v>
      </c>
      <c r="P1033" t="s">
        <v>4951</v>
      </c>
      <c r="S1033" t="str">
        <f t="shared" si="48"/>
        <v>Senior</v>
      </c>
      <c r="T1033" t="str">
        <f t="shared" si="49"/>
        <v>Medium</v>
      </c>
      <c r="U1033" t="str">
        <f t="shared" si="50"/>
        <v>Short Days</v>
      </c>
    </row>
    <row r="1034" spans="1:21">
      <c r="A1034" t="s">
        <v>1050</v>
      </c>
      <c r="B1034" s="5">
        <v>45373</v>
      </c>
      <c r="C1034" t="s">
        <v>3510</v>
      </c>
      <c r="D1034" t="s">
        <v>4763</v>
      </c>
      <c r="E1034" t="s">
        <v>4867</v>
      </c>
      <c r="F1034">
        <v>55</v>
      </c>
      <c r="G1034" t="s">
        <v>4881</v>
      </c>
      <c r="H1034" t="s">
        <v>4881</v>
      </c>
      <c r="I1034" t="s">
        <v>4893</v>
      </c>
      <c r="J1034" t="s">
        <v>4917</v>
      </c>
      <c r="K1034" t="s">
        <v>4928</v>
      </c>
      <c r="L1034" t="s">
        <v>4934</v>
      </c>
      <c r="M1034" t="s">
        <v>4942</v>
      </c>
      <c r="N1034" s="11">
        <v>4714.45</v>
      </c>
      <c r="O1034" t="s">
        <v>4947</v>
      </c>
      <c r="P1034" t="s">
        <v>4951</v>
      </c>
      <c r="R1034">
        <v>90</v>
      </c>
      <c r="S1034" t="str">
        <f t="shared" si="48"/>
        <v>Middle-Aged</v>
      </c>
      <c r="T1034" t="str">
        <f t="shared" si="49"/>
        <v>Low</v>
      </c>
      <c r="U1034" t="str">
        <f t="shared" si="50"/>
        <v>Short Days</v>
      </c>
    </row>
    <row r="1035" spans="1:21">
      <c r="A1035" t="s">
        <v>1051</v>
      </c>
      <c r="B1035" s="5">
        <v>45648</v>
      </c>
      <c r="C1035" t="s">
        <v>3831</v>
      </c>
      <c r="D1035" t="s">
        <v>4859</v>
      </c>
      <c r="E1035" t="s">
        <v>4866</v>
      </c>
      <c r="F1035">
        <v>49</v>
      </c>
      <c r="G1035" t="s">
        <v>4869</v>
      </c>
      <c r="H1035" t="s">
        <v>4884</v>
      </c>
      <c r="I1035" t="s">
        <v>4901</v>
      </c>
      <c r="J1035" t="s">
        <v>4921</v>
      </c>
      <c r="K1035" t="s">
        <v>4924</v>
      </c>
      <c r="L1035" t="s">
        <v>4939</v>
      </c>
      <c r="M1035" t="s">
        <v>4942</v>
      </c>
      <c r="N1035" s="11">
        <v>2058.85</v>
      </c>
      <c r="O1035" t="s">
        <v>4947</v>
      </c>
      <c r="P1035" t="s">
        <v>4951</v>
      </c>
      <c r="R1035">
        <v>14</v>
      </c>
      <c r="S1035" t="str">
        <f t="shared" si="48"/>
        <v>Middle-Aged</v>
      </c>
      <c r="T1035" t="str">
        <f t="shared" si="49"/>
        <v>Low</v>
      </c>
      <c r="U1035" t="str">
        <f t="shared" si="50"/>
        <v>Short Days</v>
      </c>
    </row>
    <row r="1036" spans="1:21">
      <c r="A1036" t="s">
        <v>1052</v>
      </c>
      <c r="B1036" s="5">
        <v>45764</v>
      </c>
      <c r="C1036" t="s">
        <v>3832</v>
      </c>
      <c r="D1036" t="s">
        <v>4608</v>
      </c>
      <c r="E1036" t="s">
        <v>4867</v>
      </c>
      <c r="F1036">
        <v>26</v>
      </c>
      <c r="G1036" t="s">
        <v>4875</v>
      </c>
      <c r="H1036" t="s">
        <v>4889</v>
      </c>
      <c r="I1036" t="s">
        <v>4897</v>
      </c>
      <c r="J1036" t="s">
        <v>4922</v>
      </c>
      <c r="K1036" t="s">
        <v>4926</v>
      </c>
      <c r="L1036" t="s">
        <v>4940</v>
      </c>
      <c r="M1036" t="s">
        <v>4942</v>
      </c>
      <c r="N1036" s="11">
        <v>2359.29</v>
      </c>
      <c r="O1036" t="s">
        <v>4949</v>
      </c>
      <c r="P1036" t="s">
        <v>4951</v>
      </c>
      <c r="S1036" t="str">
        <f t="shared" si="48"/>
        <v>Adult</v>
      </c>
      <c r="T1036" t="str">
        <f t="shared" si="49"/>
        <v>Low</v>
      </c>
      <c r="U1036" t="str">
        <f t="shared" si="50"/>
        <v>Short Days</v>
      </c>
    </row>
    <row r="1037" spans="1:21">
      <c r="A1037" t="s">
        <v>1053</v>
      </c>
      <c r="B1037" s="5">
        <v>45953</v>
      </c>
      <c r="C1037" t="s">
        <v>3833</v>
      </c>
      <c r="D1037" t="s">
        <v>4752</v>
      </c>
      <c r="E1037" t="s">
        <v>4867</v>
      </c>
      <c r="F1037">
        <v>23</v>
      </c>
      <c r="G1037" t="s">
        <v>4875</v>
      </c>
      <c r="H1037" t="s">
        <v>4889</v>
      </c>
      <c r="I1037" t="s">
        <v>4901</v>
      </c>
      <c r="J1037" t="s">
        <v>4914</v>
      </c>
      <c r="K1037" t="s">
        <v>4929</v>
      </c>
      <c r="L1037" t="s">
        <v>4938</v>
      </c>
      <c r="M1037" t="s">
        <v>4942</v>
      </c>
      <c r="N1037" s="11">
        <v>170.82</v>
      </c>
      <c r="O1037" t="s">
        <v>4948</v>
      </c>
      <c r="P1037" t="s">
        <v>4951</v>
      </c>
      <c r="S1037" t="str">
        <f t="shared" si="48"/>
        <v>Adult</v>
      </c>
      <c r="T1037" t="str">
        <f t="shared" si="49"/>
        <v>Low</v>
      </c>
      <c r="U1037" t="str">
        <f t="shared" si="50"/>
        <v>Short Days</v>
      </c>
    </row>
    <row r="1038" spans="1:21">
      <c r="A1038" t="s">
        <v>1054</v>
      </c>
      <c r="B1038" s="5">
        <v>45550</v>
      </c>
      <c r="C1038" t="s">
        <v>3834</v>
      </c>
      <c r="D1038" t="s">
        <v>4832</v>
      </c>
      <c r="E1038" t="s">
        <v>4866</v>
      </c>
      <c r="F1038">
        <v>48</v>
      </c>
      <c r="G1038" t="s">
        <v>4870</v>
      </c>
      <c r="H1038" t="s">
        <v>4885</v>
      </c>
      <c r="I1038" t="s">
        <v>4893</v>
      </c>
      <c r="J1038" t="s">
        <v>4917</v>
      </c>
      <c r="K1038" t="s">
        <v>4928</v>
      </c>
      <c r="L1038" t="s">
        <v>4941</v>
      </c>
      <c r="M1038" t="s">
        <v>4944</v>
      </c>
      <c r="N1038" s="11">
        <v>6326.45</v>
      </c>
      <c r="O1038" t="s">
        <v>4949</v>
      </c>
      <c r="P1038" t="s">
        <v>4951</v>
      </c>
      <c r="R1038">
        <v>7</v>
      </c>
      <c r="S1038" t="str">
        <f t="shared" si="48"/>
        <v>Middle-Aged</v>
      </c>
      <c r="T1038" t="str">
        <f t="shared" si="49"/>
        <v>Medium</v>
      </c>
      <c r="U1038" t="str">
        <f t="shared" si="50"/>
        <v>Short Days</v>
      </c>
    </row>
    <row r="1039" spans="1:21">
      <c r="A1039" t="s">
        <v>1055</v>
      </c>
      <c r="B1039" s="5">
        <v>45558</v>
      </c>
      <c r="C1039" t="s">
        <v>3621</v>
      </c>
      <c r="D1039" t="s">
        <v>4835</v>
      </c>
      <c r="E1039" t="s">
        <v>4866</v>
      </c>
      <c r="F1039">
        <v>36</v>
      </c>
      <c r="G1039" t="s">
        <v>4880</v>
      </c>
      <c r="H1039" t="s">
        <v>4890</v>
      </c>
      <c r="I1039" t="s">
        <v>4897</v>
      </c>
      <c r="J1039" t="s">
        <v>4907</v>
      </c>
      <c r="K1039" t="s">
        <v>4927</v>
      </c>
      <c r="L1039" t="s">
        <v>4937</v>
      </c>
      <c r="M1039" t="s">
        <v>4942</v>
      </c>
      <c r="N1039" s="11">
        <v>537.9</v>
      </c>
      <c r="O1039" t="s">
        <v>15</v>
      </c>
      <c r="P1039" t="s">
        <v>4952</v>
      </c>
      <c r="R1039">
        <v>14</v>
      </c>
      <c r="S1039" t="str">
        <f t="shared" si="48"/>
        <v>Adult</v>
      </c>
      <c r="T1039" t="str">
        <f t="shared" si="49"/>
        <v>Low</v>
      </c>
      <c r="U1039" t="str">
        <f t="shared" si="50"/>
        <v>Short Days</v>
      </c>
    </row>
    <row r="1040" spans="1:21">
      <c r="A1040" t="s">
        <v>1056</v>
      </c>
      <c r="B1040" s="5">
        <v>45753</v>
      </c>
      <c r="C1040" t="s">
        <v>3835</v>
      </c>
      <c r="D1040" t="s">
        <v>4599</v>
      </c>
      <c r="E1040" t="s">
        <v>4867</v>
      </c>
      <c r="F1040">
        <v>43</v>
      </c>
      <c r="G1040" t="s">
        <v>4873</v>
      </c>
      <c r="H1040" t="s">
        <v>4888</v>
      </c>
      <c r="I1040" t="s">
        <v>4897</v>
      </c>
      <c r="J1040" t="s">
        <v>4907</v>
      </c>
      <c r="K1040" t="s">
        <v>4930</v>
      </c>
      <c r="L1040" t="s">
        <v>4939</v>
      </c>
      <c r="M1040" t="s">
        <v>4942</v>
      </c>
      <c r="N1040" s="11">
        <v>1503.97</v>
      </c>
      <c r="O1040" t="s">
        <v>15</v>
      </c>
      <c r="P1040" t="s">
        <v>4952</v>
      </c>
      <c r="R1040">
        <v>30</v>
      </c>
      <c r="S1040" t="str">
        <f t="shared" si="48"/>
        <v>Middle-Aged</v>
      </c>
      <c r="T1040" t="str">
        <f t="shared" si="49"/>
        <v>Low</v>
      </c>
      <c r="U1040" t="str">
        <f t="shared" si="50"/>
        <v>Short Days</v>
      </c>
    </row>
    <row r="1041" spans="1:21">
      <c r="A1041" t="s">
        <v>1057</v>
      </c>
      <c r="B1041" s="5">
        <v>45503</v>
      </c>
      <c r="C1041" t="s">
        <v>3836</v>
      </c>
      <c r="D1041" t="s">
        <v>4784</v>
      </c>
      <c r="E1041" t="s">
        <v>4867</v>
      </c>
      <c r="F1041">
        <v>38</v>
      </c>
      <c r="G1041" t="s">
        <v>4877</v>
      </c>
      <c r="H1041" t="s">
        <v>4888</v>
      </c>
      <c r="I1041" t="s">
        <v>4896</v>
      </c>
      <c r="J1041" t="s">
        <v>4906</v>
      </c>
      <c r="K1041" t="s">
        <v>4931</v>
      </c>
      <c r="L1041" t="s">
        <v>4935</v>
      </c>
      <c r="M1041" t="s">
        <v>4942</v>
      </c>
      <c r="N1041" s="11">
        <v>1467.21</v>
      </c>
      <c r="O1041" t="s">
        <v>4946</v>
      </c>
      <c r="P1041" t="s">
        <v>4951</v>
      </c>
      <c r="R1041">
        <v>7</v>
      </c>
      <c r="S1041" t="str">
        <f t="shared" si="48"/>
        <v>Adult</v>
      </c>
      <c r="T1041" t="str">
        <f t="shared" si="49"/>
        <v>Low</v>
      </c>
      <c r="U1041" t="str">
        <f t="shared" si="50"/>
        <v>Short Days</v>
      </c>
    </row>
    <row r="1042" spans="1:21">
      <c r="A1042" t="s">
        <v>1058</v>
      </c>
      <c r="B1042" s="5">
        <v>45869</v>
      </c>
      <c r="C1042" t="s">
        <v>3837</v>
      </c>
      <c r="D1042" t="s">
        <v>4818</v>
      </c>
      <c r="E1042" t="s">
        <v>4866</v>
      </c>
      <c r="F1042">
        <v>39</v>
      </c>
      <c r="G1042" t="s">
        <v>4881</v>
      </c>
      <c r="H1042" t="s">
        <v>4881</v>
      </c>
      <c r="I1042" t="s">
        <v>4898</v>
      </c>
      <c r="J1042" t="s">
        <v>4918</v>
      </c>
      <c r="K1042" t="s">
        <v>4932</v>
      </c>
      <c r="L1042" t="s">
        <v>4939</v>
      </c>
      <c r="M1042" t="s">
        <v>4942</v>
      </c>
      <c r="N1042" s="11">
        <v>381.16</v>
      </c>
      <c r="O1042" t="s">
        <v>4946</v>
      </c>
      <c r="P1042" t="s">
        <v>4951</v>
      </c>
      <c r="S1042" t="str">
        <f t="shared" si="48"/>
        <v>Adult</v>
      </c>
      <c r="T1042" t="str">
        <f t="shared" si="49"/>
        <v>Low</v>
      </c>
      <c r="U1042" t="str">
        <f t="shared" si="50"/>
        <v>Short Days</v>
      </c>
    </row>
    <row r="1043" spans="1:21">
      <c r="A1043" t="s">
        <v>1059</v>
      </c>
      <c r="B1043" s="5">
        <v>45718</v>
      </c>
      <c r="C1043" t="s">
        <v>3252</v>
      </c>
      <c r="D1043" t="s">
        <v>4778</v>
      </c>
      <c r="E1043" t="s">
        <v>4866</v>
      </c>
      <c r="F1043">
        <v>28</v>
      </c>
      <c r="G1043" t="s">
        <v>4871</v>
      </c>
      <c r="H1043" t="s">
        <v>4886</v>
      </c>
      <c r="I1043" t="s">
        <v>4897</v>
      </c>
      <c r="J1043" t="s">
        <v>4907</v>
      </c>
      <c r="K1043" t="s">
        <v>4927</v>
      </c>
      <c r="L1043" t="s">
        <v>4937</v>
      </c>
      <c r="M1043" t="s">
        <v>4942</v>
      </c>
      <c r="N1043" s="11">
        <v>163.94</v>
      </c>
      <c r="O1043" t="s">
        <v>4949</v>
      </c>
      <c r="P1043" t="s">
        <v>4951</v>
      </c>
      <c r="R1043">
        <v>7</v>
      </c>
      <c r="S1043" t="str">
        <f t="shared" si="48"/>
        <v>Adult</v>
      </c>
      <c r="T1043" t="str">
        <f t="shared" si="49"/>
        <v>Low</v>
      </c>
      <c r="U1043" t="str">
        <f t="shared" si="50"/>
        <v>Short Days</v>
      </c>
    </row>
    <row r="1044" spans="1:21">
      <c r="A1044" t="s">
        <v>1060</v>
      </c>
      <c r="B1044" s="5">
        <v>45452</v>
      </c>
      <c r="C1044" t="s">
        <v>3838</v>
      </c>
      <c r="D1044" t="s">
        <v>4691</v>
      </c>
      <c r="E1044" t="s">
        <v>4867</v>
      </c>
      <c r="F1044">
        <v>46</v>
      </c>
      <c r="G1044" t="s">
        <v>4875</v>
      </c>
      <c r="H1044" t="s">
        <v>4889</v>
      </c>
      <c r="I1044" t="s">
        <v>4893</v>
      </c>
      <c r="J1044" t="s">
        <v>4903</v>
      </c>
      <c r="K1044" t="s">
        <v>4927</v>
      </c>
      <c r="L1044" t="s">
        <v>4939</v>
      </c>
      <c r="M1044" t="s">
        <v>4944</v>
      </c>
      <c r="N1044" s="11">
        <v>5571.96</v>
      </c>
      <c r="O1044" t="s">
        <v>4947</v>
      </c>
      <c r="P1044" t="s">
        <v>4951</v>
      </c>
      <c r="R1044">
        <v>7</v>
      </c>
      <c r="S1044" t="str">
        <f t="shared" si="48"/>
        <v>Middle-Aged</v>
      </c>
      <c r="T1044" t="str">
        <f t="shared" si="49"/>
        <v>Medium</v>
      </c>
      <c r="U1044" t="str">
        <f t="shared" si="50"/>
        <v>Short Days</v>
      </c>
    </row>
    <row r="1045" spans="1:21">
      <c r="A1045" t="s">
        <v>1061</v>
      </c>
      <c r="B1045" s="5">
        <v>45488</v>
      </c>
      <c r="C1045" t="s">
        <v>3839</v>
      </c>
      <c r="D1045" t="s">
        <v>4605</v>
      </c>
      <c r="E1045" t="s">
        <v>4867</v>
      </c>
      <c r="F1045">
        <v>47</v>
      </c>
      <c r="G1045" t="s">
        <v>4872</v>
      </c>
      <c r="H1045" t="s">
        <v>4887</v>
      </c>
      <c r="I1045" t="s">
        <v>4901</v>
      </c>
      <c r="J1045" t="s">
        <v>4921</v>
      </c>
      <c r="K1045" t="s">
        <v>4925</v>
      </c>
      <c r="L1045" t="s">
        <v>4940</v>
      </c>
      <c r="M1045" t="s">
        <v>4942</v>
      </c>
      <c r="N1045" s="11">
        <v>23680.78</v>
      </c>
      <c r="O1045" t="s">
        <v>15</v>
      </c>
      <c r="P1045" t="s">
        <v>4952</v>
      </c>
      <c r="S1045" t="str">
        <f t="shared" si="48"/>
        <v>Middle-Aged</v>
      </c>
      <c r="T1045" t="str">
        <f t="shared" si="49"/>
        <v>High</v>
      </c>
      <c r="U1045" t="str">
        <f t="shared" si="50"/>
        <v>Short Days</v>
      </c>
    </row>
    <row r="1046" spans="1:21">
      <c r="A1046" t="s">
        <v>1062</v>
      </c>
      <c r="B1046" s="5">
        <v>45521</v>
      </c>
      <c r="C1046" t="s">
        <v>3840</v>
      </c>
      <c r="D1046" t="s">
        <v>4634</v>
      </c>
      <c r="E1046" t="s">
        <v>4866</v>
      </c>
      <c r="F1046">
        <v>62</v>
      </c>
      <c r="G1046" t="s">
        <v>4869</v>
      </c>
      <c r="H1046" t="s">
        <v>4884</v>
      </c>
      <c r="I1046" t="s">
        <v>4896</v>
      </c>
      <c r="J1046" t="s">
        <v>4906</v>
      </c>
      <c r="K1046" t="s">
        <v>4929</v>
      </c>
      <c r="L1046" t="s">
        <v>4935</v>
      </c>
      <c r="M1046" t="s">
        <v>4942</v>
      </c>
      <c r="N1046" s="11">
        <v>1644.43</v>
      </c>
      <c r="O1046" t="s">
        <v>4946</v>
      </c>
      <c r="P1046" t="s">
        <v>4951</v>
      </c>
      <c r="S1046" t="str">
        <f t="shared" si="48"/>
        <v>Senior</v>
      </c>
      <c r="T1046" t="str">
        <f t="shared" si="49"/>
        <v>Low</v>
      </c>
      <c r="U1046" t="str">
        <f t="shared" si="50"/>
        <v>Short Days</v>
      </c>
    </row>
    <row r="1047" spans="1:21">
      <c r="A1047" t="s">
        <v>1063</v>
      </c>
      <c r="B1047" s="5">
        <v>45796</v>
      </c>
      <c r="C1047" t="s">
        <v>3744</v>
      </c>
      <c r="D1047" t="s">
        <v>4727</v>
      </c>
      <c r="E1047" t="s">
        <v>4866</v>
      </c>
      <c r="F1047">
        <v>54</v>
      </c>
      <c r="G1047" t="s">
        <v>4882</v>
      </c>
      <c r="H1047" t="s">
        <v>4891</v>
      </c>
      <c r="I1047" t="s">
        <v>4895</v>
      </c>
      <c r="J1047" t="s">
        <v>4905</v>
      </c>
      <c r="K1047" t="s">
        <v>4924</v>
      </c>
      <c r="L1047" t="s">
        <v>4936</v>
      </c>
      <c r="M1047" t="s">
        <v>4942</v>
      </c>
      <c r="N1047" s="11">
        <v>2317.2600000000002</v>
      </c>
      <c r="O1047" t="s">
        <v>4947</v>
      </c>
      <c r="P1047" t="s">
        <v>4951</v>
      </c>
      <c r="R1047">
        <v>14</v>
      </c>
      <c r="S1047" t="str">
        <f t="shared" si="48"/>
        <v>Middle-Aged</v>
      </c>
      <c r="T1047" t="str">
        <f t="shared" si="49"/>
        <v>Low</v>
      </c>
      <c r="U1047" t="str">
        <f t="shared" si="50"/>
        <v>Short Days</v>
      </c>
    </row>
    <row r="1048" spans="1:21">
      <c r="A1048" t="s">
        <v>1064</v>
      </c>
      <c r="B1048" s="5">
        <v>45293</v>
      </c>
      <c r="C1048" t="s">
        <v>3841</v>
      </c>
      <c r="D1048" t="s">
        <v>4678</v>
      </c>
      <c r="E1048" t="s">
        <v>4867</v>
      </c>
      <c r="F1048">
        <v>6</v>
      </c>
      <c r="G1048" t="s">
        <v>4872</v>
      </c>
      <c r="H1048" t="s">
        <v>4887</v>
      </c>
      <c r="I1048" t="s">
        <v>4896</v>
      </c>
      <c r="J1048" t="s">
        <v>4908</v>
      </c>
      <c r="K1048" t="s">
        <v>4927</v>
      </c>
      <c r="L1048" t="s">
        <v>4934</v>
      </c>
      <c r="M1048" t="s">
        <v>4942</v>
      </c>
      <c r="N1048" s="11">
        <v>513.55999999999995</v>
      </c>
      <c r="O1048" t="s">
        <v>4947</v>
      </c>
      <c r="P1048" t="s">
        <v>4951</v>
      </c>
      <c r="S1048" t="str">
        <f t="shared" si="48"/>
        <v>Child</v>
      </c>
      <c r="T1048" t="str">
        <f t="shared" si="49"/>
        <v>Low</v>
      </c>
      <c r="U1048" t="str">
        <f t="shared" si="50"/>
        <v>Short Days</v>
      </c>
    </row>
    <row r="1049" spans="1:21">
      <c r="A1049" t="s">
        <v>1065</v>
      </c>
      <c r="B1049" s="5">
        <v>45729</v>
      </c>
      <c r="C1049" t="s">
        <v>3842</v>
      </c>
      <c r="D1049" t="s">
        <v>4768</v>
      </c>
      <c r="E1049" t="s">
        <v>4868</v>
      </c>
      <c r="F1049">
        <v>66</v>
      </c>
      <c r="G1049" t="s">
        <v>4874</v>
      </c>
      <c r="H1049" t="s">
        <v>4886</v>
      </c>
      <c r="I1049" t="s">
        <v>4893</v>
      </c>
      <c r="J1049" t="s">
        <v>4917</v>
      </c>
      <c r="K1049" t="s">
        <v>4928</v>
      </c>
      <c r="L1049" t="s">
        <v>4935</v>
      </c>
      <c r="M1049" t="s">
        <v>4944</v>
      </c>
      <c r="N1049" s="11">
        <v>5401.2</v>
      </c>
      <c r="O1049" t="s">
        <v>4946</v>
      </c>
      <c r="P1049" t="s">
        <v>4951</v>
      </c>
      <c r="S1049" t="str">
        <f t="shared" si="48"/>
        <v>Senior</v>
      </c>
      <c r="T1049" t="str">
        <f t="shared" si="49"/>
        <v>Medium</v>
      </c>
      <c r="U1049" t="str">
        <f t="shared" si="50"/>
        <v>Short Days</v>
      </c>
    </row>
    <row r="1050" spans="1:21">
      <c r="A1050" t="s">
        <v>1066</v>
      </c>
      <c r="B1050" s="5">
        <v>45905</v>
      </c>
      <c r="C1050" t="s">
        <v>3843</v>
      </c>
      <c r="D1050" t="s">
        <v>4857</v>
      </c>
      <c r="E1050" t="s">
        <v>4867</v>
      </c>
      <c r="F1050">
        <v>54</v>
      </c>
      <c r="G1050" t="s">
        <v>4882</v>
      </c>
      <c r="H1050" t="s">
        <v>4891</v>
      </c>
      <c r="I1050" t="s">
        <v>4902</v>
      </c>
      <c r="J1050" t="s">
        <v>4920</v>
      </c>
      <c r="K1050" t="s">
        <v>4930</v>
      </c>
      <c r="L1050" t="s">
        <v>4941</v>
      </c>
      <c r="M1050" t="s">
        <v>4945</v>
      </c>
      <c r="N1050" s="11">
        <v>9457.0499999999993</v>
      </c>
      <c r="O1050" t="s">
        <v>4946</v>
      </c>
      <c r="P1050" t="s">
        <v>4951</v>
      </c>
      <c r="Q1050">
        <v>10</v>
      </c>
      <c r="R1050">
        <v>7</v>
      </c>
      <c r="S1050" t="str">
        <f t="shared" si="48"/>
        <v>Middle-Aged</v>
      </c>
      <c r="T1050" t="str">
        <f t="shared" si="49"/>
        <v>Medium</v>
      </c>
      <c r="U1050" t="str">
        <f t="shared" si="50"/>
        <v>Long Days</v>
      </c>
    </row>
    <row r="1051" spans="1:21">
      <c r="A1051" t="s">
        <v>1067</v>
      </c>
      <c r="B1051" s="5">
        <v>45600</v>
      </c>
      <c r="C1051" t="s">
        <v>3418</v>
      </c>
      <c r="D1051" t="s">
        <v>4742</v>
      </c>
      <c r="E1051" t="s">
        <v>4867</v>
      </c>
      <c r="F1051">
        <v>58</v>
      </c>
      <c r="G1051" t="s">
        <v>4877</v>
      </c>
      <c r="H1051" t="s">
        <v>4888</v>
      </c>
      <c r="I1051" t="s">
        <v>4900</v>
      </c>
      <c r="J1051" t="s">
        <v>4913</v>
      </c>
      <c r="K1051" t="s">
        <v>4931</v>
      </c>
      <c r="L1051" t="s">
        <v>4939</v>
      </c>
      <c r="M1051" t="s">
        <v>4942</v>
      </c>
      <c r="N1051" s="11">
        <v>3177.62</v>
      </c>
      <c r="O1051" t="s">
        <v>15</v>
      </c>
      <c r="P1051" t="s">
        <v>4952</v>
      </c>
      <c r="S1051" t="str">
        <f t="shared" si="48"/>
        <v>Middle-Aged</v>
      </c>
      <c r="T1051" t="str">
        <f t="shared" si="49"/>
        <v>Low</v>
      </c>
      <c r="U1051" t="str">
        <f t="shared" si="50"/>
        <v>Short Days</v>
      </c>
    </row>
    <row r="1052" spans="1:21">
      <c r="A1052" t="s">
        <v>1068</v>
      </c>
      <c r="B1052" s="5">
        <v>45650</v>
      </c>
      <c r="C1052" t="s">
        <v>3844</v>
      </c>
      <c r="D1052" t="s">
        <v>4691</v>
      </c>
      <c r="E1052" t="s">
        <v>4867</v>
      </c>
      <c r="F1052">
        <v>12</v>
      </c>
      <c r="G1052" t="s">
        <v>4870</v>
      </c>
      <c r="H1052" t="s">
        <v>4885</v>
      </c>
      <c r="I1052" t="s">
        <v>4895</v>
      </c>
      <c r="J1052" t="s">
        <v>4915</v>
      </c>
      <c r="K1052" t="s">
        <v>4927</v>
      </c>
      <c r="L1052" t="s">
        <v>4938</v>
      </c>
      <c r="M1052" t="s">
        <v>4942</v>
      </c>
      <c r="N1052" s="11">
        <v>4366.8599999999997</v>
      </c>
      <c r="O1052" t="s">
        <v>4947</v>
      </c>
      <c r="P1052" t="s">
        <v>4951</v>
      </c>
      <c r="S1052" t="str">
        <f t="shared" si="48"/>
        <v>Child</v>
      </c>
      <c r="T1052" t="str">
        <f t="shared" si="49"/>
        <v>Low</v>
      </c>
      <c r="U1052" t="str">
        <f t="shared" si="50"/>
        <v>Short Days</v>
      </c>
    </row>
    <row r="1053" spans="1:21">
      <c r="A1053" t="s">
        <v>1069</v>
      </c>
      <c r="B1053" s="5">
        <v>45735</v>
      </c>
      <c r="C1053" t="s">
        <v>3845</v>
      </c>
      <c r="D1053" t="s">
        <v>4666</v>
      </c>
      <c r="E1053" t="s">
        <v>4867</v>
      </c>
      <c r="F1053">
        <v>43</v>
      </c>
      <c r="G1053" t="s">
        <v>4877</v>
      </c>
      <c r="H1053" t="s">
        <v>4888</v>
      </c>
      <c r="I1053" t="s">
        <v>4897</v>
      </c>
      <c r="J1053" t="s">
        <v>4922</v>
      </c>
      <c r="K1053" t="s">
        <v>4930</v>
      </c>
      <c r="L1053" t="s">
        <v>4941</v>
      </c>
      <c r="M1053" t="s">
        <v>4942</v>
      </c>
      <c r="N1053" s="11">
        <v>909.88</v>
      </c>
      <c r="O1053" t="s">
        <v>4947</v>
      </c>
      <c r="P1053" t="s">
        <v>4951</v>
      </c>
      <c r="R1053">
        <v>14</v>
      </c>
      <c r="S1053" t="str">
        <f t="shared" si="48"/>
        <v>Middle-Aged</v>
      </c>
      <c r="T1053" t="str">
        <f t="shared" si="49"/>
        <v>Low</v>
      </c>
      <c r="U1053" t="str">
        <f t="shared" si="50"/>
        <v>Short Days</v>
      </c>
    </row>
    <row r="1054" spans="1:21">
      <c r="A1054" t="s">
        <v>1070</v>
      </c>
      <c r="B1054" s="5">
        <v>45774</v>
      </c>
      <c r="C1054" t="s">
        <v>3414</v>
      </c>
      <c r="D1054" t="s">
        <v>4718</v>
      </c>
      <c r="E1054" t="s">
        <v>4866</v>
      </c>
      <c r="F1054">
        <v>48</v>
      </c>
      <c r="G1054" t="s">
        <v>4883</v>
      </c>
      <c r="H1054" t="s">
        <v>4892</v>
      </c>
      <c r="I1054" t="s">
        <v>4896</v>
      </c>
      <c r="J1054" t="s">
        <v>4906</v>
      </c>
      <c r="K1054" t="s">
        <v>4927</v>
      </c>
      <c r="L1054" t="s">
        <v>4936</v>
      </c>
      <c r="M1054" t="s">
        <v>4945</v>
      </c>
      <c r="N1054" s="11">
        <v>9565.1</v>
      </c>
      <c r="O1054" t="s">
        <v>15</v>
      </c>
      <c r="P1054" t="s">
        <v>4952</v>
      </c>
      <c r="Q1054">
        <v>6</v>
      </c>
      <c r="S1054" t="str">
        <f t="shared" si="48"/>
        <v>Middle-Aged</v>
      </c>
      <c r="T1054" t="str">
        <f t="shared" si="49"/>
        <v>Medium</v>
      </c>
      <c r="U1054" t="str">
        <f t="shared" si="50"/>
        <v>Long Days</v>
      </c>
    </row>
    <row r="1055" spans="1:21">
      <c r="A1055" t="s">
        <v>1071</v>
      </c>
      <c r="B1055" s="5">
        <v>45891</v>
      </c>
      <c r="C1055" t="s">
        <v>3846</v>
      </c>
      <c r="D1055" t="s">
        <v>4612</v>
      </c>
      <c r="E1055" t="s">
        <v>4867</v>
      </c>
      <c r="F1055">
        <f>AVERAGE(F1048,F1054)</f>
        <v>27</v>
      </c>
      <c r="G1055" t="s">
        <v>4881</v>
      </c>
      <c r="H1055" t="s">
        <v>4885</v>
      </c>
      <c r="I1055" t="s">
        <v>4897</v>
      </c>
      <c r="J1055" t="s">
        <v>4907</v>
      </c>
      <c r="K1055" t="s">
        <v>4953</v>
      </c>
      <c r="L1055" t="s">
        <v>4941</v>
      </c>
      <c r="M1055" t="s">
        <v>4942</v>
      </c>
      <c r="N1055" s="11">
        <v>1484.1</v>
      </c>
      <c r="O1055" t="s">
        <v>4946</v>
      </c>
      <c r="P1055" t="s">
        <v>4951</v>
      </c>
      <c r="R1055">
        <v>14</v>
      </c>
      <c r="S1055" t="str">
        <f t="shared" si="48"/>
        <v>Adult</v>
      </c>
      <c r="T1055" t="str">
        <f t="shared" si="49"/>
        <v>Low</v>
      </c>
      <c r="U1055" t="str">
        <f t="shared" si="50"/>
        <v>Short Days</v>
      </c>
    </row>
    <row r="1056" spans="1:21">
      <c r="A1056" t="s">
        <v>1072</v>
      </c>
      <c r="B1056" s="5">
        <v>45829</v>
      </c>
      <c r="C1056" t="s">
        <v>3194</v>
      </c>
      <c r="D1056" t="s">
        <v>4642</v>
      </c>
      <c r="E1056" t="s">
        <v>4867</v>
      </c>
      <c r="F1056">
        <v>53</v>
      </c>
      <c r="G1056" t="s">
        <v>4871</v>
      </c>
      <c r="H1056" t="s">
        <v>4886</v>
      </c>
      <c r="I1056" t="s">
        <v>4900</v>
      </c>
      <c r="J1056" t="s">
        <v>4913</v>
      </c>
      <c r="K1056" t="s">
        <v>4932</v>
      </c>
      <c r="L1056" t="s">
        <v>4938</v>
      </c>
      <c r="M1056" t="s">
        <v>4942</v>
      </c>
      <c r="N1056" s="11">
        <v>8858.66</v>
      </c>
      <c r="O1056" t="s">
        <v>4946</v>
      </c>
      <c r="P1056" t="s">
        <v>4951</v>
      </c>
      <c r="R1056">
        <v>30</v>
      </c>
      <c r="S1056" t="str">
        <f t="shared" si="48"/>
        <v>Middle-Aged</v>
      </c>
      <c r="T1056" t="str">
        <f t="shared" si="49"/>
        <v>Medium</v>
      </c>
      <c r="U1056" t="str">
        <f t="shared" si="50"/>
        <v>Short Days</v>
      </c>
    </row>
    <row r="1057" spans="1:21">
      <c r="A1057" t="s">
        <v>1073</v>
      </c>
      <c r="B1057" s="5">
        <v>45770</v>
      </c>
      <c r="C1057" t="s">
        <v>3669</v>
      </c>
      <c r="D1057" t="s">
        <v>4610</v>
      </c>
      <c r="E1057" t="s">
        <v>4867</v>
      </c>
      <c r="F1057">
        <v>36</v>
      </c>
      <c r="G1057" t="s">
        <v>4880</v>
      </c>
      <c r="H1057" t="s">
        <v>4890</v>
      </c>
      <c r="I1057" t="s">
        <v>4897</v>
      </c>
      <c r="J1057" t="s">
        <v>4907</v>
      </c>
      <c r="K1057" t="s">
        <v>4926</v>
      </c>
      <c r="L1057" t="s">
        <v>4935</v>
      </c>
      <c r="M1057" t="s">
        <v>4942</v>
      </c>
      <c r="N1057" s="11">
        <v>3406.86</v>
      </c>
      <c r="O1057" t="s">
        <v>15</v>
      </c>
      <c r="P1057" t="s">
        <v>4952</v>
      </c>
      <c r="R1057">
        <v>7</v>
      </c>
      <c r="S1057" t="str">
        <f t="shared" si="48"/>
        <v>Adult</v>
      </c>
      <c r="T1057" t="str">
        <f t="shared" si="49"/>
        <v>Low</v>
      </c>
      <c r="U1057" t="str">
        <f t="shared" si="50"/>
        <v>Short Days</v>
      </c>
    </row>
    <row r="1058" spans="1:21">
      <c r="A1058" t="s">
        <v>1074</v>
      </c>
      <c r="B1058" s="5">
        <v>45324</v>
      </c>
      <c r="C1058" t="s">
        <v>3847</v>
      </c>
      <c r="D1058" t="s">
        <v>4821</v>
      </c>
      <c r="E1058" t="s">
        <v>4867</v>
      </c>
      <c r="F1058">
        <v>52</v>
      </c>
      <c r="G1058" t="s">
        <v>4874</v>
      </c>
      <c r="H1058" t="s">
        <v>4886</v>
      </c>
      <c r="I1058" t="s">
        <v>4902</v>
      </c>
      <c r="J1058" t="s">
        <v>4920</v>
      </c>
      <c r="K1058" t="s">
        <v>4927</v>
      </c>
      <c r="L1058" t="s">
        <v>4935</v>
      </c>
      <c r="M1058" t="s">
        <v>4942</v>
      </c>
      <c r="N1058" s="11">
        <v>931.62</v>
      </c>
      <c r="O1058" t="s">
        <v>4950</v>
      </c>
      <c r="P1058" t="s">
        <v>4951</v>
      </c>
      <c r="R1058">
        <v>7</v>
      </c>
      <c r="S1058" t="str">
        <f t="shared" si="48"/>
        <v>Middle-Aged</v>
      </c>
      <c r="T1058" t="str">
        <f t="shared" si="49"/>
        <v>Low</v>
      </c>
      <c r="U1058" t="str">
        <f t="shared" si="50"/>
        <v>Short Days</v>
      </c>
    </row>
    <row r="1059" spans="1:21">
      <c r="A1059" t="s">
        <v>1075</v>
      </c>
      <c r="B1059" s="5">
        <v>45330</v>
      </c>
      <c r="C1059" t="s">
        <v>3848</v>
      </c>
      <c r="D1059" t="s">
        <v>4796</v>
      </c>
      <c r="E1059" t="s">
        <v>4868</v>
      </c>
      <c r="F1059">
        <v>36</v>
      </c>
      <c r="G1059" t="s">
        <v>4880</v>
      </c>
      <c r="H1059" t="s">
        <v>4890</v>
      </c>
      <c r="I1059" t="s">
        <v>4900</v>
      </c>
      <c r="J1059" t="s">
        <v>4913</v>
      </c>
      <c r="K1059" t="s">
        <v>4924</v>
      </c>
      <c r="L1059" t="s">
        <v>4934</v>
      </c>
      <c r="M1059" t="s">
        <v>4942</v>
      </c>
      <c r="N1059" s="11">
        <v>3832.6</v>
      </c>
      <c r="O1059" t="s">
        <v>4948</v>
      </c>
      <c r="P1059" t="s">
        <v>4951</v>
      </c>
      <c r="R1059">
        <v>90</v>
      </c>
      <c r="S1059" t="str">
        <f t="shared" si="48"/>
        <v>Adult</v>
      </c>
      <c r="T1059" t="str">
        <f t="shared" si="49"/>
        <v>Low</v>
      </c>
      <c r="U1059" t="str">
        <f t="shared" si="50"/>
        <v>Short Days</v>
      </c>
    </row>
    <row r="1060" spans="1:21">
      <c r="A1060" t="s">
        <v>1076</v>
      </c>
      <c r="B1060" s="5">
        <v>45416</v>
      </c>
      <c r="C1060" t="s">
        <v>3849</v>
      </c>
      <c r="D1060" t="s">
        <v>4856</v>
      </c>
      <c r="E1060" t="s">
        <v>4867</v>
      </c>
      <c r="F1060">
        <v>38</v>
      </c>
      <c r="G1060" t="s">
        <v>4880</v>
      </c>
      <c r="H1060" t="s">
        <v>4890</v>
      </c>
      <c r="I1060" t="s">
        <v>4897</v>
      </c>
      <c r="J1060" t="s">
        <v>4907</v>
      </c>
      <c r="K1060" t="s">
        <v>4932</v>
      </c>
      <c r="L1060" t="s">
        <v>4939</v>
      </c>
      <c r="M1060" t="s">
        <v>4944</v>
      </c>
      <c r="N1060" s="11">
        <v>11751.75</v>
      </c>
      <c r="O1060" t="s">
        <v>15</v>
      </c>
      <c r="P1060" t="s">
        <v>4952</v>
      </c>
      <c r="R1060">
        <v>90</v>
      </c>
      <c r="S1060" t="str">
        <f t="shared" si="48"/>
        <v>Adult</v>
      </c>
      <c r="T1060" t="str">
        <f t="shared" si="49"/>
        <v>High</v>
      </c>
      <c r="U1060" t="str">
        <f t="shared" si="50"/>
        <v>Short Days</v>
      </c>
    </row>
    <row r="1061" spans="1:21">
      <c r="A1061" t="s">
        <v>1077</v>
      </c>
      <c r="B1061" s="5">
        <v>45327</v>
      </c>
      <c r="C1061" t="s">
        <v>3850</v>
      </c>
      <c r="D1061" t="s">
        <v>4710</v>
      </c>
      <c r="E1061" t="s">
        <v>4866</v>
      </c>
      <c r="F1061">
        <v>56</v>
      </c>
      <c r="G1061" t="s">
        <v>4870</v>
      </c>
      <c r="H1061" t="s">
        <v>4885</v>
      </c>
      <c r="I1061" t="s">
        <v>4896</v>
      </c>
      <c r="J1061" t="s">
        <v>4906</v>
      </c>
      <c r="K1061" t="s">
        <v>4927</v>
      </c>
      <c r="L1061" t="s">
        <v>4940</v>
      </c>
      <c r="M1061" t="s">
        <v>4942</v>
      </c>
      <c r="N1061" s="11">
        <v>18150.29</v>
      </c>
      <c r="O1061" t="s">
        <v>4949</v>
      </c>
      <c r="P1061" t="s">
        <v>4951</v>
      </c>
      <c r="S1061" t="str">
        <f t="shared" si="48"/>
        <v>Middle-Aged</v>
      </c>
      <c r="T1061" t="str">
        <f t="shared" si="49"/>
        <v>High</v>
      </c>
      <c r="U1061" t="str">
        <f t="shared" si="50"/>
        <v>Short Days</v>
      </c>
    </row>
    <row r="1062" spans="1:21">
      <c r="A1062" t="s">
        <v>1078</v>
      </c>
      <c r="B1062" s="5">
        <v>45527</v>
      </c>
      <c r="C1062" t="s">
        <v>3851</v>
      </c>
      <c r="D1062" t="s">
        <v>4685</v>
      </c>
      <c r="E1062" t="s">
        <v>4866</v>
      </c>
      <c r="F1062">
        <v>20</v>
      </c>
      <c r="G1062" t="s">
        <v>4872</v>
      </c>
      <c r="H1062" t="s">
        <v>4887</v>
      </c>
      <c r="I1062" t="s">
        <v>4900</v>
      </c>
      <c r="J1062" t="s">
        <v>4919</v>
      </c>
      <c r="K1062" t="s">
        <v>4932</v>
      </c>
      <c r="L1062" t="s">
        <v>4939</v>
      </c>
      <c r="M1062" t="s">
        <v>4942</v>
      </c>
      <c r="N1062" s="11">
        <v>3887.78</v>
      </c>
      <c r="O1062" t="s">
        <v>4949</v>
      </c>
      <c r="P1062" t="s">
        <v>4951</v>
      </c>
      <c r="R1062">
        <v>90</v>
      </c>
      <c r="S1062" t="str">
        <f t="shared" si="48"/>
        <v>Adult</v>
      </c>
      <c r="T1062" t="str">
        <f t="shared" si="49"/>
        <v>Low</v>
      </c>
      <c r="U1062" t="str">
        <f t="shared" si="50"/>
        <v>Short Days</v>
      </c>
    </row>
    <row r="1063" spans="1:21">
      <c r="A1063" t="s">
        <v>1079</v>
      </c>
      <c r="B1063" s="5">
        <v>45520</v>
      </c>
      <c r="C1063" t="s">
        <v>3852</v>
      </c>
      <c r="D1063" t="s">
        <v>4730</v>
      </c>
      <c r="E1063" t="s">
        <v>4866</v>
      </c>
      <c r="F1063">
        <v>22</v>
      </c>
      <c r="G1063" t="s">
        <v>4875</v>
      </c>
      <c r="H1063" t="s">
        <v>4889</v>
      </c>
      <c r="I1063" t="s">
        <v>4897</v>
      </c>
      <c r="J1063" t="s">
        <v>4922</v>
      </c>
      <c r="K1063" t="s">
        <v>4924</v>
      </c>
      <c r="L1063" t="s">
        <v>4939</v>
      </c>
      <c r="M1063" t="s">
        <v>4942</v>
      </c>
      <c r="N1063" s="11">
        <v>9225.86</v>
      </c>
      <c r="O1063" t="s">
        <v>4946</v>
      </c>
      <c r="P1063" t="s">
        <v>4951</v>
      </c>
      <c r="R1063">
        <v>14</v>
      </c>
      <c r="S1063" t="str">
        <f t="shared" si="48"/>
        <v>Adult</v>
      </c>
      <c r="T1063" t="str">
        <f t="shared" si="49"/>
        <v>Medium</v>
      </c>
      <c r="U1063" t="str">
        <f t="shared" si="50"/>
        <v>Short Days</v>
      </c>
    </row>
    <row r="1064" spans="1:21">
      <c r="A1064" t="s">
        <v>1080</v>
      </c>
      <c r="B1064" s="5">
        <v>45528</v>
      </c>
      <c r="C1064" t="s">
        <v>3320</v>
      </c>
      <c r="D1064" t="s">
        <v>4658</v>
      </c>
      <c r="E1064" t="s">
        <v>4866</v>
      </c>
      <c r="F1064">
        <v>42</v>
      </c>
      <c r="G1064" t="s">
        <v>4876</v>
      </c>
      <c r="H1064" t="s">
        <v>4888</v>
      </c>
      <c r="I1064" t="s">
        <v>4900</v>
      </c>
      <c r="J1064" t="s">
        <v>4919</v>
      </c>
      <c r="K1064" t="s">
        <v>4928</v>
      </c>
      <c r="L1064" t="s">
        <v>4934</v>
      </c>
      <c r="M1064" t="s">
        <v>4942</v>
      </c>
      <c r="N1064" s="11">
        <v>3706.49</v>
      </c>
      <c r="O1064" t="s">
        <v>15</v>
      </c>
      <c r="P1064" t="s">
        <v>4952</v>
      </c>
      <c r="S1064" t="str">
        <f t="shared" si="48"/>
        <v>Middle-Aged</v>
      </c>
      <c r="T1064" t="str">
        <f t="shared" si="49"/>
        <v>Low</v>
      </c>
      <c r="U1064" t="str">
        <f t="shared" si="50"/>
        <v>Short Days</v>
      </c>
    </row>
    <row r="1065" spans="1:21">
      <c r="A1065" t="s">
        <v>1081</v>
      </c>
      <c r="B1065" s="5">
        <v>45418</v>
      </c>
      <c r="C1065" t="s">
        <v>3853</v>
      </c>
      <c r="D1065" t="s">
        <v>4716</v>
      </c>
      <c r="E1065" t="s">
        <v>4867</v>
      </c>
      <c r="F1065">
        <v>26</v>
      </c>
      <c r="G1065" t="s">
        <v>4882</v>
      </c>
      <c r="H1065" t="s">
        <v>4891</v>
      </c>
      <c r="I1065" t="s">
        <v>4896</v>
      </c>
      <c r="J1065" t="s">
        <v>4908</v>
      </c>
      <c r="K1065" t="s">
        <v>4933</v>
      </c>
      <c r="L1065" t="s">
        <v>4939</v>
      </c>
      <c r="M1065" t="s">
        <v>4942</v>
      </c>
      <c r="N1065" s="11">
        <v>5227.32</v>
      </c>
      <c r="O1065" t="s">
        <v>4946</v>
      </c>
      <c r="P1065" t="s">
        <v>4951</v>
      </c>
      <c r="S1065" t="str">
        <f t="shared" si="48"/>
        <v>Adult</v>
      </c>
      <c r="T1065" t="str">
        <f t="shared" si="49"/>
        <v>Medium</v>
      </c>
      <c r="U1065" t="str">
        <f t="shared" si="50"/>
        <v>Short Days</v>
      </c>
    </row>
    <row r="1066" spans="1:21">
      <c r="A1066" t="s">
        <v>1082</v>
      </c>
      <c r="B1066" s="5">
        <v>45402</v>
      </c>
      <c r="C1066" t="s">
        <v>3156</v>
      </c>
      <c r="D1066" t="s">
        <v>4723</v>
      </c>
      <c r="E1066" t="s">
        <v>4867</v>
      </c>
      <c r="F1066">
        <v>10</v>
      </c>
      <c r="G1066" t="s">
        <v>4883</v>
      </c>
      <c r="H1066" t="s">
        <v>4892</v>
      </c>
      <c r="I1066" t="s">
        <v>4899</v>
      </c>
      <c r="J1066" t="s">
        <v>4911</v>
      </c>
      <c r="K1066" t="s">
        <v>4931</v>
      </c>
      <c r="L1066" t="s">
        <v>4939</v>
      </c>
      <c r="M1066" t="s">
        <v>4942</v>
      </c>
      <c r="N1066" s="11">
        <v>8984.01</v>
      </c>
      <c r="O1066" t="s">
        <v>4947</v>
      </c>
      <c r="P1066" t="s">
        <v>4951</v>
      </c>
      <c r="R1066">
        <v>90</v>
      </c>
      <c r="S1066" t="str">
        <f t="shared" si="48"/>
        <v>Child</v>
      </c>
      <c r="T1066" t="str">
        <f t="shared" si="49"/>
        <v>Medium</v>
      </c>
      <c r="U1066" t="str">
        <f t="shared" si="50"/>
        <v>Short Days</v>
      </c>
    </row>
    <row r="1067" spans="1:21">
      <c r="A1067" t="s">
        <v>1083</v>
      </c>
      <c r="B1067" s="5">
        <v>45855</v>
      </c>
      <c r="C1067" t="s">
        <v>3854</v>
      </c>
      <c r="D1067" t="s">
        <v>4853</v>
      </c>
      <c r="E1067" t="s">
        <v>4867</v>
      </c>
      <c r="F1067">
        <v>0</v>
      </c>
      <c r="G1067" t="s">
        <v>4880</v>
      </c>
      <c r="H1067" t="s">
        <v>4890</v>
      </c>
      <c r="I1067" t="s">
        <v>4901</v>
      </c>
      <c r="J1067" t="s">
        <v>4921</v>
      </c>
      <c r="K1067" t="s">
        <v>4930</v>
      </c>
      <c r="L1067" t="s">
        <v>4934</v>
      </c>
      <c r="M1067" t="s">
        <v>4942</v>
      </c>
      <c r="N1067" s="11">
        <v>9565.33</v>
      </c>
      <c r="O1067" t="s">
        <v>4950</v>
      </c>
      <c r="P1067" t="s">
        <v>4951</v>
      </c>
      <c r="S1067" t="str">
        <f t="shared" si="48"/>
        <v>Child</v>
      </c>
      <c r="T1067" t="str">
        <f t="shared" si="49"/>
        <v>Medium</v>
      </c>
      <c r="U1067" t="str">
        <f t="shared" si="50"/>
        <v>Short Days</v>
      </c>
    </row>
    <row r="1068" spans="1:21">
      <c r="A1068" t="s">
        <v>1084</v>
      </c>
      <c r="B1068" s="5">
        <v>45482</v>
      </c>
      <c r="C1068" t="s">
        <v>3855</v>
      </c>
      <c r="D1068" t="s">
        <v>4857</v>
      </c>
      <c r="E1068" t="s">
        <v>4867</v>
      </c>
      <c r="F1068">
        <v>23</v>
      </c>
      <c r="G1068" t="s">
        <v>4881</v>
      </c>
      <c r="H1068" t="s">
        <v>4881</v>
      </c>
      <c r="I1068" t="s">
        <v>4897</v>
      </c>
      <c r="J1068" t="s">
        <v>4907</v>
      </c>
      <c r="K1068" t="s">
        <v>4930</v>
      </c>
      <c r="L1068" t="s">
        <v>4939</v>
      </c>
      <c r="M1068" t="s">
        <v>4942</v>
      </c>
      <c r="N1068" s="11">
        <v>2876.49</v>
      </c>
      <c r="O1068" t="s">
        <v>4949</v>
      </c>
      <c r="P1068" t="s">
        <v>4951</v>
      </c>
      <c r="R1068">
        <v>30</v>
      </c>
      <c r="S1068" t="str">
        <f t="shared" si="48"/>
        <v>Adult</v>
      </c>
      <c r="T1068" t="str">
        <f t="shared" si="49"/>
        <v>Low</v>
      </c>
      <c r="U1068" t="str">
        <f t="shared" si="50"/>
        <v>Short Days</v>
      </c>
    </row>
    <row r="1069" spans="1:21">
      <c r="A1069" t="s">
        <v>1085</v>
      </c>
      <c r="B1069" s="5">
        <v>45618</v>
      </c>
      <c r="C1069" t="s">
        <v>3856</v>
      </c>
      <c r="D1069" t="s">
        <v>4835</v>
      </c>
      <c r="E1069" t="s">
        <v>4867</v>
      </c>
      <c r="F1069">
        <v>41</v>
      </c>
      <c r="G1069" t="s">
        <v>4870</v>
      </c>
      <c r="H1069" t="s">
        <v>4885</v>
      </c>
      <c r="I1069" t="s">
        <v>4897</v>
      </c>
      <c r="J1069" t="s">
        <v>4922</v>
      </c>
      <c r="K1069" t="s">
        <v>4924</v>
      </c>
      <c r="L1069" t="s">
        <v>4934</v>
      </c>
      <c r="M1069" t="s">
        <v>4945</v>
      </c>
      <c r="N1069" s="11">
        <v>11367.23</v>
      </c>
      <c r="O1069" t="s">
        <v>15</v>
      </c>
      <c r="P1069" t="s">
        <v>4952</v>
      </c>
      <c r="Q1069">
        <v>6</v>
      </c>
      <c r="S1069" t="str">
        <f t="shared" si="48"/>
        <v>Middle-Aged</v>
      </c>
      <c r="T1069" t="str">
        <f t="shared" si="49"/>
        <v>High</v>
      </c>
      <c r="U1069" t="str">
        <f t="shared" si="50"/>
        <v>Long Days</v>
      </c>
    </row>
    <row r="1070" spans="1:21">
      <c r="A1070" t="s">
        <v>1086</v>
      </c>
      <c r="B1070" s="5">
        <v>45794</v>
      </c>
      <c r="C1070" t="s">
        <v>3106</v>
      </c>
      <c r="D1070" t="s">
        <v>4636</v>
      </c>
      <c r="E1070" t="s">
        <v>4866</v>
      </c>
      <c r="F1070">
        <v>49</v>
      </c>
      <c r="G1070" t="s">
        <v>4881</v>
      </c>
      <c r="H1070" t="s">
        <v>4881</v>
      </c>
      <c r="I1070" t="s">
        <v>4899</v>
      </c>
      <c r="J1070" t="s">
        <v>4912</v>
      </c>
      <c r="K1070" t="s">
        <v>4932</v>
      </c>
      <c r="L1070" t="s">
        <v>4934</v>
      </c>
      <c r="M1070" t="s">
        <v>4942</v>
      </c>
      <c r="N1070" s="11">
        <v>551.09</v>
      </c>
      <c r="O1070" t="s">
        <v>4947</v>
      </c>
      <c r="P1070" t="s">
        <v>4951</v>
      </c>
      <c r="S1070" t="str">
        <f t="shared" si="48"/>
        <v>Middle-Aged</v>
      </c>
      <c r="T1070" t="str">
        <f t="shared" si="49"/>
        <v>Low</v>
      </c>
      <c r="U1070" t="str">
        <f t="shared" si="50"/>
        <v>Short Days</v>
      </c>
    </row>
    <row r="1071" spans="1:21">
      <c r="A1071" t="s">
        <v>1087</v>
      </c>
      <c r="B1071" s="5">
        <v>45947</v>
      </c>
      <c r="C1071" t="s">
        <v>3857</v>
      </c>
      <c r="D1071" t="s">
        <v>4625</v>
      </c>
      <c r="E1071" t="s">
        <v>4866</v>
      </c>
      <c r="F1071">
        <v>31</v>
      </c>
      <c r="G1071" t="s">
        <v>4874</v>
      </c>
      <c r="H1071" t="s">
        <v>4886</v>
      </c>
      <c r="I1071" t="s">
        <v>4901</v>
      </c>
      <c r="J1071" t="s">
        <v>4914</v>
      </c>
      <c r="K1071" t="s">
        <v>4928</v>
      </c>
      <c r="L1071" t="s">
        <v>4937</v>
      </c>
      <c r="M1071" t="s">
        <v>4942</v>
      </c>
      <c r="N1071" s="11">
        <v>858.13</v>
      </c>
      <c r="O1071" t="s">
        <v>4946</v>
      </c>
      <c r="P1071" t="s">
        <v>4951</v>
      </c>
      <c r="R1071">
        <v>30</v>
      </c>
      <c r="S1071" t="str">
        <f t="shared" si="48"/>
        <v>Adult</v>
      </c>
      <c r="T1071" t="str">
        <f t="shared" si="49"/>
        <v>Low</v>
      </c>
      <c r="U1071" t="str">
        <f t="shared" si="50"/>
        <v>Short Days</v>
      </c>
    </row>
    <row r="1072" spans="1:21">
      <c r="A1072" t="s">
        <v>1088</v>
      </c>
      <c r="B1072" s="5">
        <v>45588</v>
      </c>
      <c r="C1072" t="s">
        <v>3409</v>
      </c>
      <c r="D1072" t="s">
        <v>4626</v>
      </c>
      <c r="E1072" t="s">
        <v>4866</v>
      </c>
      <c r="F1072">
        <v>84</v>
      </c>
      <c r="G1072" t="s">
        <v>4883</v>
      </c>
      <c r="H1072" t="s">
        <v>4892</v>
      </c>
      <c r="I1072" t="s">
        <v>4893</v>
      </c>
      <c r="J1072" t="s">
        <v>4903</v>
      </c>
      <c r="K1072" t="s">
        <v>4932</v>
      </c>
      <c r="L1072" t="s">
        <v>4934</v>
      </c>
      <c r="M1072" t="s">
        <v>4942</v>
      </c>
      <c r="N1072" s="11">
        <v>638.21</v>
      </c>
      <c r="O1072" t="s">
        <v>4949</v>
      </c>
      <c r="P1072" t="s">
        <v>4951</v>
      </c>
      <c r="R1072">
        <v>14</v>
      </c>
      <c r="S1072" t="str">
        <f t="shared" si="48"/>
        <v>Senior</v>
      </c>
      <c r="T1072" t="str">
        <f t="shared" si="49"/>
        <v>Low</v>
      </c>
      <c r="U1072" t="str">
        <f t="shared" si="50"/>
        <v>Short Days</v>
      </c>
    </row>
    <row r="1073" spans="1:21">
      <c r="A1073" t="s">
        <v>1089</v>
      </c>
      <c r="B1073" s="5">
        <v>45769</v>
      </c>
      <c r="C1073" t="s">
        <v>3858</v>
      </c>
      <c r="D1073" t="s">
        <v>4672</v>
      </c>
      <c r="E1073" t="s">
        <v>4866</v>
      </c>
      <c r="F1073">
        <v>60</v>
      </c>
      <c r="G1073" t="s">
        <v>4877</v>
      </c>
      <c r="H1073" t="s">
        <v>4888</v>
      </c>
      <c r="I1073" t="s">
        <v>4893</v>
      </c>
      <c r="J1073" t="s">
        <v>4903</v>
      </c>
      <c r="K1073" t="s">
        <v>4929</v>
      </c>
      <c r="L1073" t="s">
        <v>4934</v>
      </c>
      <c r="M1073" t="s">
        <v>4942</v>
      </c>
      <c r="N1073" s="11">
        <v>1894.87</v>
      </c>
      <c r="O1073" t="s">
        <v>4946</v>
      </c>
      <c r="P1073" t="s">
        <v>4951</v>
      </c>
      <c r="R1073">
        <v>30</v>
      </c>
      <c r="S1073" t="str">
        <f t="shared" si="48"/>
        <v>Middle-Aged</v>
      </c>
      <c r="T1073" t="str">
        <f t="shared" si="49"/>
        <v>Low</v>
      </c>
      <c r="U1073" t="str">
        <f t="shared" si="50"/>
        <v>Short Days</v>
      </c>
    </row>
    <row r="1074" spans="1:21">
      <c r="A1074" t="s">
        <v>1090</v>
      </c>
      <c r="B1074" s="5">
        <v>45652</v>
      </c>
      <c r="C1074" t="s">
        <v>3136</v>
      </c>
      <c r="D1074" t="s">
        <v>4640</v>
      </c>
      <c r="E1074" t="s">
        <v>4866</v>
      </c>
      <c r="F1074">
        <v>19</v>
      </c>
      <c r="G1074" t="s">
        <v>4879</v>
      </c>
      <c r="H1074" t="s">
        <v>4888</v>
      </c>
      <c r="I1074" t="s">
        <v>4899</v>
      </c>
      <c r="J1074" t="s">
        <v>4912</v>
      </c>
      <c r="K1074" t="s">
        <v>4933</v>
      </c>
      <c r="L1074" t="s">
        <v>4941</v>
      </c>
      <c r="M1074" t="s">
        <v>4944</v>
      </c>
      <c r="N1074" s="11">
        <v>15079.48</v>
      </c>
      <c r="O1074" t="s">
        <v>15</v>
      </c>
      <c r="P1074" t="s">
        <v>4952</v>
      </c>
      <c r="S1074" t="str">
        <f t="shared" si="48"/>
        <v>Adult</v>
      </c>
      <c r="T1074" t="str">
        <f t="shared" si="49"/>
        <v>High</v>
      </c>
      <c r="U1074" t="str">
        <f t="shared" si="50"/>
        <v>Short Days</v>
      </c>
    </row>
    <row r="1075" spans="1:21">
      <c r="A1075" t="s">
        <v>1091</v>
      </c>
      <c r="B1075" s="5">
        <v>45671</v>
      </c>
      <c r="C1075" t="s">
        <v>3859</v>
      </c>
      <c r="D1075" t="s">
        <v>4765</v>
      </c>
      <c r="E1075" t="s">
        <v>4866</v>
      </c>
      <c r="F1075">
        <v>49</v>
      </c>
      <c r="G1075" t="s">
        <v>4882</v>
      </c>
      <c r="H1075" t="s">
        <v>4891</v>
      </c>
      <c r="I1075" t="s">
        <v>4898</v>
      </c>
      <c r="J1075" t="s">
        <v>4923</v>
      </c>
      <c r="K1075" t="s">
        <v>4930</v>
      </c>
      <c r="L1075" t="s">
        <v>4939</v>
      </c>
      <c r="M1075" t="s">
        <v>4942</v>
      </c>
      <c r="N1075" s="11">
        <v>9903.42</v>
      </c>
      <c r="O1075" t="s">
        <v>15</v>
      </c>
      <c r="P1075" t="s">
        <v>4952</v>
      </c>
      <c r="R1075">
        <v>30</v>
      </c>
      <c r="S1075" t="str">
        <f t="shared" si="48"/>
        <v>Middle-Aged</v>
      </c>
      <c r="T1075" t="str">
        <f t="shared" si="49"/>
        <v>Medium</v>
      </c>
      <c r="U1075" t="str">
        <f t="shared" si="50"/>
        <v>Short Days</v>
      </c>
    </row>
    <row r="1076" spans="1:21">
      <c r="A1076" t="s">
        <v>1092</v>
      </c>
      <c r="B1076" s="5">
        <v>45413</v>
      </c>
      <c r="C1076" t="s">
        <v>3860</v>
      </c>
      <c r="D1076" t="s">
        <v>4616</v>
      </c>
      <c r="E1076" t="s">
        <v>4866</v>
      </c>
      <c r="F1076">
        <v>44</v>
      </c>
      <c r="G1076" t="s">
        <v>4874</v>
      </c>
      <c r="H1076" t="s">
        <v>4886</v>
      </c>
      <c r="I1076" t="s">
        <v>4894</v>
      </c>
      <c r="J1076" t="s">
        <v>4910</v>
      </c>
      <c r="K1076" t="s">
        <v>4927</v>
      </c>
      <c r="L1076" t="s">
        <v>4935</v>
      </c>
      <c r="M1076" t="s">
        <v>4944</v>
      </c>
      <c r="N1076" s="11">
        <v>8606.48</v>
      </c>
      <c r="O1076" t="s">
        <v>15</v>
      </c>
      <c r="P1076" t="s">
        <v>4952</v>
      </c>
      <c r="R1076">
        <v>30</v>
      </c>
      <c r="S1076" t="str">
        <f t="shared" si="48"/>
        <v>Middle-Aged</v>
      </c>
      <c r="T1076" t="str">
        <f t="shared" si="49"/>
        <v>Medium</v>
      </c>
      <c r="U1076" t="str">
        <f t="shared" si="50"/>
        <v>Short Days</v>
      </c>
    </row>
    <row r="1077" spans="1:21">
      <c r="A1077" t="s">
        <v>1093</v>
      </c>
      <c r="B1077" s="5">
        <v>45354</v>
      </c>
      <c r="C1077" t="s">
        <v>3425</v>
      </c>
      <c r="D1077" t="s">
        <v>4776</v>
      </c>
      <c r="E1077" t="s">
        <v>4867</v>
      </c>
      <c r="F1077">
        <v>31</v>
      </c>
      <c r="G1077" t="s">
        <v>4873</v>
      </c>
      <c r="H1077" t="s">
        <v>4888</v>
      </c>
      <c r="I1077" t="s">
        <v>4899</v>
      </c>
      <c r="J1077" t="s">
        <v>4912</v>
      </c>
      <c r="K1077" t="s">
        <v>4929</v>
      </c>
      <c r="L1077" t="s">
        <v>4938</v>
      </c>
      <c r="M1077" t="s">
        <v>4942</v>
      </c>
      <c r="N1077" s="11">
        <v>5665.18</v>
      </c>
      <c r="O1077" t="s">
        <v>15</v>
      </c>
      <c r="P1077" t="s">
        <v>4952</v>
      </c>
      <c r="R1077">
        <v>7</v>
      </c>
      <c r="S1077" t="str">
        <f t="shared" si="48"/>
        <v>Adult</v>
      </c>
      <c r="T1077" t="str">
        <f t="shared" si="49"/>
        <v>Medium</v>
      </c>
      <c r="U1077" t="str">
        <f t="shared" si="50"/>
        <v>Short Days</v>
      </c>
    </row>
    <row r="1078" spans="1:21">
      <c r="A1078" t="s">
        <v>1094</v>
      </c>
      <c r="B1078" s="5">
        <v>45862</v>
      </c>
      <c r="C1078" t="s">
        <v>3705</v>
      </c>
      <c r="D1078" t="s">
        <v>4803</v>
      </c>
      <c r="E1078" t="s">
        <v>4866</v>
      </c>
      <c r="F1078">
        <v>88</v>
      </c>
      <c r="G1078" t="s">
        <v>4883</v>
      </c>
      <c r="H1078" t="s">
        <v>4892</v>
      </c>
      <c r="I1078" t="s">
        <v>4898</v>
      </c>
      <c r="J1078" t="s">
        <v>4923</v>
      </c>
      <c r="K1078" t="s">
        <v>4929</v>
      </c>
      <c r="L1078" t="s">
        <v>4934</v>
      </c>
      <c r="M1078" t="s">
        <v>4942</v>
      </c>
      <c r="N1078" s="11">
        <v>2085.46</v>
      </c>
      <c r="O1078" t="s">
        <v>4947</v>
      </c>
      <c r="P1078" t="s">
        <v>4951</v>
      </c>
      <c r="S1078" t="str">
        <f t="shared" si="48"/>
        <v>Senior</v>
      </c>
      <c r="T1078" t="str">
        <f t="shared" si="49"/>
        <v>Low</v>
      </c>
      <c r="U1078" t="str">
        <f t="shared" si="50"/>
        <v>Short Days</v>
      </c>
    </row>
    <row r="1079" spans="1:21">
      <c r="A1079" t="s">
        <v>1095</v>
      </c>
      <c r="B1079" s="5">
        <v>45918</v>
      </c>
      <c r="C1079" t="s">
        <v>3861</v>
      </c>
      <c r="D1079" t="s">
        <v>4844</v>
      </c>
      <c r="E1079" t="s">
        <v>4866</v>
      </c>
      <c r="F1079">
        <v>37</v>
      </c>
      <c r="G1079" t="s">
        <v>4879</v>
      </c>
      <c r="H1079" t="s">
        <v>4888</v>
      </c>
      <c r="I1079" t="s">
        <v>4898</v>
      </c>
      <c r="J1079" t="s">
        <v>4918</v>
      </c>
      <c r="K1079" t="s">
        <v>4932</v>
      </c>
      <c r="L1079" t="s">
        <v>4938</v>
      </c>
      <c r="M1079" t="s">
        <v>4942</v>
      </c>
      <c r="N1079" s="11">
        <v>11313.16</v>
      </c>
      <c r="O1079" t="s">
        <v>4950</v>
      </c>
      <c r="P1079" t="s">
        <v>4951</v>
      </c>
      <c r="S1079" t="str">
        <f t="shared" si="48"/>
        <v>Adult</v>
      </c>
      <c r="T1079" t="str">
        <f t="shared" si="49"/>
        <v>High</v>
      </c>
      <c r="U1079" t="str">
        <f t="shared" si="50"/>
        <v>Short Days</v>
      </c>
    </row>
    <row r="1080" spans="1:21">
      <c r="A1080" t="s">
        <v>1096</v>
      </c>
      <c r="B1080" s="5">
        <v>45315</v>
      </c>
      <c r="C1080" t="s">
        <v>3862</v>
      </c>
      <c r="D1080" t="s">
        <v>4665</v>
      </c>
      <c r="E1080" t="s">
        <v>4866</v>
      </c>
      <c r="F1080">
        <v>11</v>
      </c>
      <c r="G1080" t="s">
        <v>4874</v>
      </c>
      <c r="H1080" t="s">
        <v>4886</v>
      </c>
      <c r="I1080" t="s">
        <v>4893</v>
      </c>
      <c r="J1080" t="s">
        <v>4903</v>
      </c>
      <c r="K1080" t="s">
        <v>4927</v>
      </c>
      <c r="L1080" t="s">
        <v>4937</v>
      </c>
      <c r="M1080" t="s">
        <v>4943</v>
      </c>
      <c r="N1080" s="11">
        <v>9224.31</v>
      </c>
      <c r="O1080" t="s">
        <v>4946</v>
      </c>
      <c r="P1080" t="s">
        <v>4951</v>
      </c>
      <c r="R1080">
        <v>30</v>
      </c>
      <c r="S1080" t="str">
        <f t="shared" si="48"/>
        <v>Child</v>
      </c>
      <c r="T1080" t="str">
        <f t="shared" si="49"/>
        <v>Medium</v>
      </c>
      <c r="U1080" t="str">
        <f t="shared" si="50"/>
        <v>Short Days</v>
      </c>
    </row>
    <row r="1081" spans="1:21">
      <c r="A1081" t="s">
        <v>1097</v>
      </c>
      <c r="B1081" s="5">
        <v>45839</v>
      </c>
      <c r="C1081" t="s">
        <v>3863</v>
      </c>
      <c r="D1081" t="s">
        <v>4744</v>
      </c>
      <c r="E1081" t="s">
        <v>4866</v>
      </c>
      <c r="F1081">
        <v>14</v>
      </c>
      <c r="G1081" t="s">
        <v>4879</v>
      </c>
      <c r="H1081" t="s">
        <v>4888</v>
      </c>
      <c r="I1081" t="s">
        <v>4893</v>
      </c>
      <c r="J1081" t="s">
        <v>4903</v>
      </c>
      <c r="K1081" t="s">
        <v>4929</v>
      </c>
      <c r="L1081" t="s">
        <v>4941</v>
      </c>
      <c r="M1081" t="s">
        <v>4942</v>
      </c>
      <c r="N1081" s="11">
        <v>5514.9</v>
      </c>
      <c r="O1081" t="s">
        <v>4948</v>
      </c>
      <c r="P1081" t="s">
        <v>4951</v>
      </c>
      <c r="R1081">
        <v>90</v>
      </c>
      <c r="S1081" t="str">
        <f t="shared" si="48"/>
        <v>Child</v>
      </c>
      <c r="T1081" t="str">
        <f t="shared" si="49"/>
        <v>Medium</v>
      </c>
      <c r="U1081" t="str">
        <f t="shared" si="50"/>
        <v>Short Days</v>
      </c>
    </row>
    <row r="1082" spans="1:21">
      <c r="A1082" t="s">
        <v>1098</v>
      </c>
      <c r="B1082" s="5">
        <v>45572</v>
      </c>
      <c r="C1082" t="s">
        <v>3864</v>
      </c>
      <c r="D1082" t="s">
        <v>4768</v>
      </c>
      <c r="E1082" t="s">
        <v>4866</v>
      </c>
      <c r="F1082">
        <v>6</v>
      </c>
      <c r="G1082" t="s">
        <v>4871</v>
      </c>
      <c r="H1082" t="s">
        <v>4886</v>
      </c>
      <c r="I1082" t="s">
        <v>4896</v>
      </c>
      <c r="J1082" t="s">
        <v>4906</v>
      </c>
      <c r="K1082" t="s">
        <v>4930</v>
      </c>
      <c r="L1082" t="s">
        <v>4934</v>
      </c>
      <c r="M1082" t="s">
        <v>4944</v>
      </c>
      <c r="N1082" s="11">
        <v>10268.56</v>
      </c>
      <c r="O1082" t="s">
        <v>4949</v>
      </c>
      <c r="P1082" t="s">
        <v>4951</v>
      </c>
      <c r="S1082" t="str">
        <f t="shared" si="48"/>
        <v>Child</v>
      </c>
      <c r="T1082" t="str">
        <f t="shared" si="49"/>
        <v>High</v>
      </c>
      <c r="U1082" t="str">
        <f t="shared" si="50"/>
        <v>Short Days</v>
      </c>
    </row>
    <row r="1083" spans="1:21">
      <c r="A1083" t="s">
        <v>1099</v>
      </c>
      <c r="B1083" s="5">
        <v>45712</v>
      </c>
      <c r="C1083" t="s">
        <v>3865</v>
      </c>
      <c r="D1083" t="s">
        <v>4663</v>
      </c>
      <c r="E1083" t="s">
        <v>4867</v>
      </c>
      <c r="F1083">
        <v>35</v>
      </c>
      <c r="G1083" t="s">
        <v>4869</v>
      </c>
      <c r="H1083" t="s">
        <v>4884</v>
      </c>
      <c r="I1083" t="s">
        <v>4900</v>
      </c>
      <c r="J1083" t="s">
        <v>4913</v>
      </c>
      <c r="K1083" t="s">
        <v>4924</v>
      </c>
      <c r="L1083" t="s">
        <v>4936</v>
      </c>
      <c r="M1083" t="s">
        <v>4942</v>
      </c>
      <c r="N1083" s="11">
        <v>676.42</v>
      </c>
      <c r="O1083" t="s">
        <v>4949</v>
      </c>
      <c r="P1083" t="s">
        <v>4951</v>
      </c>
      <c r="R1083">
        <v>30</v>
      </c>
      <c r="S1083" t="str">
        <f t="shared" si="48"/>
        <v>Adult</v>
      </c>
      <c r="T1083" t="str">
        <f t="shared" si="49"/>
        <v>Low</v>
      </c>
      <c r="U1083" t="str">
        <f t="shared" si="50"/>
        <v>Short Days</v>
      </c>
    </row>
    <row r="1084" spans="1:21">
      <c r="A1084" t="s">
        <v>1100</v>
      </c>
      <c r="B1084" s="5">
        <v>45653</v>
      </c>
      <c r="C1084" t="s">
        <v>3866</v>
      </c>
      <c r="D1084" t="s">
        <v>4627</v>
      </c>
      <c r="E1084" t="s">
        <v>4866</v>
      </c>
      <c r="F1084">
        <v>43</v>
      </c>
      <c r="G1084" t="s">
        <v>4871</v>
      </c>
      <c r="H1084" t="s">
        <v>4886</v>
      </c>
      <c r="I1084" t="s">
        <v>4898</v>
      </c>
      <c r="J1084" t="s">
        <v>4918</v>
      </c>
      <c r="K1084" t="s">
        <v>4924</v>
      </c>
      <c r="L1084" t="s">
        <v>4938</v>
      </c>
      <c r="M1084" t="s">
        <v>4944</v>
      </c>
      <c r="N1084" s="11">
        <v>6239.27</v>
      </c>
      <c r="O1084" t="s">
        <v>15</v>
      </c>
      <c r="P1084" t="s">
        <v>4952</v>
      </c>
      <c r="R1084">
        <v>7</v>
      </c>
      <c r="S1084" t="str">
        <f t="shared" si="48"/>
        <v>Middle-Aged</v>
      </c>
      <c r="T1084" t="str">
        <f t="shared" si="49"/>
        <v>Medium</v>
      </c>
      <c r="U1084" t="str">
        <f t="shared" si="50"/>
        <v>Short Days</v>
      </c>
    </row>
    <row r="1085" spans="1:21">
      <c r="A1085" t="s">
        <v>1101</v>
      </c>
      <c r="B1085" s="5">
        <v>45688</v>
      </c>
      <c r="C1085" t="s">
        <v>3867</v>
      </c>
      <c r="D1085" t="s">
        <v>4789</v>
      </c>
      <c r="E1085" t="s">
        <v>4866</v>
      </c>
      <c r="F1085">
        <v>60</v>
      </c>
      <c r="G1085" t="s">
        <v>4869</v>
      </c>
      <c r="H1085" t="s">
        <v>4884</v>
      </c>
      <c r="I1085" t="s">
        <v>4897</v>
      </c>
      <c r="J1085" t="s">
        <v>4922</v>
      </c>
      <c r="K1085" t="s">
        <v>4927</v>
      </c>
      <c r="L1085" t="s">
        <v>4935</v>
      </c>
      <c r="M1085" t="s">
        <v>4945</v>
      </c>
      <c r="N1085" s="11">
        <v>15078.8</v>
      </c>
      <c r="O1085" t="s">
        <v>4947</v>
      </c>
      <c r="P1085" t="s">
        <v>4951</v>
      </c>
      <c r="Q1085">
        <v>5</v>
      </c>
      <c r="S1085" t="str">
        <f t="shared" si="48"/>
        <v>Middle-Aged</v>
      </c>
      <c r="T1085" t="str">
        <f t="shared" si="49"/>
        <v>High</v>
      </c>
      <c r="U1085" t="str">
        <f t="shared" si="50"/>
        <v>Short Days</v>
      </c>
    </row>
    <row r="1086" spans="1:21">
      <c r="A1086" t="s">
        <v>1102</v>
      </c>
      <c r="B1086" s="5">
        <v>45856</v>
      </c>
      <c r="C1086" t="s">
        <v>3374</v>
      </c>
      <c r="D1086" t="s">
        <v>4620</v>
      </c>
      <c r="E1086" t="s">
        <v>4866</v>
      </c>
      <c r="F1086">
        <v>39</v>
      </c>
      <c r="G1086" t="s">
        <v>4877</v>
      </c>
      <c r="H1086" t="s">
        <v>4888</v>
      </c>
      <c r="I1086" t="s">
        <v>4895</v>
      </c>
      <c r="J1086" t="s">
        <v>4905</v>
      </c>
      <c r="K1086" t="s">
        <v>4927</v>
      </c>
      <c r="L1086" t="s">
        <v>4940</v>
      </c>
      <c r="M1086" t="s">
        <v>4944</v>
      </c>
      <c r="N1086" s="11">
        <v>10334.450000000001</v>
      </c>
      <c r="O1086" t="s">
        <v>4947</v>
      </c>
      <c r="P1086" t="s">
        <v>4951</v>
      </c>
      <c r="S1086" t="str">
        <f t="shared" si="48"/>
        <v>Adult</v>
      </c>
      <c r="T1086" t="str">
        <f t="shared" si="49"/>
        <v>High</v>
      </c>
      <c r="U1086" t="str">
        <f t="shared" si="50"/>
        <v>Short Days</v>
      </c>
    </row>
    <row r="1087" spans="1:21">
      <c r="A1087" t="s">
        <v>1103</v>
      </c>
      <c r="B1087" s="5">
        <v>45532</v>
      </c>
      <c r="C1087" t="s">
        <v>3042</v>
      </c>
      <c r="D1087" t="s">
        <v>4693</v>
      </c>
      <c r="E1087" t="s">
        <v>4867</v>
      </c>
      <c r="F1087">
        <v>45</v>
      </c>
      <c r="G1087" t="s">
        <v>4876</v>
      </c>
      <c r="H1087" t="s">
        <v>4888</v>
      </c>
      <c r="I1087" t="s">
        <v>4901</v>
      </c>
      <c r="J1087" t="s">
        <v>4921</v>
      </c>
      <c r="K1087" t="s">
        <v>4925</v>
      </c>
      <c r="L1087" t="s">
        <v>4935</v>
      </c>
      <c r="M1087" t="s">
        <v>4942</v>
      </c>
      <c r="N1087" s="11">
        <v>3111.04</v>
      </c>
      <c r="O1087" t="s">
        <v>4947</v>
      </c>
      <c r="P1087" t="s">
        <v>4951</v>
      </c>
      <c r="R1087">
        <v>14</v>
      </c>
      <c r="S1087" t="str">
        <f t="shared" si="48"/>
        <v>Middle-Aged</v>
      </c>
      <c r="T1087" t="str">
        <f t="shared" si="49"/>
        <v>Low</v>
      </c>
      <c r="U1087" t="str">
        <f t="shared" si="50"/>
        <v>Short Days</v>
      </c>
    </row>
    <row r="1088" spans="1:21">
      <c r="A1088" t="s">
        <v>1104</v>
      </c>
      <c r="B1088" s="5">
        <v>45567</v>
      </c>
      <c r="C1088" t="s">
        <v>3175</v>
      </c>
      <c r="D1088" t="s">
        <v>4720</v>
      </c>
      <c r="E1088" t="s">
        <v>4866</v>
      </c>
      <c r="F1088">
        <v>39</v>
      </c>
      <c r="G1088" t="s">
        <v>4873</v>
      </c>
      <c r="H1088" t="s">
        <v>4888</v>
      </c>
      <c r="I1088" t="s">
        <v>4902</v>
      </c>
      <c r="J1088" t="s">
        <v>4920</v>
      </c>
      <c r="K1088" t="s">
        <v>4932</v>
      </c>
      <c r="L1088" t="s">
        <v>4934</v>
      </c>
      <c r="M1088" t="s">
        <v>4942</v>
      </c>
      <c r="N1088" s="11">
        <v>977.9</v>
      </c>
      <c r="O1088" t="s">
        <v>15</v>
      </c>
      <c r="P1088" t="s">
        <v>4952</v>
      </c>
      <c r="S1088" t="str">
        <f t="shared" si="48"/>
        <v>Adult</v>
      </c>
      <c r="T1088" t="str">
        <f t="shared" si="49"/>
        <v>Low</v>
      </c>
      <c r="U1088" t="str">
        <f t="shared" si="50"/>
        <v>Short Days</v>
      </c>
    </row>
    <row r="1089" spans="1:21">
      <c r="A1089" t="s">
        <v>1105</v>
      </c>
      <c r="B1089" s="5">
        <v>45459</v>
      </c>
      <c r="C1089" t="s">
        <v>3868</v>
      </c>
      <c r="D1089" t="s">
        <v>4807</v>
      </c>
      <c r="E1089" t="s">
        <v>4866</v>
      </c>
      <c r="F1089">
        <v>52</v>
      </c>
      <c r="G1089" t="s">
        <v>4874</v>
      </c>
      <c r="H1089" t="s">
        <v>4886</v>
      </c>
      <c r="I1089" t="s">
        <v>4897</v>
      </c>
      <c r="J1089" t="s">
        <v>4907</v>
      </c>
      <c r="K1089" t="s">
        <v>4931</v>
      </c>
      <c r="L1089" t="s">
        <v>4935</v>
      </c>
      <c r="M1089" t="s">
        <v>4942</v>
      </c>
      <c r="N1089" s="11">
        <v>5347.89</v>
      </c>
      <c r="O1089" t="s">
        <v>4947</v>
      </c>
      <c r="P1089" t="s">
        <v>4951</v>
      </c>
      <c r="R1089">
        <v>7</v>
      </c>
      <c r="S1089" t="str">
        <f t="shared" si="48"/>
        <v>Middle-Aged</v>
      </c>
      <c r="T1089" t="str">
        <f t="shared" si="49"/>
        <v>Medium</v>
      </c>
      <c r="U1089" t="str">
        <f t="shared" si="50"/>
        <v>Short Days</v>
      </c>
    </row>
    <row r="1090" spans="1:21">
      <c r="A1090" t="s">
        <v>1106</v>
      </c>
      <c r="B1090" s="5">
        <v>45656</v>
      </c>
      <c r="C1090" t="s">
        <v>3565</v>
      </c>
      <c r="D1090" t="s">
        <v>4763</v>
      </c>
      <c r="E1090" t="s">
        <v>4867</v>
      </c>
      <c r="F1090">
        <v>24</v>
      </c>
      <c r="G1090" t="s">
        <v>4879</v>
      </c>
      <c r="H1090" t="s">
        <v>4888</v>
      </c>
      <c r="I1090" t="s">
        <v>4901</v>
      </c>
      <c r="J1090" t="s">
        <v>4914</v>
      </c>
      <c r="K1090" t="s">
        <v>4933</v>
      </c>
      <c r="L1090" t="s">
        <v>4934</v>
      </c>
      <c r="M1090" t="s">
        <v>4944</v>
      </c>
      <c r="N1090" s="11">
        <v>8541.6299999999992</v>
      </c>
      <c r="O1090" t="s">
        <v>4947</v>
      </c>
      <c r="P1090" t="s">
        <v>4951</v>
      </c>
      <c r="R1090">
        <v>7</v>
      </c>
      <c r="S1090" t="str">
        <f t="shared" si="48"/>
        <v>Adult</v>
      </c>
      <c r="T1090" t="str">
        <f t="shared" si="49"/>
        <v>Medium</v>
      </c>
      <c r="U1090" t="str">
        <f t="shared" si="50"/>
        <v>Short Days</v>
      </c>
    </row>
    <row r="1091" spans="1:21">
      <c r="A1091" t="s">
        <v>1107</v>
      </c>
      <c r="B1091" s="5">
        <v>45534</v>
      </c>
      <c r="C1091" t="s">
        <v>3461</v>
      </c>
      <c r="D1091" t="s">
        <v>4633</v>
      </c>
      <c r="E1091" t="s">
        <v>4866</v>
      </c>
      <c r="F1091">
        <v>40</v>
      </c>
      <c r="G1091" t="s">
        <v>4879</v>
      </c>
      <c r="H1091" t="s">
        <v>4888</v>
      </c>
      <c r="I1091" t="s">
        <v>4901</v>
      </c>
      <c r="J1091" t="s">
        <v>4921</v>
      </c>
      <c r="K1091" t="s">
        <v>4927</v>
      </c>
      <c r="L1091" t="s">
        <v>4938</v>
      </c>
      <c r="M1091" t="s">
        <v>4942</v>
      </c>
      <c r="N1091" s="11">
        <v>5641.77</v>
      </c>
      <c r="O1091" t="s">
        <v>4946</v>
      </c>
      <c r="P1091" t="s">
        <v>4951</v>
      </c>
      <c r="R1091">
        <v>7</v>
      </c>
      <c r="S1091" t="str">
        <f t="shared" ref="S1091:S1154" si="51">IF(F1091&lt;18,"Child",IF(F1091&lt;=40,"Adult",IF(F1091&lt;=60,"Middle-Aged",IF(F1091,"Senior"))))</f>
        <v>Adult</v>
      </c>
      <c r="T1091" t="str">
        <f t="shared" ref="T1091:T1154" si="52">IF(N1091&lt;=5000,"Low",IF(N1091&lt;=10000,"Medium","High"))</f>
        <v>Medium</v>
      </c>
      <c r="U1091" t="str">
        <f t="shared" ref="U1091:U1154" si="53">IF(Q1091&lt;=5,"Short Days","Long Days")</f>
        <v>Short Days</v>
      </c>
    </row>
    <row r="1092" spans="1:21">
      <c r="A1092" t="s">
        <v>1108</v>
      </c>
      <c r="B1092" s="5">
        <v>45698</v>
      </c>
      <c r="C1092" t="s">
        <v>3869</v>
      </c>
      <c r="D1092" t="s">
        <v>4665</v>
      </c>
      <c r="E1092" t="s">
        <v>4867</v>
      </c>
      <c r="F1092">
        <v>21</v>
      </c>
      <c r="G1092" t="s">
        <v>4870</v>
      </c>
      <c r="H1092" t="s">
        <v>4885</v>
      </c>
      <c r="I1092" t="s">
        <v>4893</v>
      </c>
      <c r="J1092" t="s">
        <v>4903</v>
      </c>
      <c r="K1092" t="s">
        <v>4927</v>
      </c>
      <c r="L1092" t="s">
        <v>4936</v>
      </c>
      <c r="M1092" t="s">
        <v>4942</v>
      </c>
      <c r="N1092" s="11">
        <v>3735.44</v>
      </c>
      <c r="O1092" t="s">
        <v>4947</v>
      </c>
      <c r="P1092" t="s">
        <v>4951</v>
      </c>
      <c r="R1092">
        <v>7</v>
      </c>
      <c r="S1092" t="str">
        <f t="shared" si="51"/>
        <v>Adult</v>
      </c>
      <c r="T1092" t="str">
        <f t="shared" si="52"/>
        <v>Low</v>
      </c>
      <c r="U1092" t="str">
        <f t="shared" si="53"/>
        <v>Short Days</v>
      </c>
    </row>
    <row r="1093" spans="1:21">
      <c r="A1093" t="s">
        <v>1109</v>
      </c>
      <c r="B1093" s="5">
        <v>45811</v>
      </c>
      <c r="C1093" t="s">
        <v>3604</v>
      </c>
      <c r="D1093" t="s">
        <v>4775</v>
      </c>
      <c r="E1093" t="s">
        <v>4867</v>
      </c>
      <c r="F1093">
        <v>27</v>
      </c>
      <c r="G1093" t="s">
        <v>4876</v>
      </c>
      <c r="H1093" t="s">
        <v>4888</v>
      </c>
      <c r="I1093" t="s">
        <v>4895</v>
      </c>
      <c r="J1093" t="s">
        <v>4905</v>
      </c>
      <c r="K1093" t="s">
        <v>4927</v>
      </c>
      <c r="L1093" t="s">
        <v>4941</v>
      </c>
      <c r="M1093" t="s">
        <v>4944</v>
      </c>
      <c r="N1093" s="11">
        <v>7686.05</v>
      </c>
      <c r="O1093" t="s">
        <v>4950</v>
      </c>
      <c r="P1093" t="s">
        <v>4951</v>
      </c>
      <c r="S1093" t="str">
        <f t="shared" si="51"/>
        <v>Adult</v>
      </c>
      <c r="T1093" t="str">
        <f t="shared" si="52"/>
        <v>Medium</v>
      </c>
      <c r="U1093" t="str">
        <f t="shared" si="53"/>
        <v>Short Days</v>
      </c>
    </row>
    <row r="1094" spans="1:21">
      <c r="A1094" t="s">
        <v>1110</v>
      </c>
      <c r="B1094" s="5">
        <v>45650</v>
      </c>
      <c r="C1094" t="s">
        <v>3870</v>
      </c>
      <c r="D1094" t="s">
        <v>4860</v>
      </c>
      <c r="E1094" t="s">
        <v>4866</v>
      </c>
      <c r="F1094">
        <v>0</v>
      </c>
      <c r="G1094" t="s">
        <v>4880</v>
      </c>
      <c r="H1094" t="s">
        <v>4890</v>
      </c>
      <c r="I1094" t="s">
        <v>4902</v>
      </c>
      <c r="J1094" t="s">
        <v>4920</v>
      </c>
      <c r="K1094" t="s">
        <v>4927</v>
      </c>
      <c r="L1094" t="s">
        <v>4934</v>
      </c>
      <c r="M1094" t="s">
        <v>4944</v>
      </c>
      <c r="N1094" s="11">
        <v>10724.28</v>
      </c>
      <c r="O1094" t="s">
        <v>15</v>
      </c>
      <c r="P1094" t="s">
        <v>4952</v>
      </c>
      <c r="S1094" t="str">
        <f t="shared" si="51"/>
        <v>Child</v>
      </c>
      <c r="T1094" t="str">
        <f t="shared" si="52"/>
        <v>High</v>
      </c>
      <c r="U1094" t="str">
        <f t="shared" si="53"/>
        <v>Short Days</v>
      </c>
    </row>
    <row r="1095" spans="1:21">
      <c r="A1095" t="s">
        <v>1111</v>
      </c>
      <c r="B1095" s="5">
        <v>45744</v>
      </c>
      <c r="C1095" t="s">
        <v>3404</v>
      </c>
      <c r="D1095" t="s">
        <v>4638</v>
      </c>
      <c r="E1095" t="s">
        <v>4866</v>
      </c>
      <c r="F1095">
        <f>AVERAGE(F1088,F1094)</f>
        <v>19.5</v>
      </c>
      <c r="G1095" t="s">
        <v>4881</v>
      </c>
      <c r="H1095" t="s">
        <v>4891</v>
      </c>
      <c r="I1095" t="s">
        <v>4893</v>
      </c>
      <c r="J1095" t="s">
        <v>4903</v>
      </c>
      <c r="K1095" t="s">
        <v>4953</v>
      </c>
      <c r="L1095" t="s">
        <v>4941</v>
      </c>
      <c r="M1095" t="s">
        <v>4942</v>
      </c>
      <c r="N1095" s="11">
        <v>6684.9</v>
      </c>
      <c r="O1095" t="s">
        <v>15</v>
      </c>
      <c r="P1095" t="s">
        <v>4952</v>
      </c>
      <c r="R1095">
        <v>7</v>
      </c>
      <c r="S1095" t="str">
        <f t="shared" si="51"/>
        <v>Adult</v>
      </c>
      <c r="T1095" t="str">
        <f t="shared" si="52"/>
        <v>Medium</v>
      </c>
      <c r="U1095" t="str">
        <f t="shared" si="53"/>
        <v>Short Days</v>
      </c>
    </row>
    <row r="1096" spans="1:21">
      <c r="A1096" t="s">
        <v>1112</v>
      </c>
      <c r="B1096" s="5">
        <v>45506</v>
      </c>
      <c r="C1096" t="s">
        <v>3608</v>
      </c>
      <c r="D1096" t="s">
        <v>4804</v>
      </c>
      <c r="E1096" t="s">
        <v>4867</v>
      </c>
      <c r="F1096">
        <v>35</v>
      </c>
      <c r="G1096" t="s">
        <v>4873</v>
      </c>
      <c r="H1096" t="s">
        <v>4888</v>
      </c>
      <c r="I1096" t="s">
        <v>4896</v>
      </c>
      <c r="J1096" t="s">
        <v>4906</v>
      </c>
      <c r="K1096" t="s">
        <v>4933</v>
      </c>
      <c r="L1096" t="s">
        <v>4937</v>
      </c>
      <c r="M1096" t="s">
        <v>4942</v>
      </c>
      <c r="N1096" s="11">
        <v>6111.69</v>
      </c>
      <c r="O1096" t="s">
        <v>4946</v>
      </c>
      <c r="P1096" t="s">
        <v>4951</v>
      </c>
      <c r="R1096">
        <v>7</v>
      </c>
      <c r="S1096" t="str">
        <f t="shared" si="51"/>
        <v>Adult</v>
      </c>
      <c r="T1096" t="str">
        <f t="shared" si="52"/>
        <v>Medium</v>
      </c>
      <c r="U1096" t="str">
        <f t="shared" si="53"/>
        <v>Short Days</v>
      </c>
    </row>
    <row r="1097" spans="1:21">
      <c r="A1097" t="s">
        <v>1113</v>
      </c>
      <c r="B1097" s="5">
        <v>45872</v>
      </c>
      <c r="C1097" t="s">
        <v>3871</v>
      </c>
      <c r="D1097" t="s">
        <v>4643</v>
      </c>
      <c r="E1097" t="s">
        <v>4867</v>
      </c>
      <c r="F1097">
        <v>35</v>
      </c>
      <c r="G1097" t="s">
        <v>4869</v>
      </c>
      <c r="H1097" t="s">
        <v>4884</v>
      </c>
      <c r="I1097" t="s">
        <v>4900</v>
      </c>
      <c r="J1097" t="s">
        <v>4919</v>
      </c>
      <c r="K1097" t="s">
        <v>4924</v>
      </c>
      <c r="L1097" t="s">
        <v>4939</v>
      </c>
      <c r="M1097" t="s">
        <v>4942</v>
      </c>
      <c r="N1097" s="11">
        <v>6994.8</v>
      </c>
      <c r="O1097" t="s">
        <v>4947</v>
      </c>
      <c r="P1097" t="s">
        <v>4951</v>
      </c>
      <c r="S1097" t="str">
        <f t="shared" si="51"/>
        <v>Adult</v>
      </c>
      <c r="T1097" t="str">
        <f t="shared" si="52"/>
        <v>Medium</v>
      </c>
      <c r="U1097" t="str">
        <f t="shared" si="53"/>
        <v>Short Days</v>
      </c>
    </row>
    <row r="1098" spans="1:21">
      <c r="A1098" t="s">
        <v>1114</v>
      </c>
      <c r="B1098" s="5">
        <v>45671</v>
      </c>
      <c r="C1098" t="s">
        <v>3872</v>
      </c>
      <c r="D1098" t="s">
        <v>4791</v>
      </c>
      <c r="E1098" t="s">
        <v>4866</v>
      </c>
      <c r="F1098">
        <v>62</v>
      </c>
      <c r="G1098" t="s">
        <v>4875</v>
      </c>
      <c r="H1098" t="s">
        <v>4889</v>
      </c>
      <c r="I1098" t="s">
        <v>4897</v>
      </c>
      <c r="J1098" t="s">
        <v>4907</v>
      </c>
      <c r="K1098" t="s">
        <v>4928</v>
      </c>
      <c r="L1098" t="s">
        <v>4937</v>
      </c>
      <c r="M1098" t="s">
        <v>4944</v>
      </c>
      <c r="N1098" s="11">
        <v>6024.19</v>
      </c>
      <c r="O1098" t="s">
        <v>4946</v>
      </c>
      <c r="P1098" t="s">
        <v>4951</v>
      </c>
      <c r="R1098">
        <v>30</v>
      </c>
      <c r="S1098" t="str">
        <f t="shared" si="51"/>
        <v>Senior</v>
      </c>
      <c r="T1098" t="str">
        <f t="shared" si="52"/>
        <v>Medium</v>
      </c>
      <c r="U1098" t="str">
        <f t="shared" si="53"/>
        <v>Short Days</v>
      </c>
    </row>
    <row r="1099" spans="1:21">
      <c r="A1099" t="s">
        <v>1115</v>
      </c>
      <c r="B1099" s="5">
        <v>45930</v>
      </c>
      <c r="C1099" t="s">
        <v>3873</v>
      </c>
      <c r="D1099" t="s">
        <v>4855</v>
      </c>
      <c r="E1099" t="s">
        <v>4867</v>
      </c>
      <c r="F1099">
        <v>52</v>
      </c>
      <c r="G1099" t="s">
        <v>4874</v>
      </c>
      <c r="H1099" t="s">
        <v>4886</v>
      </c>
      <c r="I1099" t="s">
        <v>4898</v>
      </c>
      <c r="J1099" t="s">
        <v>4909</v>
      </c>
      <c r="K1099" t="s">
        <v>4926</v>
      </c>
      <c r="L1099" t="s">
        <v>4934</v>
      </c>
      <c r="M1099" t="s">
        <v>4944</v>
      </c>
      <c r="N1099" s="11">
        <v>5891.67</v>
      </c>
      <c r="O1099" t="s">
        <v>4947</v>
      </c>
      <c r="P1099" t="s">
        <v>4951</v>
      </c>
      <c r="R1099">
        <v>7</v>
      </c>
      <c r="S1099" t="str">
        <f t="shared" si="51"/>
        <v>Middle-Aged</v>
      </c>
      <c r="T1099" t="str">
        <f t="shared" si="52"/>
        <v>Medium</v>
      </c>
      <c r="U1099" t="str">
        <f t="shared" si="53"/>
        <v>Short Days</v>
      </c>
    </row>
    <row r="1100" spans="1:21">
      <c r="A1100" t="s">
        <v>1116</v>
      </c>
      <c r="B1100" s="5">
        <v>45628</v>
      </c>
      <c r="C1100" t="s">
        <v>3394</v>
      </c>
      <c r="D1100" t="s">
        <v>4708</v>
      </c>
      <c r="E1100" t="s">
        <v>4866</v>
      </c>
      <c r="F1100">
        <v>36</v>
      </c>
      <c r="G1100" t="s">
        <v>4881</v>
      </c>
      <c r="H1100" t="s">
        <v>4881</v>
      </c>
      <c r="I1100" t="s">
        <v>4894</v>
      </c>
      <c r="J1100" t="s">
        <v>4910</v>
      </c>
      <c r="K1100" t="s">
        <v>4933</v>
      </c>
      <c r="L1100" t="s">
        <v>4941</v>
      </c>
      <c r="M1100" t="s">
        <v>4944</v>
      </c>
      <c r="N1100" s="11">
        <v>5233.26</v>
      </c>
      <c r="O1100" t="s">
        <v>15</v>
      </c>
      <c r="P1100" t="s">
        <v>4952</v>
      </c>
      <c r="S1100" t="str">
        <f t="shared" si="51"/>
        <v>Adult</v>
      </c>
      <c r="T1100" t="str">
        <f t="shared" si="52"/>
        <v>Medium</v>
      </c>
      <c r="U1100" t="str">
        <f t="shared" si="53"/>
        <v>Short Days</v>
      </c>
    </row>
    <row r="1101" spans="1:21">
      <c r="A1101" t="s">
        <v>1117</v>
      </c>
      <c r="B1101" s="5">
        <v>45539</v>
      </c>
      <c r="C1101" t="s">
        <v>3614</v>
      </c>
      <c r="D1101" t="s">
        <v>4860</v>
      </c>
      <c r="E1101" t="s">
        <v>4866</v>
      </c>
      <c r="F1101">
        <v>63</v>
      </c>
      <c r="G1101" t="s">
        <v>4882</v>
      </c>
      <c r="H1101" t="s">
        <v>4891</v>
      </c>
      <c r="I1101" t="s">
        <v>4901</v>
      </c>
      <c r="J1101" t="s">
        <v>4921</v>
      </c>
      <c r="K1101" t="s">
        <v>4925</v>
      </c>
      <c r="L1101" t="s">
        <v>4934</v>
      </c>
      <c r="M1101" t="s">
        <v>4942</v>
      </c>
      <c r="N1101" s="11">
        <v>6086.57</v>
      </c>
      <c r="O1101" t="s">
        <v>4948</v>
      </c>
      <c r="P1101" t="s">
        <v>4951</v>
      </c>
      <c r="R1101">
        <v>30</v>
      </c>
      <c r="S1101" t="str">
        <f t="shared" si="51"/>
        <v>Senior</v>
      </c>
      <c r="T1101" t="str">
        <f t="shared" si="52"/>
        <v>Medium</v>
      </c>
      <c r="U1101" t="str">
        <f t="shared" si="53"/>
        <v>Short Days</v>
      </c>
    </row>
    <row r="1102" spans="1:21">
      <c r="A1102" t="s">
        <v>1118</v>
      </c>
      <c r="B1102" s="5">
        <v>45792</v>
      </c>
      <c r="C1102" t="s">
        <v>3483</v>
      </c>
      <c r="D1102" t="s">
        <v>4741</v>
      </c>
      <c r="E1102" t="s">
        <v>4867</v>
      </c>
      <c r="F1102">
        <v>50</v>
      </c>
      <c r="G1102" t="s">
        <v>4881</v>
      </c>
      <c r="H1102" t="s">
        <v>4881</v>
      </c>
      <c r="I1102" t="s">
        <v>4898</v>
      </c>
      <c r="J1102" t="s">
        <v>4918</v>
      </c>
      <c r="K1102" t="s">
        <v>4928</v>
      </c>
      <c r="L1102" t="s">
        <v>4934</v>
      </c>
      <c r="M1102" t="s">
        <v>4944</v>
      </c>
      <c r="N1102" s="11">
        <v>5351.19</v>
      </c>
      <c r="O1102" t="s">
        <v>15</v>
      </c>
      <c r="P1102" t="s">
        <v>4952</v>
      </c>
      <c r="S1102" t="str">
        <f t="shared" si="51"/>
        <v>Middle-Aged</v>
      </c>
      <c r="T1102" t="str">
        <f t="shared" si="52"/>
        <v>Medium</v>
      </c>
      <c r="U1102" t="str">
        <f t="shared" si="53"/>
        <v>Short Days</v>
      </c>
    </row>
    <row r="1103" spans="1:21">
      <c r="A1103" t="s">
        <v>1119</v>
      </c>
      <c r="B1103" s="5">
        <v>45568</v>
      </c>
      <c r="C1103" t="s">
        <v>3316</v>
      </c>
      <c r="D1103" t="s">
        <v>4844</v>
      </c>
      <c r="E1103" t="s">
        <v>4866</v>
      </c>
      <c r="F1103">
        <v>31</v>
      </c>
      <c r="G1103" t="s">
        <v>4872</v>
      </c>
      <c r="H1103" t="s">
        <v>4887</v>
      </c>
      <c r="I1103" t="s">
        <v>4899</v>
      </c>
      <c r="J1103" t="s">
        <v>4912</v>
      </c>
      <c r="K1103" t="s">
        <v>4930</v>
      </c>
      <c r="L1103" t="s">
        <v>4940</v>
      </c>
      <c r="M1103" t="s">
        <v>4942</v>
      </c>
      <c r="N1103" s="11">
        <v>1840.9</v>
      </c>
      <c r="O1103" t="s">
        <v>4947</v>
      </c>
      <c r="P1103" t="s">
        <v>4951</v>
      </c>
      <c r="R1103">
        <v>90</v>
      </c>
      <c r="S1103" t="str">
        <f t="shared" si="51"/>
        <v>Adult</v>
      </c>
      <c r="T1103" t="str">
        <f t="shared" si="52"/>
        <v>Low</v>
      </c>
      <c r="U1103" t="str">
        <f t="shared" si="53"/>
        <v>Short Days</v>
      </c>
    </row>
    <row r="1104" spans="1:21">
      <c r="A1104" t="s">
        <v>1120</v>
      </c>
      <c r="B1104" s="5">
        <v>45355</v>
      </c>
      <c r="C1104" t="s">
        <v>3874</v>
      </c>
      <c r="D1104" t="s">
        <v>4589</v>
      </c>
      <c r="E1104" t="s">
        <v>4866</v>
      </c>
      <c r="F1104">
        <v>42</v>
      </c>
      <c r="G1104" t="s">
        <v>4878</v>
      </c>
      <c r="H1104" t="s">
        <v>4889</v>
      </c>
      <c r="I1104" t="s">
        <v>4901</v>
      </c>
      <c r="J1104" t="s">
        <v>4921</v>
      </c>
      <c r="K1104" t="s">
        <v>4932</v>
      </c>
      <c r="L1104" t="s">
        <v>4935</v>
      </c>
      <c r="M1104" t="s">
        <v>4944</v>
      </c>
      <c r="N1104" s="11">
        <v>5966.88</v>
      </c>
      <c r="O1104" t="s">
        <v>15</v>
      </c>
      <c r="P1104" t="s">
        <v>4952</v>
      </c>
      <c r="R1104">
        <v>90</v>
      </c>
      <c r="S1104" t="str">
        <f t="shared" si="51"/>
        <v>Middle-Aged</v>
      </c>
      <c r="T1104" t="str">
        <f t="shared" si="52"/>
        <v>Medium</v>
      </c>
      <c r="U1104" t="str">
        <f t="shared" si="53"/>
        <v>Short Days</v>
      </c>
    </row>
    <row r="1105" spans="1:21">
      <c r="A1105" t="s">
        <v>1121</v>
      </c>
      <c r="B1105" s="5">
        <v>45292</v>
      </c>
      <c r="C1105" t="s">
        <v>3875</v>
      </c>
      <c r="D1105" t="s">
        <v>4773</v>
      </c>
      <c r="E1105" t="s">
        <v>4867</v>
      </c>
      <c r="F1105">
        <v>46</v>
      </c>
      <c r="G1105" t="s">
        <v>4883</v>
      </c>
      <c r="H1105" t="s">
        <v>4892</v>
      </c>
      <c r="I1105" t="s">
        <v>4895</v>
      </c>
      <c r="J1105" t="s">
        <v>4915</v>
      </c>
      <c r="K1105" t="s">
        <v>4927</v>
      </c>
      <c r="L1105" t="s">
        <v>4936</v>
      </c>
      <c r="M1105" t="s">
        <v>4942</v>
      </c>
      <c r="N1105" s="11">
        <v>5573.79</v>
      </c>
      <c r="O1105" t="s">
        <v>15</v>
      </c>
      <c r="P1105" t="s">
        <v>4952</v>
      </c>
      <c r="S1105" t="str">
        <f t="shared" si="51"/>
        <v>Middle-Aged</v>
      </c>
      <c r="T1105" t="str">
        <f t="shared" si="52"/>
        <v>Medium</v>
      </c>
      <c r="U1105" t="str">
        <f t="shared" si="53"/>
        <v>Short Days</v>
      </c>
    </row>
    <row r="1106" spans="1:21">
      <c r="A1106" t="s">
        <v>1122</v>
      </c>
      <c r="B1106" s="5">
        <v>45564</v>
      </c>
      <c r="C1106" t="s">
        <v>3876</v>
      </c>
      <c r="D1106" t="s">
        <v>4762</v>
      </c>
      <c r="E1106" t="s">
        <v>4866</v>
      </c>
      <c r="F1106">
        <v>10</v>
      </c>
      <c r="G1106" t="s">
        <v>4881</v>
      </c>
      <c r="H1106" t="s">
        <v>4881</v>
      </c>
      <c r="I1106" t="s">
        <v>4899</v>
      </c>
      <c r="J1106" t="s">
        <v>4912</v>
      </c>
      <c r="K1106" t="s">
        <v>4924</v>
      </c>
      <c r="L1106" t="s">
        <v>4941</v>
      </c>
      <c r="M1106" t="s">
        <v>4942</v>
      </c>
      <c r="N1106" s="11">
        <v>726.19</v>
      </c>
      <c r="O1106" t="s">
        <v>4947</v>
      </c>
      <c r="P1106" t="s">
        <v>4951</v>
      </c>
      <c r="S1106" t="str">
        <f t="shared" si="51"/>
        <v>Child</v>
      </c>
      <c r="T1106" t="str">
        <f t="shared" si="52"/>
        <v>Low</v>
      </c>
      <c r="U1106" t="str">
        <f t="shared" si="53"/>
        <v>Short Days</v>
      </c>
    </row>
    <row r="1107" spans="1:21">
      <c r="A1107" t="s">
        <v>1123</v>
      </c>
      <c r="B1107" s="5">
        <v>45665</v>
      </c>
      <c r="C1107" t="s">
        <v>3509</v>
      </c>
      <c r="D1107" t="s">
        <v>4813</v>
      </c>
      <c r="E1107" t="s">
        <v>4867</v>
      </c>
      <c r="F1107">
        <v>30</v>
      </c>
      <c r="G1107" t="s">
        <v>4873</v>
      </c>
      <c r="H1107" t="s">
        <v>4888</v>
      </c>
      <c r="I1107" t="s">
        <v>4900</v>
      </c>
      <c r="J1107" t="s">
        <v>4913</v>
      </c>
      <c r="K1107" t="s">
        <v>4933</v>
      </c>
      <c r="L1107" t="s">
        <v>4936</v>
      </c>
      <c r="M1107" t="s">
        <v>4945</v>
      </c>
      <c r="N1107" s="11">
        <v>9208.2800000000007</v>
      </c>
      <c r="O1107" t="s">
        <v>4946</v>
      </c>
      <c r="P1107" t="s">
        <v>4951</v>
      </c>
      <c r="Q1107">
        <v>7</v>
      </c>
      <c r="R1107">
        <v>14</v>
      </c>
      <c r="S1107" t="str">
        <f t="shared" si="51"/>
        <v>Adult</v>
      </c>
      <c r="T1107" t="str">
        <f t="shared" si="52"/>
        <v>Medium</v>
      </c>
      <c r="U1107" t="str">
        <f t="shared" si="53"/>
        <v>Long Days</v>
      </c>
    </row>
    <row r="1108" spans="1:21">
      <c r="A1108" t="s">
        <v>1124</v>
      </c>
      <c r="B1108" s="5">
        <v>45951</v>
      </c>
      <c r="C1108" t="s">
        <v>3877</v>
      </c>
      <c r="D1108" t="s">
        <v>4650</v>
      </c>
      <c r="E1108" t="s">
        <v>4867</v>
      </c>
      <c r="F1108">
        <f>AVERAGE(F1101,F1107)</f>
        <v>46.5</v>
      </c>
      <c r="G1108" t="s">
        <v>4881</v>
      </c>
      <c r="H1108" t="s">
        <v>4888</v>
      </c>
      <c r="I1108" t="s">
        <v>4896</v>
      </c>
      <c r="J1108" t="s">
        <v>4906</v>
      </c>
      <c r="K1108" t="s">
        <v>4953</v>
      </c>
      <c r="L1108" t="s">
        <v>4938</v>
      </c>
      <c r="M1108" t="s">
        <v>4942</v>
      </c>
      <c r="N1108" s="11">
        <v>10452.69</v>
      </c>
      <c r="O1108" t="s">
        <v>4948</v>
      </c>
      <c r="P1108" t="s">
        <v>4951</v>
      </c>
      <c r="R1108">
        <v>30</v>
      </c>
      <c r="S1108" t="str">
        <f t="shared" si="51"/>
        <v>Middle-Aged</v>
      </c>
      <c r="T1108" t="str">
        <f t="shared" si="52"/>
        <v>High</v>
      </c>
      <c r="U1108" t="str">
        <f t="shared" si="53"/>
        <v>Short Days</v>
      </c>
    </row>
    <row r="1109" spans="1:21">
      <c r="A1109" t="s">
        <v>1125</v>
      </c>
      <c r="B1109" s="5">
        <v>45777</v>
      </c>
      <c r="C1109" t="s">
        <v>3878</v>
      </c>
      <c r="D1109" t="s">
        <v>4738</v>
      </c>
      <c r="E1109" t="s">
        <v>4866</v>
      </c>
      <c r="F1109">
        <v>59</v>
      </c>
      <c r="G1109" t="s">
        <v>4877</v>
      </c>
      <c r="H1109" t="s">
        <v>4888</v>
      </c>
      <c r="I1109" t="s">
        <v>4894</v>
      </c>
      <c r="J1109" t="s">
        <v>4910</v>
      </c>
      <c r="K1109" t="s">
        <v>4924</v>
      </c>
      <c r="L1109" t="s">
        <v>4937</v>
      </c>
      <c r="M1109" t="s">
        <v>4942</v>
      </c>
      <c r="N1109" s="11">
        <v>6165.18</v>
      </c>
      <c r="O1109" t="s">
        <v>4947</v>
      </c>
      <c r="P1109" t="s">
        <v>4951</v>
      </c>
      <c r="S1109" t="str">
        <f t="shared" si="51"/>
        <v>Middle-Aged</v>
      </c>
      <c r="T1109" t="str">
        <f t="shared" si="52"/>
        <v>Medium</v>
      </c>
      <c r="U1109" t="str">
        <f t="shared" si="53"/>
        <v>Short Days</v>
      </c>
    </row>
    <row r="1110" spans="1:21">
      <c r="A1110" t="s">
        <v>1126</v>
      </c>
      <c r="B1110" s="5">
        <v>45311</v>
      </c>
      <c r="C1110" t="s">
        <v>3879</v>
      </c>
      <c r="D1110" t="s">
        <v>4718</v>
      </c>
      <c r="E1110" t="s">
        <v>4867</v>
      </c>
      <c r="F1110">
        <v>48</v>
      </c>
      <c r="G1110" t="s">
        <v>4873</v>
      </c>
      <c r="H1110" t="s">
        <v>4888</v>
      </c>
      <c r="I1110" t="s">
        <v>4898</v>
      </c>
      <c r="J1110" t="s">
        <v>4918</v>
      </c>
      <c r="K1110" t="s">
        <v>4929</v>
      </c>
      <c r="L1110" t="s">
        <v>4941</v>
      </c>
      <c r="M1110" t="s">
        <v>4942</v>
      </c>
      <c r="N1110" s="11">
        <v>276.7</v>
      </c>
      <c r="O1110" t="s">
        <v>4949</v>
      </c>
      <c r="P1110" t="s">
        <v>4951</v>
      </c>
      <c r="R1110">
        <v>90</v>
      </c>
      <c r="S1110" t="str">
        <f t="shared" si="51"/>
        <v>Middle-Aged</v>
      </c>
      <c r="T1110" t="str">
        <f t="shared" si="52"/>
        <v>Low</v>
      </c>
      <c r="U1110" t="str">
        <f t="shared" si="53"/>
        <v>Short Days</v>
      </c>
    </row>
    <row r="1111" spans="1:21">
      <c r="A1111" t="s">
        <v>1127</v>
      </c>
      <c r="B1111" s="5">
        <v>45799</v>
      </c>
      <c r="C1111" t="s">
        <v>3645</v>
      </c>
      <c r="D1111" t="s">
        <v>4861</v>
      </c>
      <c r="E1111" t="s">
        <v>4867</v>
      </c>
      <c r="F1111">
        <v>37</v>
      </c>
      <c r="G1111" t="s">
        <v>4883</v>
      </c>
      <c r="H1111" t="s">
        <v>4892</v>
      </c>
      <c r="I1111" t="s">
        <v>4899</v>
      </c>
      <c r="J1111" t="s">
        <v>4912</v>
      </c>
      <c r="K1111" t="s">
        <v>4924</v>
      </c>
      <c r="L1111" t="s">
        <v>4935</v>
      </c>
      <c r="M1111" t="s">
        <v>4942</v>
      </c>
      <c r="N1111" s="11">
        <v>6429.26</v>
      </c>
      <c r="O1111" t="s">
        <v>4947</v>
      </c>
      <c r="P1111" t="s">
        <v>4951</v>
      </c>
      <c r="S1111" t="str">
        <f t="shared" si="51"/>
        <v>Adult</v>
      </c>
      <c r="T1111" t="str">
        <f t="shared" si="52"/>
        <v>Medium</v>
      </c>
      <c r="U1111" t="str">
        <f t="shared" si="53"/>
        <v>Short Days</v>
      </c>
    </row>
    <row r="1112" spans="1:21">
      <c r="A1112" t="s">
        <v>1128</v>
      </c>
      <c r="B1112" s="5">
        <v>45664</v>
      </c>
      <c r="C1112" t="s">
        <v>3880</v>
      </c>
      <c r="D1112" t="s">
        <v>4702</v>
      </c>
      <c r="E1112" t="s">
        <v>4867</v>
      </c>
      <c r="F1112">
        <v>41</v>
      </c>
      <c r="G1112" t="s">
        <v>4873</v>
      </c>
      <c r="H1112" t="s">
        <v>4888</v>
      </c>
      <c r="I1112" t="s">
        <v>4899</v>
      </c>
      <c r="J1112" t="s">
        <v>4911</v>
      </c>
      <c r="K1112" t="s">
        <v>4925</v>
      </c>
      <c r="L1112" t="s">
        <v>4938</v>
      </c>
      <c r="M1112" t="s">
        <v>4942</v>
      </c>
      <c r="N1112" s="11">
        <v>2645.39</v>
      </c>
      <c r="O1112" t="s">
        <v>15</v>
      </c>
      <c r="P1112" t="s">
        <v>4952</v>
      </c>
      <c r="S1112" t="str">
        <f t="shared" si="51"/>
        <v>Middle-Aged</v>
      </c>
      <c r="T1112" t="str">
        <f t="shared" si="52"/>
        <v>Low</v>
      </c>
      <c r="U1112" t="str">
        <f t="shared" si="53"/>
        <v>Short Days</v>
      </c>
    </row>
    <row r="1113" spans="1:21">
      <c r="A1113" t="s">
        <v>1129</v>
      </c>
      <c r="B1113" s="5">
        <v>45892</v>
      </c>
      <c r="C1113" t="s">
        <v>3739</v>
      </c>
      <c r="D1113" t="s">
        <v>4742</v>
      </c>
      <c r="E1113" t="s">
        <v>4866</v>
      </c>
      <c r="F1113">
        <v>63</v>
      </c>
      <c r="G1113" t="s">
        <v>4874</v>
      </c>
      <c r="H1113" t="s">
        <v>4886</v>
      </c>
      <c r="I1113" t="s">
        <v>4894</v>
      </c>
      <c r="J1113" t="s">
        <v>4910</v>
      </c>
      <c r="K1113" t="s">
        <v>4932</v>
      </c>
      <c r="L1113" t="s">
        <v>4939</v>
      </c>
      <c r="M1113" t="s">
        <v>4942</v>
      </c>
      <c r="N1113" s="11">
        <v>5697.45</v>
      </c>
      <c r="O1113" t="s">
        <v>4946</v>
      </c>
      <c r="P1113" t="s">
        <v>4951</v>
      </c>
      <c r="R1113">
        <v>90</v>
      </c>
      <c r="S1113" t="str">
        <f t="shared" si="51"/>
        <v>Senior</v>
      </c>
      <c r="T1113" t="str">
        <f t="shared" si="52"/>
        <v>Medium</v>
      </c>
      <c r="U1113" t="str">
        <f t="shared" si="53"/>
        <v>Short Days</v>
      </c>
    </row>
    <row r="1114" spans="1:21">
      <c r="A1114" t="s">
        <v>1130</v>
      </c>
      <c r="B1114" s="5">
        <v>45367</v>
      </c>
      <c r="C1114" t="s">
        <v>3881</v>
      </c>
      <c r="D1114" t="s">
        <v>4839</v>
      </c>
      <c r="E1114" t="s">
        <v>4866</v>
      </c>
      <c r="F1114">
        <v>42</v>
      </c>
      <c r="G1114" t="s">
        <v>4872</v>
      </c>
      <c r="H1114" t="s">
        <v>4887</v>
      </c>
      <c r="I1114" t="s">
        <v>4898</v>
      </c>
      <c r="J1114" t="s">
        <v>4909</v>
      </c>
      <c r="K1114" t="s">
        <v>4930</v>
      </c>
      <c r="L1114" t="s">
        <v>4940</v>
      </c>
      <c r="M1114" t="s">
        <v>4944</v>
      </c>
      <c r="N1114" s="11">
        <v>5016.18</v>
      </c>
      <c r="O1114" t="s">
        <v>4949</v>
      </c>
      <c r="P1114" t="s">
        <v>4951</v>
      </c>
      <c r="S1114" t="str">
        <f t="shared" si="51"/>
        <v>Middle-Aged</v>
      </c>
      <c r="T1114" t="str">
        <f t="shared" si="52"/>
        <v>Medium</v>
      </c>
      <c r="U1114" t="str">
        <f t="shared" si="53"/>
        <v>Short Days</v>
      </c>
    </row>
    <row r="1115" spans="1:21">
      <c r="A1115" t="s">
        <v>1131</v>
      </c>
      <c r="B1115" s="5">
        <v>45387</v>
      </c>
      <c r="C1115" t="s">
        <v>3882</v>
      </c>
      <c r="D1115" t="s">
        <v>4707</v>
      </c>
      <c r="E1115" t="s">
        <v>4866</v>
      </c>
      <c r="F1115">
        <v>63</v>
      </c>
      <c r="G1115" t="s">
        <v>4871</v>
      </c>
      <c r="H1115" t="s">
        <v>4886</v>
      </c>
      <c r="I1115" t="s">
        <v>4899</v>
      </c>
      <c r="J1115" t="s">
        <v>4911</v>
      </c>
      <c r="K1115" t="s">
        <v>4924</v>
      </c>
      <c r="L1115" t="s">
        <v>4940</v>
      </c>
      <c r="M1115" t="s">
        <v>4942</v>
      </c>
      <c r="N1115" s="11">
        <v>757.18</v>
      </c>
      <c r="O1115" t="s">
        <v>4947</v>
      </c>
      <c r="P1115" t="s">
        <v>4951</v>
      </c>
      <c r="S1115" t="str">
        <f t="shared" si="51"/>
        <v>Senior</v>
      </c>
      <c r="T1115" t="str">
        <f t="shared" si="52"/>
        <v>Low</v>
      </c>
      <c r="U1115" t="str">
        <f t="shared" si="53"/>
        <v>Short Days</v>
      </c>
    </row>
    <row r="1116" spans="1:21">
      <c r="A1116" t="s">
        <v>1132</v>
      </c>
      <c r="B1116" s="5">
        <v>45355</v>
      </c>
      <c r="C1116" t="s">
        <v>3883</v>
      </c>
      <c r="D1116" t="s">
        <v>4681</v>
      </c>
      <c r="E1116" t="s">
        <v>4866</v>
      </c>
      <c r="F1116">
        <v>6</v>
      </c>
      <c r="G1116" t="s">
        <v>4870</v>
      </c>
      <c r="H1116" t="s">
        <v>4885</v>
      </c>
      <c r="I1116" t="s">
        <v>4897</v>
      </c>
      <c r="J1116" t="s">
        <v>4922</v>
      </c>
      <c r="K1116" t="s">
        <v>4931</v>
      </c>
      <c r="L1116" t="s">
        <v>4936</v>
      </c>
      <c r="M1116" t="s">
        <v>4942</v>
      </c>
      <c r="N1116" s="11">
        <v>236.96</v>
      </c>
      <c r="O1116" t="s">
        <v>4948</v>
      </c>
      <c r="P1116" t="s">
        <v>4951</v>
      </c>
      <c r="S1116" t="str">
        <f t="shared" si="51"/>
        <v>Child</v>
      </c>
      <c r="T1116" t="str">
        <f t="shared" si="52"/>
        <v>Low</v>
      </c>
      <c r="U1116" t="str">
        <f t="shared" si="53"/>
        <v>Short Days</v>
      </c>
    </row>
    <row r="1117" spans="1:21">
      <c r="A1117" t="s">
        <v>1133</v>
      </c>
      <c r="B1117" s="5">
        <v>45524</v>
      </c>
      <c r="C1117" t="s">
        <v>3884</v>
      </c>
      <c r="D1117" t="s">
        <v>4642</v>
      </c>
      <c r="E1117" t="s">
        <v>4867</v>
      </c>
      <c r="F1117">
        <v>32</v>
      </c>
      <c r="G1117" t="s">
        <v>4874</v>
      </c>
      <c r="H1117" t="s">
        <v>4886</v>
      </c>
      <c r="I1117" t="s">
        <v>4895</v>
      </c>
      <c r="J1117" t="s">
        <v>4915</v>
      </c>
      <c r="K1117" t="s">
        <v>4933</v>
      </c>
      <c r="L1117" t="s">
        <v>4934</v>
      </c>
      <c r="M1117" t="s">
        <v>4942</v>
      </c>
      <c r="N1117" s="11">
        <v>72.489999999999995</v>
      </c>
      <c r="O1117" t="s">
        <v>4949</v>
      </c>
      <c r="P1117" t="s">
        <v>4951</v>
      </c>
      <c r="R1117">
        <v>30</v>
      </c>
      <c r="S1117" t="str">
        <f t="shared" si="51"/>
        <v>Adult</v>
      </c>
      <c r="T1117" t="str">
        <f t="shared" si="52"/>
        <v>Low</v>
      </c>
      <c r="U1117" t="str">
        <f t="shared" si="53"/>
        <v>Short Days</v>
      </c>
    </row>
    <row r="1118" spans="1:21">
      <c r="A1118" t="s">
        <v>1134</v>
      </c>
      <c r="B1118" s="5">
        <v>45588</v>
      </c>
      <c r="C1118" t="s">
        <v>3885</v>
      </c>
      <c r="D1118" t="s">
        <v>4696</v>
      </c>
      <c r="E1118" t="s">
        <v>4866</v>
      </c>
      <c r="F1118">
        <v>34</v>
      </c>
      <c r="G1118" t="s">
        <v>4875</v>
      </c>
      <c r="H1118" t="s">
        <v>4889</v>
      </c>
      <c r="I1118" t="s">
        <v>4900</v>
      </c>
      <c r="J1118" t="s">
        <v>4913</v>
      </c>
      <c r="K1118" t="s">
        <v>4928</v>
      </c>
      <c r="L1118" t="s">
        <v>4935</v>
      </c>
      <c r="M1118" t="s">
        <v>4942</v>
      </c>
      <c r="N1118" s="11">
        <v>675.85</v>
      </c>
      <c r="O1118" t="s">
        <v>4946</v>
      </c>
      <c r="P1118" t="s">
        <v>4951</v>
      </c>
      <c r="S1118" t="str">
        <f t="shared" si="51"/>
        <v>Adult</v>
      </c>
      <c r="T1118" t="str">
        <f t="shared" si="52"/>
        <v>Low</v>
      </c>
      <c r="U1118" t="str">
        <f t="shared" si="53"/>
        <v>Short Days</v>
      </c>
    </row>
    <row r="1119" spans="1:21">
      <c r="A1119" t="s">
        <v>1135</v>
      </c>
      <c r="B1119" s="5">
        <v>45532</v>
      </c>
      <c r="C1119" t="s">
        <v>3519</v>
      </c>
      <c r="D1119" t="s">
        <v>4655</v>
      </c>
      <c r="E1119" t="s">
        <v>4867</v>
      </c>
      <c r="F1119">
        <v>30</v>
      </c>
      <c r="G1119" t="s">
        <v>4870</v>
      </c>
      <c r="H1119" t="s">
        <v>4885</v>
      </c>
      <c r="I1119" t="s">
        <v>4893</v>
      </c>
      <c r="J1119" t="s">
        <v>4917</v>
      </c>
      <c r="K1119" t="s">
        <v>4928</v>
      </c>
      <c r="L1119" t="s">
        <v>4939</v>
      </c>
      <c r="M1119" t="s">
        <v>4944</v>
      </c>
      <c r="N1119" s="11">
        <v>8290</v>
      </c>
      <c r="O1119" t="s">
        <v>4950</v>
      </c>
      <c r="P1119" t="s">
        <v>4951</v>
      </c>
      <c r="R1119">
        <v>14</v>
      </c>
      <c r="S1119" t="str">
        <f t="shared" si="51"/>
        <v>Adult</v>
      </c>
      <c r="T1119" t="str">
        <f t="shared" si="52"/>
        <v>Medium</v>
      </c>
      <c r="U1119" t="str">
        <f t="shared" si="53"/>
        <v>Short Days</v>
      </c>
    </row>
    <row r="1120" spans="1:21">
      <c r="A1120" t="s">
        <v>1136</v>
      </c>
      <c r="B1120" s="5">
        <v>45696</v>
      </c>
      <c r="C1120" t="s">
        <v>3137</v>
      </c>
      <c r="D1120" t="s">
        <v>4613</v>
      </c>
      <c r="E1120" t="s">
        <v>4866</v>
      </c>
      <c r="F1120">
        <v>29</v>
      </c>
      <c r="G1120" t="s">
        <v>4881</v>
      </c>
      <c r="H1120" t="s">
        <v>4881</v>
      </c>
      <c r="I1120" t="s">
        <v>4896</v>
      </c>
      <c r="J1120" t="s">
        <v>4908</v>
      </c>
      <c r="K1120" t="s">
        <v>4924</v>
      </c>
      <c r="L1120" t="s">
        <v>4941</v>
      </c>
      <c r="M1120" t="s">
        <v>4942</v>
      </c>
      <c r="N1120" s="11">
        <v>15000.54</v>
      </c>
      <c r="O1120" t="s">
        <v>4948</v>
      </c>
      <c r="P1120" t="s">
        <v>4951</v>
      </c>
      <c r="S1120" t="str">
        <f t="shared" si="51"/>
        <v>Adult</v>
      </c>
      <c r="T1120" t="str">
        <f t="shared" si="52"/>
        <v>High</v>
      </c>
      <c r="U1120" t="str">
        <f t="shared" si="53"/>
        <v>Short Days</v>
      </c>
    </row>
    <row r="1121" spans="1:21">
      <c r="A1121" t="s">
        <v>1137</v>
      </c>
      <c r="B1121" s="5">
        <v>45587</v>
      </c>
      <c r="C1121" t="s">
        <v>3886</v>
      </c>
      <c r="D1121" t="s">
        <v>4748</v>
      </c>
      <c r="E1121" t="s">
        <v>4867</v>
      </c>
      <c r="F1121">
        <v>59</v>
      </c>
      <c r="G1121" t="s">
        <v>4882</v>
      </c>
      <c r="H1121" t="s">
        <v>4891</v>
      </c>
      <c r="I1121" t="s">
        <v>4901</v>
      </c>
      <c r="J1121" t="s">
        <v>4914</v>
      </c>
      <c r="K1121" t="s">
        <v>4928</v>
      </c>
      <c r="L1121" t="s">
        <v>4941</v>
      </c>
      <c r="M1121" t="s">
        <v>4944</v>
      </c>
      <c r="N1121" s="11">
        <v>6115.62</v>
      </c>
      <c r="O1121" t="s">
        <v>4948</v>
      </c>
      <c r="P1121" t="s">
        <v>4951</v>
      </c>
      <c r="R1121">
        <v>30</v>
      </c>
      <c r="S1121" t="str">
        <f t="shared" si="51"/>
        <v>Middle-Aged</v>
      </c>
      <c r="T1121" t="str">
        <f t="shared" si="52"/>
        <v>Medium</v>
      </c>
      <c r="U1121" t="str">
        <f t="shared" si="53"/>
        <v>Short Days</v>
      </c>
    </row>
    <row r="1122" spans="1:21">
      <c r="A1122" t="s">
        <v>1138</v>
      </c>
      <c r="B1122" s="5">
        <v>45904</v>
      </c>
      <c r="C1122" t="s">
        <v>3887</v>
      </c>
      <c r="D1122" t="s">
        <v>4614</v>
      </c>
      <c r="E1122" t="s">
        <v>4867</v>
      </c>
      <c r="F1122">
        <v>43</v>
      </c>
      <c r="G1122" t="s">
        <v>4878</v>
      </c>
      <c r="H1122" t="s">
        <v>4889</v>
      </c>
      <c r="I1122" t="s">
        <v>4894</v>
      </c>
      <c r="J1122" t="s">
        <v>4904</v>
      </c>
      <c r="K1122" t="s">
        <v>4933</v>
      </c>
      <c r="L1122" t="s">
        <v>4935</v>
      </c>
      <c r="M1122" t="s">
        <v>4944</v>
      </c>
      <c r="N1122" s="11">
        <v>9545.4500000000007</v>
      </c>
      <c r="O1122" t="s">
        <v>4949</v>
      </c>
      <c r="P1122" t="s">
        <v>4951</v>
      </c>
      <c r="R1122">
        <v>7</v>
      </c>
      <c r="S1122" t="str">
        <f t="shared" si="51"/>
        <v>Middle-Aged</v>
      </c>
      <c r="T1122" t="str">
        <f t="shared" si="52"/>
        <v>Medium</v>
      </c>
      <c r="U1122" t="str">
        <f t="shared" si="53"/>
        <v>Short Days</v>
      </c>
    </row>
    <row r="1123" spans="1:21">
      <c r="A1123" t="s">
        <v>1139</v>
      </c>
      <c r="B1123" s="5">
        <v>45609</v>
      </c>
      <c r="C1123" t="s">
        <v>3888</v>
      </c>
      <c r="D1123" t="s">
        <v>4849</v>
      </c>
      <c r="E1123" t="s">
        <v>4867</v>
      </c>
      <c r="F1123">
        <v>46</v>
      </c>
      <c r="G1123" t="s">
        <v>4875</v>
      </c>
      <c r="H1123" t="s">
        <v>4889</v>
      </c>
      <c r="I1123" t="s">
        <v>4900</v>
      </c>
      <c r="J1123" t="s">
        <v>4919</v>
      </c>
      <c r="K1123" t="s">
        <v>4933</v>
      </c>
      <c r="L1123" t="s">
        <v>4939</v>
      </c>
      <c r="M1123" t="s">
        <v>4942</v>
      </c>
      <c r="N1123" s="11">
        <v>1059.26</v>
      </c>
      <c r="O1123" t="s">
        <v>4947</v>
      </c>
      <c r="P1123" t="s">
        <v>4951</v>
      </c>
      <c r="R1123">
        <v>30</v>
      </c>
      <c r="S1123" t="str">
        <f t="shared" si="51"/>
        <v>Middle-Aged</v>
      </c>
      <c r="T1123" t="str">
        <f t="shared" si="52"/>
        <v>Low</v>
      </c>
      <c r="U1123" t="str">
        <f t="shared" si="53"/>
        <v>Short Days</v>
      </c>
    </row>
    <row r="1124" spans="1:21">
      <c r="A1124" t="s">
        <v>1140</v>
      </c>
      <c r="B1124" s="5">
        <v>45894</v>
      </c>
      <c r="C1124" t="s">
        <v>3208</v>
      </c>
      <c r="D1124" t="s">
        <v>4672</v>
      </c>
      <c r="E1124" t="s">
        <v>4866</v>
      </c>
      <c r="F1124">
        <v>45</v>
      </c>
      <c r="G1124" t="s">
        <v>4883</v>
      </c>
      <c r="H1124" t="s">
        <v>4892</v>
      </c>
      <c r="I1124" t="s">
        <v>4894</v>
      </c>
      <c r="J1124" t="s">
        <v>4910</v>
      </c>
      <c r="K1124" t="s">
        <v>4931</v>
      </c>
      <c r="L1124" t="s">
        <v>4935</v>
      </c>
      <c r="M1124" t="s">
        <v>4945</v>
      </c>
      <c r="N1124" s="11">
        <v>6247.93</v>
      </c>
      <c r="O1124" t="s">
        <v>4946</v>
      </c>
      <c r="P1124" t="s">
        <v>4951</v>
      </c>
      <c r="Q1124">
        <v>5</v>
      </c>
      <c r="S1124" t="str">
        <f t="shared" si="51"/>
        <v>Middle-Aged</v>
      </c>
      <c r="T1124" t="str">
        <f t="shared" si="52"/>
        <v>Medium</v>
      </c>
      <c r="U1124" t="str">
        <f t="shared" si="53"/>
        <v>Short Days</v>
      </c>
    </row>
    <row r="1125" spans="1:21">
      <c r="A1125" t="s">
        <v>1141</v>
      </c>
      <c r="B1125" s="5">
        <v>45538</v>
      </c>
      <c r="C1125" t="s">
        <v>3889</v>
      </c>
      <c r="D1125" t="s">
        <v>4759</v>
      </c>
      <c r="E1125" t="s">
        <v>4867</v>
      </c>
      <c r="F1125">
        <v>44</v>
      </c>
      <c r="G1125" t="s">
        <v>4882</v>
      </c>
      <c r="H1125" t="s">
        <v>4891</v>
      </c>
      <c r="I1125" t="s">
        <v>4897</v>
      </c>
      <c r="J1125" t="s">
        <v>4922</v>
      </c>
      <c r="K1125" t="s">
        <v>4925</v>
      </c>
      <c r="L1125" t="s">
        <v>4938</v>
      </c>
      <c r="M1125" t="s">
        <v>4944</v>
      </c>
      <c r="N1125" s="11">
        <v>13903.86</v>
      </c>
      <c r="O1125" t="s">
        <v>4947</v>
      </c>
      <c r="P1125" t="s">
        <v>4951</v>
      </c>
      <c r="R1125">
        <v>7</v>
      </c>
      <c r="S1125" t="str">
        <f t="shared" si="51"/>
        <v>Middle-Aged</v>
      </c>
      <c r="T1125" t="str">
        <f t="shared" si="52"/>
        <v>High</v>
      </c>
      <c r="U1125" t="str">
        <f t="shared" si="53"/>
        <v>Short Days</v>
      </c>
    </row>
    <row r="1126" spans="1:21">
      <c r="A1126" t="s">
        <v>1142</v>
      </c>
      <c r="B1126" s="5">
        <v>45460</v>
      </c>
      <c r="C1126" t="s">
        <v>3890</v>
      </c>
      <c r="D1126" t="s">
        <v>4780</v>
      </c>
      <c r="E1126" t="s">
        <v>4866</v>
      </c>
      <c r="F1126">
        <v>60</v>
      </c>
      <c r="G1126" t="s">
        <v>4870</v>
      </c>
      <c r="H1126" t="s">
        <v>4885</v>
      </c>
      <c r="I1126" t="s">
        <v>4900</v>
      </c>
      <c r="J1126" t="s">
        <v>4913</v>
      </c>
      <c r="K1126" t="s">
        <v>4926</v>
      </c>
      <c r="L1126" t="s">
        <v>4940</v>
      </c>
      <c r="M1126" t="s">
        <v>4944</v>
      </c>
      <c r="N1126" s="11">
        <v>5716.28</v>
      </c>
      <c r="O1126" t="s">
        <v>15</v>
      </c>
      <c r="P1126" t="s">
        <v>4952</v>
      </c>
      <c r="S1126" t="str">
        <f t="shared" si="51"/>
        <v>Middle-Aged</v>
      </c>
      <c r="T1126" t="str">
        <f t="shared" si="52"/>
        <v>Medium</v>
      </c>
      <c r="U1126" t="str">
        <f t="shared" si="53"/>
        <v>Short Days</v>
      </c>
    </row>
    <row r="1127" spans="1:21">
      <c r="A1127" t="s">
        <v>1143</v>
      </c>
      <c r="B1127" s="5">
        <v>45888</v>
      </c>
      <c r="C1127" t="s">
        <v>3891</v>
      </c>
      <c r="D1127" t="s">
        <v>4850</v>
      </c>
      <c r="E1127" t="s">
        <v>4867</v>
      </c>
      <c r="F1127">
        <v>40</v>
      </c>
      <c r="G1127" t="s">
        <v>4881</v>
      </c>
      <c r="H1127" t="s">
        <v>4881</v>
      </c>
      <c r="I1127" t="s">
        <v>4894</v>
      </c>
      <c r="J1127" t="s">
        <v>4904</v>
      </c>
      <c r="K1127" t="s">
        <v>4932</v>
      </c>
      <c r="L1127" t="s">
        <v>4941</v>
      </c>
      <c r="M1127" t="s">
        <v>4944</v>
      </c>
      <c r="N1127" s="11">
        <v>6197.53</v>
      </c>
      <c r="O1127" t="s">
        <v>4949</v>
      </c>
      <c r="P1127" t="s">
        <v>4951</v>
      </c>
      <c r="S1127" t="str">
        <f t="shared" si="51"/>
        <v>Adult</v>
      </c>
      <c r="T1127" t="str">
        <f t="shared" si="52"/>
        <v>Medium</v>
      </c>
      <c r="U1127" t="str">
        <f t="shared" si="53"/>
        <v>Short Days</v>
      </c>
    </row>
    <row r="1128" spans="1:21">
      <c r="A1128" t="s">
        <v>1144</v>
      </c>
      <c r="B1128" s="5">
        <v>45313</v>
      </c>
      <c r="C1128" t="s">
        <v>3892</v>
      </c>
      <c r="D1128" t="s">
        <v>4735</v>
      </c>
      <c r="E1128" t="s">
        <v>4866</v>
      </c>
      <c r="F1128">
        <v>21</v>
      </c>
      <c r="G1128" t="s">
        <v>4881</v>
      </c>
      <c r="H1128" t="s">
        <v>4881</v>
      </c>
      <c r="I1128" t="s">
        <v>4902</v>
      </c>
      <c r="J1128" t="s">
        <v>4920</v>
      </c>
      <c r="K1128" t="s">
        <v>4928</v>
      </c>
      <c r="L1128" t="s">
        <v>4934</v>
      </c>
      <c r="M1128" t="s">
        <v>4942</v>
      </c>
      <c r="N1128" s="11">
        <v>3134.58</v>
      </c>
      <c r="O1128" t="s">
        <v>4948</v>
      </c>
      <c r="P1128" t="s">
        <v>4951</v>
      </c>
      <c r="S1128" t="str">
        <f t="shared" si="51"/>
        <v>Adult</v>
      </c>
      <c r="T1128" t="str">
        <f t="shared" si="52"/>
        <v>Low</v>
      </c>
      <c r="U1128" t="str">
        <f t="shared" si="53"/>
        <v>Short Days</v>
      </c>
    </row>
    <row r="1129" spans="1:21">
      <c r="A1129" t="s">
        <v>1145</v>
      </c>
      <c r="B1129" s="5">
        <v>45427</v>
      </c>
      <c r="C1129" t="s">
        <v>3893</v>
      </c>
      <c r="D1129" t="s">
        <v>4809</v>
      </c>
      <c r="E1129" t="s">
        <v>4867</v>
      </c>
      <c r="F1129">
        <v>7</v>
      </c>
      <c r="G1129" t="s">
        <v>4883</v>
      </c>
      <c r="H1129" t="s">
        <v>4892</v>
      </c>
      <c r="I1129" t="s">
        <v>4895</v>
      </c>
      <c r="J1129" t="s">
        <v>4905</v>
      </c>
      <c r="K1129" t="s">
        <v>4924</v>
      </c>
      <c r="L1129" t="s">
        <v>4935</v>
      </c>
      <c r="M1129" t="s">
        <v>4942</v>
      </c>
      <c r="N1129" s="11">
        <v>3741.87</v>
      </c>
      <c r="O1129" t="s">
        <v>4947</v>
      </c>
      <c r="P1129" t="s">
        <v>4951</v>
      </c>
      <c r="S1129" t="str">
        <f t="shared" si="51"/>
        <v>Child</v>
      </c>
      <c r="T1129" t="str">
        <f t="shared" si="52"/>
        <v>Low</v>
      </c>
      <c r="U1129" t="str">
        <f t="shared" si="53"/>
        <v>Short Days</v>
      </c>
    </row>
    <row r="1130" spans="1:21">
      <c r="A1130" t="s">
        <v>1146</v>
      </c>
      <c r="B1130" s="5">
        <v>45920</v>
      </c>
      <c r="C1130" t="s">
        <v>3701</v>
      </c>
      <c r="D1130" t="s">
        <v>4854</v>
      </c>
      <c r="E1130" t="s">
        <v>4866</v>
      </c>
      <c r="F1130">
        <v>25</v>
      </c>
      <c r="G1130" t="s">
        <v>4880</v>
      </c>
      <c r="H1130" t="s">
        <v>4890</v>
      </c>
      <c r="I1130" t="s">
        <v>4897</v>
      </c>
      <c r="J1130" t="s">
        <v>4922</v>
      </c>
      <c r="K1130" t="s">
        <v>4933</v>
      </c>
      <c r="L1130" t="s">
        <v>4941</v>
      </c>
      <c r="M1130" t="s">
        <v>4944</v>
      </c>
      <c r="N1130" s="11">
        <v>9157.11</v>
      </c>
      <c r="O1130" t="s">
        <v>4947</v>
      </c>
      <c r="P1130" t="s">
        <v>4951</v>
      </c>
      <c r="S1130" t="str">
        <f t="shared" si="51"/>
        <v>Adult</v>
      </c>
      <c r="T1130" t="str">
        <f t="shared" si="52"/>
        <v>Medium</v>
      </c>
      <c r="U1130" t="str">
        <f t="shared" si="53"/>
        <v>Short Days</v>
      </c>
    </row>
    <row r="1131" spans="1:21">
      <c r="A1131" t="s">
        <v>1147</v>
      </c>
      <c r="B1131" s="5">
        <v>45848</v>
      </c>
      <c r="C1131" t="s">
        <v>3894</v>
      </c>
      <c r="D1131" t="s">
        <v>4776</v>
      </c>
      <c r="E1131" t="s">
        <v>4866</v>
      </c>
      <c r="F1131">
        <v>79</v>
      </c>
      <c r="G1131" t="s">
        <v>4874</v>
      </c>
      <c r="H1131" t="s">
        <v>4886</v>
      </c>
      <c r="I1131" t="s">
        <v>4895</v>
      </c>
      <c r="J1131" t="s">
        <v>4905</v>
      </c>
      <c r="K1131" t="s">
        <v>4931</v>
      </c>
      <c r="L1131" t="s">
        <v>4938</v>
      </c>
      <c r="M1131" t="s">
        <v>4942</v>
      </c>
      <c r="N1131" s="11">
        <v>77.8</v>
      </c>
      <c r="O1131" t="s">
        <v>4947</v>
      </c>
      <c r="P1131" t="s">
        <v>4951</v>
      </c>
      <c r="S1131" t="str">
        <f t="shared" si="51"/>
        <v>Senior</v>
      </c>
      <c r="T1131" t="str">
        <f t="shared" si="52"/>
        <v>Low</v>
      </c>
      <c r="U1131" t="str">
        <f t="shared" si="53"/>
        <v>Short Days</v>
      </c>
    </row>
    <row r="1132" spans="1:21">
      <c r="A1132" t="s">
        <v>1148</v>
      </c>
      <c r="B1132" s="5">
        <v>45340</v>
      </c>
      <c r="C1132" t="s">
        <v>3895</v>
      </c>
      <c r="D1132" t="s">
        <v>4843</v>
      </c>
      <c r="E1132" t="s">
        <v>4866</v>
      </c>
      <c r="F1132">
        <v>28</v>
      </c>
      <c r="G1132" t="s">
        <v>4877</v>
      </c>
      <c r="H1132" t="s">
        <v>4888</v>
      </c>
      <c r="I1132" t="s">
        <v>4902</v>
      </c>
      <c r="J1132" t="s">
        <v>4920</v>
      </c>
      <c r="K1132" t="s">
        <v>4930</v>
      </c>
      <c r="L1132" t="s">
        <v>4938</v>
      </c>
      <c r="M1132" t="s">
        <v>4942</v>
      </c>
      <c r="N1132" s="11">
        <v>8580.34</v>
      </c>
      <c r="O1132" t="s">
        <v>4948</v>
      </c>
      <c r="P1132" t="s">
        <v>4951</v>
      </c>
      <c r="S1132" t="str">
        <f t="shared" si="51"/>
        <v>Adult</v>
      </c>
      <c r="T1132" t="str">
        <f t="shared" si="52"/>
        <v>Medium</v>
      </c>
      <c r="U1132" t="str">
        <f t="shared" si="53"/>
        <v>Short Days</v>
      </c>
    </row>
    <row r="1133" spans="1:21">
      <c r="A1133" t="s">
        <v>1149</v>
      </c>
      <c r="B1133" s="5">
        <v>45492</v>
      </c>
      <c r="C1133" t="s">
        <v>3896</v>
      </c>
      <c r="D1133" t="s">
        <v>4743</v>
      </c>
      <c r="E1133" t="s">
        <v>4867</v>
      </c>
      <c r="F1133">
        <v>59</v>
      </c>
      <c r="G1133" t="s">
        <v>4871</v>
      </c>
      <c r="H1133" t="s">
        <v>4886</v>
      </c>
      <c r="I1133" t="s">
        <v>4899</v>
      </c>
      <c r="J1133" t="s">
        <v>4911</v>
      </c>
      <c r="K1133" t="s">
        <v>4928</v>
      </c>
      <c r="L1133" t="s">
        <v>4939</v>
      </c>
      <c r="M1133" t="s">
        <v>4944</v>
      </c>
      <c r="N1133" s="11">
        <v>13729.54</v>
      </c>
      <c r="O1133" t="s">
        <v>4946</v>
      </c>
      <c r="P1133" t="s">
        <v>4951</v>
      </c>
      <c r="R1133">
        <v>7</v>
      </c>
      <c r="S1133" t="str">
        <f t="shared" si="51"/>
        <v>Middle-Aged</v>
      </c>
      <c r="T1133" t="str">
        <f t="shared" si="52"/>
        <v>High</v>
      </c>
      <c r="U1133" t="str">
        <f t="shared" si="53"/>
        <v>Short Days</v>
      </c>
    </row>
    <row r="1134" spans="1:21">
      <c r="A1134" t="s">
        <v>1150</v>
      </c>
      <c r="B1134" s="5">
        <v>45342</v>
      </c>
      <c r="C1134" t="s">
        <v>3897</v>
      </c>
      <c r="D1134" t="s">
        <v>4756</v>
      </c>
      <c r="E1134" t="s">
        <v>4866</v>
      </c>
      <c r="F1134">
        <v>13</v>
      </c>
      <c r="G1134" t="s">
        <v>4869</v>
      </c>
      <c r="H1134" t="s">
        <v>4884</v>
      </c>
      <c r="I1134" t="s">
        <v>4901</v>
      </c>
      <c r="J1134" t="s">
        <v>4921</v>
      </c>
      <c r="K1134" t="s">
        <v>4929</v>
      </c>
      <c r="L1134" t="s">
        <v>4940</v>
      </c>
      <c r="M1134" t="s">
        <v>4942</v>
      </c>
      <c r="N1134" s="11">
        <v>3410.13</v>
      </c>
      <c r="O1134" t="s">
        <v>4947</v>
      </c>
      <c r="P1134" t="s">
        <v>4951</v>
      </c>
      <c r="S1134" t="str">
        <f t="shared" si="51"/>
        <v>Child</v>
      </c>
      <c r="T1134" t="str">
        <f t="shared" si="52"/>
        <v>Low</v>
      </c>
      <c r="U1134" t="str">
        <f t="shared" si="53"/>
        <v>Short Days</v>
      </c>
    </row>
    <row r="1135" spans="1:21">
      <c r="A1135" t="s">
        <v>1151</v>
      </c>
      <c r="B1135" s="5">
        <v>45644</v>
      </c>
      <c r="C1135" t="s">
        <v>3898</v>
      </c>
      <c r="D1135" t="s">
        <v>4638</v>
      </c>
      <c r="E1135" t="s">
        <v>4866</v>
      </c>
      <c r="F1135">
        <v>34</v>
      </c>
      <c r="G1135" t="s">
        <v>4875</v>
      </c>
      <c r="H1135" t="s">
        <v>4889</v>
      </c>
      <c r="I1135" t="s">
        <v>4896</v>
      </c>
      <c r="J1135" t="s">
        <v>4908</v>
      </c>
      <c r="K1135" t="s">
        <v>4931</v>
      </c>
      <c r="L1135" t="s">
        <v>4938</v>
      </c>
      <c r="M1135" t="s">
        <v>4943</v>
      </c>
      <c r="N1135" s="11">
        <v>9442.5</v>
      </c>
      <c r="O1135" t="s">
        <v>4946</v>
      </c>
      <c r="P1135" t="s">
        <v>4951</v>
      </c>
      <c r="R1135">
        <v>7</v>
      </c>
      <c r="S1135" t="str">
        <f t="shared" si="51"/>
        <v>Adult</v>
      </c>
      <c r="T1135" t="str">
        <f t="shared" si="52"/>
        <v>Medium</v>
      </c>
      <c r="U1135" t="str">
        <f t="shared" si="53"/>
        <v>Short Days</v>
      </c>
    </row>
    <row r="1136" spans="1:21">
      <c r="A1136" t="s">
        <v>1152</v>
      </c>
      <c r="B1136" s="5">
        <v>45600</v>
      </c>
      <c r="C1136" t="s">
        <v>3899</v>
      </c>
      <c r="D1136" t="s">
        <v>4613</v>
      </c>
      <c r="E1136" t="s">
        <v>4867</v>
      </c>
      <c r="F1136">
        <v>53</v>
      </c>
      <c r="G1136" t="s">
        <v>4875</v>
      </c>
      <c r="H1136" t="s">
        <v>4889</v>
      </c>
      <c r="I1136" t="s">
        <v>4900</v>
      </c>
      <c r="J1136" t="s">
        <v>4913</v>
      </c>
      <c r="K1136" t="s">
        <v>4929</v>
      </c>
      <c r="L1136" t="s">
        <v>4936</v>
      </c>
      <c r="M1136" t="s">
        <v>4944</v>
      </c>
      <c r="N1136" s="11">
        <v>9274.49</v>
      </c>
      <c r="O1136" t="s">
        <v>4946</v>
      </c>
      <c r="P1136" t="s">
        <v>4951</v>
      </c>
      <c r="R1136">
        <v>30</v>
      </c>
      <c r="S1136" t="str">
        <f t="shared" si="51"/>
        <v>Middle-Aged</v>
      </c>
      <c r="T1136" t="str">
        <f t="shared" si="52"/>
        <v>Medium</v>
      </c>
      <c r="U1136" t="str">
        <f t="shared" si="53"/>
        <v>Short Days</v>
      </c>
    </row>
    <row r="1137" spans="1:21">
      <c r="A1137" t="s">
        <v>1153</v>
      </c>
      <c r="B1137" s="5">
        <v>45396</v>
      </c>
      <c r="C1137" t="s">
        <v>3153</v>
      </c>
      <c r="D1137" t="s">
        <v>4699</v>
      </c>
      <c r="E1137" t="s">
        <v>4866</v>
      </c>
      <c r="F1137">
        <v>22</v>
      </c>
      <c r="G1137" t="s">
        <v>4870</v>
      </c>
      <c r="H1137" t="s">
        <v>4885</v>
      </c>
      <c r="I1137" t="s">
        <v>4901</v>
      </c>
      <c r="J1137" t="s">
        <v>4921</v>
      </c>
      <c r="K1137" t="s">
        <v>4927</v>
      </c>
      <c r="L1137" t="s">
        <v>4939</v>
      </c>
      <c r="M1137" t="s">
        <v>4942</v>
      </c>
      <c r="N1137" s="11">
        <v>340.25</v>
      </c>
      <c r="O1137" t="s">
        <v>4948</v>
      </c>
      <c r="P1137" t="s">
        <v>4951</v>
      </c>
      <c r="R1137">
        <v>90</v>
      </c>
      <c r="S1137" t="str">
        <f t="shared" si="51"/>
        <v>Adult</v>
      </c>
      <c r="T1137" t="str">
        <f t="shared" si="52"/>
        <v>Low</v>
      </c>
      <c r="U1137" t="str">
        <f t="shared" si="53"/>
        <v>Short Days</v>
      </c>
    </row>
    <row r="1138" spans="1:21">
      <c r="A1138" t="s">
        <v>1154</v>
      </c>
      <c r="B1138" s="5">
        <v>45609</v>
      </c>
      <c r="C1138" t="s">
        <v>3602</v>
      </c>
      <c r="D1138" t="s">
        <v>4837</v>
      </c>
      <c r="E1138" t="s">
        <v>4867</v>
      </c>
      <c r="F1138">
        <v>77</v>
      </c>
      <c r="G1138" t="s">
        <v>4871</v>
      </c>
      <c r="H1138" t="s">
        <v>4886</v>
      </c>
      <c r="I1138" t="s">
        <v>4899</v>
      </c>
      <c r="J1138" t="s">
        <v>4911</v>
      </c>
      <c r="K1138" t="s">
        <v>4933</v>
      </c>
      <c r="L1138" t="s">
        <v>4934</v>
      </c>
      <c r="M1138" t="s">
        <v>4944</v>
      </c>
      <c r="N1138" s="11">
        <v>6714.35</v>
      </c>
      <c r="O1138" t="s">
        <v>4947</v>
      </c>
      <c r="P1138" t="s">
        <v>4951</v>
      </c>
      <c r="S1138" t="str">
        <f t="shared" si="51"/>
        <v>Senior</v>
      </c>
      <c r="T1138" t="str">
        <f t="shared" si="52"/>
        <v>Medium</v>
      </c>
      <c r="U1138" t="str">
        <f t="shared" si="53"/>
        <v>Short Days</v>
      </c>
    </row>
    <row r="1139" spans="1:21">
      <c r="A1139" t="s">
        <v>1155</v>
      </c>
      <c r="B1139" s="5">
        <v>45542</v>
      </c>
      <c r="C1139" t="s">
        <v>3554</v>
      </c>
      <c r="D1139" t="s">
        <v>4791</v>
      </c>
      <c r="E1139" t="s">
        <v>4867</v>
      </c>
      <c r="F1139">
        <v>61</v>
      </c>
      <c r="G1139" t="s">
        <v>4883</v>
      </c>
      <c r="H1139" t="s">
        <v>4892</v>
      </c>
      <c r="I1139" t="s">
        <v>4896</v>
      </c>
      <c r="J1139" t="s">
        <v>4908</v>
      </c>
      <c r="K1139" t="s">
        <v>4924</v>
      </c>
      <c r="L1139" t="s">
        <v>4935</v>
      </c>
      <c r="M1139" t="s">
        <v>4942</v>
      </c>
      <c r="N1139" s="11">
        <v>7514.06</v>
      </c>
      <c r="O1139" t="s">
        <v>4947</v>
      </c>
      <c r="P1139" t="s">
        <v>4951</v>
      </c>
      <c r="R1139">
        <v>7</v>
      </c>
      <c r="S1139" t="str">
        <f t="shared" si="51"/>
        <v>Senior</v>
      </c>
      <c r="T1139" t="str">
        <f t="shared" si="52"/>
        <v>Medium</v>
      </c>
      <c r="U1139" t="str">
        <f t="shared" si="53"/>
        <v>Short Days</v>
      </c>
    </row>
    <row r="1140" spans="1:21">
      <c r="A1140" t="s">
        <v>1156</v>
      </c>
      <c r="B1140" s="5">
        <v>45520</v>
      </c>
      <c r="C1140" t="s">
        <v>3900</v>
      </c>
      <c r="D1140" t="s">
        <v>4714</v>
      </c>
      <c r="E1140" t="s">
        <v>4867</v>
      </c>
      <c r="F1140">
        <v>46</v>
      </c>
      <c r="G1140" t="s">
        <v>4873</v>
      </c>
      <c r="H1140" t="s">
        <v>4888</v>
      </c>
      <c r="I1140" t="s">
        <v>4897</v>
      </c>
      <c r="J1140" t="s">
        <v>4922</v>
      </c>
      <c r="K1140" t="s">
        <v>4930</v>
      </c>
      <c r="L1140" t="s">
        <v>4941</v>
      </c>
      <c r="M1140" t="s">
        <v>4944</v>
      </c>
      <c r="N1140" s="11">
        <v>9727.9</v>
      </c>
      <c r="O1140" t="s">
        <v>15</v>
      </c>
      <c r="P1140" t="s">
        <v>4952</v>
      </c>
      <c r="R1140">
        <v>30</v>
      </c>
      <c r="S1140" t="str">
        <f t="shared" si="51"/>
        <v>Middle-Aged</v>
      </c>
      <c r="T1140" t="str">
        <f t="shared" si="52"/>
        <v>Medium</v>
      </c>
      <c r="U1140" t="str">
        <f t="shared" si="53"/>
        <v>Short Days</v>
      </c>
    </row>
    <row r="1141" spans="1:21">
      <c r="A1141" t="s">
        <v>1157</v>
      </c>
      <c r="B1141" s="5">
        <v>45517</v>
      </c>
      <c r="C1141" t="s">
        <v>3645</v>
      </c>
      <c r="D1141" t="s">
        <v>4740</v>
      </c>
      <c r="E1141" t="s">
        <v>4867</v>
      </c>
      <c r="F1141">
        <v>48</v>
      </c>
      <c r="G1141" t="s">
        <v>4871</v>
      </c>
      <c r="H1141" t="s">
        <v>4886</v>
      </c>
      <c r="I1141" t="s">
        <v>4895</v>
      </c>
      <c r="J1141" t="s">
        <v>4905</v>
      </c>
      <c r="K1141" t="s">
        <v>4925</v>
      </c>
      <c r="L1141" t="s">
        <v>4941</v>
      </c>
      <c r="M1141" t="s">
        <v>4944</v>
      </c>
      <c r="N1141" s="11">
        <v>8334.11</v>
      </c>
      <c r="O1141" t="s">
        <v>4946</v>
      </c>
      <c r="P1141" t="s">
        <v>4951</v>
      </c>
      <c r="S1141" t="str">
        <f t="shared" si="51"/>
        <v>Middle-Aged</v>
      </c>
      <c r="T1141" t="str">
        <f t="shared" si="52"/>
        <v>Medium</v>
      </c>
      <c r="U1141" t="str">
        <f t="shared" si="53"/>
        <v>Short Days</v>
      </c>
    </row>
    <row r="1142" spans="1:21">
      <c r="A1142" t="s">
        <v>1158</v>
      </c>
      <c r="B1142" s="5">
        <v>45495</v>
      </c>
      <c r="C1142" t="s">
        <v>3648</v>
      </c>
      <c r="D1142" t="s">
        <v>4628</v>
      </c>
      <c r="E1142" t="s">
        <v>4867</v>
      </c>
      <c r="F1142">
        <v>17</v>
      </c>
      <c r="G1142" t="s">
        <v>4875</v>
      </c>
      <c r="H1142" t="s">
        <v>4889</v>
      </c>
      <c r="I1142" t="s">
        <v>4896</v>
      </c>
      <c r="J1142" t="s">
        <v>4908</v>
      </c>
      <c r="K1142" t="s">
        <v>4931</v>
      </c>
      <c r="L1142" t="s">
        <v>4941</v>
      </c>
      <c r="M1142" t="s">
        <v>4945</v>
      </c>
      <c r="N1142" s="11">
        <v>7762.46</v>
      </c>
      <c r="O1142" t="s">
        <v>4950</v>
      </c>
      <c r="P1142" t="s">
        <v>4951</v>
      </c>
      <c r="Q1142">
        <v>4</v>
      </c>
      <c r="R1142">
        <v>30</v>
      </c>
      <c r="S1142" t="str">
        <f t="shared" si="51"/>
        <v>Child</v>
      </c>
      <c r="T1142" t="str">
        <f t="shared" si="52"/>
        <v>Medium</v>
      </c>
      <c r="U1142" t="str">
        <f t="shared" si="53"/>
        <v>Short Days</v>
      </c>
    </row>
    <row r="1143" spans="1:21">
      <c r="A1143" t="s">
        <v>1159</v>
      </c>
      <c r="B1143" s="5">
        <v>45963</v>
      </c>
      <c r="C1143" t="s">
        <v>3901</v>
      </c>
      <c r="D1143" t="s">
        <v>4607</v>
      </c>
      <c r="E1143" t="s">
        <v>4867</v>
      </c>
      <c r="F1143">
        <v>57</v>
      </c>
      <c r="G1143" t="s">
        <v>4878</v>
      </c>
      <c r="H1143" t="s">
        <v>4889</v>
      </c>
      <c r="I1143" t="s">
        <v>4895</v>
      </c>
      <c r="J1143" t="s">
        <v>4915</v>
      </c>
      <c r="K1143" t="s">
        <v>4929</v>
      </c>
      <c r="L1143" t="s">
        <v>4940</v>
      </c>
      <c r="M1143" t="s">
        <v>4942</v>
      </c>
      <c r="N1143" s="11">
        <v>643.75</v>
      </c>
      <c r="O1143" t="s">
        <v>4946</v>
      </c>
      <c r="P1143" t="s">
        <v>4951</v>
      </c>
      <c r="R1143">
        <v>90</v>
      </c>
      <c r="S1143" t="str">
        <f t="shared" si="51"/>
        <v>Middle-Aged</v>
      </c>
      <c r="T1143" t="str">
        <f t="shared" si="52"/>
        <v>Low</v>
      </c>
      <c r="U1143" t="str">
        <f t="shared" si="53"/>
        <v>Short Days</v>
      </c>
    </row>
    <row r="1144" spans="1:21">
      <c r="A1144" t="s">
        <v>1160</v>
      </c>
      <c r="B1144" s="5">
        <v>45467</v>
      </c>
      <c r="C1144" t="s">
        <v>3902</v>
      </c>
      <c r="D1144" t="s">
        <v>4635</v>
      </c>
      <c r="E1144" t="s">
        <v>4866</v>
      </c>
      <c r="F1144">
        <v>51</v>
      </c>
      <c r="G1144" t="s">
        <v>4875</v>
      </c>
      <c r="H1144" t="s">
        <v>4889</v>
      </c>
      <c r="I1144" t="s">
        <v>4896</v>
      </c>
      <c r="J1144" t="s">
        <v>4906</v>
      </c>
      <c r="K1144" t="s">
        <v>4930</v>
      </c>
      <c r="L1144" t="s">
        <v>4936</v>
      </c>
      <c r="M1144" t="s">
        <v>4942</v>
      </c>
      <c r="N1144" s="11">
        <v>4785.3500000000004</v>
      </c>
      <c r="O1144" t="s">
        <v>4946</v>
      </c>
      <c r="P1144" t="s">
        <v>4951</v>
      </c>
      <c r="S1144" t="str">
        <f t="shared" si="51"/>
        <v>Middle-Aged</v>
      </c>
      <c r="T1144" t="str">
        <f t="shared" si="52"/>
        <v>Low</v>
      </c>
      <c r="U1144" t="str">
        <f t="shared" si="53"/>
        <v>Short Days</v>
      </c>
    </row>
    <row r="1145" spans="1:21">
      <c r="A1145" t="s">
        <v>1161</v>
      </c>
      <c r="B1145" s="5">
        <v>45413</v>
      </c>
      <c r="C1145" t="s">
        <v>3903</v>
      </c>
      <c r="D1145" t="s">
        <v>4711</v>
      </c>
      <c r="E1145" t="s">
        <v>4867</v>
      </c>
      <c r="F1145">
        <v>70</v>
      </c>
      <c r="G1145" t="s">
        <v>4876</v>
      </c>
      <c r="H1145" t="s">
        <v>4888</v>
      </c>
      <c r="I1145" t="s">
        <v>4899</v>
      </c>
      <c r="J1145" t="s">
        <v>4911</v>
      </c>
      <c r="K1145" t="s">
        <v>4928</v>
      </c>
      <c r="L1145" t="s">
        <v>4941</v>
      </c>
      <c r="M1145" t="s">
        <v>4942</v>
      </c>
      <c r="N1145" s="11">
        <v>570.41999999999996</v>
      </c>
      <c r="O1145" t="s">
        <v>4947</v>
      </c>
      <c r="P1145" t="s">
        <v>4951</v>
      </c>
      <c r="R1145">
        <v>14</v>
      </c>
      <c r="S1145" t="str">
        <f t="shared" si="51"/>
        <v>Senior</v>
      </c>
      <c r="T1145" t="str">
        <f t="shared" si="52"/>
        <v>Low</v>
      </c>
      <c r="U1145" t="str">
        <f t="shared" si="53"/>
        <v>Short Days</v>
      </c>
    </row>
    <row r="1146" spans="1:21">
      <c r="A1146" t="s">
        <v>1162</v>
      </c>
      <c r="B1146" s="5">
        <v>45578</v>
      </c>
      <c r="C1146" t="s">
        <v>3904</v>
      </c>
      <c r="D1146" t="s">
        <v>4822</v>
      </c>
      <c r="E1146" t="s">
        <v>4867</v>
      </c>
      <c r="F1146">
        <v>26</v>
      </c>
      <c r="G1146" t="s">
        <v>4869</v>
      </c>
      <c r="H1146" t="s">
        <v>4884</v>
      </c>
      <c r="I1146" t="s">
        <v>4898</v>
      </c>
      <c r="J1146" t="s">
        <v>4918</v>
      </c>
      <c r="K1146" t="s">
        <v>4928</v>
      </c>
      <c r="L1146" t="s">
        <v>4937</v>
      </c>
      <c r="M1146" t="s">
        <v>4942</v>
      </c>
      <c r="N1146" s="11">
        <v>795.21</v>
      </c>
      <c r="O1146" t="s">
        <v>4947</v>
      </c>
      <c r="P1146" t="s">
        <v>4951</v>
      </c>
      <c r="R1146">
        <v>14</v>
      </c>
      <c r="S1146" t="str">
        <f t="shared" si="51"/>
        <v>Adult</v>
      </c>
      <c r="T1146" t="str">
        <f t="shared" si="52"/>
        <v>Low</v>
      </c>
      <c r="U1146" t="str">
        <f t="shared" si="53"/>
        <v>Short Days</v>
      </c>
    </row>
    <row r="1147" spans="1:21">
      <c r="A1147" t="s">
        <v>1163</v>
      </c>
      <c r="B1147" s="5">
        <v>45362</v>
      </c>
      <c r="C1147" t="s">
        <v>3417</v>
      </c>
      <c r="D1147" t="s">
        <v>4716</v>
      </c>
      <c r="E1147" t="s">
        <v>4866</v>
      </c>
      <c r="F1147">
        <v>51</v>
      </c>
      <c r="G1147" t="s">
        <v>4876</v>
      </c>
      <c r="H1147" t="s">
        <v>4888</v>
      </c>
      <c r="I1147" t="s">
        <v>4893</v>
      </c>
      <c r="J1147" t="s">
        <v>4917</v>
      </c>
      <c r="K1147" t="s">
        <v>4932</v>
      </c>
      <c r="L1147" t="s">
        <v>4934</v>
      </c>
      <c r="M1147" t="s">
        <v>4942</v>
      </c>
      <c r="N1147" s="11">
        <v>3450.19</v>
      </c>
      <c r="O1147" t="s">
        <v>4946</v>
      </c>
      <c r="P1147" t="s">
        <v>4951</v>
      </c>
      <c r="R1147">
        <v>90</v>
      </c>
      <c r="S1147" t="str">
        <f t="shared" si="51"/>
        <v>Middle-Aged</v>
      </c>
      <c r="T1147" t="str">
        <f t="shared" si="52"/>
        <v>Low</v>
      </c>
      <c r="U1147" t="str">
        <f t="shared" si="53"/>
        <v>Short Days</v>
      </c>
    </row>
    <row r="1148" spans="1:21">
      <c r="A1148" t="s">
        <v>1164</v>
      </c>
      <c r="B1148" s="5">
        <v>45571</v>
      </c>
      <c r="C1148" t="s">
        <v>3633</v>
      </c>
      <c r="D1148" t="s">
        <v>4718</v>
      </c>
      <c r="E1148" t="s">
        <v>4866</v>
      </c>
      <c r="F1148">
        <v>30</v>
      </c>
      <c r="G1148" t="s">
        <v>4872</v>
      </c>
      <c r="H1148" t="s">
        <v>4887</v>
      </c>
      <c r="I1148" t="s">
        <v>4893</v>
      </c>
      <c r="J1148" t="s">
        <v>4917</v>
      </c>
      <c r="K1148" t="s">
        <v>4930</v>
      </c>
      <c r="L1148" t="s">
        <v>4937</v>
      </c>
      <c r="M1148" t="s">
        <v>4944</v>
      </c>
      <c r="N1148" s="11">
        <v>6450.67</v>
      </c>
      <c r="O1148" t="s">
        <v>4948</v>
      </c>
      <c r="P1148" t="s">
        <v>4951</v>
      </c>
      <c r="S1148" t="str">
        <f t="shared" si="51"/>
        <v>Adult</v>
      </c>
      <c r="T1148" t="str">
        <f t="shared" si="52"/>
        <v>Medium</v>
      </c>
      <c r="U1148" t="str">
        <f t="shared" si="53"/>
        <v>Short Days</v>
      </c>
    </row>
    <row r="1149" spans="1:21">
      <c r="A1149" t="s">
        <v>1165</v>
      </c>
      <c r="B1149" s="5">
        <v>45478</v>
      </c>
      <c r="C1149" t="s">
        <v>3904</v>
      </c>
      <c r="D1149" t="s">
        <v>4743</v>
      </c>
      <c r="E1149" t="s">
        <v>4866</v>
      </c>
      <c r="F1149">
        <v>39</v>
      </c>
      <c r="G1149" t="s">
        <v>4877</v>
      </c>
      <c r="H1149" t="s">
        <v>4888</v>
      </c>
      <c r="I1149" t="s">
        <v>4901</v>
      </c>
      <c r="J1149" t="s">
        <v>4921</v>
      </c>
      <c r="K1149" t="s">
        <v>4928</v>
      </c>
      <c r="L1149" t="s">
        <v>4935</v>
      </c>
      <c r="M1149" t="s">
        <v>4942</v>
      </c>
      <c r="N1149" s="11">
        <v>5615.37</v>
      </c>
      <c r="O1149" t="s">
        <v>4950</v>
      </c>
      <c r="P1149" t="s">
        <v>4951</v>
      </c>
      <c r="R1149">
        <v>30</v>
      </c>
      <c r="S1149" t="str">
        <f t="shared" si="51"/>
        <v>Adult</v>
      </c>
      <c r="T1149" t="str">
        <f t="shared" si="52"/>
        <v>Medium</v>
      </c>
      <c r="U1149" t="str">
        <f t="shared" si="53"/>
        <v>Short Days</v>
      </c>
    </row>
    <row r="1150" spans="1:21">
      <c r="A1150" t="s">
        <v>1166</v>
      </c>
      <c r="B1150" s="5">
        <v>45834</v>
      </c>
      <c r="C1150" t="s">
        <v>3500</v>
      </c>
      <c r="D1150" t="s">
        <v>4743</v>
      </c>
      <c r="E1150" t="s">
        <v>4867</v>
      </c>
      <c r="F1150">
        <v>57</v>
      </c>
      <c r="G1150" t="s">
        <v>4873</v>
      </c>
      <c r="H1150" t="s">
        <v>4888</v>
      </c>
      <c r="I1150" t="s">
        <v>4894</v>
      </c>
      <c r="J1150" t="s">
        <v>4904</v>
      </c>
      <c r="K1150" t="s">
        <v>4929</v>
      </c>
      <c r="L1150" t="s">
        <v>4940</v>
      </c>
      <c r="M1150" t="s">
        <v>4942</v>
      </c>
      <c r="N1150" s="11">
        <v>3707.08</v>
      </c>
      <c r="O1150" t="s">
        <v>4946</v>
      </c>
      <c r="P1150" t="s">
        <v>4951</v>
      </c>
      <c r="S1150" t="str">
        <f t="shared" si="51"/>
        <v>Middle-Aged</v>
      </c>
      <c r="T1150" t="str">
        <f t="shared" si="52"/>
        <v>Low</v>
      </c>
      <c r="U1150" t="str">
        <f t="shared" si="53"/>
        <v>Short Days</v>
      </c>
    </row>
    <row r="1151" spans="1:21">
      <c r="A1151" t="s">
        <v>1167</v>
      </c>
      <c r="B1151" s="5">
        <v>45342</v>
      </c>
      <c r="C1151" t="s">
        <v>3905</v>
      </c>
      <c r="D1151" t="s">
        <v>4754</v>
      </c>
      <c r="E1151" t="s">
        <v>4866</v>
      </c>
      <c r="F1151">
        <v>3</v>
      </c>
      <c r="G1151" t="s">
        <v>4881</v>
      </c>
      <c r="H1151" t="s">
        <v>4881</v>
      </c>
      <c r="I1151" t="s">
        <v>4895</v>
      </c>
      <c r="J1151" t="s">
        <v>4915</v>
      </c>
      <c r="K1151" t="s">
        <v>4926</v>
      </c>
      <c r="L1151" t="s">
        <v>4941</v>
      </c>
      <c r="M1151" t="s">
        <v>4942</v>
      </c>
      <c r="N1151" s="11">
        <v>1413.54</v>
      </c>
      <c r="O1151" t="s">
        <v>4946</v>
      </c>
      <c r="P1151" t="s">
        <v>4951</v>
      </c>
      <c r="S1151" t="str">
        <f t="shared" si="51"/>
        <v>Child</v>
      </c>
      <c r="T1151" t="str">
        <f t="shared" si="52"/>
        <v>Low</v>
      </c>
      <c r="U1151" t="str">
        <f t="shared" si="53"/>
        <v>Short Days</v>
      </c>
    </row>
    <row r="1152" spans="1:21">
      <c r="A1152" t="s">
        <v>1168</v>
      </c>
      <c r="B1152" s="5">
        <v>45537</v>
      </c>
      <c r="C1152" t="s">
        <v>3906</v>
      </c>
      <c r="D1152" t="s">
        <v>4797</v>
      </c>
      <c r="E1152" t="s">
        <v>4866</v>
      </c>
      <c r="F1152">
        <v>61</v>
      </c>
      <c r="G1152" t="s">
        <v>4876</v>
      </c>
      <c r="H1152" t="s">
        <v>4888</v>
      </c>
      <c r="I1152" t="s">
        <v>4894</v>
      </c>
      <c r="J1152" t="s">
        <v>4910</v>
      </c>
      <c r="K1152" t="s">
        <v>4932</v>
      </c>
      <c r="L1152" t="s">
        <v>4934</v>
      </c>
      <c r="M1152" t="s">
        <v>4942</v>
      </c>
      <c r="N1152" s="11">
        <v>3640.92</v>
      </c>
      <c r="O1152" t="s">
        <v>4946</v>
      </c>
      <c r="P1152" t="s">
        <v>4951</v>
      </c>
      <c r="R1152">
        <v>30</v>
      </c>
      <c r="S1152" t="str">
        <f t="shared" si="51"/>
        <v>Senior</v>
      </c>
      <c r="T1152" t="str">
        <f t="shared" si="52"/>
        <v>Low</v>
      </c>
      <c r="U1152" t="str">
        <f t="shared" si="53"/>
        <v>Short Days</v>
      </c>
    </row>
    <row r="1153" spans="1:21">
      <c r="A1153" t="s">
        <v>1169</v>
      </c>
      <c r="B1153" s="5">
        <v>45804</v>
      </c>
      <c r="C1153" t="s">
        <v>3907</v>
      </c>
      <c r="D1153" t="s">
        <v>4725</v>
      </c>
      <c r="E1153" t="s">
        <v>4867</v>
      </c>
      <c r="F1153">
        <v>32</v>
      </c>
      <c r="G1153" t="s">
        <v>4873</v>
      </c>
      <c r="H1153" t="s">
        <v>4888</v>
      </c>
      <c r="I1153" t="s">
        <v>4900</v>
      </c>
      <c r="J1153" t="s">
        <v>4919</v>
      </c>
      <c r="K1153" t="s">
        <v>4926</v>
      </c>
      <c r="L1153" t="s">
        <v>4937</v>
      </c>
      <c r="M1153" t="s">
        <v>4942</v>
      </c>
      <c r="N1153" s="11">
        <v>721.46</v>
      </c>
      <c r="O1153" t="s">
        <v>4946</v>
      </c>
      <c r="P1153" t="s">
        <v>4951</v>
      </c>
      <c r="S1153" t="str">
        <f t="shared" si="51"/>
        <v>Adult</v>
      </c>
      <c r="T1153" t="str">
        <f t="shared" si="52"/>
        <v>Low</v>
      </c>
      <c r="U1153" t="str">
        <f t="shared" si="53"/>
        <v>Short Days</v>
      </c>
    </row>
    <row r="1154" spans="1:21">
      <c r="A1154" t="s">
        <v>1170</v>
      </c>
      <c r="B1154" s="5">
        <v>45683</v>
      </c>
      <c r="C1154" t="s">
        <v>3252</v>
      </c>
      <c r="D1154" t="s">
        <v>4612</v>
      </c>
      <c r="E1154" t="s">
        <v>4866</v>
      </c>
      <c r="F1154">
        <v>40</v>
      </c>
      <c r="G1154" t="s">
        <v>4873</v>
      </c>
      <c r="H1154" t="s">
        <v>4888</v>
      </c>
      <c r="I1154" t="s">
        <v>4896</v>
      </c>
      <c r="J1154" t="s">
        <v>4908</v>
      </c>
      <c r="K1154" t="s">
        <v>4924</v>
      </c>
      <c r="L1154" t="s">
        <v>4938</v>
      </c>
      <c r="M1154" t="s">
        <v>4942</v>
      </c>
      <c r="N1154" s="11">
        <v>1398.96</v>
      </c>
      <c r="O1154" t="s">
        <v>4947</v>
      </c>
      <c r="P1154" t="s">
        <v>4951</v>
      </c>
      <c r="R1154">
        <v>30</v>
      </c>
      <c r="S1154" t="str">
        <f t="shared" si="51"/>
        <v>Adult</v>
      </c>
      <c r="T1154" t="str">
        <f t="shared" si="52"/>
        <v>Low</v>
      </c>
      <c r="U1154" t="str">
        <f t="shared" si="53"/>
        <v>Short Days</v>
      </c>
    </row>
    <row r="1155" spans="1:21">
      <c r="A1155" t="s">
        <v>1171</v>
      </c>
      <c r="B1155" s="5">
        <v>45402</v>
      </c>
      <c r="C1155" t="s">
        <v>3317</v>
      </c>
      <c r="D1155" t="s">
        <v>4836</v>
      </c>
      <c r="E1155" t="s">
        <v>4867</v>
      </c>
      <c r="F1155">
        <v>60</v>
      </c>
      <c r="G1155" t="s">
        <v>4871</v>
      </c>
      <c r="H1155" t="s">
        <v>4886</v>
      </c>
      <c r="I1155" t="s">
        <v>4897</v>
      </c>
      <c r="J1155" t="s">
        <v>4907</v>
      </c>
      <c r="K1155" t="s">
        <v>4930</v>
      </c>
      <c r="L1155" t="s">
        <v>4941</v>
      </c>
      <c r="M1155" t="s">
        <v>4942</v>
      </c>
      <c r="N1155" s="11">
        <v>5329.98</v>
      </c>
      <c r="O1155" t="s">
        <v>4949</v>
      </c>
      <c r="P1155" t="s">
        <v>4951</v>
      </c>
      <c r="S1155" t="str">
        <f t="shared" ref="S1155:S1218" si="54">IF(F1155&lt;18,"Child",IF(F1155&lt;=40,"Adult",IF(F1155&lt;=60,"Middle-Aged",IF(F1155,"Senior"))))</f>
        <v>Middle-Aged</v>
      </c>
      <c r="T1155" t="str">
        <f t="shared" ref="T1155:T1218" si="55">IF(N1155&lt;=5000,"Low",IF(N1155&lt;=10000,"Medium","High"))</f>
        <v>Medium</v>
      </c>
      <c r="U1155" t="str">
        <f t="shared" ref="U1155:U1218" si="56">IF(Q1155&lt;=5,"Short Days","Long Days")</f>
        <v>Short Days</v>
      </c>
    </row>
    <row r="1156" spans="1:21">
      <c r="A1156" t="s">
        <v>1172</v>
      </c>
      <c r="B1156" s="5">
        <v>45351</v>
      </c>
      <c r="C1156" t="s">
        <v>3908</v>
      </c>
      <c r="D1156" t="s">
        <v>4735</v>
      </c>
      <c r="E1156" t="s">
        <v>4866</v>
      </c>
      <c r="F1156">
        <v>30</v>
      </c>
      <c r="G1156" t="s">
        <v>4872</v>
      </c>
      <c r="H1156" t="s">
        <v>4887</v>
      </c>
      <c r="I1156" t="s">
        <v>4893</v>
      </c>
      <c r="J1156" t="s">
        <v>4903</v>
      </c>
      <c r="K1156" t="s">
        <v>4925</v>
      </c>
      <c r="L1156" t="s">
        <v>4935</v>
      </c>
      <c r="M1156" t="s">
        <v>4942</v>
      </c>
      <c r="N1156" s="11">
        <v>6479.28</v>
      </c>
      <c r="O1156" t="s">
        <v>4950</v>
      </c>
      <c r="P1156" t="s">
        <v>4951</v>
      </c>
      <c r="R1156">
        <v>14</v>
      </c>
      <c r="S1156" t="str">
        <f t="shared" si="54"/>
        <v>Adult</v>
      </c>
      <c r="T1156" t="str">
        <f t="shared" si="55"/>
        <v>Medium</v>
      </c>
      <c r="U1156" t="str">
        <f t="shared" si="56"/>
        <v>Short Days</v>
      </c>
    </row>
    <row r="1157" spans="1:21">
      <c r="A1157" t="s">
        <v>1173</v>
      </c>
      <c r="B1157" s="5">
        <v>45527</v>
      </c>
      <c r="C1157" t="s">
        <v>3909</v>
      </c>
      <c r="D1157" t="s">
        <v>4647</v>
      </c>
      <c r="E1157" t="s">
        <v>4866</v>
      </c>
      <c r="F1157">
        <v>39</v>
      </c>
      <c r="G1157" t="s">
        <v>4882</v>
      </c>
      <c r="H1157" t="s">
        <v>4891</v>
      </c>
      <c r="I1157" t="s">
        <v>4897</v>
      </c>
      <c r="J1157" t="s">
        <v>4922</v>
      </c>
      <c r="K1157" t="s">
        <v>4929</v>
      </c>
      <c r="L1157" t="s">
        <v>4936</v>
      </c>
      <c r="M1157" t="s">
        <v>4944</v>
      </c>
      <c r="N1157" s="11">
        <v>13702.3</v>
      </c>
      <c r="O1157" t="s">
        <v>4946</v>
      </c>
      <c r="P1157" t="s">
        <v>4951</v>
      </c>
      <c r="R1157">
        <v>30</v>
      </c>
      <c r="S1157" t="str">
        <f t="shared" si="54"/>
        <v>Adult</v>
      </c>
      <c r="T1157" t="str">
        <f t="shared" si="55"/>
        <v>High</v>
      </c>
      <c r="U1157" t="str">
        <f t="shared" si="56"/>
        <v>Short Days</v>
      </c>
    </row>
    <row r="1158" spans="1:21">
      <c r="A1158" t="s">
        <v>1174</v>
      </c>
      <c r="B1158" s="5">
        <v>45345</v>
      </c>
      <c r="C1158" t="s">
        <v>3904</v>
      </c>
      <c r="D1158" t="s">
        <v>4749</v>
      </c>
      <c r="E1158" t="s">
        <v>4866</v>
      </c>
      <c r="F1158">
        <v>20</v>
      </c>
      <c r="G1158" t="s">
        <v>4877</v>
      </c>
      <c r="H1158" t="s">
        <v>4888</v>
      </c>
      <c r="I1158" t="s">
        <v>4898</v>
      </c>
      <c r="J1158" t="s">
        <v>4909</v>
      </c>
      <c r="K1158" t="s">
        <v>4928</v>
      </c>
      <c r="L1158" t="s">
        <v>4940</v>
      </c>
      <c r="M1158" t="s">
        <v>4945</v>
      </c>
      <c r="N1158" s="11">
        <v>5247.26</v>
      </c>
      <c r="O1158" t="s">
        <v>4946</v>
      </c>
      <c r="P1158" t="s">
        <v>4951</v>
      </c>
      <c r="Q1158">
        <v>4</v>
      </c>
      <c r="R1158">
        <v>30</v>
      </c>
      <c r="S1158" t="str">
        <f t="shared" si="54"/>
        <v>Adult</v>
      </c>
      <c r="T1158" t="str">
        <f t="shared" si="55"/>
        <v>Medium</v>
      </c>
      <c r="U1158" t="str">
        <f t="shared" si="56"/>
        <v>Short Days</v>
      </c>
    </row>
    <row r="1159" spans="1:21">
      <c r="A1159" t="s">
        <v>1175</v>
      </c>
      <c r="B1159" s="5">
        <v>45569</v>
      </c>
      <c r="C1159" t="s">
        <v>3910</v>
      </c>
      <c r="D1159" t="s">
        <v>4699</v>
      </c>
      <c r="E1159" t="s">
        <v>4867</v>
      </c>
      <c r="F1159">
        <v>42</v>
      </c>
      <c r="G1159" t="s">
        <v>4879</v>
      </c>
      <c r="H1159" t="s">
        <v>4888</v>
      </c>
      <c r="I1159" t="s">
        <v>4897</v>
      </c>
      <c r="J1159" t="s">
        <v>4907</v>
      </c>
      <c r="K1159" t="s">
        <v>4930</v>
      </c>
      <c r="L1159" t="s">
        <v>4936</v>
      </c>
      <c r="M1159" t="s">
        <v>4945</v>
      </c>
      <c r="N1159" s="11">
        <v>6034.9</v>
      </c>
      <c r="O1159" t="s">
        <v>4947</v>
      </c>
      <c r="P1159" t="s">
        <v>4951</v>
      </c>
      <c r="Q1159">
        <v>7</v>
      </c>
      <c r="R1159">
        <v>90</v>
      </c>
      <c r="S1159" t="str">
        <f t="shared" si="54"/>
        <v>Middle-Aged</v>
      </c>
      <c r="T1159" t="str">
        <f t="shared" si="55"/>
        <v>Medium</v>
      </c>
      <c r="U1159" t="str">
        <f t="shared" si="56"/>
        <v>Long Days</v>
      </c>
    </row>
    <row r="1160" spans="1:21">
      <c r="A1160" t="s">
        <v>1176</v>
      </c>
      <c r="B1160" s="5">
        <v>45361</v>
      </c>
      <c r="C1160" t="s">
        <v>3911</v>
      </c>
      <c r="D1160" t="s">
        <v>4611</v>
      </c>
      <c r="E1160" t="s">
        <v>4866</v>
      </c>
      <c r="F1160">
        <v>51</v>
      </c>
      <c r="G1160" t="s">
        <v>4874</v>
      </c>
      <c r="H1160" t="s">
        <v>4886</v>
      </c>
      <c r="I1160" t="s">
        <v>4895</v>
      </c>
      <c r="J1160" t="s">
        <v>4905</v>
      </c>
      <c r="K1160" t="s">
        <v>4924</v>
      </c>
      <c r="L1160" t="s">
        <v>4941</v>
      </c>
      <c r="M1160" t="s">
        <v>4942</v>
      </c>
      <c r="N1160" s="11">
        <v>4525.4399999999996</v>
      </c>
      <c r="O1160" t="s">
        <v>4947</v>
      </c>
      <c r="P1160" t="s">
        <v>4951</v>
      </c>
      <c r="S1160" t="str">
        <f t="shared" si="54"/>
        <v>Middle-Aged</v>
      </c>
      <c r="T1160" t="str">
        <f t="shared" si="55"/>
        <v>Low</v>
      </c>
      <c r="U1160" t="str">
        <f t="shared" si="56"/>
        <v>Short Days</v>
      </c>
    </row>
    <row r="1161" spans="1:21">
      <c r="A1161" t="s">
        <v>1177</v>
      </c>
      <c r="B1161" s="5">
        <v>45542</v>
      </c>
      <c r="C1161" t="s">
        <v>3377</v>
      </c>
      <c r="D1161" t="s">
        <v>4607</v>
      </c>
      <c r="E1161" t="s">
        <v>4866</v>
      </c>
      <c r="F1161">
        <v>20</v>
      </c>
      <c r="G1161" t="s">
        <v>4883</v>
      </c>
      <c r="H1161" t="s">
        <v>4892</v>
      </c>
      <c r="I1161" t="s">
        <v>4896</v>
      </c>
      <c r="J1161" t="s">
        <v>4908</v>
      </c>
      <c r="K1161" t="s">
        <v>4932</v>
      </c>
      <c r="L1161" t="s">
        <v>4937</v>
      </c>
      <c r="M1161" t="s">
        <v>4942</v>
      </c>
      <c r="N1161" s="11">
        <v>17581.099999999999</v>
      </c>
      <c r="O1161" t="s">
        <v>4946</v>
      </c>
      <c r="P1161" t="s">
        <v>4951</v>
      </c>
      <c r="S1161" t="str">
        <f t="shared" si="54"/>
        <v>Adult</v>
      </c>
      <c r="T1161" t="str">
        <f t="shared" si="55"/>
        <v>High</v>
      </c>
      <c r="U1161" t="str">
        <f t="shared" si="56"/>
        <v>Short Days</v>
      </c>
    </row>
    <row r="1162" spans="1:21">
      <c r="A1162" t="s">
        <v>1178</v>
      </c>
      <c r="B1162" s="5">
        <v>45396</v>
      </c>
      <c r="C1162" t="s">
        <v>3912</v>
      </c>
      <c r="D1162" t="s">
        <v>4606</v>
      </c>
      <c r="E1162" t="s">
        <v>4867</v>
      </c>
      <c r="F1162">
        <v>53</v>
      </c>
      <c r="G1162" t="s">
        <v>4871</v>
      </c>
      <c r="H1162" t="s">
        <v>4886</v>
      </c>
      <c r="I1162" t="s">
        <v>4899</v>
      </c>
      <c r="J1162" t="s">
        <v>4912</v>
      </c>
      <c r="K1162" t="s">
        <v>4927</v>
      </c>
      <c r="L1162" t="s">
        <v>4937</v>
      </c>
      <c r="M1162" t="s">
        <v>4942</v>
      </c>
      <c r="N1162" s="11">
        <v>8853.0499999999993</v>
      </c>
      <c r="O1162" t="s">
        <v>4948</v>
      </c>
      <c r="P1162" t="s">
        <v>4951</v>
      </c>
      <c r="R1162">
        <v>7</v>
      </c>
      <c r="S1162" t="str">
        <f t="shared" si="54"/>
        <v>Middle-Aged</v>
      </c>
      <c r="T1162" t="str">
        <f t="shared" si="55"/>
        <v>Medium</v>
      </c>
      <c r="U1162" t="str">
        <f t="shared" si="56"/>
        <v>Short Days</v>
      </c>
    </row>
    <row r="1163" spans="1:21">
      <c r="A1163" t="s">
        <v>1179</v>
      </c>
      <c r="B1163" s="5">
        <v>45890</v>
      </c>
      <c r="C1163" t="s">
        <v>3904</v>
      </c>
      <c r="D1163" t="s">
        <v>4682</v>
      </c>
      <c r="E1163" t="s">
        <v>4866</v>
      </c>
      <c r="F1163">
        <v>34</v>
      </c>
      <c r="G1163" t="s">
        <v>4869</v>
      </c>
      <c r="H1163" t="s">
        <v>4884</v>
      </c>
      <c r="I1163" t="s">
        <v>4901</v>
      </c>
      <c r="J1163" t="s">
        <v>4921</v>
      </c>
      <c r="K1163" t="s">
        <v>4928</v>
      </c>
      <c r="L1163" t="s">
        <v>4938</v>
      </c>
      <c r="M1163" t="s">
        <v>4944</v>
      </c>
      <c r="N1163" s="11">
        <v>8882.2099999999991</v>
      </c>
      <c r="O1163" t="s">
        <v>4949</v>
      </c>
      <c r="P1163" t="s">
        <v>4951</v>
      </c>
      <c r="R1163">
        <v>90</v>
      </c>
      <c r="S1163" t="str">
        <f t="shared" si="54"/>
        <v>Adult</v>
      </c>
      <c r="T1163" t="str">
        <f t="shared" si="55"/>
        <v>Medium</v>
      </c>
      <c r="U1163" t="str">
        <f t="shared" si="56"/>
        <v>Short Days</v>
      </c>
    </row>
    <row r="1164" spans="1:21">
      <c r="A1164" t="s">
        <v>1180</v>
      </c>
      <c r="B1164" s="5">
        <v>45802</v>
      </c>
      <c r="C1164" t="s">
        <v>3913</v>
      </c>
      <c r="D1164" t="s">
        <v>4609</v>
      </c>
      <c r="E1164" t="s">
        <v>4867</v>
      </c>
      <c r="F1164">
        <v>63</v>
      </c>
      <c r="G1164" t="s">
        <v>4871</v>
      </c>
      <c r="H1164" t="s">
        <v>4886</v>
      </c>
      <c r="I1164" t="s">
        <v>4895</v>
      </c>
      <c r="J1164" t="s">
        <v>4915</v>
      </c>
      <c r="K1164" t="s">
        <v>4931</v>
      </c>
      <c r="L1164" t="s">
        <v>4941</v>
      </c>
      <c r="M1164" t="s">
        <v>4942</v>
      </c>
      <c r="N1164" s="11">
        <v>2639.23</v>
      </c>
      <c r="O1164" t="s">
        <v>4946</v>
      </c>
      <c r="P1164" t="s">
        <v>4951</v>
      </c>
      <c r="R1164">
        <v>90</v>
      </c>
      <c r="S1164" t="str">
        <f t="shared" si="54"/>
        <v>Senior</v>
      </c>
      <c r="T1164" t="str">
        <f t="shared" si="55"/>
        <v>Low</v>
      </c>
      <c r="U1164" t="str">
        <f t="shared" si="56"/>
        <v>Short Days</v>
      </c>
    </row>
    <row r="1165" spans="1:21">
      <c r="A1165" t="s">
        <v>1181</v>
      </c>
      <c r="B1165" s="5">
        <v>45910</v>
      </c>
      <c r="C1165" t="s">
        <v>3640</v>
      </c>
      <c r="D1165" t="s">
        <v>4659</v>
      </c>
      <c r="E1165" t="s">
        <v>4867</v>
      </c>
      <c r="F1165">
        <v>40</v>
      </c>
      <c r="G1165" t="s">
        <v>4873</v>
      </c>
      <c r="H1165" t="s">
        <v>4888</v>
      </c>
      <c r="I1165" t="s">
        <v>4896</v>
      </c>
      <c r="J1165" t="s">
        <v>4908</v>
      </c>
      <c r="K1165" t="s">
        <v>4929</v>
      </c>
      <c r="L1165" t="s">
        <v>4938</v>
      </c>
      <c r="M1165" t="s">
        <v>4942</v>
      </c>
      <c r="N1165" s="11">
        <v>3719.95</v>
      </c>
      <c r="O1165" t="s">
        <v>4949</v>
      </c>
      <c r="P1165" t="s">
        <v>4951</v>
      </c>
      <c r="S1165" t="str">
        <f t="shared" si="54"/>
        <v>Adult</v>
      </c>
      <c r="T1165" t="str">
        <f t="shared" si="55"/>
        <v>Low</v>
      </c>
      <c r="U1165" t="str">
        <f t="shared" si="56"/>
        <v>Short Days</v>
      </c>
    </row>
    <row r="1166" spans="1:21">
      <c r="A1166" t="s">
        <v>1182</v>
      </c>
      <c r="B1166" s="5">
        <v>45450</v>
      </c>
      <c r="C1166" t="s">
        <v>3914</v>
      </c>
      <c r="D1166" t="s">
        <v>4811</v>
      </c>
      <c r="E1166" t="s">
        <v>4866</v>
      </c>
      <c r="F1166">
        <f>AVERAGE(F1159,F1165)</f>
        <v>41</v>
      </c>
      <c r="G1166" t="s">
        <v>4881</v>
      </c>
      <c r="H1166" t="s">
        <v>4888</v>
      </c>
      <c r="I1166" t="s">
        <v>4902</v>
      </c>
      <c r="J1166" t="s">
        <v>4916</v>
      </c>
      <c r="K1166" t="s">
        <v>4953</v>
      </c>
      <c r="L1166" t="s">
        <v>4937</v>
      </c>
      <c r="M1166" t="s">
        <v>4942</v>
      </c>
      <c r="N1166" s="11">
        <v>511.39</v>
      </c>
      <c r="O1166" t="s">
        <v>4946</v>
      </c>
      <c r="P1166" t="s">
        <v>4951</v>
      </c>
      <c r="R1166">
        <v>7</v>
      </c>
      <c r="S1166" t="str">
        <f t="shared" si="54"/>
        <v>Middle-Aged</v>
      </c>
      <c r="T1166" t="str">
        <f t="shared" si="55"/>
        <v>Low</v>
      </c>
      <c r="U1166" t="str">
        <f t="shared" si="56"/>
        <v>Short Days</v>
      </c>
    </row>
    <row r="1167" spans="1:21">
      <c r="A1167" t="s">
        <v>1183</v>
      </c>
      <c r="B1167" s="5">
        <v>45614</v>
      </c>
      <c r="C1167" t="s">
        <v>3638</v>
      </c>
      <c r="D1167" t="s">
        <v>4626</v>
      </c>
      <c r="E1167" t="s">
        <v>4867</v>
      </c>
      <c r="F1167">
        <v>58</v>
      </c>
      <c r="G1167" t="s">
        <v>4878</v>
      </c>
      <c r="H1167" t="s">
        <v>4889</v>
      </c>
      <c r="I1167" t="s">
        <v>4902</v>
      </c>
      <c r="J1167" t="s">
        <v>4916</v>
      </c>
      <c r="K1167" t="s">
        <v>4925</v>
      </c>
      <c r="L1167" t="s">
        <v>4939</v>
      </c>
      <c r="M1167" t="s">
        <v>4943</v>
      </c>
      <c r="N1167" s="11">
        <v>5914.27</v>
      </c>
      <c r="O1167" t="s">
        <v>4946</v>
      </c>
      <c r="P1167" t="s">
        <v>4951</v>
      </c>
      <c r="R1167">
        <v>7</v>
      </c>
      <c r="S1167" t="str">
        <f t="shared" si="54"/>
        <v>Middle-Aged</v>
      </c>
      <c r="T1167" t="str">
        <f t="shared" si="55"/>
        <v>Medium</v>
      </c>
      <c r="U1167" t="str">
        <f t="shared" si="56"/>
        <v>Short Days</v>
      </c>
    </row>
    <row r="1168" spans="1:21">
      <c r="A1168" t="s">
        <v>1184</v>
      </c>
      <c r="B1168" s="5">
        <v>45620</v>
      </c>
      <c r="C1168" t="s">
        <v>3915</v>
      </c>
      <c r="D1168" t="s">
        <v>4627</v>
      </c>
      <c r="E1168" t="s">
        <v>4866</v>
      </c>
      <c r="F1168">
        <v>38</v>
      </c>
      <c r="G1168" t="s">
        <v>4869</v>
      </c>
      <c r="H1168" t="s">
        <v>4884</v>
      </c>
      <c r="I1168" t="s">
        <v>4898</v>
      </c>
      <c r="J1168" t="s">
        <v>4918</v>
      </c>
      <c r="K1168" t="s">
        <v>4927</v>
      </c>
      <c r="L1168" t="s">
        <v>4939</v>
      </c>
      <c r="M1168" t="s">
        <v>4942</v>
      </c>
      <c r="N1168" s="11">
        <v>5877.08</v>
      </c>
      <c r="O1168" t="s">
        <v>4947</v>
      </c>
      <c r="P1168" t="s">
        <v>4951</v>
      </c>
      <c r="R1168">
        <v>7</v>
      </c>
      <c r="S1168" t="str">
        <f t="shared" si="54"/>
        <v>Adult</v>
      </c>
      <c r="T1168" t="str">
        <f t="shared" si="55"/>
        <v>Medium</v>
      </c>
      <c r="U1168" t="str">
        <f t="shared" si="56"/>
        <v>Short Days</v>
      </c>
    </row>
    <row r="1169" spans="1:21">
      <c r="A1169" t="s">
        <v>1185</v>
      </c>
      <c r="B1169" s="5">
        <v>45567</v>
      </c>
      <c r="C1169" t="s">
        <v>3260</v>
      </c>
      <c r="D1169" t="s">
        <v>4717</v>
      </c>
      <c r="E1169" t="s">
        <v>4867</v>
      </c>
      <c r="F1169">
        <v>25</v>
      </c>
      <c r="G1169" t="s">
        <v>4870</v>
      </c>
      <c r="H1169" t="s">
        <v>4885</v>
      </c>
      <c r="I1169" t="s">
        <v>4893</v>
      </c>
      <c r="J1169" t="s">
        <v>4903</v>
      </c>
      <c r="K1169" t="s">
        <v>4929</v>
      </c>
      <c r="L1169" t="s">
        <v>4940</v>
      </c>
      <c r="M1169" t="s">
        <v>4942</v>
      </c>
      <c r="N1169" s="11">
        <v>3621.06</v>
      </c>
      <c r="O1169" t="s">
        <v>4947</v>
      </c>
      <c r="P1169" t="s">
        <v>4951</v>
      </c>
      <c r="R1169">
        <v>7</v>
      </c>
      <c r="S1169" t="str">
        <f t="shared" si="54"/>
        <v>Adult</v>
      </c>
      <c r="T1169" t="str">
        <f t="shared" si="55"/>
        <v>Low</v>
      </c>
      <c r="U1169" t="str">
        <f t="shared" si="56"/>
        <v>Short Days</v>
      </c>
    </row>
    <row r="1170" spans="1:21">
      <c r="A1170" t="s">
        <v>1186</v>
      </c>
      <c r="B1170" s="5">
        <v>45300</v>
      </c>
      <c r="C1170" t="s">
        <v>3231</v>
      </c>
      <c r="D1170" t="s">
        <v>4720</v>
      </c>
      <c r="E1170" t="s">
        <v>4867</v>
      </c>
      <c r="F1170">
        <f>AVERAGE(F1163,F1169)</f>
        <v>29.5</v>
      </c>
      <c r="G1170" t="s">
        <v>4881</v>
      </c>
      <c r="H1170" t="s">
        <v>4887</v>
      </c>
      <c r="I1170" t="s">
        <v>4899</v>
      </c>
      <c r="J1170" t="s">
        <v>4911</v>
      </c>
      <c r="K1170" t="s">
        <v>4953</v>
      </c>
      <c r="L1170" t="s">
        <v>4934</v>
      </c>
      <c r="M1170" t="s">
        <v>4942</v>
      </c>
      <c r="N1170" s="11">
        <v>1232.8499999999999</v>
      </c>
      <c r="O1170" t="s">
        <v>4946</v>
      </c>
      <c r="P1170" t="s">
        <v>4951</v>
      </c>
      <c r="S1170" t="str">
        <f t="shared" si="54"/>
        <v>Adult</v>
      </c>
      <c r="T1170" t="str">
        <f t="shared" si="55"/>
        <v>Low</v>
      </c>
      <c r="U1170" t="str">
        <f t="shared" si="56"/>
        <v>Short Days</v>
      </c>
    </row>
    <row r="1171" spans="1:21">
      <c r="A1171" t="s">
        <v>1187</v>
      </c>
      <c r="B1171" s="5">
        <v>45664</v>
      </c>
      <c r="C1171" t="s">
        <v>3916</v>
      </c>
      <c r="D1171" t="s">
        <v>4686</v>
      </c>
      <c r="E1171" t="s">
        <v>4867</v>
      </c>
      <c r="F1171">
        <v>50</v>
      </c>
      <c r="G1171" t="s">
        <v>4881</v>
      </c>
      <c r="H1171" t="s">
        <v>4881</v>
      </c>
      <c r="I1171" t="s">
        <v>4895</v>
      </c>
      <c r="J1171" t="s">
        <v>4915</v>
      </c>
      <c r="K1171" t="s">
        <v>4933</v>
      </c>
      <c r="L1171" t="s">
        <v>4937</v>
      </c>
      <c r="M1171" t="s">
        <v>4942</v>
      </c>
      <c r="N1171" s="11">
        <v>400.46</v>
      </c>
      <c r="O1171" t="s">
        <v>4946</v>
      </c>
      <c r="P1171" t="s">
        <v>4951</v>
      </c>
      <c r="R1171">
        <v>14</v>
      </c>
      <c r="S1171" t="str">
        <f t="shared" si="54"/>
        <v>Middle-Aged</v>
      </c>
      <c r="T1171" t="str">
        <f t="shared" si="55"/>
        <v>Low</v>
      </c>
      <c r="U1171" t="str">
        <f t="shared" si="56"/>
        <v>Short Days</v>
      </c>
    </row>
    <row r="1172" spans="1:21">
      <c r="A1172" t="s">
        <v>1188</v>
      </c>
      <c r="B1172" s="5">
        <v>45379</v>
      </c>
      <c r="C1172" t="s">
        <v>3917</v>
      </c>
      <c r="D1172" t="s">
        <v>4812</v>
      </c>
      <c r="E1172" t="s">
        <v>4867</v>
      </c>
      <c r="F1172">
        <v>80</v>
      </c>
      <c r="G1172" t="s">
        <v>4873</v>
      </c>
      <c r="H1172" t="s">
        <v>4888</v>
      </c>
      <c r="I1172" t="s">
        <v>4896</v>
      </c>
      <c r="J1172" t="s">
        <v>4906</v>
      </c>
      <c r="K1172" t="s">
        <v>4932</v>
      </c>
      <c r="L1172" t="s">
        <v>4937</v>
      </c>
      <c r="M1172" t="s">
        <v>4942</v>
      </c>
      <c r="N1172" s="11">
        <v>18970.21</v>
      </c>
      <c r="O1172" t="s">
        <v>15</v>
      </c>
      <c r="P1172" t="s">
        <v>4952</v>
      </c>
      <c r="R1172">
        <v>7</v>
      </c>
      <c r="S1172" t="str">
        <f t="shared" si="54"/>
        <v>Senior</v>
      </c>
      <c r="T1172" t="str">
        <f t="shared" si="55"/>
        <v>High</v>
      </c>
      <c r="U1172" t="str">
        <f t="shared" si="56"/>
        <v>Short Days</v>
      </c>
    </row>
    <row r="1173" spans="1:21">
      <c r="A1173" t="s">
        <v>1189</v>
      </c>
      <c r="B1173" s="5">
        <v>45624</v>
      </c>
      <c r="C1173" t="s">
        <v>3918</v>
      </c>
      <c r="D1173" t="s">
        <v>4746</v>
      </c>
      <c r="E1173" t="s">
        <v>4868</v>
      </c>
      <c r="F1173">
        <v>36</v>
      </c>
      <c r="G1173" t="s">
        <v>4873</v>
      </c>
      <c r="H1173" t="s">
        <v>4888</v>
      </c>
      <c r="I1173" t="s">
        <v>4895</v>
      </c>
      <c r="J1173" t="s">
        <v>4915</v>
      </c>
      <c r="K1173" t="s">
        <v>4926</v>
      </c>
      <c r="L1173" t="s">
        <v>4941</v>
      </c>
      <c r="M1173" t="s">
        <v>4944</v>
      </c>
      <c r="N1173" s="11">
        <v>6692.09</v>
      </c>
      <c r="O1173" t="s">
        <v>15</v>
      </c>
      <c r="P1173" t="s">
        <v>4952</v>
      </c>
      <c r="R1173">
        <v>7</v>
      </c>
      <c r="S1173" t="str">
        <f t="shared" si="54"/>
        <v>Adult</v>
      </c>
      <c r="T1173" t="str">
        <f t="shared" si="55"/>
        <v>Medium</v>
      </c>
      <c r="U1173" t="str">
        <f t="shared" si="56"/>
        <v>Short Days</v>
      </c>
    </row>
    <row r="1174" spans="1:21">
      <c r="A1174" t="s">
        <v>1190</v>
      </c>
      <c r="B1174" s="5">
        <v>45477</v>
      </c>
      <c r="C1174" t="s">
        <v>3919</v>
      </c>
      <c r="D1174" t="s">
        <v>4665</v>
      </c>
      <c r="E1174" t="s">
        <v>4867</v>
      </c>
      <c r="F1174">
        <v>10</v>
      </c>
      <c r="G1174" t="s">
        <v>4871</v>
      </c>
      <c r="H1174" t="s">
        <v>4886</v>
      </c>
      <c r="I1174" t="s">
        <v>4902</v>
      </c>
      <c r="J1174" t="s">
        <v>4920</v>
      </c>
      <c r="K1174" t="s">
        <v>4927</v>
      </c>
      <c r="L1174" t="s">
        <v>4935</v>
      </c>
      <c r="M1174" t="s">
        <v>4942</v>
      </c>
      <c r="N1174" s="11">
        <v>662.92</v>
      </c>
      <c r="O1174" t="s">
        <v>4948</v>
      </c>
      <c r="P1174" t="s">
        <v>4951</v>
      </c>
      <c r="R1174">
        <v>30</v>
      </c>
      <c r="S1174" t="str">
        <f t="shared" si="54"/>
        <v>Child</v>
      </c>
      <c r="T1174" t="str">
        <f t="shared" si="55"/>
        <v>Low</v>
      </c>
      <c r="U1174" t="str">
        <f t="shared" si="56"/>
        <v>Short Days</v>
      </c>
    </row>
    <row r="1175" spans="1:21">
      <c r="A1175" t="s">
        <v>1191</v>
      </c>
      <c r="B1175" s="5">
        <v>45459</v>
      </c>
      <c r="C1175" t="s">
        <v>3920</v>
      </c>
      <c r="D1175" t="s">
        <v>4646</v>
      </c>
      <c r="E1175" t="s">
        <v>4866</v>
      </c>
      <c r="F1175">
        <v>48</v>
      </c>
      <c r="G1175" t="s">
        <v>4878</v>
      </c>
      <c r="H1175" t="s">
        <v>4889</v>
      </c>
      <c r="I1175" t="s">
        <v>4899</v>
      </c>
      <c r="J1175" t="s">
        <v>4911</v>
      </c>
      <c r="K1175" t="s">
        <v>4926</v>
      </c>
      <c r="L1175" t="s">
        <v>4941</v>
      </c>
      <c r="M1175" t="s">
        <v>4942</v>
      </c>
      <c r="N1175" s="11">
        <v>5423.45</v>
      </c>
      <c r="O1175" t="s">
        <v>4947</v>
      </c>
      <c r="P1175" t="s">
        <v>4951</v>
      </c>
      <c r="R1175">
        <v>7</v>
      </c>
      <c r="S1175" t="str">
        <f t="shared" si="54"/>
        <v>Middle-Aged</v>
      </c>
      <c r="T1175" t="str">
        <f t="shared" si="55"/>
        <v>Medium</v>
      </c>
      <c r="U1175" t="str">
        <f t="shared" si="56"/>
        <v>Short Days</v>
      </c>
    </row>
    <row r="1176" spans="1:21">
      <c r="A1176" t="s">
        <v>1192</v>
      </c>
      <c r="B1176" s="5">
        <v>45514</v>
      </c>
      <c r="C1176" t="s">
        <v>3921</v>
      </c>
      <c r="D1176" t="s">
        <v>4835</v>
      </c>
      <c r="E1176" t="s">
        <v>4867</v>
      </c>
      <c r="F1176">
        <v>41</v>
      </c>
      <c r="G1176" t="s">
        <v>4872</v>
      </c>
      <c r="H1176" t="s">
        <v>4887</v>
      </c>
      <c r="I1176" t="s">
        <v>4901</v>
      </c>
      <c r="J1176" t="s">
        <v>4921</v>
      </c>
      <c r="K1176" t="s">
        <v>4926</v>
      </c>
      <c r="L1176" t="s">
        <v>4939</v>
      </c>
      <c r="M1176" t="s">
        <v>4942</v>
      </c>
      <c r="N1176" s="11">
        <v>17413.68</v>
      </c>
      <c r="O1176" t="s">
        <v>4946</v>
      </c>
      <c r="P1176" t="s">
        <v>4951</v>
      </c>
      <c r="R1176">
        <v>90</v>
      </c>
      <c r="S1176" t="str">
        <f t="shared" si="54"/>
        <v>Middle-Aged</v>
      </c>
      <c r="T1176" t="str">
        <f t="shared" si="55"/>
        <v>High</v>
      </c>
      <c r="U1176" t="str">
        <f t="shared" si="56"/>
        <v>Short Days</v>
      </c>
    </row>
    <row r="1177" spans="1:21">
      <c r="A1177" t="s">
        <v>1193</v>
      </c>
      <c r="B1177" s="5">
        <v>45773</v>
      </c>
      <c r="C1177" t="s">
        <v>3922</v>
      </c>
      <c r="D1177" t="s">
        <v>4601</v>
      </c>
      <c r="E1177" t="s">
        <v>4866</v>
      </c>
      <c r="F1177">
        <v>50</v>
      </c>
      <c r="G1177" t="s">
        <v>4874</v>
      </c>
      <c r="H1177" t="s">
        <v>4886</v>
      </c>
      <c r="I1177" t="s">
        <v>4895</v>
      </c>
      <c r="J1177" t="s">
        <v>4915</v>
      </c>
      <c r="K1177" t="s">
        <v>4932</v>
      </c>
      <c r="L1177" t="s">
        <v>4934</v>
      </c>
      <c r="M1177" t="s">
        <v>4942</v>
      </c>
      <c r="N1177" s="11">
        <v>1542.76</v>
      </c>
      <c r="O1177" t="s">
        <v>4949</v>
      </c>
      <c r="P1177" t="s">
        <v>4951</v>
      </c>
      <c r="R1177">
        <v>7</v>
      </c>
      <c r="S1177" t="str">
        <f t="shared" si="54"/>
        <v>Middle-Aged</v>
      </c>
      <c r="T1177" t="str">
        <f t="shared" si="55"/>
        <v>Low</v>
      </c>
      <c r="U1177" t="str">
        <f t="shared" si="56"/>
        <v>Short Days</v>
      </c>
    </row>
    <row r="1178" spans="1:21">
      <c r="A1178" t="s">
        <v>1194</v>
      </c>
      <c r="B1178" s="5">
        <v>45878</v>
      </c>
      <c r="C1178" t="s">
        <v>3923</v>
      </c>
      <c r="D1178" t="s">
        <v>4725</v>
      </c>
      <c r="E1178" t="s">
        <v>4866</v>
      </c>
      <c r="F1178">
        <v>14</v>
      </c>
      <c r="G1178" t="s">
        <v>4878</v>
      </c>
      <c r="H1178" t="s">
        <v>4889</v>
      </c>
      <c r="I1178" t="s">
        <v>4899</v>
      </c>
      <c r="J1178" t="s">
        <v>4912</v>
      </c>
      <c r="K1178" t="s">
        <v>4928</v>
      </c>
      <c r="L1178" t="s">
        <v>4939</v>
      </c>
      <c r="M1178" t="s">
        <v>4942</v>
      </c>
      <c r="N1178" s="11">
        <v>140.34</v>
      </c>
      <c r="O1178" t="s">
        <v>15</v>
      </c>
      <c r="P1178" t="s">
        <v>4952</v>
      </c>
      <c r="R1178">
        <v>30</v>
      </c>
      <c r="S1178" t="str">
        <f t="shared" si="54"/>
        <v>Child</v>
      </c>
      <c r="T1178" t="str">
        <f t="shared" si="55"/>
        <v>Low</v>
      </c>
      <c r="U1178" t="str">
        <f t="shared" si="56"/>
        <v>Short Days</v>
      </c>
    </row>
    <row r="1179" spans="1:21">
      <c r="A1179" t="s">
        <v>1195</v>
      </c>
      <c r="B1179" s="5">
        <v>45764</v>
      </c>
      <c r="C1179" t="s">
        <v>3390</v>
      </c>
      <c r="D1179" t="s">
        <v>4740</v>
      </c>
      <c r="E1179" t="s">
        <v>4866</v>
      </c>
      <c r="F1179">
        <v>7</v>
      </c>
      <c r="G1179" t="s">
        <v>4871</v>
      </c>
      <c r="H1179" t="s">
        <v>4886</v>
      </c>
      <c r="I1179" t="s">
        <v>4896</v>
      </c>
      <c r="J1179" t="s">
        <v>4908</v>
      </c>
      <c r="K1179" t="s">
        <v>4927</v>
      </c>
      <c r="L1179" t="s">
        <v>4937</v>
      </c>
      <c r="M1179" t="s">
        <v>4942</v>
      </c>
      <c r="N1179" s="11">
        <v>8590.92</v>
      </c>
      <c r="O1179" t="s">
        <v>4948</v>
      </c>
      <c r="P1179" t="s">
        <v>4951</v>
      </c>
      <c r="S1179" t="str">
        <f t="shared" si="54"/>
        <v>Child</v>
      </c>
      <c r="T1179" t="str">
        <f t="shared" si="55"/>
        <v>Medium</v>
      </c>
      <c r="U1179" t="str">
        <f t="shared" si="56"/>
        <v>Short Days</v>
      </c>
    </row>
    <row r="1180" spans="1:21">
      <c r="A1180" t="s">
        <v>1196</v>
      </c>
      <c r="B1180" s="5">
        <v>45875</v>
      </c>
      <c r="C1180" t="s">
        <v>3924</v>
      </c>
      <c r="D1180" t="s">
        <v>4670</v>
      </c>
      <c r="E1180" t="s">
        <v>4867</v>
      </c>
      <c r="F1180">
        <v>57</v>
      </c>
      <c r="G1180" t="s">
        <v>4871</v>
      </c>
      <c r="H1180" t="s">
        <v>4886</v>
      </c>
      <c r="I1180" t="s">
        <v>4894</v>
      </c>
      <c r="J1180" t="s">
        <v>4904</v>
      </c>
      <c r="K1180" t="s">
        <v>4927</v>
      </c>
      <c r="L1180" t="s">
        <v>4940</v>
      </c>
      <c r="M1180" t="s">
        <v>4944</v>
      </c>
      <c r="N1180" s="11">
        <v>11271.95</v>
      </c>
      <c r="O1180" t="s">
        <v>15</v>
      </c>
      <c r="P1180" t="s">
        <v>4952</v>
      </c>
      <c r="R1180">
        <v>7</v>
      </c>
      <c r="S1180" t="str">
        <f t="shared" si="54"/>
        <v>Middle-Aged</v>
      </c>
      <c r="T1180" t="str">
        <f t="shared" si="55"/>
        <v>High</v>
      </c>
      <c r="U1180" t="str">
        <f t="shared" si="56"/>
        <v>Short Days</v>
      </c>
    </row>
    <row r="1181" spans="1:21">
      <c r="A1181" t="s">
        <v>1197</v>
      </c>
      <c r="B1181" s="5">
        <v>45617</v>
      </c>
      <c r="C1181" t="s">
        <v>3301</v>
      </c>
      <c r="D1181" t="s">
        <v>4649</v>
      </c>
      <c r="E1181" t="s">
        <v>4866</v>
      </c>
      <c r="F1181">
        <v>36</v>
      </c>
      <c r="G1181" t="s">
        <v>4873</v>
      </c>
      <c r="H1181" t="s">
        <v>4888</v>
      </c>
      <c r="I1181" t="s">
        <v>4895</v>
      </c>
      <c r="J1181" t="s">
        <v>4905</v>
      </c>
      <c r="K1181" t="s">
        <v>4927</v>
      </c>
      <c r="L1181" t="s">
        <v>4934</v>
      </c>
      <c r="M1181" t="s">
        <v>4942</v>
      </c>
      <c r="N1181" s="11">
        <v>90.24</v>
      </c>
      <c r="O1181" t="s">
        <v>4946</v>
      </c>
      <c r="P1181" t="s">
        <v>4951</v>
      </c>
      <c r="S1181" t="str">
        <f t="shared" si="54"/>
        <v>Adult</v>
      </c>
      <c r="T1181" t="str">
        <f t="shared" si="55"/>
        <v>Low</v>
      </c>
      <c r="U1181" t="str">
        <f t="shared" si="56"/>
        <v>Short Days</v>
      </c>
    </row>
    <row r="1182" spans="1:21">
      <c r="A1182" t="s">
        <v>1198</v>
      </c>
      <c r="B1182" s="5">
        <v>45369</v>
      </c>
      <c r="C1182" t="s">
        <v>3925</v>
      </c>
      <c r="D1182" t="s">
        <v>4692</v>
      </c>
      <c r="E1182" t="s">
        <v>4866</v>
      </c>
      <c r="F1182">
        <v>70</v>
      </c>
      <c r="G1182" t="s">
        <v>4880</v>
      </c>
      <c r="H1182" t="s">
        <v>4890</v>
      </c>
      <c r="I1182" t="s">
        <v>4902</v>
      </c>
      <c r="J1182" t="s">
        <v>4920</v>
      </c>
      <c r="K1182" t="s">
        <v>4932</v>
      </c>
      <c r="L1182" t="s">
        <v>4937</v>
      </c>
      <c r="M1182" t="s">
        <v>4942</v>
      </c>
      <c r="N1182" s="11">
        <v>166.89</v>
      </c>
      <c r="O1182" t="s">
        <v>15</v>
      </c>
      <c r="P1182" t="s">
        <v>4952</v>
      </c>
      <c r="R1182">
        <v>90</v>
      </c>
      <c r="S1182" t="str">
        <f t="shared" si="54"/>
        <v>Senior</v>
      </c>
      <c r="T1182" t="str">
        <f t="shared" si="55"/>
        <v>Low</v>
      </c>
      <c r="U1182" t="str">
        <f t="shared" si="56"/>
        <v>Short Days</v>
      </c>
    </row>
    <row r="1183" spans="1:21">
      <c r="A1183" t="s">
        <v>1199</v>
      </c>
      <c r="B1183" s="5">
        <v>45400</v>
      </c>
      <c r="C1183" t="s">
        <v>3926</v>
      </c>
      <c r="D1183" t="s">
        <v>4680</v>
      </c>
      <c r="E1183" t="s">
        <v>4867</v>
      </c>
      <c r="F1183">
        <v>28</v>
      </c>
      <c r="G1183" t="s">
        <v>4872</v>
      </c>
      <c r="H1183" t="s">
        <v>4887</v>
      </c>
      <c r="I1183" t="s">
        <v>4900</v>
      </c>
      <c r="J1183" t="s">
        <v>4919</v>
      </c>
      <c r="K1183" t="s">
        <v>4928</v>
      </c>
      <c r="L1183" t="s">
        <v>4939</v>
      </c>
      <c r="M1183" t="s">
        <v>4942</v>
      </c>
      <c r="N1183" s="11">
        <v>5775.25</v>
      </c>
      <c r="O1183" t="s">
        <v>15</v>
      </c>
      <c r="P1183" t="s">
        <v>4952</v>
      </c>
      <c r="R1183">
        <v>90</v>
      </c>
      <c r="S1183" t="str">
        <f t="shared" si="54"/>
        <v>Adult</v>
      </c>
      <c r="T1183" t="str">
        <f t="shared" si="55"/>
        <v>Medium</v>
      </c>
      <c r="U1183" t="str">
        <f t="shared" si="56"/>
        <v>Short Days</v>
      </c>
    </row>
    <row r="1184" spans="1:21">
      <c r="A1184" t="s">
        <v>1200</v>
      </c>
      <c r="B1184" s="5">
        <v>45831</v>
      </c>
      <c r="C1184" t="s">
        <v>3927</v>
      </c>
      <c r="D1184" t="s">
        <v>4786</v>
      </c>
      <c r="E1184" t="s">
        <v>4866</v>
      </c>
      <c r="F1184">
        <v>26</v>
      </c>
      <c r="G1184" t="s">
        <v>4880</v>
      </c>
      <c r="H1184" t="s">
        <v>4890</v>
      </c>
      <c r="I1184" t="s">
        <v>4898</v>
      </c>
      <c r="J1184" t="s">
        <v>4909</v>
      </c>
      <c r="K1184" t="s">
        <v>4931</v>
      </c>
      <c r="L1184" t="s">
        <v>4934</v>
      </c>
      <c r="M1184" t="s">
        <v>4942</v>
      </c>
      <c r="N1184" s="11">
        <v>2345.8200000000002</v>
      </c>
      <c r="O1184" t="s">
        <v>15</v>
      </c>
      <c r="P1184" t="s">
        <v>4952</v>
      </c>
      <c r="S1184" t="str">
        <f t="shared" si="54"/>
        <v>Adult</v>
      </c>
      <c r="T1184" t="str">
        <f t="shared" si="55"/>
        <v>Low</v>
      </c>
      <c r="U1184" t="str">
        <f t="shared" si="56"/>
        <v>Short Days</v>
      </c>
    </row>
    <row r="1185" spans="1:21">
      <c r="A1185" t="s">
        <v>1201</v>
      </c>
      <c r="B1185" s="5">
        <v>45528</v>
      </c>
      <c r="C1185" t="s">
        <v>3928</v>
      </c>
      <c r="D1185" t="s">
        <v>4753</v>
      </c>
      <c r="E1185" t="s">
        <v>4866</v>
      </c>
      <c r="F1185">
        <v>36</v>
      </c>
      <c r="G1185" t="s">
        <v>4876</v>
      </c>
      <c r="H1185" t="s">
        <v>4888</v>
      </c>
      <c r="I1185" t="s">
        <v>4893</v>
      </c>
      <c r="J1185" t="s">
        <v>4917</v>
      </c>
      <c r="K1185" t="s">
        <v>4927</v>
      </c>
      <c r="L1185" t="s">
        <v>4936</v>
      </c>
      <c r="M1185" t="s">
        <v>4942</v>
      </c>
      <c r="N1185" s="11">
        <v>3989.16</v>
      </c>
      <c r="O1185" t="s">
        <v>4950</v>
      </c>
      <c r="P1185" t="s">
        <v>4951</v>
      </c>
      <c r="R1185">
        <v>14</v>
      </c>
      <c r="S1185" t="str">
        <f t="shared" si="54"/>
        <v>Adult</v>
      </c>
      <c r="T1185" t="str">
        <f t="shared" si="55"/>
        <v>Low</v>
      </c>
      <c r="U1185" t="str">
        <f t="shared" si="56"/>
        <v>Short Days</v>
      </c>
    </row>
    <row r="1186" spans="1:21">
      <c r="A1186" t="s">
        <v>1202</v>
      </c>
      <c r="B1186" s="5">
        <v>45341</v>
      </c>
      <c r="C1186" t="s">
        <v>3409</v>
      </c>
      <c r="D1186" t="s">
        <v>4735</v>
      </c>
      <c r="E1186" t="s">
        <v>4866</v>
      </c>
      <c r="F1186">
        <v>31</v>
      </c>
      <c r="G1186" t="s">
        <v>4878</v>
      </c>
      <c r="H1186" t="s">
        <v>4889</v>
      </c>
      <c r="I1186" t="s">
        <v>4898</v>
      </c>
      <c r="J1186" t="s">
        <v>4923</v>
      </c>
      <c r="K1186" t="s">
        <v>4931</v>
      </c>
      <c r="L1186" t="s">
        <v>4940</v>
      </c>
      <c r="M1186" t="s">
        <v>4944</v>
      </c>
      <c r="N1186" s="11">
        <v>5279.35</v>
      </c>
      <c r="O1186" t="s">
        <v>4947</v>
      </c>
      <c r="P1186" t="s">
        <v>4951</v>
      </c>
      <c r="R1186">
        <v>30</v>
      </c>
      <c r="S1186" t="str">
        <f t="shared" si="54"/>
        <v>Adult</v>
      </c>
      <c r="T1186" t="str">
        <f t="shared" si="55"/>
        <v>Medium</v>
      </c>
      <c r="U1186" t="str">
        <f t="shared" si="56"/>
        <v>Short Days</v>
      </c>
    </row>
    <row r="1187" spans="1:21">
      <c r="A1187" t="s">
        <v>1203</v>
      </c>
      <c r="B1187" s="5">
        <v>45899</v>
      </c>
      <c r="C1187" t="s">
        <v>3929</v>
      </c>
      <c r="D1187" t="s">
        <v>4703</v>
      </c>
      <c r="E1187" t="s">
        <v>4866</v>
      </c>
      <c r="F1187">
        <v>40</v>
      </c>
      <c r="G1187" t="s">
        <v>4872</v>
      </c>
      <c r="H1187" t="s">
        <v>4887</v>
      </c>
      <c r="I1187" t="s">
        <v>4896</v>
      </c>
      <c r="J1187" t="s">
        <v>4906</v>
      </c>
      <c r="K1187" t="s">
        <v>4932</v>
      </c>
      <c r="L1187" t="s">
        <v>4938</v>
      </c>
      <c r="M1187" t="s">
        <v>4942</v>
      </c>
      <c r="N1187" s="11">
        <v>5860.44</v>
      </c>
      <c r="O1187" t="s">
        <v>15</v>
      </c>
      <c r="P1187" t="s">
        <v>4952</v>
      </c>
      <c r="R1187">
        <v>7</v>
      </c>
      <c r="S1187" t="str">
        <f t="shared" si="54"/>
        <v>Adult</v>
      </c>
      <c r="T1187" t="str">
        <f t="shared" si="55"/>
        <v>Medium</v>
      </c>
      <c r="U1187" t="str">
        <f t="shared" si="56"/>
        <v>Short Days</v>
      </c>
    </row>
    <row r="1188" spans="1:21">
      <c r="A1188" t="s">
        <v>1204</v>
      </c>
      <c r="B1188" s="5">
        <v>45754</v>
      </c>
      <c r="C1188" t="s">
        <v>3705</v>
      </c>
      <c r="D1188" t="s">
        <v>4614</v>
      </c>
      <c r="E1188" t="s">
        <v>4866</v>
      </c>
      <c r="F1188">
        <v>40</v>
      </c>
      <c r="G1188" t="s">
        <v>4880</v>
      </c>
      <c r="H1188" t="s">
        <v>4890</v>
      </c>
      <c r="I1188" t="s">
        <v>4896</v>
      </c>
      <c r="J1188" t="s">
        <v>4906</v>
      </c>
      <c r="K1188" t="s">
        <v>4933</v>
      </c>
      <c r="L1188" t="s">
        <v>4934</v>
      </c>
      <c r="M1188" t="s">
        <v>4944</v>
      </c>
      <c r="N1188" s="11">
        <v>21824</v>
      </c>
      <c r="O1188" t="s">
        <v>4946</v>
      </c>
      <c r="P1188" t="s">
        <v>4951</v>
      </c>
      <c r="R1188">
        <v>7</v>
      </c>
      <c r="S1188" t="str">
        <f t="shared" si="54"/>
        <v>Adult</v>
      </c>
      <c r="T1188" t="str">
        <f t="shared" si="55"/>
        <v>High</v>
      </c>
      <c r="U1188" t="str">
        <f t="shared" si="56"/>
        <v>Short Days</v>
      </c>
    </row>
    <row r="1189" spans="1:21">
      <c r="A1189" t="s">
        <v>1205</v>
      </c>
      <c r="B1189" s="5">
        <v>45941</v>
      </c>
      <c r="C1189" t="s">
        <v>3930</v>
      </c>
      <c r="D1189" t="s">
        <v>4757</v>
      </c>
      <c r="E1189" t="s">
        <v>4866</v>
      </c>
      <c r="F1189">
        <v>26</v>
      </c>
      <c r="G1189" t="s">
        <v>4876</v>
      </c>
      <c r="H1189" t="s">
        <v>4888</v>
      </c>
      <c r="I1189" t="s">
        <v>4900</v>
      </c>
      <c r="J1189" t="s">
        <v>4913</v>
      </c>
      <c r="K1189" t="s">
        <v>4932</v>
      </c>
      <c r="L1189" t="s">
        <v>4940</v>
      </c>
      <c r="M1189" t="s">
        <v>4942</v>
      </c>
      <c r="N1189" s="11">
        <v>3583.15</v>
      </c>
      <c r="O1189" t="s">
        <v>15</v>
      </c>
      <c r="P1189" t="s">
        <v>4952</v>
      </c>
      <c r="R1189">
        <v>90</v>
      </c>
      <c r="S1189" t="str">
        <f t="shared" si="54"/>
        <v>Adult</v>
      </c>
      <c r="T1189" t="str">
        <f t="shared" si="55"/>
        <v>Low</v>
      </c>
      <c r="U1189" t="str">
        <f t="shared" si="56"/>
        <v>Short Days</v>
      </c>
    </row>
    <row r="1190" spans="1:21">
      <c r="A1190" t="s">
        <v>1206</v>
      </c>
      <c r="B1190" s="5">
        <v>45595</v>
      </c>
      <c r="C1190" t="s">
        <v>3488</v>
      </c>
      <c r="D1190" t="s">
        <v>4698</v>
      </c>
      <c r="E1190" t="s">
        <v>4866</v>
      </c>
      <c r="F1190">
        <v>37</v>
      </c>
      <c r="G1190" t="s">
        <v>4869</v>
      </c>
      <c r="H1190" t="s">
        <v>4884</v>
      </c>
      <c r="I1190" t="s">
        <v>4894</v>
      </c>
      <c r="J1190" t="s">
        <v>4904</v>
      </c>
      <c r="K1190" t="s">
        <v>4928</v>
      </c>
      <c r="L1190" t="s">
        <v>4941</v>
      </c>
      <c r="M1190" t="s">
        <v>4944</v>
      </c>
      <c r="N1190" s="11">
        <v>9862.25</v>
      </c>
      <c r="O1190" t="s">
        <v>4947</v>
      </c>
      <c r="P1190" t="s">
        <v>4951</v>
      </c>
      <c r="R1190">
        <v>90</v>
      </c>
      <c r="S1190" t="str">
        <f t="shared" si="54"/>
        <v>Adult</v>
      </c>
      <c r="T1190" t="str">
        <f t="shared" si="55"/>
        <v>Medium</v>
      </c>
      <c r="U1190" t="str">
        <f t="shared" si="56"/>
        <v>Short Days</v>
      </c>
    </row>
    <row r="1191" spans="1:21">
      <c r="A1191" t="s">
        <v>1207</v>
      </c>
      <c r="B1191" s="5">
        <v>45545</v>
      </c>
      <c r="C1191" t="s">
        <v>3931</v>
      </c>
      <c r="D1191" t="s">
        <v>4798</v>
      </c>
      <c r="E1191" t="s">
        <v>4866</v>
      </c>
      <c r="F1191">
        <v>61</v>
      </c>
      <c r="G1191" t="s">
        <v>4881</v>
      </c>
      <c r="H1191" t="s">
        <v>4881</v>
      </c>
      <c r="I1191" t="s">
        <v>4897</v>
      </c>
      <c r="J1191" t="s">
        <v>4907</v>
      </c>
      <c r="K1191" t="s">
        <v>4928</v>
      </c>
      <c r="L1191" t="s">
        <v>4934</v>
      </c>
      <c r="M1191" t="s">
        <v>4942</v>
      </c>
      <c r="N1191" s="11">
        <v>19224.86</v>
      </c>
      <c r="O1191" t="s">
        <v>4948</v>
      </c>
      <c r="P1191" t="s">
        <v>4951</v>
      </c>
      <c r="R1191">
        <v>14</v>
      </c>
      <c r="S1191" t="str">
        <f t="shared" si="54"/>
        <v>Senior</v>
      </c>
      <c r="T1191" t="str">
        <f t="shared" si="55"/>
        <v>High</v>
      </c>
      <c r="U1191" t="str">
        <f t="shared" si="56"/>
        <v>Short Days</v>
      </c>
    </row>
    <row r="1192" spans="1:21">
      <c r="A1192" t="s">
        <v>1208</v>
      </c>
      <c r="B1192" s="5">
        <v>45374</v>
      </c>
      <c r="C1192" t="s">
        <v>3838</v>
      </c>
      <c r="D1192" t="s">
        <v>4606</v>
      </c>
      <c r="E1192" t="s">
        <v>4866</v>
      </c>
      <c r="F1192">
        <v>45</v>
      </c>
      <c r="G1192" t="s">
        <v>4871</v>
      </c>
      <c r="H1192" t="s">
        <v>4886</v>
      </c>
      <c r="I1192" t="s">
        <v>4896</v>
      </c>
      <c r="J1192" t="s">
        <v>4908</v>
      </c>
      <c r="K1192" t="s">
        <v>4924</v>
      </c>
      <c r="L1192" t="s">
        <v>4935</v>
      </c>
      <c r="M1192" t="s">
        <v>4944</v>
      </c>
      <c r="N1192" s="11">
        <v>6066.08</v>
      </c>
      <c r="O1192" t="s">
        <v>4948</v>
      </c>
      <c r="P1192" t="s">
        <v>4951</v>
      </c>
      <c r="R1192">
        <v>7</v>
      </c>
      <c r="S1192" t="str">
        <f t="shared" si="54"/>
        <v>Middle-Aged</v>
      </c>
      <c r="T1192" t="str">
        <f t="shared" si="55"/>
        <v>Medium</v>
      </c>
      <c r="U1192" t="str">
        <f t="shared" si="56"/>
        <v>Short Days</v>
      </c>
    </row>
    <row r="1193" spans="1:21">
      <c r="A1193" t="s">
        <v>1209</v>
      </c>
      <c r="B1193" s="5">
        <v>45818</v>
      </c>
      <c r="C1193" t="s">
        <v>3932</v>
      </c>
      <c r="D1193" t="s">
        <v>4681</v>
      </c>
      <c r="E1193" t="s">
        <v>4866</v>
      </c>
      <c r="F1193">
        <v>42</v>
      </c>
      <c r="G1193" t="s">
        <v>4883</v>
      </c>
      <c r="H1193" t="s">
        <v>4892</v>
      </c>
      <c r="I1193" t="s">
        <v>4894</v>
      </c>
      <c r="J1193" t="s">
        <v>4904</v>
      </c>
      <c r="K1193" t="s">
        <v>4933</v>
      </c>
      <c r="L1193" t="s">
        <v>4939</v>
      </c>
      <c r="M1193" t="s">
        <v>4942</v>
      </c>
      <c r="N1193" s="11">
        <v>753.58</v>
      </c>
      <c r="O1193" t="s">
        <v>4949</v>
      </c>
      <c r="P1193" t="s">
        <v>4951</v>
      </c>
      <c r="R1193">
        <v>90</v>
      </c>
      <c r="S1193" t="str">
        <f t="shared" si="54"/>
        <v>Middle-Aged</v>
      </c>
      <c r="T1193" t="str">
        <f t="shared" si="55"/>
        <v>Low</v>
      </c>
      <c r="U1193" t="str">
        <f t="shared" si="56"/>
        <v>Short Days</v>
      </c>
    </row>
    <row r="1194" spans="1:21">
      <c r="A1194" t="s">
        <v>1210</v>
      </c>
      <c r="B1194" s="5">
        <v>45822</v>
      </c>
      <c r="C1194" t="s">
        <v>3711</v>
      </c>
      <c r="D1194" t="s">
        <v>4627</v>
      </c>
      <c r="E1194" t="s">
        <v>4866</v>
      </c>
      <c r="F1194">
        <v>40</v>
      </c>
      <c r="G1194" t="s">
        <v>4876</v>
      </c>
      <c r="H1194" t="s">
        <v>4888</v>
      </c>
      <c r="I1194" t="s">
        <v>4901</v>
      </c>
      <c r="J1194" t="s">
        <v>4921</v>
      </c>
      <c r="K1194" t="s">
        <v>4932</v>
      </c>
      <c r="L1194" t="s">
        <v>4940</v>
      </c>
      <c r="M1194" t="s">
        <v>4943</v>
      </c>
      <c r="N1194" s="11">
        <v>5631.88</v>
      </c>
      <c r="O1194" t="s">
        <v>4946</v>
      </c>
      <c r="P1194" t="s">
        <v>4951</v>
      </c>
      <c r="R1194">
        <v>30</v>
      </c>
      <c r="S1194" t="str">
        <f t="shared" si="54"/>
        <v>Adult</v>
      </c>
      <c r="T1194" t="str">
        <f t="shared" si="55"/>
        <v>Medium</v>
      </c>
      <c r="U1194" t="str">
        <f t="shared" si="56"/>
        <v>Short Days</v>
      </c>
    </row>
    <row r="1195" spans="1:21">
      <c r="A1195" t="s">
        <v>1211</v>
      </c>
      <c r="B1195" s="5">
        <v>45804</v>
      </c>
      <c r="C1195" t="s">
        <v>3653</v>
      </c>
      <c r="D1195" t="s">
        <v>4720</v>
      </c>
      <c r="E1195" t="s">
        <v>4867</v>
      </c>
      <c r="F1195">
        <v>60</v>
      </c>
      <c r="G1195" t="s">
        <v>4882</v>
      </c>
      <c r="H1195" t="s">
        <v>4891</v>
      </c>
      <c r="I1195" t="s">
        <v>4902</v>
      </c>
      <c r="J1195" t="s">
        <v>4916</v>
      </c>
      <c r="K1195" t="s">
        <v>4933</v>
      </c>
      <c r="L1195" t="s">
        <v>4941</v>
      </c>
      <c r="M1195" t="s">
        <v>4942</v>
      </c>
      <c r="N1195" s="11">
        <v>2777.44</v>
      </c>
      <c r="O1195" t="s">
        <v>4947</v>
      </c>
      <c r="P1195" t="s">
        <v>4951</v>
      </c>
      <c r="S1195" t="str">
        <f t="shared" si="54"/>
        <v>Middle-Aged</v>
      </c>
      <c r="T1195" t="str">
        <f t="shared" si="55"/>
        <v>Low</v>
      </c>
      <c r="U1195" t="str">
        <f t="shared" si="56"/>
        <v>Short Days</v>
      </c>
    </row>
    <row r="1196" spans="1:21">
      <c r="A1196" t="s">
        <v>1212</v>
      </c>
      <c r="B1196" s="5">
        <v>45797</v>
      </c>
      <c r="C1196" t="s">
        <v>3933</v>
      </c>
      <c r="D1196" t="s">
        <v>4599</v>
      </c>
      <c r="E1196" t="s">
        <v>4866</v>
      </c>
      <c r="F1196">
        <v>15</v>
      </c>
      <c r="G1196" t="s">
        <v>4879</v>
      </c>
      <c r="H1196" t="s">
        <v>4888</v>
      </c>
      <c r="I1196" t="s">
        <v>4900</v>
      </c>
      <c r="J1196" t="s">
        <v>4913</v>
      </c>
      <c r="K1196" t="s">
        <v>4931</v>
      </c>
      <c r="L1196" t="s">
        <v>4938</v>
      </c>
      <c r="M1196" t="s">
        <v>4942</v>
      </c>
      <c r="N1196" s="11">
        <v>253.19</v>
      </c>
      <c r="O1196" t="s">
        <v>4950</v>
      </c>
      <c r="P1196" t="s">
        <v>4951</v>
      </c>
      <c r="S1196" t="str">
        <f t="shared" si="54"/>
        <v>Child</v>
      </c>
      <c r="T1196" t="str">
        <f t="shared" si="55"/>
        <v>Low</v>
      </c>
      <c r="U1196" t="str">
        <f t="shared" si="56"/>
        <v>Short Days</v>
      </c>
    </row>
    <row r="1197" spans="1:21">
      <c r="A1197" t="s">
        <v>1213</v>
      </c>
      <c r="B1197" s="5">
        <v>45435</v>
      </c>
      <c r="C1197" t="s">
        <v>3934</v>
      </c>
      <c r="D1197" t="s">
        <v>4707</v>
      </c>
      <c r="E1197" t="s">
        <v>4866</v>
      </c>
      <c r="F1197">
        <v>39</v>
      </c>
      <c r="G1197" t="s">
        <v>4881</v>
      </c>
      <c r="H1197" t="s">
        <v>4881</v>
      </c>
      <c r="I1197" t="s">
        <v>4900</v>
      </c>
      <c r="J1197" t="s">
        <v>4919</v>
      </c>
      <c r="K1197" t="s">
        <v>4928</v>
      </c>
      <c r="L1197" t="s">
        <v>4940</v>
      </c>
      <c r="M1197" t="s">
        <v>4942</v>
      </c>
      <c r="N1197" s="11">
        <v>16409.919999999998</v>
      </c>
      <c r="O1197" t="s">
        <v>4946</v>
      </c>
      <c r="P1197" t="s">
        <v>4951</v>
      </c>
      <c r="S1197" t="str">
        <f t="shared" si="54"/>
        <v>Adult</v>
      </c>
      <c r="T1197" t="str">
        <f t="shared" si="55"/>
        <v>High</v>
      </c>
      <c r="U1197" t="str">
        <f t="shared" si="56"/>
        <v>Short Days</v>
      </c>
    </row>
    <row r="1198" spans="1:21">
      <c r="A1198" t="s">
        <v>1214</v>
      </c>
      <c r="B1198" s="5">
        <v>45860</v>
      </c>
      <c r="C1198" t="s">
        <v>3924</v>
      </c>
      <c r="D1198" t="s">
        <v>4591</v>
      </c>
      <c r="E1198" t="s">
        <v>4866</v>
      </c>
      <c r="F1198">
        <v>61</v>
      </c>
      <c r="G1198" t="s">
        <v>4883</v>
      </c>
      <c r="H1198" t="s">
        <v>4892</v>
      </c>
      <c r="I1198" t="s">
        <v>4898</v>
      </c>
      <c r="J1198" t="s">
        <v>4909</v>
      </c>
      <c r="K1198" t="s">
        <v>4925</v>
      </c>
      <c r="L1198" t="s">
        <v>4934</v>
      </c>
      <c r="M1198" t="s">
        <v>4944</v>
      </c>
      <c r="N1198" s="11">
        <v>29338.59</v>
      </c>
      <c r="O1198" t="s">
        <v>4948</v>
      </c>
      <c r="P1198" t="s">
        <v>4951</v>
      </c>
      <c r="R1198">
        <v>14</v>
      </c>
      <c r="S1198" t="str">
        <f t="shared" si="54"/>
        <v>Senior</v>
      </c>
      <c r="T1198" t="str">
        <f t="shared" si="55"/>
        <v>High</v>
      </c>
      <c r="U1198" t="str">
        <f t="shared" si="56"/>
        <v>Short Days</v>
      </c>
    </row>
    <row r="1199" spans="1:21">
      <c r="A1199" t="s">
        <v>1215</v>
      </c>
      <c r="B1199" s="5">
        <v>45928</v>
      </c>
      <c r="C1199" t="s">
        <v>3935</v>
      </c>
      <c r="D1199" t="s">
        <v>4773</v>
      </c>
      <c r="E1199" t="s">
        <v>4866</v>
      </c>
      <c r="F1199">
        <v>52</v>
      </c>
      <c r="G1199" t="s">
        <v>4874</v>
      </c>
      <c r="H1199" t="s">
        <v>4886</v>
      </c>
      <c r="I1199" t="s">
        <v>4893</v>
      </c>
      <c r="J1199" t="s">
        <v>4917</v>
      </c>
      <c r="K1199" t="s">
        <v>4928</v>
      </c>
      <c r="L1199" t="s">
        <v>4941</v>
      </c>
      <c r="M1199" t="s">
        <v>4942</v>
      </c>
      <c r="N1199" s="11">
        <v>3367.06</v>
      </c>
      <c r="O1199" t="s">
        <v>4947</v>
      </c>
      <c r="P1199" t="s">
        <v>4951</v>
      </c>
      <c r="S1199" t="str">
        <f t="shared" si="54"/>
        <v>Middle-Aged</v>
      </c>
      <c r="T1199" t="str">
        <f t="shared" si="55"/>
        <v>Low</v>
      </c>
      <c r="U1199" t="str">
        <f t="shared" si="56"/>
        <v>Short Days</v>
      </c>
    </row>
    <row r="1200" spans="1:21">
      <c r="A1200" t="s">
        <v>1216</v>
      </c>
      <c r="B1200" s="5">
        <v>45947</v>
      </c>
      <c r="C1200" t="s">
        <v>3465</v>
      </c>
      <c r="D1200" t="s">
        <v>4741</v>
      </c>
      <c r="E1200" t="s">
        <v>4867</v>
      </c>
      <c r="F1200">
        <v>25</v>
      </c>
      <c r="G1200" t="s">
        <v>4876</v>
      </c>
      <c r="H1200" t="s">
        <v>4888</v>
      </c>
      <c r="I1200" t="s">
        <v>4902</v>
      </c>
      <c r="J1200" t="s">
        <v>4920</v>
      </c>
      <c r="K1200" t="s">
        <v>4928</v>
      </c>
      <c r="L1200" t="s">
        <v>4941</v>
      </c>
      <c r="M1200" t="s">
        <v>4942</v>
      </c>
      <c r="N1200" s="11">
        <v>196.1</v>
      </c>
      <c r="O1200" t="s">
        <v>4948</v>
      </c>
      <c r="P1200" t="s">
        <v>4951</v>
      </c>
      <c r="S1200" t="str">
        <f t="shared" si="54"/>
        <v>Adult</v>
      </c>
      <c r="T1200" t="str">
        <f t="shared" si="55"/>
        <v>Low</v>
      </c>
      <c r="U1200" t="str">
        <f t="shared" si="56"/>
        <v>Short Days</v>
      </c>
    </row>
    <row r="1201" spans="1:21">
      <c r="A1201" t="s">
        <v>1217</v>
      </c>
      <c r="B1201" s="5">
        <v>45568</v>
      </c>
      <c r="C1201" t="s">
        <v>3638</v>
      </c>
      <c r="D1201" t="s">
        <v>4840</v>
      </c>
      <c r="E1201" t="s">
        <v>4866</v>
      </c>
      <c r="F1201">
        <v>29</v>
      </c>
      <c r="G1201" t="s">
        <v>4880</v>
      </c>
      <c r="H1201" t="s">
        <v>4890</v>
      </c>
      <c r="I1201" t="s">
        <v>4894</v>
      </c>
      <c r="J1201" t="s">
        <v>4904</v>
      </c>
      <c r="K1201" t="s">
        <v>4926</v>
      </c>
      <c r="L1201" t="s">
        <v>4935</v>
      </c>
      <c r="M1201" t="s">
        <v>4942</v>
      </c>
      <c r="N1201" s="11">
        <v>1716.28</v>
      </c>
      <c r="O1201" t="s">
        <v>4947</v>
      </c>
      <c r="P1201" t="s">
        <v>4951</v>
      </c>
      <c r="R1201">
        <v>14</v>
      </c>
      <c r="S1201" t="str">
        <f t="shared" si="54"/>
        <v>Adult</v>
      </c>
      <c r="T1201" t="str">
        <f t="shared" si="55"/>
        <v>Low</v>
      </c>
      <c r="U1201" t="str">
        <f t="shared" si="56"/>
        <v>Short Days</v>
      </c>
    </row>
    <row r="1202" spans="1:21">
      <c r="A1202" t="s">
        <v>1218</v>
      </c>
      <c r="B1202" s="5">
        <v>45473</v>
      </c>
      <c r="C1202" t="s">
        <v>3809</v>
      </c>
      <c r="D1202" t="s">
        <v>4748</v>
      </c>
      <c r="E1202" t="s">
        <v>4866</v>
      </c>
      <c r="F1202">
        <v>57</v>
      </c>
      <c r="G1202" t="s">
        <v>4880</v>
      </c>
      <c r="H1202" t="s">
        <v>4890</v>
      </c>
      <c r="I1202" t="s">
        <v>4898</v>
      </c>
      <c r="J1202" t="s">
        <v>4918</v>
      </c>
      <c r="K1202" t="s">
        <v>4925</v>
      </c>
      <c r="L1202" t="s">
        <v>4935</v>
      </c>
      <c r="M1202" t="s">
        <v>4942</v>
      </c>
      <c r="N1202" s="11">
        <v>758.46</v>
      </c>
      <c r="O1202" t="s">
        <v>4946</v>
      </c>
      <c r="P1202" t="s">
        <v>4951</v>
      </c>
      <c r="S1202" t="str">
        <f t="shared" si="54"/>
        <v>Middle-Aged</v>
      </c>
      <c r="T1202" t="str">
        <f t="shared" si="55"/>
        <v>Low</v>
      </c>
      <c r="U1202" t="str">
        <f t="shared" si="56"/>
        <v>Short Days</v>
      </c>
    </row>
    <row r="1203" spans="1:21">
      <c r="A1203" t="s">
        <v>1219</v>
      </c>
      <c r="B1203" s="5">
        <v>45745</v>
      </c>
      <c r="C1203" t="s">
        <v>3936</v>
      </c>
      <c r="D1203" t="s">
        <v>4795</v>
      </c>
      <c r="E1203" t="s">
        <v>4866</v>
      </c>
      <c r="F1203">
        <f>AVERAGE(F1196,F1202)</f>
        <v>36</v>
      </c>
      <c r="G1203" t="s">
        <v>4881</v>
      </c>
      <c r="H1203" t="s">
        <v>4888</v>
      </c>
      <c r="I1203" t="s">
        <v>4898</v>
      </c>
      <c r="J1203" t="s">
        <v>4918</v>
      </c>
      <c r="K1203" t="s">
        <v>4953</v>
      </c>
      <c r="L1203" t="s">
        <v>4936</v>
      </c>
      <c r="M1203" t="s">
        <v>4944</v>
      </c>
      <c r="N1203" s="11">
        <v>7361.82</v>
      </c>
      <c r="O1203" t="s">
        <v>4948</v>
      </c>
      <c r="P1203" t="s">
        <v>4951</v>
      </c>
      <c r="S1203" t="str">
        <f t="shared" si="54"/>
        <v>Adult</v>
      </c>
      <c r="T1203" t="str">
        <f t="shared" si="55"/>
        <v>Medium</v>
      </c>
      <c r="U1203" t="str">
        <f t="shared" si="56"/>
        <v>Short Days</v>
      </c>
    </row>
    <row r="1204" spans="1:21">
      <c r="A1204" t="s">
        <v>1220</v>
      </c>
      <c r="B1204" s="5">
        <v>45954</v>
      </c>
      <c r="C1204" t="s">
        <v>3937</v>
      </c>
      <c r="D1204" t="s">
        <v>4732</v>
      </c>
      <c r="E1204" t="s">
        <v>4866</v>
      </c>
      <c r="F1204">
        <v>14</v>
      </c>
      <c r="G1204" t="s">
        <v>4874</v>
      </c>
      <c r="H1204" t="s">
        <v>4886</v>
      </c>
      <c r="I1204" t="s">
        <v>4897</v>
      </c>
      <c r="J1204" t="s">
        <v>4922</v>
      </c>
      <c r="K1204" t="s">
        <v>4927</v>
      </c>
      <c r="L1204" t="s">
        <v>4941</v>
      </c>
      <c r="M1204" t="s">
        <v>4942</v>
      </c>
      <c r="N1204" s="11">
        <v>2299.25</v>
      </c>
      <c r="O1204" t="s">
        <v>4947</v>
      </c>
      <c r="P1204" t="s">
        <v>4951</v>
      </c>
      <c r="S1204" t="str">
        <f t="shared" si="54"/>
        <v>Child</v>
      </c>
      <c r="T1204" t="str">
        <f t="shared" si="55"/>
        <v>Low</v>
      </c>
      <c r="U1204" t="str">
        <f t="shared" si="56"/>
        <v>Short Days</v>
      </c>
    </row>
    <row r="1205" spans="1:21">
      <c r="A1205" t="s">
        <v>1221</v>
      </c>
      <c r="B1205" s="5">
        <v>45569</v>
      </c>
      <c r="C1205" t="s">
        <v>3631</v>
      </c>
      <c r="D1205" t="s">
        <v>4601</v>
      </c>
      <c r="E1205" t="s">
        <v>4866</v>
      </c>
      <c r="F1205">
        <f>AVERAGE(F1198,F1204)</f>
        <v>37.5</v>
      </c>
      <c r="G1205" t="s">
        <v>4881</v>
      </c>
      <c r="H1205" t="s">
        <v>4881</v>
      </c>
      <c r="I1205" t="s">
        <v>4897</v>
      </c>
      <c r="J1205" t="s">
        <v>4907</v>
      </c>
      <c r="K1205" t="s">
        <v>4953</v>
      </c>
      <c r="L1205" t="s">
        <v>4939</v>
      </c>
      <c r="M1205" t="s">
        <v>4944</v>
      </c>
      <c r="N1205" s="11">
        <v>6066.93</v>
      </c>
      <c r="O1205" t="s">
        <v>4949</v>
      </c>
      <c r="P1205" t="s">
        <v>4951</v>
      </c>
      <c r="S1205" t="str">
        <f t="shared" si="54"/>
        <v>Adult</v>
      </c>
      <c r="T1205" t="str">
        <f t="shared" si="55"/>
        <v>Medium</v>
      </c>
      <c r="U1205" t="str">
        <f t="shared" si="56"/>
        <v>Short Days</v>
      </c>
    </row>
    <row r="1206" spans="1:21">
      <c r="A1206" t="s">
        <v>1222</v>
      </c>
      <c r="B1206" s="5">
        <v>45956</v>
      </c>
      <c r="C1206" t="s">
        <v>3938</v>
      </c>
      <c r="D1206" t="s">
        <v>4710</v>
      </c>
      <c r="E1206" t="s">
        <v>4867</v>
      </c>
      <c r="F1206">
        <v>36</v>
      </c>
      <c r="G1206" t="s">
        <v>4869</v>
      </c>
      <c r="H1206" t="s">
        <v>4884</v>
      </c>
      <c r="I1206" t="s">
        <v>4897</v>
      </c>
      <c r="J1206" t="s">
        <v>4907</v>
      </c>
      <c r="K1206" t="s">
        <v>4928</v>
      </c>
      <c r="L1206" t="s">
        <v>4934</v>
      </c>
      <c r="M1206" t="s">
        <v>4943</v>
      </c>
      <c r="N1206" s="11">
        <v>5765.31</v>
      </c>
      <c r="O1206" t="s">
        <v>15</v>
      </c>
      <c r="P1206" t="s">
        <v>4952</v>
      </c>
      <c r="R1206">
        <v>90</v>
      </c>
      <c r="S1206" t="str">
        <f t="shared" si="54"/>
        <v>Adult</v>
      </c>
      <c r="T1206" t="str">
        <f t="shared" si="55"/>
        <v>Medium</v>
      </c>
      <c r="U1206" t="str">
        <f t="shared" si="56"/>
        <v>Short Days</v>
      </c>
    </row>
    <row r="1207" spans="1:21">
      <c r="A1207" t="s">
        <v>1223</v>
      </c>
      <c r="B1207" s="5">
        <v>45820</v>
      </c>
      <c r="C1207" t="s">
        <v>3939</v>
      </c>
      <c r="D1207" t="s">
        <v>4828</v>
      </c>
      <c r="E1207" t="s">
        <v>4867</v>
      </c>
      <c r="F1207">
        <v>8</v>
      </c>
      <c r="G1207" t="s">
        <v>4871</v>
      </c>
      <c r="H1207" t="s">
        <v>4886</v>
      </c>
      <c r="I1207" t="s">
        <v>4896</v>
      </c>
      <c r="J1207" t="s">
        <v>4906</v>
      </c>
      <c r="K1207" t="s">
        <v>4928</v>
      </c>
      <c r="L1207" t="s">
        <v>4938</v>
      </c>
      <c r="M1207" t="s">
        <v>4944</v>
      </c>
      <c r="N1207" s="11">
        <v>6237.61</v>
      </c>
      <c r="O1207" t="s">
        <v>4949</v>
      </c>
      <c r="P1207" t="s">
        <v>4951</v>
      </c>
      <c r="R1207">
        <v>14</v>
      </c>
      <c r="S1207" t="str">
        <f t="shared" si="54"/>
        <v>Child</v>
      </c>
      <c r="T1207" t="str">
        <f t="shared" si="55"/>
        <v>Medium</v>
      </c>
      <c r="U1207" t="str">
        <f t="shared" si="56"/>
        <v>Short Days</v>
      </c>
    </row>
    <row r="1208" spans="1:21">
      <c r="A1208" t="s">
        <v>1224</v>
      </c>
      <c r="B1208" s="5">
        <v>45880</v>
      </c>
      <c r="C1208" t="s">
        <v>3940</v>
      </c>
      <c r="D1208" t="s">
        <v>4620</v>
      </c>
      <c r="E1208" t="s">
        <v>4866</v>
      </c>
      <c r="F1208">
        <v>21</v>
      </c>
      <c r="G1208" t="s">
        <v>4878</v>
      </c>
      <c r="H1208" t="s">
        <v>4889</v>
      </c>
      <c r="I1208" t="s">
        <v>4902</v>
      </c>
      <c r="J1208" t="s">
        <v>4920</v>
      </c>
      <c r="K1208" t="s">
        <v>4925</v>
      </c>
      <c r="L1208" t="s">
        <v>4941</v>
      </c>
      <c r="M1208" t="s">
        <v>4942</v>
      </c>
      <c r="N1208" s="11">
        <v>45628.09</v>
      </c>
      <c r="O1208" t="s">
        <v>4949</v>
      </c>
      <c r="P1208" t="s">
        <v>4951</v>
      </c>
      <c r="R1208">
        <v>7</v>
      </c>
      <c r="S1208" t="str">
        <f t="shared" si="54"/>
        <v>Adult</v>
      </c>
      <c r="T1208" t="str">
        <f t="shared" si="55"/>
        <v>High</v>
      </c>
      <c r="U1208" t="str">
        <f t="shared" si="56"/>
        <v>Short Days</v>
      </c>
    </row>
    <row r="1209" spans="1:21">
      <c r="A1209" t="s">
        <v>1225</v>
      </c>
      <c r="B1209" s="5">
        <v>45947</v>
      </c>
      <c r="C1209" t="s">
        <v>3941</v>
      </c>
      <c r="D1209" t="s">
        <v>4596</v>
      </c>
      <c r="E1209" t="s">
        <v>4866</v>
      </c>
      <c r="F1209">
        <v>68</v>
      </c>
      <c r="G1209" t="s">
        <v>4882</v>
      </c>
      <c r="H1209" t="s">
        <v>4891</v>
      </c>
      <c r="I1209" t="s">
        <v>4899</v>
      </c>
      <c r="J1209" t="s">
        <v>4912</v>
      </c>
      <c r="K1209" t="s">
        <v>4928</v>
      </c>
      <c r="L1209" t="s">
        <v>4938</v>
      </c>
      <c r="M1209" t="s">
        <v>4942</v>
      </c>
      <c r="N1209" s="11">
        <v>11452.41</v>
      </c>
      <c r="O1209" t="s">
        <v>4949</v>
      </c>
      <c r="P1209" t="s">
        <v>4951</v>
      </c>
      <c r="R1209">
        <v>14</v>
      </c>
      <c r="S1209" t="str">
        <f t="shared" si="54"/>
        <v>Senior</v>
      </c>
      <c r="T1209" t="str">
        <f t="shared" si="55"/>
        <v>High</v>
      </c>
      <c r="U1209" t="str">
        <f t="shared" si="56"/>
        <v>Short Days</v>
      </c>
    </row>
    <row r="1210" spans="1:21">
      <c r="A1210" t="s">
        <v>1226</v>
      </c>
      <c r="B1210" s="5">
        <v>45293</v>
      </c>
      <c r="C1210" t="s">
        <v>3022</v>
      </c>
      <c r="D1210" t="s">
        <v>4707</v>
      </c>
      <c r="E1210" t="s">
        <v>4866</v>
      </c>
      <c r="F1210">
        <v>63</v>
      </c>
      <c r="G1210" t="s">
        <v>4876</v>
      </c>
      <c r="H1210" t="s">
        <v>4888</v>
      </c>
      <c r="I1210" t="s">
        <v>4898</v>
      </c>
      <c r="J1210" t="s">
        <v>4918</v>
      </c>
      <c r="K1210" t="s">
        <v>4924</v>
      </c>
      <c r="L1210" t="s">
        <v>4938</v>
      </c>
      <c r="M1210" t="s">
        <v>4943</v>
      </c>
      <c r="N1210" s="11">
        <v>8572.0300000000007</v>
      </c>
      <c r="O1210" t="s">
        <v>4948</v>
      </c>
      <c r="P1210" t="s">
        <v>4951</v>
      </c>
      <c r="S1210" t="str">
        <f t="shared" si="54"/>
        <v>Senior</v>
      </c>
      <c r="T1210" t="str">
        <f t="shared" si="55"/>
        <v>Medium</v>
      </c>
      <c r="U1210" t="str">
        <f t="shared" si="56"/>
        <v>Short Days</v>
      </c>
    </row>
    <row r="1211" spans="1:21">
      <c r="A1211" t="s">
        <v>1227</v>
      </c>
      <c r="B1211" s="5">
        <v>45593</v>
      </c>
      <c r="C1211" t="s">
        <v>3471</v>
      </c>
      <c r="D1211" t="s">
        <v>4644</v>
      </c>
      <c r="E1211" t="s">
        <v>4866</v>
      </c>
      <c r="F1211">
        <v>26</v>
      </c>
      <c r="G1211" t="s">
        <v>4882</v>
      </c>
      <c r="H1211" t="s">
        <v>4891</v>
      </c>
      <c r="I1211" t="s">
        <v>4900</v>
      </c>
      <c r="J1211" t="s">
        <v>4913</v>
      </c>
      <c r="K1211" t="s">
        <v>4929</v>
      </c>
      <c r="L1211" t="s">
        <v>4940</v>
      </c>
      <c r="M1211" t="s">
        <v>4944</v>
      </c>
      <c r="N1211" s="11">
        <v>11555.14</v>
      </c>
      <c r="O1211" t="s">
        <v>15</v>
      </c>
      <c r="P1211" t="s">
        <v>4952</v>
      </c>
      <c r="R1211">
        <v>30</v>
      </c>
      <c r="S1211" t="str">
        <f t="shared" si="54"/>
        <v>Adult</v>
      </c>
      <c r="T1211" t="str">
        <f t="shared" si="55"/>
        <v>High</v>
      </c>
      <c r="U1211" t="str">
        <f t="shared" si="56"/>
        <v>Short Days</v>
      </c>
    </row>
    <row r="1212" spans="1:21">
      <c r="A1212" t="s">
        <v>1228</v>
      </c>
      <c r="B1212" s="5">
        <v>45863</v>
      </c>
      <c r="C1212" t="s">
        <v>3304</v>
      </c>
      <c r="D1212" t="s">
        <v>4802</v>
      </c>
      <c r="E1212" t="s">
        <v>4867</v>
      </c>
      <c r="F1212">
        <v>40</v>
      </c>
      <c r="G1212" t="s">
        <v>4878</v>
      </c>
      <c r="H1212" t="s">
        <v>4889</v>
      </c>
      <c r="I1212" t="s">
        <v>4901</v>
      </c>
      <c r="J1212" t="s">
        <v>4914</v>
      </c>
      <c r="K1212" t="s">
        <v>4925</v>
      </c>
      <c r="L1212" t="s">
        <v>4941</v>
      </c>
      <c r="M1212" t="s">
        <v>4942</v>
      </c>
      <c r="N1212" s="11">
        <v>1475.65</v>
      </c>
      <c r="O1212" t="s">
        <v>4946</v>
      </c>
      <c r="P1212" t="s">
        <v>4951</v>
      </c>
      <c r="R1212">
        <v>90</v>
      </c>
      <c r="S1212" t="str">
        <f t="shared" si="54"/>
        <v>Adult</v>
      </c>
      <c r="T1212" t="str">
        <f t="shared" si="55"/>
        <v>Low</v>
      </c>
      <c r="U1212" t="str">
        <f t="shared" si="56"/>
        <v>Short Days</v>
      </c>
    </row>
    <row r="1213" spans="1:21">
      <c r="A1213" t="s">
        <v>1229</v>
      </c>
      <c r="B1213" s="5">
        <v>45819</v>
      </c>
      <c r="C1213" t="s">
        <v>3942</v>
      </c>
      <c r="D1213" t="s">
        <v>4658</v>
      </c>
      <c r="E1213" t="s">
        <v>4867</v>
      </c>
      <c r="F1213">
        <v>11</v>
      </c>
      <c r="G1213" t="s">
        <v>4873</v>
      </c>
      <c r="H1213" t="s">
        <v>4888</v>
      </c>
      <c r="I1213" t="s">
        <v>4894</v>
      </c>
      <c r="J1213" t="s">
        <v>4904</v>
      </c>
      <c r="K1213" t="s">
        <v>4925</v>
      </c>
      <c r="L1213" t="s">
        <v>4937</v>
      </c>
      <c r="M1213" t="s">
        <v>4942</v>
      </c>
      <c r="N1213" s="11">
        <v>5271.77</v>
      </c>
      <c r="O1213" t="s">
        <v>4946</v>
      </c>
      <c r="P1213" t="s">
        <v>4951</v>
      </c>
      <c r="S1213" t="str">
        <f t="shared" si="54"/>
        <v>Child</v>
      </c>
      <c r="T1213" t="str">
        <f t="shared" si="55"/>
        <v>Medium</v>
      </c>
      <c r="U1213" t="str">
        <f t="shared" si="56"/>
        <v>Short Days</v>
      </c>
    </row>
    <row r="1214" spans="1:21">
      <c r="A1214" t="s">
        <v>1230</v>
      </c>
      <c r="B1214" s="5">
        <v>45817</v>
      </c>
      <c r="C1214" t="s">
        <v>3943</v>
      </c>
      <c r="D1214" t="s">
        <v>4858</v>
      </c>
      <c r="E1214" t="s">
        <v>4866</v>
      </c>
      <c r="F1214">
        <v>72</v>
      </c>
      <c r="G1214" t="s">
        <v>4871</v>
      </c>
      <c r="H1214" t="s">
        <v>4886</v>
      </c>
      <c r="I1214" t="s">
        <v>4896</v>
      </c>
      <c r="J1214" t="s">
        <v>4908</v>
      </c>
      <c r="K1214" t="s">
        <v>4927</v>
      </c>
      <c r="L1214" t="s">
        <v>4938</v>
      </c>
      <c r="M1214" t="s">
        <v>4942</v>
      </c>
      <c r="N1214" s="11">
        <v>8574.32</v>
      </c>
      <c r="O1214" t="s">
        <v>15</v>
      </c>
      <c r="P1214" t="s">
        <v>4952</v>
      </c>
      <c r="R1214">
        <v>30</v>
      </c>
      <c r="S1214" t="str">
        <f t="shared" si="54"/>
        <v>Senior</v>
      </c>
      <c r="T1214" t="str">
        <f t="shared" si="55"/>
        <v>Medium</v>
      </c>
      <c r="U1214" t="str">
        <f t="shared" si="56"/>
        <v>Short Days</v>
      </c>
    </row>
    <row r="1215" spans="1:21">
      <c r="A1215" t="s">
        <v>1231</v>
      </c>
      <c r="B1215" s="5">
        <v>45374</v>
      </c>
      <c r="C1215" t="s">
        <v>3118</v>
      </c>
      <c r="D1215" t="s">
        <v>4635</v>
      </c>
      <c r="E1215" t="s">
        <v>4866</v>
      </c>
      <c r="F1215">
        <v>36</v>
      </c>
      <c r="G1215" t="s">
        <v>4881</v>
      </c>
      <c r="H1215" t="s">
        <v>4881</v>
      </c>
      <c r="I1215" t="s">
        <v>4893</v>
      </c>
      <c r="J1215" t="s">
        <v>4917</v>
      </c>
      <c r="K1215" t="s">
        <v>4924</v>
      </c>
      <c r="L1215" t="s">
        <v>4935</v>
      </c>
      <c r="M1215" t="s">
        <v>4944</v>
      </c>
      <c r="N1215" s="11">
        <v>15488.12</v>
      </c>
      <c r="O1215" t="s">
        <v>15</v>
      </c>
      <c r="P1215" t="s">
        <v>4952</v>
      </c>
      <c r="S1215" t="str">
        <f t="shared" si="54"/>
        <v>Adult</v>
      </c>
      <c r="T1215" t="str">
        <f t="shared" si="55"/>
        <v>High</v>
      </c>
      <c r="U1215" t="str">
        <f t="shared" si="56"/>
        <v>Short Days</v>
      </c>
    </row>
    <row r="1216" spans="1:21">
      <c r="A1216" t="s">
        <v>1232</v>
      </c>
      <c r="B1216" s="5">
        <v>45918</v>
      </c>
      <c r="C1216" t="s">
        <v>3944</v>
      </c>
      <c r="D1216" t="s">
        <v>4615</v>
      </c>
      <c r="E1216" t="s">
        <v>4866</v>
      </c>
      <c r="F1216">
        <v>42</v>
      </c>
      <c r="G1216" t="s">
        <v>4880</v>
      </c>
      <c r="H1216" t="s">
        <v>4890</v>
      </c>
      <c r="I1216" t="s">
        <v>4895</v>
      </c>
      <c r="J1216" t="s">
        <v>4915</v>
      </c>
      <c r="K1216" t="s">
        <v>4924</v>
      </c>
      <c r="L1216" t="s">
        <v>4941</v>
      </c>
      <c r="M1216" t="s">
        <v>4944</v>
      </c>
      <c r="N1216" s="11">
        <v>15202.77</v>
      </c>
      <c r="O1216" t="s">
        <v>4950</v>
      </c>
      <c r="P1216" t="s">
        <v>4951</v>
      </c>
      <c r="R1216">
        <v>14</v>
      </c>
      <c r="S1216" t="str">
        <f t="shared" si="54"/>
        <v>Middle-Aged</v>
      </c>
      <c r="T1216" t="str">
        <f t="shared" si="55"/>
        <v>High</v>
      </c>
      <c r="U1216" t="str">
        <f t="shared" si="56"/>
        <v>Short Days</v>
      </c>
    </row>
    <row r="1217" spans="1:21">
      <c r="A1217" t="s">
        <v>1233</v>
      </c>
      <c r="B1217" s="5">
        <v>45822</v>
      </c>
      <c r="C1217" t="s">
        <v>3945</v>
      </c>
      <c r="D1217" t="s">
        <v>4634</v>
      </c>
      <c r="E1217" t="s">
        <v>4867</v>
      </c>
      <c r="F1217">
        <v>48</v>
      </c>
      <c r="G1217" t="s">
        <v>4870</v>
      </c>
      <c r="H1217" t="s">
        <v>4885</v>
      </c>
      <c r="I1217" t="s">
        <v>4897</v>
      </c>
      <c r="J1217" t="s">
        <v>4922</v>
      </c>
      <c r="K1217" t="s">
        <v>4924</v>
      </c>
      <c r="L1217" t="s">
        <v>4936</v>
      </c>
      <c r="M1217" t="s">
        <v>4944</v>
      </c>
      <c r="N1217" s="11">
        <v>13187.92</v>
      </c>
      <c r="O1217" t="s">
        <v>15</v>
      </c>
      <c r="P1217" t="s">
        <v>4952</v>
      </c>
      <c r="S1217" t="str">
        <f t="shared" si="54"/>
        <v>Middle-Aged</v>
      </c>
      <c r="T1217" t="str">
        <f t="shared" si="55"/>
        <v>High</v>
      </c>
      <c r="U1217" t="str">
        <f t="shared" si="56"/>
        <v>Short Days</v>
      </c>
    </row>
    <row r="1218" spans="1:21">
      <c r="A1218" t="s">
        <v>1234</v>
      </c>
      <c r="B1218" s="5">
        <v>45664</v>
      </c>
      <c r="C1218" t="s">
        <v>3946</v>
      </c>
      <c r="D1218" t="s">
        <v>4648</v>
      </c>
      <c r="E1218" t="s">
        <v>4867</v>
      </c>
      <c r="F1218">
        <v>31</v>
      </c>
      <c r="G1218" t="s">
        <v>4880</v>
      </c>
      <c r="H1218" t="s">
        <v>4890</v>
      </c>
      <c r="I1218" t="s">
        <v>4896</v>
      </c>
      <c r="J1218" t="s">
        <v>4906</v>
      </c>
      <c r="K1218" t="s">
        <v>4931</v>
      </c>
      <c r="L1218" t="s">
        <v>4937</v>
      </c>
      <c r="M1218" t="s">
        <v>4942</v>
      </c>
      <c r="N1218" s="11">
        <v>2565.2199999999998</v>
      </c>
      <c r="O1218" t="s">
        <v>4946</v>
      </c>
      <c r="P1218" t="s">
        <v>4951</v>
      </c>
      <c r="S1218" t="str">
        <f t="shared" si="54"/>
        <v>Adult</v>
      </c>
      <c r="T1218" t="str">
        <f t="shared" si="55"/>
        <v>Low</v>
      </c>
      <c r="U1218" t="str">
        <f t="shared" si="56"/>
        <v>Short Days</v>
      </c>
    </row>
    <row r="1219" spans="1:21">
      <c r="A1219" t="s">
        <v>1235</v>
      </c>
      <c r="B1219" s="5">
        <v>45871</v>
      </c>
      <c r="C1219" t="s">
        <v>3669</v>
      </c>
      <c r="D1219" t="s">
        <v>4810</v>
      </c>
      <c r="E1219" t="s">
        <v>4866</v>
      </c>
      <c r="F1219">
        <v>37</v>
      </c>
      <c r="G1219" t="s">
        <v>4880</v>
      </c>
      <c r="H1219" t="s">
        <v>4890</v>
      </c>
      <c r="I1219" t="s">
        <v>4896</v>
      </c>
      <c r="J1219" t="s">
        <v>4906</v>
      </c>
      <c r="K1219" t="s">
        <v>4930</v>
      </c>
      <c r="L1219" t="s">
        <v>4935</v>
      </c>
      <c r="M1219" t="s">
        <v>4942</v>
      </c>
      <c r="N1219" s="11">
        <v>11256.01</v>
      </c>
      <c r="O1219" t="s">
        <v>4949</v>
      </c>
      <c r="P1219" t="s">
        <v>4951</v>
      </c>
      <c r="S1219" t="str">
        <f t="shared" ref="S1219:S1282" si="57">IF(F1219&lt;18,"Child",IF(F1219&lt;=40,"Adult",IF(F1219&lt;=60,"Middle-Aged",IF(F1219,"Senior"))))</f>
        <v>Adult</v>
      </c>
      <c r="T1219" t="str">
        <f t="shared" ref="T1219:T1282" si="58">IF(N1219&lt;=5000,"Low",IF(N1219&lt;=10000,"Medium","High"))</f>
        <v>High</v>
      </c>
      <c r="U1219" t="str">
        <f t="shared" ref="U1219:U1282" si="59">IF(Q1219&lt;=5,"Short Days","Long Days")</f>
        <v>Short Days</v>
      </c>
    </row>
    <row r="1220" spans="1:21">
      <c r="A1220" t="s">
        <v>1236</v>
      </c>
      <c r="B1220" s="5">
        <v>45599</v>
      </c>
      <c r="C1220" t="s">
        <v>3436</v>
      </c>
      <c r="D1220" t="s">
        <v>4665</v>
      </c>
      <c r="E1220" t="s">
        <v>4866</v>
      </c>
      <c r="F1220">
        <v>9</v>
      </c>
      <c r="G1220" t="s">
        <v>4873</v>
      </c>
      <c r="H1220" t="s">
        <v>4888</v>
      </c>
      <c r="I1220" t="s">
        <v>4893</v>
      </c>
      <c r="J1220" t="s">
        <v>4903</v>
      </c>
      <c r="K1220" t="s">
        <v>4924</v>
      </c>
      <c r="L1220" t="s">
        <v>4941</v>
      </c>
      <c r="M1220" t="s">
        <v>4944</v>
      </c>
      <c r="N1220" s="11">
        <v>7037.54</v>
      </c>
      <c r="O1220" t="s">
        <v>4946</v>
      </c>
      <c r="P1220" t="s">
        <v>4951</v>
      </c>
      <c r="S1220" t="str">
        <f t="shared" si="57"/>
        <v>Child</v>
      </c>
      <c r="T1220" t="str">
        <f t="shared" si="58"/>
        <v>Medium</v>
      </c>
      <c r="U1220" t="str">
        <f t="shared" si="59"/>
        <v>Short Days</v>
      </c>
    </row>
    <row r="1221" spans="1:21">
      <c r="A1221" t="s">
        <v>1237</v>
      </c>
      <c r="B1221" s="5">
        <v>45697</v>
      </c>
      <c r="C1221" t="s">
        <v>3947</v>
      </c>
      <c r="D1221" t="s">
        <v>4740</v>
      </c>
      <c r="E1221" t="s">
        <v>4867</v>
      </c>
      <c r="F1221">
        <v>63</v>
      </c>
      <c r="G1221" t="s">
        <v>4882</v>
      </c>
      <c r="H1221" t="s">
        <v>4891</v>
      </c>
      <c r="I1221" t="s">
        <v>4900</v>
      </c>
      <c r="J1221" t="s">
        <v>4919</v>
      </c>
      <c r="K1221" t="s">
        <v>4930</v>
      </c>
      <c r="L1221" t="s">
        <v>4935</v>
      </c>
      <c r="M1221" t="s">
        <v>4942</v>
      </c>
      <c r="N1221" s="11">
        <v>7482.8</v>
      </c>
      <c r="O1221" t="s">
        <v>4948</v>
      </c>
      <c r="P1221" t="s">
        <v>4951</v>
      </c>
      <c r="S1221" t="str">
        <f t="shared" si="57"/>
        <v>Senior</v>
      </c>
      <c r="T1221" t="str">
        <f t="shared" si="58"/>
        <v>Medium</v>
      </c>
      <c r="U1221" t="str">
        <f t="shared" si="59"/>
        <v>Short Days</v>
      </c>
    </row>
    <row r="1222" spans="1:21">
      <c r="A1222" t="s">
        <v>1238</v>
      </c>
      <c r="B1222" s="5">
        <v>45880</v>
      </c>
      <c r="C1222" t="s">
        <v>3948</v>
      </c>
      <c r="D1222" t="s">
        <v>4823</v>
      </c>
      <c r="E1222" t="s">
        <v>4866</v>
      </c>
      <c r="F1222">
        <f>AVERAGE(F1215,F1221)</f>
        <v>49.5</v>
      </c>
      <c r="G1222" t="s">
        <v>4881</v>
      </c>
      <c r="H1222" t="s">
        <v>4891</v>
      </c>
      <c r="I1222" t="s">
        <v>4894</v>
      </c>
      <c r="J1222" t="s">
        <v>4910</v>
      </c>
      <c r="K1222" t="s">
        <v>4953</v>
      </c>
      <c r="L1222" t="s">
        <v>4938</v>
      </c>
      <c r="M1222" t="s">
        <v>4942</v>
      </c>
      <c r="N1222" s="11">
        <v>3662.36</v>
      </c>
      <c r="O1222" t="s">
        <v>4949</v>
      </c>
      <c r="P1222" t="s">
        <v>4951</v>
      </c>
      <c r="R1222">
        <v>7</v>
      </c>
      <c r="S1222" t="str">
        <f t="shared" si="57"/>
        <v>Middle-Aged</v>
      </c>
      <c r="T1222" t="str">
        <f t="shared" si="58"/>
        <v>Low</v>
      </c>
      <c r="U1222" t="str">
        <f t="shared" si="59"/>
        <v>Short Days</v>
      </c>
    </row>
    <row r="1223" spans="1:21">
      <c r="A1223" t="s">
        <v>1239</v>
      </c>
      <c r="B1223" s="5">
        <v>45775</v>
      </c>
      <c r="C1223" t="s">
        <v>3897</v>
      </c>
      <c r="D1223" t="s">
        <v>4749</v>
      </c>
      <c r="E1223" t="s">
        <v>4866</v>
      </c>
      <c r="F1223">
        <v>55</v>
      </c>
      <c r="G1223" t="s">
        <v>4871</v>
      </c>
      <c r="H1223" t="s">
        <v>4886</v>
      </c>
      <c r="I1223" t="s">
        <v>4896</v>
      </c>
      <c r="J1223" t="s">
        <v>4906</v>
      </c>
      <c r="K1223" t="s">
        <v>4925</v>
      </c>
      <c r="L1223" t="s">
        <v>4934</v>
      </c>
      <c r="M1223" t="s">
        <v>4942</v>
      </c>
      <c r="N1223" s="11">
        <v>15596.31</v>
      </c>
      <c r="O1223" t="s">
        <v>4949</v>
      </c>
      <c r="P1223" t="s">
        <v>4951</v>
      </c>
      <c r="R1223">
        <v>7</v>
      </c>
      <c r="S1223" t="str">
        <f t="shared" si="57"/>
        <v>Middle-Aged</v>
      </c>
      <c r="T1223" t="str">
        <f t="shared" si="58"/>
        <v>High</v>
      </c>
      <c r="U1223" t="str">
        <f t="shared" si="59"/>
        <v>Short Days</v>
      </c>
    </row>
    <row r="1224" spans="1:21">
      <c r="A1224" t="s">
        <v>1240</v>
      </c>
      <c r="B1224" s="5">
        <v>45507</v>
      </c>
      <c r="C1224" t="s">
        <v>3059</v>
      </c>
      <c r="D1224" t="s">
        <v>4841</v>
      </c>
      <c r="E1224" t="s">
        <v>4866</v>
      </c>
      <c r="F1224">
        <v>47</v>
      </c>
      <c r="G1224" t="s">
        <v>4869</v>
      </c>
      <c r="H1224" t="s">
        <v>4884</v>
      </c>
      <c r="I1224" t="s">
        <v>4893</v>
      </c>
      <c r="J1224" t="s">
        <v>4903</v>
      </c>
      <c r="K1224" t="s">
        <v>4933</v>
      </c>
      <c r="L1224" t="s">
        <v>4939</v>
      </c>
      <c r="M1224" t="s">
        <v>4942</v>
      </c>
      <c r="N1224" s="11">
        <v>1535.62</v>
      </c>
      <c r="O1224" t="s">
        <v>15</v>
      </c>
      <c r="P1224" t="s">
        <v>4952</v>
      </c>
      <c r="R1224">
        <v>7</v>
      </c>
      <c r="S1224" t="str">
        <f t="shared" si="57"/>
        <v>Middle-Aged</v>
      </c>
      <c r="T1224" t="str">
        <f t="shared" si="58"/>
        <v>Low</v>
      </c>
      <c r="U1224" t="str">
        <f t="shared" si="59"/>
        <v>Short Days</v>
      </c>
    </row>
    <row r="1225" spans="1:21">
      <c r="A1225" t="s">
        <v>1241</v>
      </c>
      <c r="B1225" s="5">
        <v>45313</v>
      </c>
      <c r="C1225" t="s">
        <v>3949</v>
      </c>
      <c r="D1225" t="s">
        <v>4802</v>
      </c>
      <c r="E1225" t="s">
        <v>4866</v>
      </c>
      <c r="F1225">
        <v>20</v>
      </c>
      <c r="G1225" t="s">
        <v>4869</v>
      </c>
      <c r="H1225" t="s">
        <v>4884</v>
      </c>
      <c r="I1225" t="s">
        <v>4898</v>
      </c>
      <c r="J1225" t="s">
        <v>4923</v>
      </c>
      <c r="K1225" t="s">
        <v>4931</v>
      </c>
      <c r="L1225" t="s">
        <v>4936</v>
      </c>
      <c r="M1225" t="s">
        <v>4944</v>
      </c>
      <c r="N1225" s="11">
        <v>6960.57</v>
      </c>
      <c r="O1225" t="s">
        <v>4947</v>
      </c>
      <c r="P1225" t="s">
        <v>4951</v>
      </c>
      <c r="S1225" t="str">
        <f t="shared" si="57"/>
        <v>Adult</v>
      </c>
      <c r="T1225" t="str">
        <f t="shared" si="58"/>
        <v>Medium</v>
      </c>
      <c r="U1225" t="str">
        <f t="shared" si="59"/>
        <v>Short Days</v>
      </c>
    </row>
    <row r="1226" spans="1:21">
      <c r="A1226" t="s">
        <v>1242</v>
      </c>
      <c r="B1226" s="5">
        <v>45303</v>
      </c>
      <c r="C1226" t="s">
        <v>3950</v>
      </c>
      <c r="D1226" t="s">
        <v>4685</v>
      </c>
      <c r="E1226" t="s">
        <v>4867</v>
      </c>
      <c r="F1226">
        <v>40</v>
      </c>
      <c r="G1226" t="s">
        <v>4870</v>
      </c>
      <c r="H1226" t="s">
        <v>4885</v>
      </c>
      <c r="I1226" t="s">
        <v>4901</v>
      </c>
      <c r="J1226" t="s">
        <v>4921</v>
      </c>
      <c r="K1226" t="s">
        <v>4925</v>
      </c>
      <c r="L1226" t="s">
        <v>4935</v>
      </c>
      <c r="M1226" t="s">
        <v>4942</v>
      </c>
      <c r="N1226" s="11">
        <v>3107.86</v>
      </c>
      <c r="O1226" t="s">
        <v>4946</v>
      </c>
      <c r="P1226" t="s">
        <v>4951</v>
      </c>
      <c r="S1226" t="str">
        <f t="shared" si="57"/>
        <v>Adult</v>
      </c>
      <c r="T1226" t="str">
        <f t="shared" si="58"/>
        <v>Low</v>
      </c>
      <c r="U1226" t="str">
        <f t="shared" si="59"/>
        <v>Short Days</v>
      </c>
    </row>
    <row r="1227" spans="1:21">
      <c r="A1227" t="s">
        <v>1243</v>
      </c>
      <c r="B1227" s="5">
        <v>45814</v>
      </c>
      <c r="C1227" t="s">
        <v>3951</v>
      </c>
      <c r="D1227" t="s">
        <v>4673</v>
      </c>
      <c r="E1227" t="s">
        <v>4867</v>
      </c>
      <c r="F1227">
        <v>11</v>
      </c>
      <c r="G1227" t="s">
        <v>4870</v>
      </c>
      <c r="H1227" t="s">
        <v>4885</v>
      </c>
      <c r="I1227" t="s">
        <v>4899</v>
      </c>
      <c r="J1227" t="s">
        <v>4912</v>
      </c>
      <c r="K1227" t="s">
        <v>4927</v>
      </c>
      <c r="L1227" t="s">
        <v>4935</v>
      </c>
      <c r="M1227" t="s">
        <v>4942</v>
      </c>
      <c r="N1227" s="11">
        <v>5128.0600000000004</v>
      </c>
      <c r="O1227" t="s">
        <v>4946</v>
      </c>
      <c r="P1227" t="s">
        <v>4951</v>
      </c>
      <c r="R1227">
        <v>90</v>
      </c>
      <c r="S1227" t="str">
        <f t="shared" si="57"/>
        <v>Child</v>
      </c>
      <c r="T1227" t="str">
        <f t="shared" si="58"/>
        <v>Medium</v>
      </c>
      <c r="U1227" t="str">
        <f t="shared" si="59"/>
        <v>Short Days</v>
      </c>
    </row>
    <row r="1228" spans="1:21">
      <c r="A1228" t="s">
        <v>1244</v>
      </c>
      <c r="B1228" s="5">
        <v>45313</v>
      </c>
      <c r="C1228" t="s">
        <v>3732</v>
      </c>
      <c r="D1228" t="s">
        <v>4776</v>
      </c>
      <c r="E1228" t="s">
        <v>4867</v>
      </c>
      <c r="F1228">
        <v>44</v>
      </c>
      <c r="G1228" t="s">
        <v>4882</v>
      </c>
      <c r="H1228" t="s">
        <v>4891</v>
      </c>
      <c r="I1228" t="s">
        <v>4894</v>
      </c>
      <c r="J1228" t="s">
        <v>4904</v>
      </c>
      <c r="K1228" t="s">
        <v>4926</v>
      </c>
      <c r="L1228" t="s">
        <v>4939</v>
      </c>
      <c r="M1228" t="s">
        <v>4942</v>
      </c>
      <c r="N1228" s="11">
        <v>18978.55</v>
      </c>
      <c r="O1228" t="s">
        <v>4950</v>
      </c>
      <c r="P1228" t="s">
        <v>4951</v>
      </c>
      <c r="S1228" t="str">
        <f t="shared" si="57"/>
        <v>Middle-Aged</v>
      </c>
      <c r="T1228" t="str">
        <f t="shared" si="58"/>
        <v>High</v>
      </c>
      <c r="U1228" t="str">
        <f t="shared" si="59"/>
        <v>Short Days</v>
      </c>
    </row>
    <row r="1229" spans="1:21">
      <c r="A1229" t="s">
        <v>1245</v>
      </c>
      <c r="B1229" s="5">
        <v>45483</v>
      </c>
      <c r="C1229" t="s">
        <v>3842</v>
      </c>
      <c r="D1229" t="s">
        <v>4789</v>
      </c>
      <c r="E1229" t="s">
        <v>4866</v>
      </c>
      <c r="F1229">
        <v>31</v>
      </c>
      <c r="G1229" t="s">
        <v>4879</v>
      </c>
      <c r="H1229" t="s">
        <v>4888</v>
      </c>
      <c r="I1229" t="s">
        <v>4893</v>
      </c>
      <c r="J1229" t="s">
        <v>4903</v>
      </c>
      <c r="K1229" t="s">
        <v>4925</v>
      </c>
      <c r="L1229" t="s">
        <v>4937</v>
      </c>
      <c r="M1229" t="s">
        <v>4942</v>
      </c>
      <c r="N1229" s="11">
        <v>2697.06</v>
      </c>
      <c r="O1229" t="s">
        <v>4948</v>
      </c>
      <c r="P1229" t="s">
        <v>4951</v>
      </c>
      <c r="R1229">
        <v>30</v>
      </c>
      <c r="S1229" t="str">
        <f t="shared" si="57"/>
        <v>Adult</v>
      </c>
      <c r="T1229" t="str">
        <f t="shared" si="58"/>
        <v>Low</v>
      </c>
      <c r="U1229" t="str">
        <f t="shared" si="59"/>
        <v>Short Days</v>
      </c>
    </row>
    <row r="1230" spans="1:21">
      <c r="A1230" t="s">
        <v>1246</v>
      </c>
      <c r="B1230" s="5">
        <v>45419</v>
      </c>
      <c r="C1230" t="s">
        <v>3952</v>
      </c>
      <c r="D1230" t="s">
        <v>4855</v>
      </c>
      <c r="E1230" t="s">
        <v>4867</v>
      </c>
      <c r="F1230">
        <v>54</v>
      </c>
      <c r="G1230" t="s">
        <v>4871</v>
      </c>
      <c r="H1230" t="s">
        <v>4886</v>
      </c>
      <c r="I1230" t="s">
        <v>4900</v>
      </c>
      <c r="J1230" t="s">
        <v>4913</v>
      </c>
      <c r="K1230" t="s">
        <v>4933</v>
      </c>
      <c r="L1230" t="s">
        <v>4935</v>
      </c>
      <c r="M1230" t="s">
        <v>4944</v>
      </c>
      <c r="N1230" s="11">
        <v>9450.7000000000007</v>
      </c>
      <c r="O1230" t="s">
        <v>4948</v>
      </c>
      <c r="P1230" t="s">
        <v>4951</v>
      </c>
      <c r="R1230">
        <v>14</v>
      </c>
      <c r="S1230" t="str">
        <f t="shared" si="57"/>
        <v>Middle-Aged</v>
      </c>
      <c r="T1230" t="str">
        <f t="shared" si="58"/>
        <v>Medium</v>
      </c>
      <c r="U1230" t="str">
        <f t="shared" si="59"/>
        <v>Short Days</v>
      </c>
    </row>
    <row r="1231" spans="1:21">
      <c r="A1231" t="s">
        <v>1247</v>
      </c>
      <c r="B1231" s="5">
        <v>45794</v>
      </c>
      <c r="C1231" t="s">
        <v>3953</v>
      </c>
      <c r="D1231" t="s">
        <v>4768</v>
      </c>
      <c r="E1231" t="s">
        <v>4866</v>
      </c>
      <c r="F1231">
        <v>59</v>
      </c>
      <c r="G1231" t="s">
        <v>4882</v>
      </c>
      <c r="H1231" t="s">
        <v>4891</v>
      </c>
      <c r="I1231" t="s">
        <v>4896</v>
      </c>
      <c r="J1231" t="s">
        <v>4908</v>
      </c>
      <c r="K1231" t="s">
        <v>4928</v>
      </c>
      <c r="L1231" t="s">
        <v>4935</v>
      </c>
      <c r="M1231" t="s">
        <v>4944</v>
      </c>
      <c r="N1231" s="11">
        <v>12567.56</v>
      </c>
      <c r="O1231" t="s">
        <v>4946</v>
      </c>
      <c r="P1231" t="s">
        <v>4951</v>
      </c>
      <c r="S1231" t="str">
        <f t="shared" si="57"/>
        <v>Middle-Aged</v>
      </c>
      <c r="T1231" t="str">
        <f t="shared" si="58"/>
        <v>High</v>
      </c>
      <c r="U1231" t="str">
        <f t="shared" si="59"/>
        <v>Short Days</v>
      </c>
    </row>
    <row r="1232" spans="1:21">
      <c r="A1232" t="s">
        <v>1248</v>
      </c>
      <c r="B1232" s="5">
        <v>45846</v>
      </c>
      <c r="C1232" t="s">
        <v>3921</v>
      </c>
      <c r="D1232" t="s">
        <v>4759</v>
      </c>
      <c r="E1232" t="s">
        <v>4867</v>
      </c>
      <c r="F1232">
        <v>45</v>
      </c>
      <c r="G1232" t="s">
        <v>4874</v>
      </c>
      <c r="H1232" t="s">
        <v>4886</v>
      </c>
      <c r="I1232" t="s">
        <v>4894</v>
      </c>
      <c r="J1232" t="s">
        <v>4910</v>
      </c>
      <c r="K1232" t="s">
        <v>4930</v>
      </c>
      <c r="L1232" t="s">
        <v>4939</v>
      </c>
      <c r="M1232" t="s">
        <v>4945</v>
      </c>
      <c r="N1232" s="11">
        <v>20831.990000000002</v>
      </c>
      <c r="O1232" t="s">
        <v>4947</v>
      </c>
      <c r="P1232" t="s">
        <v>4951</v>
      </c>
      <c r="Q1232">
        <v>6</v>
      </c>
      <c r="R1232">
        <v>30</v>
      </c>
      <c r="S1232" t="str">
        <f t="shared" si="57"/>
        <v>Middle-Aged</v>
      </c>
      <c r="T1232" t="str">
        <f t="shared" si="58"/>
        <v>High</v>
      </c>
      <c r="U1232" t="str">
        <f t="shared" si="59"/>
        <v>Long Days</v>
      </c>
    </row>
    <row r="1233" spans="1:21">
      <c r="A1233" t="s">
        <v>1249</v>
      </c>
      <c r="B1233" s="5">
        <v>45875</v>
      </c>
      <c r="C1233" t="s">
        <v>3472</v>
      </c>
      <c r="D1233" t="s">
        <v>4683</v>
      </c>
      <c r="E1233" t="s">
        <v>4867</v>
      </c>
      <c r="F1233">
        <v>50</v>
      </c>
      <c r="G1233" t="s">
        <v>4878</v>
      </c>
      <c r="H1233" t="s">
        <v>4889</v>
      </c>
      <c r="I1233" t="s">
        <v>4894</v>
      </c>
      <c r="J1233" t="s">
        <v>4904</v>
      </c>
      <c r="K1233" t="s">
        <v>4927</v>
      </c>
      <c r="L1233" t="s">
        <v>4936</v>
      </c>
      <c r="M1233" t="s">
        <v>4944</v>
      </c>
      <c r="N1233" s="11">
        <v>13230.3</v>
      </c>
      <c r="O1233" t="s">
        <v>4946</v>
      </c>
      <c r="P1233" t="s">
        <v>4951</v>
      </c>
      <c r="R1233">
        <v>7</v>
      </c>
      <c r="S1233" t="str">
        <f t="shared" si="57"/>
        <v>Middle-Aged</v>
      </c>
      <c r="T1233" t="str">
        <f t="shared" si="58"/>
        <v>High</v>
      </c>
      <c r="U1233" t="str">
        <f t="shared" si="59"/>
        <v>Short Days</v>
      </c>
    </row>
    <row r="1234" spans="1:21">
      <c r="A1234" t="s">
        <v>1250</v>
      </c>
      <c r="B1234" s="5">
        <v>45446</v>
      </c>
      <c r="C1234" t="s">
        <v>3954</v>
      </c>
      <c r="D1234" t="s">
        <v>4803</v>
      </c>
      <c r="E1234" t="s">
        <v>4867</v>
      </c>
      <c r="F1234">
        <v>55</v>
      </c>
      <c r="G1234" t="s">
        <v>4880</v>
      </c>
      <c r="H1234" t="s">
        <v>4890</v>
      </c>
      <c r="I1234" t="s">
        <v>4896</v>
      </c>
      <c r="J1234" t="s">
        <v>4906</v>
      </c>
      <c r="K1234" t="s">
        <v>4925</v>
      </c>
      <c r="L1234" t="s">
        <v>4941</v>
      </c>
      <c r="M1234" t="s">
        <v>4944</v>
      </c>
      <c r="N1234" s="11">
        <v>10448.91</v>
      </c>
      <c r="O1234" t="s">
        <v>4947</v>
      </c>
      <c r="P1234" t="s">
        <v>4951</v>
      </c>
      <c r="R1234">
        <v>14</v>
      </c>
      <c r="S1234" t="str">
        <f t="shared" si="57"/>
        <v>Middle-Aged</v>
      </c>
      <c r="T1234" t="str">
        <f t="shared" si="58"/>
        <v>High</v>
      </c>
      <c r="U1234" t="str">
        <f t="shared" si="59"/>
        <v>Short Days</v>
      </c>
    </row>
    <row r="1235" spans="1:21">
      <c r="A1235" t="s">
        <v>1251</v>
      </c>
      <c r="B1235" s="5">
        <v>45682</v>
      </c>
      <c r="C1235" t="s">
        <v>3955</v>
      </c>
      <c r="D1235" t="s">
        <v>4742</v>
      </c>
      <c r="E1235" t="s">
        <v>4866</v>
      </c>
      <c r="F1235">
        <v>57</v>
      </c>
      <c r="G1235" t="s">
        <v>4881</v>
      </c>
      <c r="H1235" t="s">
        <v>4881</v>
      </c>
      <c r="I1235" t="s">
        <v>4895</v>
      </c>
      <c r="J1235" t="s">
        <v>4915</v>
      </c>
      <c r="K1235" t="s">
        <v>4933</v>
      </c>
      <c r="L1235" t="s">
        <v>4939</v>
      </c>
      <c r="M1235" t="s">
        <v>4944</v>
      </c>
      <c r="N1235" s="11">
        <v>9444.64</v>
      </c>
      <c r="O1235" t="s">
        <v>4947</v>
      </c>
      <c r="P1235" t="s">
        <v>4951</v>
      </c>
      <c r="R1235">
        <v>14</v>
      </c>
      <c r="S1235" t="str">
        <f t="shared" si="57"/>
        <v>Middle-Aged</v>
      </c>
      <c r="T1235" t="str">
        <f t="shared" si="58"/>
        <v>Medium</v>
      </c>
      <c r="U1235" t="str">
        <f t="shared" si="59"/>
        <v>Short Days</v>
      </c>
    </row>
    <row r="1236" spans="1:21">
      <c r="A1236" t="s">
        <v>1252</v>
      </c>
      <c r="B1236" s="5">
        <v>45726</v>
      </c>
      <c r="C1236" t="s">
        <v>3956</v>
      </c>
      <c r="D1236" t="s">
        <v>4791</v>
      </c>
      <c r="E1236" t="s">
        <v>4866</v>
      </c>
      <c r="F1236">
        <v>59</v>
      </c>
      <c r="G1236" t="s">
        <v>4869</v>
      </c>
      <c r="H1236" t="s">
        <v>4884</v>
      </c>
      <c r="I1236" t="s">
        <v>4895</v>
      </c>
      <c r="J1236" t="s">
        <v>4905</v>
      </c>
      <c r="K1236" t="s">
        <v>4924</v>
      </c>
      <c r="L1236" t="s">
        <v>4934</v>
      </c>
      <c r="M1236" t="s">
        <v>4942</v>
      </c>
      <c r="N1236" s="11">
        <v>3380.46</v>
      </c>
      <c r="O1236" t="s">
        <v>15</v>
      </c>
      <c r="P1236" t="s">
        <v>4952</v>
      </c>
      <c r="R1236">
        <v>90</v>
      </c>
      <c r="S1236" t="str">
        <f t="shared" si="57"/>
        <v>Middle-Aged</v>
      </c>
      <c r="T1236" t="str">
        <f t="shared" si="58"/>
        <v>Low</v>
      </c>
      <c r="U1236" t="str">
        <f t="shared" si="59"/>
        <v>Short Days</v>
      </c>
    </row>
    <row r="1237" spans="1:21">
      <c r="A1237" t="s">
        <v>1253</v>
      </c>
      <c r="B1237" s="5">
        <v>45858</v>
      </c>
      <c r="C1237" t="s">
        <v>3957</v>
      </c>
      <c r="D1237" t="s">
        <v>4838</v>
      </c>
      <c r="E1237" t="s">
        <v>4866</v>
      </c>
      <c r="F1237">
        <v>80</v>
      </c>
      <c r="G1237" t="s">
        <v>4870</v>
      </c>
      <c r="H1237" t="s">
        <v>4885</v>
      </c>
      <c r="I1237" t="s">
        <v>4896</v>
      </c>
      <c r="J1237" t="s">
        <v>4906</v>
      </c>
      <c r="K1237" t="s">
        <v>4930</v>
      </c>
      <c r="L1237" t="s">
        <v>4938</v>
      </c>
      <c r="M1237" t="s">
        <v>4942</v>
      </c>
      <c r="N1237" s="11">
        <v>441.34</v>
      </c>
      <c r="O1237" t="s">
        <v>4946</v>
      </c>
      <c r="P1237" t="s">
        <v>4951</v>
      </c>
      <c r="S1237" t="str">
        <f t="shared" si="57"/>
        <v>Senior</v>
      </c>
      <c r="T1237" t="str">
        <f t="shared" si="58"/>
        <v>Low</v>
      </c>
      <c r="U1237" t="str">
        <f t="shared" si="59"/>
        <v>Short Days</v>
      </c>
    </row>
    <row r="1238" spans="1:21">
      <c r="A1238" t="s">
        <v>1254</v>
      </c>
      <c r="B1238" s="5">
        <v>45297</v>
      </c>
      <c r="C1238" t="s">
        <v>3958</v>
      </c>
      <c r="D1238" t="s">
        <v>4769</v>
      </c>
      <c r="E1238" t="s">
        <v>4866</v>
      </c>
      <c r="F1238">
        <v>44</v>
      </c>
      <c r="G1238" t="s">
        <v>4870</v>
      </c>
      <c r="H1238" t="s">
        <v>4885</v>
      </c>
      <c r="I1238" t="s">
        <v>4901</v>
      </c>
      <c r="J1238" t="s">
        <v>4914</v>
      </c>
      <c r="K1238" t="s">
        <v>4925</v>
      </c>
      <c r="L1238" t="s">
        <v>4938</v>
      </c>
      <c r="M1238" t="s">
        <v>4944</v>
      </c>
      <c r="N1238" s="11">
        <v>7167.03</v>
      </c>
      <c r="O1238" t="s">
        <v>4946</v>
      </c>
      <c r="P1238" t="s">
        <v>4951</v>
      </c>
      <c r="S1238" t="str">
        <f t="shared" si="57"/>
        <v>Middle-Aged</v>
      </c>
      <c r="T1238" t="str">
        <f t="shared" si="58"/>
        <v>Medium</v>
      </c>
      <c r="U1238" t="str">
        <f t="shared" si="59"/>
        <v>Short Days</v>
      </c>
    </row>
    <row r="1239" spans="1:21">
      <c r="A1239" t="s">
        <v>1255</v>
      </c>
      <c r="B1239" s="5">
        <v>45594</v>
      </c>
      <c r="C1239" t="s">
        <v>3030</v>
      </c>
      <c r="D1239" t="s">
        <v>4758</v>
      </c>
      <c r="E1239" t="s">
        <v>4867</v>
      </c>
      <c r="F1239">
        <v>19</v>
      </c>
      <c r="G1239" t="s">
        <v>4871</v>
      </c>
      <c r="H1239" t="s">
        <v>4886</v>
      </c>
      <c r="I1239" t="s">
        <v>4893</v>
      </c>
      <c r="J1239" t="s">
        <v>4903</v>
      </c>
      <c r="K1239" t="s">
        <v>4924</v>
      </c>
      <c r="L1239" t="s">
        <v>4934</v>
      </c>
      <c r="M1239" t="s">
        <v>4942</v>
      </c>
      <c r="N1239" s="11">
        <v>3245.1</v>
      </c>
      <c r="O1239" t="s">
        <v>4947</v>
      </c>
      <c r="P1239" t="s">
        <v>4951</v>
      </c>
      <c r="R1239">
        <v>90</v>
      </c>
      <c r="S1239" t="str">
        <f t="shared" si="57"/>
        <v>Adult</v>
      </c>
      <c r="T1239" t="str">
        <f t="shared" si="58"/>
        <v>Low</v>
      </c>
      <c r="U1239" t="str">
        <f t="shared" si="59"/>
        <v>Short Days</v>
      </c>
    </row>
    <row r="1240" spans="1:21">
      <c r="A1240" t="s">
        <v>1256</v>
      </c>
      <c r="B1240" s="5">
        <v>45368</v>
      </c>
      <c r="C1240" t="s">
        <v>3444</v>
      </c>
      <c r="D1240" t="s">
        <v>4595</v>
      </c>
      <c r="E1240" t="s">
        <v>4867</v>
      </c>
      <c r="F1240">
        <v>36</v>
      </c>
      <c r="G1240" t="s">
        <v>4880</v>
      </c>
      <c r="H1240" t="s">
        <v>4890</v>
      </c>
      <c r="I1240" t="s">
        <v>4893</v>
      </c>
      <c r="J1240" t="s">
        <v>4903</v>
      </c>
      <c r="K1240" t="s">
        <v>4928</v>
      </c>
      <c r="L1240" t="s">
        <v>4937</v>
      </c>
      <c r="M1240" t="s">
        <v>4942</v>
      </c>
      <c r="N1240" s="11">
        <v>12940.74</v>
      </c>
      <c r="O1240" t="s">
        <v>4947</v>
      </c>
      <c r="P1240" t="s">
        <v>4951</v>
      </c>
      <c r="S1240" t="str">
        <f t="shared" si="57"/>
        <v>Adult</v>
      </c>
      <c r="T1240" t="str">
        <f t="shared" si="58"/>
        <v>High</v>
      </c>
      <c r="U1240" t="str">
        <f t="shared" si="59"/>
        <v>Short Days</v>
      </c>
    </row>
    <row r="1241" spans="1:21">
      <c r="A1241" t="s">
        <v>1257</v>
      </c>
      <c r="B1241" s="5">
        <v>45341</v>
      </c>
      <c r="C1241" t="s">
        <v>3959</v>
      </c>
      <c r="D1241" t="s">
        <v>4749</v>
      </c>
      <c r="E1241" t="s">
        <v>4867</v>
      </c>
      <c r="F1241">
        <v>45</v>
      </c>
      <c r="G1241" t="s">
        <v>4883</v>
      </c>
      <c r="H1241" t="s">
        <v>4892</v>
      </c>
      <c r="I1241" t="s">
        <v>4899</v>
      </c>
      <c r="J1241" t="s">
        <v>4912</v>
      </c>
      <c r="K1241" t="s">
        <v>4926</v>
      </c>
      <c r="L1241" t="s">
        <v>4939</v>
      </c>
      <c r="M1241" t="s">
        <v>4942</v>
      </c>
      <c r="N1241" s="11">
        <v>433.04</v>
      </c>
      <c r="O1241" t="s">
        <v>4947</v>
      </c>
      <c r="P1241" t="s">
        <v>4951</v>
      </c>
      <c r="S1241" t="str">
        <f t="shared" si="57"/>
        <v>Middle-Aged</v>
      </c>
      <c r="T1241" t="str">
        <f t="shared" si="58"/>
        <v>Low</v>
      </c>
      <c r="U1241" t="str">
        <f t="shared" si="59"/>
        <v>Short Days</v>
      </c>
    </row>
    <row r="1242" spans="1:21">
      <c r="A1242" t="s">
        <v>1258</v>
      </c>
      <c r="B1242" s="5">
        <v>45579</v>
      </c>
      <c r="C1242" t="s">
        <v>3960</v>
      </c>
      <c r="D1242" t="s">
        <v>4796</v>
      </c>
      <c r="E1242" t="s">
        <v>4866</v>
      </c>
      <c r="F1242">
        <v>13</v>
      </c>
      <c r="G1242" t="s">
        <v>4869</v>
      </c>
      <c r="H1242" t="s">
        <v>4884</v>
      </c>
      <c r="I1242" t="s">
        <v>4896</v>
      </c>
      <c r="J1242" t="s">
        <v>4906</v>
      </c>
      <c r="K1242" t="s">
        <v>4924</v>
      </c>
      <c r="L1242" t="s">
        <v>4936</v>
      </c>
      <c r="M1242" t="s">
        <v>4942</v>
      </c>
      <c r="N1242" s="11">
        <v>8279.18</v>
      </c>
      <c r="O1242" t="s">
        <v>4949</v>
      </c>
      <c r="P1242" t="s">
        <v>4951</v>
      </c>
      <c r="R1242">
        <v>90</v>
      </c>
      <c r="S1242" t="str">
        <f t="shared" si="57"/>
        <v>Child</v>
      </c>
      <c r="T1242" t="str">
        <f t="shared" si="58"/>
        <v>Medium</v>
      </c>
      <c r="U1242" t="str">
        <f t="shared" si="59"/>
        <v>Short Days</v>
      </c>
    </row>
    <row r="1243" spans="1:21">
      <c r="A1243" t="s">
        <v>1259</v>
      </c>
      <c r="B1243" s="5">
        <v>45691</v>
      </c>
      <c r="C1243" t="s">
        <v>3822</v>
      </c>
      <c r="D1243" t="s">
        <v>4763</v>
      </c>
      <c r="E1243" t="s">
        <v>4866</v>
      </c>
      <c r="F1243">
        <v>21</v>
      </c>
      <c r="G1243" t="s">
        <v>4871</v>
      </c>
      <c r="H1243" t="s">
        <v>4886</v>
      </c>
      <c r="I1243" t="s">
        <v>4901</v>
      </c>
      <c r="J1243" t="s">
        <v>4921</v>
      </c>
      <c r="K1243" t="s">
        <v>4928</v>
      </c>
      <c r="L1243" t="s">
        <v>4934</v>
      </c>
      <c r="M1243" t="s">
        <v>4942</v>
      </c>
      <c r="N1243" s="11">
        <v>5325.77</v>
      </c>
      <c r="O1243" t="s">
        <v>4947</v>
      </c>
      <c r="P1243" t="s">
        <v>4951</v>
      </c>
      <c r="R1243">
        <v>14</v>
      </c>
      <c r="S1243" t="str">
        <f t="shared" si="57"/>
        <v>Adult</v>
      </c>
      <c r="T1243" t="str">
        <f t="shared" si="58"/>
        <v>Medium</v>
      </c>
      <c r="U1243" t="str">
        <f t="shared" si="59"/>
        <v>Short Days</v>
      </c>
    </row>
    <row r="1244" spans="1:21">
      <c r="A1244" t="s">
        <v>1260</v>
      </c>
      <c r="B1244" s="5">
        <v>45539</v>
      </c>
      <c r="C1244" t="s">
        <v>3837</v>
      </c>
      <c r="D1244" t="s">
        <v>4841</v>
      </c>
      <c r="E1244" t="s">
        <v>4866</v>
      </c>
      <c r="F1244">
        <v>56</v>
      </c>
      <c r="G1244" t="s">
        <v>4871</v>
      </c>
      <c r="H1244" t="s">
        <v>4886</v>
      </c>
      <c r="I1244" t="s">
        <v>4893</v>
      </c>
      <c r="J1244" t="s">
        <v>4903</v>
      </c>
      <c r="K1244" t="s">
        <v>4926</v>
      </c>
      <c r="L1244" t="s">
        <v>4938</v>
      </c>
      <c r="M1244" t="s">
        <v>4942</v>
      </c>
      <c r="N1244" s="11">
        <v>2638.09</v>
      </c>
      <c r="O1244" t="s">
        <v>4948</v>
      </c>
      <c r="P1244" t="s">
        <v>4951</v>
      </c>
      <c r="R1244">
        <v>7</v>
      </c>
      <c r="S1244" t="str">
        <f t="shared" si="57"/>
        <v>Middle-Aged</v>
      </c>
      <c r="T1244" t="str">
        <f t="shared" si="58"/>
        <v>Low</v>
      </c>
      <c r="U1244" t="str">
        <f t="shared" si="59"/>
        <v>Short Days</v>
      </c>
    </row>
    <row r="1245" spans="1:21">
      <c r="A1245" t="s">
        <v>1261</v>
      </c>
      <c r="B1245" s="5">
        <v>45882</v>
      </c>
      <c r="C1245" t="s">
        <v>3354</v>
      </c>
      <c r="D1245" t="s">
        <v>4832</v>
      </c>
      <c r="E1245" t="s">
        <v>4867</v>
      </c>
      <c r="F1245">
        <v>64</v>
      </c>
      <c r="G1245" t="s">
        <v>4879</v>
      </c>
      <c r="H1245" t="s">
        <v>4888</v>
      </c>
      <c r="I1245" t="s">
        <v>4894</v>
      </c>
      <c r="J1245" t="s">
        <v>4910</v>
      </c>
      <c r="K1245" t="s">
        <v>4929</v>
      </c>
      <c r="L1245" t="s">
        <v>4939</v>
      </c>
      <c r="M1245" t="s">
        <v>4942</v>
      </c>
      <c r="N1245" s="11">
        <v>4125.1099999999997</v>
      </c>
      <c r="O1245" t="s">
        <v>4948</v>
      </c>
      <c r="P1245" t="s">
        <v>4951</v>
      </c>
      <c r="R1245">
        <v>7</v>
      </c>
      <c r="S1245" t="str">
        <f t="shared" si="57"/>
        <v>Senior</v>
      </c>
      <c r="T1245" t="str">
        <f t="shared" si="58"/>
        <v>Low</v>
      </c>
      <c r="U1245" t="str">
        <f t="shared" si="59"/>
        <v>Short Days</v>
      </c>
    </row>
    <row r="1246" spans="1:21">
      <c r="A1246" t="s">
        <v>1262</v>
      </c>
      <c r="B1246" s="5">
        <v>45564</v>
      </c>
      <c r="C1246" t="s">
        <v>3961</v>
      </c>
      <c r="D1246" t="s">
        <v>4683</v>
      </c>
      <c r="E1246" t="s">
        <v>4866</v>
      </c>
      <c r="F1246">
        <v>34</v>
      </c>
      <c r="G1246" t="s">
        <v>4876</v>
      </c>
      <c r="H1246" t="s">
        <v>4888</v>
      </c>
      <c r="I1246" t="s">
        <v>4898</v>
      </c>
      <c r="J1246" t="s">
        <v>4918</v>
      </c>
      <c r="K1246" t="s">
        <v>4930</v>
      </c>
      <c r="L1246" t="s">
        <v>4937</v>
      </c>
      <c r="M1246" t="s">
        <v>4942</v>
      </c>
      <c r="N1246" s="11">
        <v>3437.49</v>
      </c>
      <c r="O1246" t="s">
        <v>4946</v>
      </c>
      <c r="P1246" t="s">
        <v>4951</v>
      </c>
      <c r="S1246" t="str">
        <f t="shared" si="57"/>
        <v>Adult</v>
      </c>
      <c r="T1246" t="str">
        <f t="shared" si="58"/>
        <v>Low</v>
      </c>
      <c r="U1246" t="str">
        <f t="shared" si="59"/>
        <v>Short Days</v>
      </c>
    </row>
    <row r="1247" spans="1:21">
      <c r="A1247" t="s">
        <v>1263</v>
      </c>
      <c r="B1247" s="5">
        <v>45600</v>
      </c>
      <c r="C1247" t="s">
        <v>3794</v>
      </c>
      <c r="D1247" t="s">
        <v>4784</v>
      </c>
      <c r="E1247" t="s">
        <v>4867</v>
      </c>
      <c r="F1247">
        <v>35</v>
      </c>
      <c r="G1247" t="s">
        <v>4872</v>
      </c>
      <c r="H1247" t="s">
        <v>4887</v>
      </c>
      <c r="I1247" t="s">
        <v>4900</v>
      </c>
      <c r="J1247" t="s">
        <v>4919</v>
      </c>
      <c r="K1247" t="s">
        <v>4930</v>
      </c>
      <c r="L1247" t="s">
        <v>4934</v>
      </c>
      <c r="M1247" t="s">
        <v>4942</v>
      </c>
      <c r="N1247" s="11">
        <v>9893.92</v>
      </c>
      <c r="O1247" t="s">
        <v>4950</v>
      </c>
      <c r="P1247" t="s">
        <v>4951</v>
      </c>
      <c r="R1247">
        <v>90</v>
      </c>
      <c r="S1247" t="str">
        <f t="shared" si="57"/>
        <v>Adult</v>
      </c>
      <c r="T1247" t="str">
        <f t="shared" si="58"/>
        <v>Medium</v>
      </c>
      <c r="U1247" t="str">
        <f t="shared" si="59"/>
        <v>Short Days</v>
      </c>
    </row>
    <row r="1248" spans="1:21">
      <c r="A1248" t="s">
        <v>1264</v>
      </c>
      <c r="B1248" s="5">
        <v>45352</v>
      </c>
      <c r="C1248" t="s">
        <v>3953</v>
      </c>
      <c r="D1248" t="s">
        <v>4671</v>
      </c>
      <c r="E1248" t="s">
        <v>4866</v>
      </c>
      <c r="F1248">
        <v>25</v>
      </c>
      <c r="G1248" t="s">
        <v>4879</v>
      </c>
      <c r="H1248" t="s">
        <v>4888</v>
      </c>
      <c r="I1248" t="s">
        <v>4898</v>
      </c>
      <c r="J1248" t="s">
        <v>4918</v>
      </c>
      <c r="K1248" t="s">
        <v>4928</v>
      </c>
      <c r="L1248" t="s">
        <v>4940</v>
      </c>
      <c r="M1248" t="s">
        <v>4944</v>
      </c>
      <c r="N1248" s="11">
        <v>9540.52</v>
      </c>
      <c r="O1248" t="s">
        <v>4946</v>
      </c>
      <c r="P1248" t="s">
        <v>4951</v>
      </c>
      <c r="R1248">
        <v>14</v>
      </c>
      <c r="S1248" t="str">
        <f t="shared" si="57"/>
        <v>Adult</v>
      </c>
      <c r="T1248" t="str">
        <f t="shared" si="58"/>
        <v>Medium</v>
      </c>
      <c r="U1248" t="str">
        <f t="shared" si="59"/>
        <v>Short Days</v>
      </c>
    </row>
    <row r="1249" spans="1:21">
      <c r="A1249" t="s">
        <v>1265</v>
      </c>
      <c r="B1249" s="5">
        <v>45575</v>
      </c>
      <c r="C1249" t="s">
        <v>3962</v>
      </c>
      <c r="D1249" t="s">
        <v>4802</v>
      </c>
      <c r="E1249" t="s">
        <v>4867</v>
      </c>
      <c r="F1249">
        <v>24</v>
      </c>
      <c r="G1249" t="s">
        <v>4878</v>
      </c>
      <c r="H1249" t="s">
        <v>4889</v>
      </c>
      <c r="I1249" t="s">
        <v>4902</v>
      </c>
      <c r="J1249" t="s">
        <v>4920</v>
      </c>
      <c r="K1249" t="s">
        <v>4928</v>
      </c>
      <c r="L1249" t="s">
        <v>4934</v>
      </c>
      <c r="M1249" t="s">
        <v>4944</v>
      </c>
      <c r="N1249" s="11">
        <v>7706.63</v>
      </c>
      <c r="O1249" t="s">
        <v>4946</v>
      </c>
      <c r="P1249" t="s">
        <v>4951</v>
      </c>
      <c r="R1249">
        <v>90</v>
      </c>
      <c r="S1249" t="str">
        <f t="shared" si="57"/>
        <v>Adult</v>
      </c>
      <c r="T1249" t="str">
        <f t="shared" si="58"/>
        <v>Medium</v>
      </c>
      <c r="U1249" t="str">
        <f t="shared" si="59"/>
        <v>Short Days</v>
      </c>
    </row>
    <row r="1250" spans="1:21">
      <c r="A1250" t="s">
        <v>1266</v>
      </c>
      <c r="B1250" s="5">
        <v>45888</v>
      </c>
      <c r="C1250" t="s">
        <v>3963</v>
      </c>
      <c r="D1250" t="s">
        <v>4806</v>
      </c>
      <c r="E1250" t="s">
        <v>4867</v>
      </c>
      <c r="F1250">
        <v>44</v>
      </c>
      <c r="G1250" t="s">
        <v>4871</v>
      </c>
      <c r="H1250" t="s">
        <v>4886</v>
      </c>
      <c r="I1250" t="s">
        <v>4898</v>
      </c>
      <c r="J1250" t="s">
        <v>4909</v>
      </c>
      <c r="K1250" t="s">
        <v>4927</v>
      </c>
      <c r="L1250" t="s">
        <v>4939</v>
      </c>
      <c r="M1250" t="s">
        <v>4942</v>
      </c>
      <c r="N1250" s="11">
        <v>7171.77</v>
      </c>
      <c r="O1250" t="s">
        <v>4946</v>
      </c>
      <c r="P1250" t="s">
        <v>4951</v>
      </c>
      <c r="S1250" t="str">
        <f t="shared" si="57"/>
        <v>Middle-Aged</v>
      </c>
      <c r="T1250" t="str">
        <f t="shared" si="58"/>
        <v>Medium</v>
      </c>
      <c r="U1250" t="str">
        <f t="shared" si="59"/>
        <v>Short Days</v>
      </c>
    </row>
    <row r="1251" spans="1:21">
      <c r="A1251" t="s">
        <v>1267</v>
      </c>
      <c r="B1251" s="5">
        <v>45524</v>
      </c>
      <c r="C1251" t="s">
        <v>3964</v>
      </c>
      <c r="D1251" t="s">
        <v>4680</v>
      </c>
      <c r="E1251" t="s">
        <v>4867</v>
      </c>
      <c r="F1251">
        <v>53</v>
      </c>
      <c r="G1251" t="s">
        <v>4875</v>
      </c>
      <c r="H1251" t="s">
        <v>4889</v>
      </c>
      <c r="I1251" t="s">
        <v>4898</v>
      </c>
      <c r="J1251" t="s">
        <v>4918</v>
      </c>
      <c r="K1251" t="s">
        <v>4927</v>
      </c>
      <c r="L1251" t="s">
        <v>4936</v>
      </c>
      <c r="M1251" t="s">
        <v>4942</v>
      </c>
      <c r="N1251" s="11">
        <v>3229.68</v>
      </c>
      <c r="O1251" t="s">
        <v>4949</v>
      </c>
      <c r="P1251" t="s">
        <v>4951</v>
      </c>
      <c r="R1251">
        <v>30</v>
      </c>
      <c r="S1251" t="str">
        <f t="shared" si="57"/>
        <v>Middle-Aged</v>
      </c>
      <c r="T1251" t="str">
        <f t="shared" si="58"/>
        <v>Low</v>
      </c>
      <c r="U1251" t="str">
        <f t="shared" si="59"/>
        <v>Short Days</v>
      </c>
    </row>
    <row r="1252" spans="1:21">
      <c r="A1252" t="s">
        <v>1268</v>
      </c>
      <c r="B1252" s="5">
        <v>45535</v>
      </c>
      <c r="C1252" t="s">
        <v>3562</v>
      </c>
      <c r="D1252" t="s">
        <v>4694</v>
      </c>
      <c r="E1252" t="s">
        <v>4866</v>
      </c>
      <c r="F1252">
        <v>36</v>
      </c>
      <c r="G1252" t="s">
        <v>4879</v>
      </c>
      <c r="H1252" t="s">
        <v>4888</v>
      </c>
      <c r="I1252" t="s">
        <v>4893</v>
      </c>
      <c r="J1252" t="s">
        <v>4917</v>
      </c>
      <c r="K1252" t="s">
        <v>4925</v>
      </c>
      <c r="L1252" t="s">
        <v>4935</v>
      </c>
      <c r="M1252" t="s">
        <v>4942</v>
      </c>
      <c r="N1252" s="11">
        <v>3134.93</v>
      </c>
      <c r="O1252" t="s">
        <v>4949</v>
      </c>
      <c r="P1252" t="s">
        <v>4951</v>
      </c>
      <c r="R1252">
        <v>30</v>
      </c>
      <c r="S1252" t="str">
        <f t="shared" si="57"/>
        <v>Adult</v>
      </c>
      <c r="T1252" t="str">
        <f t="shared" si="58"/>
        <v>Low</v>
      </c>
      <c r="U1252" t="str">
        <f t="shared" si="59"/>
        <v>Short Days</v>
      </c>
    </row>
    <row r="1253" spans="1:21">
      <c r="A1253" t="s">
        <v>1269</v>
      </c>
      <c r="B1253" s="5">
        <v>45646</v>
      </c>
      <c r="C1253" t="s">
        <v>3869</v>
      </c>
      <c r="D1253" t="s">
        <v>4688</v>
      </c>
      <c r="E1253" t="s">
        <v>4866</v>
      </c>
      <c r="F1253">
        <v>39</v>
      </c>
      <c r="G1253" t="s">
        <v>4879</v>
      </c>
      <c r="H1253" t="s">
        <v>4888</v>
      </c>
      <c r="I1253" t="s">
        <v>4896</v>
      </c>
      <c r="J1253" t="s">
        <v>4908</v>
      </c>
      <c r="K1253" t="s">
        <v>4932</v>
      </c>
      <c r="L1253" t="s">
        <v>4937</v>
      </c>
      <c r="M1253" t="s">
        <v>4943</v>
      </c>
      <c r="N1253" s="11">
        <v>6438.11</v>
      </c>
      <c r="O1253" t="s">
        <v>4949</v>
      </c>
      <c r="P1253" t="s">
        <v>4951</v>
      </c>
      <c r="R1253">
        <v>30</v>
      </c>
      <c r="S1253" t="str">
        <f t="shared" si="57"/>
        <v>Adult</v>
      </c>
      <c r="T1253" t="str">
        <f t="shared" si="58"/>
        <v>Medium</v>
      </c>
      <c r="U1253" t="str">
        <f t="shared" si="59"/>
        <v>Short Days</v>
      </c>
    </row>
    <row r="1254" spans="1:21">
      <c r="A1254" t="s">
        <v>1270</v>
      </c>
      <c r="B1254" s="5">
        <v>45841</v>
      </c>
      <c r="C1254" t="s">
        <v>3965</v>
      </c>
      <c r="D1254" t="s">
        <v>4826</v>
      </c>
      <c r="E1254" t="s">
        <v>4866</v>
      </c>
      <c r="F1254">
        <v>22</v>
      </c>
      <c r="G1254" t="s">
        <v>4878</v>
      </c>
      <c r="H1254" t="s">
        <v>4889</v>
      </c>
      <c r="I1254" t="s">
        <v>4897</v>
      </c>
      <c r="J1254" t="s">
        <v>4907</v>
      </c>
      <c r="K1254" t="s">
        <v>4931</v>
      </c>
      <c r="L1254" t="s">
        <v>4938</v>
      </c>
      <c r="M1254" t="s">
        <v>4942</v>
      </c>
      <c r="N1254" s="11">
        <v>1065.52</v>
      </c>
      <c r="O1254" t="s">
        <v>4947</v>
      </c>
      <c r="P1254" t="s">
        <v>4951</v>
      </c>
      <c r="R1254">
        <v>30</v>
      </c>
      <c r="S1254" t="str">
        <f t="shared" si="57"/>
        <v>Adult</v>
      </c>
      <c r="T1254" t="str">
        <f t="shared" si="58"/>
        <v>Low</v>
      </c>
      <c r="U1254" t="str">
        <f t="shared" si="59"/>
        <v>Short Days</v>
      </c>
    </row>
    <row r="1255" spans="1:21">
      <c r="A1255" t="s">
        <v>1271</v>
      </c>
      <c r="B1255" s="5">
        <v>45445</v>
      </c>
      <c r="C1255" t="s">
        <v>3292</v>
      </c>
      <c r="D1255" t="s">
        <v>4774</v>
      </c>
      <c r="E1255" t="s">
        <v>4866</v>
      </c>
      <c r="F1255">
        <v>36</v>
      </c>
      <c r="G1255" t="s">
        <v>4883</v>
      </c>
      <c r="H1255" t="s">
        <v>4892</v>
      </c>
      <c r="I1255" t="s">
        <v>4899</v>
      </c>
      <c r="J1255" t="s">
        <v>4912</v>
      </c>
      <c r="K1255" t="s">
        <v>4926</v>
      </c>
      <c r="L1255" t="s">
        <v>4940</v>
      </c>
      <c r="M1255" t="s">
        <v>4942</v>
      </c>
      <c r="N1255" s="11">
        <v>1896.37</v>
      </c>
      <c r="O1255" t="s">
        <v>4949</v>
      </c>
      <c r="P1255" t="s">
        <v>4951</v>
      </c>
      <c r="R1255">
        <v>90</v>
      </c>
      <c r="S1255" t="str">
        <f t="shared" si="57"/>
        <v>Adult</v>
      </c>
      <c r="T1255" t="str">
        <f t="shared" si="58"/>
        <v>Low</v>
      </c>
      <c r="U1255" t="str">
        <f t="shared" si="59"/>
        <v>Short Days</v>
      </c>
    </row>
    <row r="1256" spans="1:21">
      <c r="A1256" t="s">
        <v>1272</v>
      </c>
      <c r="B1256" s="5">
        <v>45849</v>
      </c>
      <c r="C1256" t="s">
        <v>3868</v>
      </c>
      <c r="D1256" t="s">
        <v>4652</v>
      </c>
      <c r="E1256" t="s">
        <v>4866</v>
      </c>
      <c r="F1256">
        <v>27</v>
      </c>
      <c r="G1256" t="s">
        <v>4876</v>
      </c>
      <c r="H1256" t="s">
        <v>4888</v>
      </c>
      <c r="I1256" t="s">
        <v>4896</v>
      </c>
      <c r="J1256" t="s">
        <v>4908</v>
      </c>
      <c r="K1256" t="s">
        <v>4933</v>
      </c>
      <c r="L1256" t="s">
        <v>4940</v>
      </c>
      <c r="M1256" t="s">
        <v>4942</v>
      </c>
      <c r="N1256" s="11">
        <v>2208.3200000000002</v>
      </c>
      <c r="O1256" t="s">
        <v>15</v>
      </c>
      <c r="P1256" t="s">
        <v>4952</v>
      </c>
      <c r="R1256">
        <v>14</v>
      </c>
      <c r="S1256" t="str">
        <f t="shared" si="57"/>
        <v>Adult</v>
      </c>
      <c r="T1256" t="str">
        <f t="shared" si="58"/>
        <v>Low</v>
      </c>
      <c r="U1256" t="str">
        <f t="shared" si="59"/>
        <v>Short Days</v>
      </c>
    </row>
    <row r="1257" spans="1:21">
      <c r="A1257" t="s">
        <v>1273</v>
      </c>
      <c r="B1257" s="5">
        <v>45586</v>
      </c>
      <c r="C1257" t="s">
        <v>3966</v>
      </c>
      <c r="D1257" t="s">
        <v>4821</v>
      </c>
      <c r="E1257" t="s">
        <v>4867</v>
      </c>
      <c r="F1257">
        <v>27</v>
      </c>
      <c r="G1257" t="s">
        <v>4883</v>
      </c>
      <c r="H1257" t="s">
        <v>4892</v>
      </c>
      <c r="I1257" t="s">
        <v>4896</v>
      </c>
      <c r="J1257" t="s">
        <v>4906</v>
      </c>
      <c r="K1257" t="s">
        <v>4929</v>
      </c>
      <c r="L1257" t="s">
        <v>4938</v>
      </c>
      <c r="M1257" t="s">
        <v>4942</v>
      </c>
      <c r="N1257" s="11">
        <v>849.22</v>
      </c>
      <c r="O1257" t="s">
        <v>4946</v>
      </c>
      <c r="P1257" t="s">
        <v>4951</v>
      </c>
      <c r="S1257" t="str">
        <f t="shared" si="57"/>
        <v>Adult</v>
      </c>
      <c r="T1257" t="str">
        <f t="shared" si="58"/>
        <v>Low</v>
      </c>
      <c r="U1257" t="str">
        <f t="shared" si="59"/>
        <v>Short Days</v>
      </c>
    </row>
    <row r="1258" spans="1:21">
      <c r="A1258" t="s">
        <v>1274</v>
      </c>
      <c r="B1258" s="5">
        <v>45608</v>
      </c>
      <c r="C1258" t="s">
        <v>3967</v>
      </c>
      <c r="D1258" t="s">
        <v>4693</v>
      </c>
      <c r="E1258" t="s">
        <v>4866</v>
      </c>
      <c r="F1258">
        <v>22</v>
      </c>
      <c r="G1258" t="s">
        <v>4874</v>
      </c>
      <c r="H1258" t="s">
        <v>4886</v>
      </c>
      <c r="I1258" t="s">
        <v>4895</v>
      </c>
      <c r="J1258" t="s">
        <v>4915</v>
      </c>
      <c r="K1258" t="s">
        <v>4927</v>
      </c>
      <c r="L1258" t="s">
        <v>4940</v>
      </c>
      <c r="M1258" t="s">
        <v>4943</v>
      </c>
      <c r="N1258" s="11">
        <v>29547.73</v>
      </c>
      <c r="O1258" t="s">
        <v>4948</v>
      </c>
      <c r="P1258" t="s">
        <v>4951</v>
      </c>
      <c r="R1258">
        <v>7</v>
      </c>
      <c r="S1258" t="str">
        <f t="shared" si="57"/>
        <v>Adult</v>
      </c>
      <c r="T1258" t="str">
        <f t="shared" si="58"/>
        <v>High</v>
      </c>
      <c r="U1258" t="str">
        <f t="shared" si="59"/>
        <v>Short Days</v>
      </c>
    </row>
    <row r="1259" spans="1:21">
      <c r="A1259" t="s">
        <v>1275</v>
      </c>
      <c r="B1259" s="5">
        <v>45612</v>
      </c>
      <c r="C1259" t="s">
        <v>3968</v>
      </c>
      <c r="D1259" t="s">
        <v>4809</v>
      </c>
      <c r="E1259" t="s">
        <v>4866</v>
      </c>
      <c r="F1259">
        <v>23</v>
      </c>
      <c r="G1259" t="s">
        <v>4878</v>
      </c>
      <c r="H1259" t="s">
        <v>4889</v>
      </c>
      <c r="I1259" t="s">
        <v>4894</v>
      </c>
      <c r="J1259" t="s">
        <v>4904</v>
      </c>
      <c r="K1259" t="s">
        <v>4928</v>
      </c>
      <c r="L1259" t="s">
        <v>4935</v>
      </c>
      <c r="M1259" t="s">
        <v>4942</v>
      </c>
      <c r="N1259" s="11">
        <v>2339.5500000000002</v>
      </c>
      <c r="O1259" t="s">
        <v>4948</v>
      </c>
      <c r="P1259" t="s">
        <v>4951</v>
      </c>
      <c r="R1259">
        <v>14</v>
      </c>
      <c r="S1259" t="str">
        <f t="shared" si="57"/>
        <v>Adult</v>
      </c>
      <c r="T1259" t="str">
        <f t="shared" si="58"/>
        <v>Low</v>
      </c>
      <c r="U1259" t="str">
        <f t="shared" si="59"/>
        <v>Short Days</v>
      </c>
    </row>
    <row r="1260" spans="1:21">
      <c r="A1260" t="s">
        <v>1276</v>
      </c>
      <c r="B1260" s="5">
        <v>45955</v>
      </c>
      <c r="C1260" t="s">
        <v>3551</v>
      </c>
      <c r="D1260" t="s">
        <v>4791</v>
      </c>
      <c r="E1260" t="s">
        <v>4868</v>
      </c>
      <c r="F1260">
        <v>36</v>
      </c>
      <c r="G1260" t="s">
        <v>4882</v>
      </c>
      <c r="H1260" t="s">
        <v>4891</v>
      </c>
      <c r="I1260" t="s">
        <v>4897</v>
      </c>
      <c r="J1260" t="s">
        <v>4907</v>
      </c>
      <c r="K1260" t="s">
        <v>4925</v>
      </c>
      <c r="L1260" t="s">
        <v>4940</v>
      </c>
      <c r="M1260" t="s">
        <v>4945</v>
      </c>
      <c r="N1260" s="11">
        <v>13545.09</v>
      </c>
      <c r="O1260" t="s">
        <v>4948</v>
      </c>
      <c r="P1260" t="s">
        <v>4951</v>
      </c>
      <c r="Q1260">
        <v>3</v>
      </c>
      <c r="R1260">
        <v>30</v>
      </c>
      <c r="S1260" t="str">
        <f t="shared" si="57"/>
        <v>Adult</v>
      </c>
      <c r="T1260" t="str">
        <f t="shared" si="58"/>
        <v>High</v>
      </c>
      <c r="U1260" t="str">
        <f t="shared" si="59"/>
        <v>Short Days</v>
      </c>
    </row>
    <row r="1261" spans="1:21">
      <c r="A1261" t="s">
        <v>1277</v>
      </c>
      <c r="B1261" s="5">
        <v>45377</v>
      </c>
      <c r="C1261" t="s">
        <v>3969</v>
      </c>
      <c r="D1261" t="s">
        <v>4771</v>
      </c>
      <c r="E1261" t="s">
        <v>4866</v>
      </c>
      <c r="F1261">
        <v>22</v>
      </c>
      <c r="G1261" t="s">
        <v>4877</v>
      </c>
      <c r="H1261" t="s">
        <v>4888</v>
      </c>
      <c r="I1261" t="s">
        <v>4897</v>
      </c>
      <c r="J1261" t="s">
        <v>4907</v>
      </c>
      <c r="K1261" t="s">
        <v>4929</v>
      </c>
      <c r="L1261" t="s">
        <v>4941</v>
      </c>
      <c r="M1261" t="s">
        <v>4942</v>
      </c>
      <c r="N1261" s="11">
        <v>2804.06</v>
      </c>
      <c r="O1261" t="s">
        <v>4947</v>
      </c>
      <c r="P1261" t="s">
        <v>4951</v>
      </c>
      <c r="R1261">
        <v>90</v>
      </c>
      <c r="S1261" t="str">
        <f t="shared" si="57"/>
        <v>Adult</v>
      </c>
      <c r="T1261" t="str">
        <f t="shared" si="58"/>
        <v>Low</v>
      </c>
      <c r="U1261" t="str">
        <f t="shared" si="59"/>
        <v>Short Days</v>
      </c>
    </row>
    <row r="1262" spans="1:21">
      <c r="A1262" t="s">
        <v>1278</v>
      </c>
      <c r="B1262" s="5">
        <v>45352</v>
      </c>
      <c r="C1262" t="s">
        <v>3970</v>
      </c>
      <c r="D1262" t="s">
        <v>4837</v>
      </c>
      <c r="E1262" t="s">
        <v>4866</v>
      </c>
      <c r="F1262">
        <v>48</v>
      </c>
      <c r="G1262" t="s">
        <v>4872</v>
      </c>
      <c r="H1262" t="s">
        <v>4887</v>
      </c>
      <c r="I1262" t="s">
        <v>4897</v>
      </c>
      <c r="J1262" t="s">
        <v>4907</v>
      </c>
      <c r="K1262" t="s">
        <v>4924</v>
      </c>
      <c r="L1262" t="s">
        <v>4940</v>
      </c>
      <c r="M1262" t="s">
        <v>4942</v>
      </c>
      <c r="N1262" s="11">
        <v>4188.2700000000004</v>
      </c>
      <c r="O1262" t="s">
        <v>4947</v>
      </c>
      <c r="P1262" t="s">
        <v>4951</v>
      </c>
      <c r="S1262" t="str">
        <f t="shared" si="57"/>
        <v>Middle-Aged</v>
      </c>
      <c r="T1262" t="str">
        <f t="shared" si="58"/>
        <v>Low</v>
      </c>
      <c r="U1262" t="str">
        <f t="shared" si="59"/>
        <v>Short Days</v>
      </c>
    </row>
    <row r="1263" spans="1:21">
      <c r="A1263" t="s">
        <v>1279</v>
      </c>
      <c r="B1263" s="5">
        <v>45595</v>
      </c>
      <c r="C1263" t="s">
        <v>3971</v>
      </c>
      <c r="D1263" t="s">
        <v>4741</v>
      </c>
      <c r="E1263" t="s">
        <v>4866</v>
      </c>
      <c r="F1263">
        <v>39</v>
      </c>
      <c r="G1263" t="s">
        <v>4869</v>
      </c>
      <c r="H1263" t="s">
        <v>4884</v>
      </c>
      <c r="I1263" t="s">
        <v>4895</v>
      </c>
      <c r="J1263" t="s">
        <v>4905</v>
      </c>
      <c r="K1263" t="s">
        <v>4927</v>
      </c>
      <c r="L1263" t="s">
        <v>4936</v>
      </c>
      <c r="M1263" t="s">
        <v>4943</v>
      </c>
      <c r="N1263" s="11">
        <v>9311.7000000000007</v>
      </c>
      <c r="O1263" t="s">
        <v>4948</v>
      </c>
      <c r="P1263" t="s">
        <v>4951</v>
      </c>
      <c r="S1263" t="str">
        <f t="shared" si="57"/>
        <v>Adult</v>
      </c>
      <c r="T1263" t="str">
        <f t="shared" si="58"/>
        <v>Medium</v>
      </c>
      <c r="U1263" t="str">
        <f t="shared" si="59"/>
        <v>Short Days</v>
      </c>
    </row>
    <row r="1264" spans="1:21">
      <c r="A1264" t="s">
        <v>1280</v>
      </c>
      <c r="B1264" s="5">
        <v>45293</v>
      </c>
      <c r="C1264" t="s">
        <v>3972</v>
      </c>
      <c r="D1264" t="s">
        <v>4666</v>
      </c>
      <c r="E1264" t="s">
        <v>4866</v>
      </c>
      <c r="F1264">
        <v>46</v>
      </c>
      <c r="G1264" t="s">
        <v>4879</v>
      </c>
      <c r="H1264" t="s">
        <v>4888</v>
      </c>
      <c r="I1264" t="s">
        <v>4899</v>
      </c>
      <c r="J1264" t="s">
        <v>4912</v>
      </c>
      <c r="K1264" t="s">
        <v>4928</v>
      </c>
      <c r="L1264" t="s">
        <v>4938</v>
      </c>
      <c r="M1264" t="s">
        <v>4945</v>
      </c>
      <c r="N1264" s="11">
        <v>7860.33</v>
      </c>
      <c r="O1264" t="s">
        <v>4947</v>
      </c>
      <c r="P1264" t="s">
        <v>4951</v>
      </c>
      <c r="Q1264">
        <v>5</v>
      </c>
      <c r="R1264">
        <v>90</v>
      </c>
      <c r="S1264" t="str">
        <f t="shared" si="57"/>
        <v>Middle-Aged</v>
      </c>
      <c r="T1264" t="str">
        <f t="shared" si="58"/>
        <v>Medium</v>
      </c>
      <c r="U1264" t="str">
        <f t="shared" si="59"/>
        <v>Short Days</v>
      </c>
    </row>
    <row r="1265" spans="1:21">
      <c r="A1265" t="s">
        <v>1281</v>
      </c>
      <c r="B1265" s="5">
        <v>45579</v>
      </c>
      <c r="C1265" t="s">
        <v>3031</v>
      </c>
      <c r="D1265" t="s">
        <v>4788</v>
      </c>
      <c r="E1265" t="s">
        <v>4866</v>
      </c>
      <c r="F1265">
        <v>29</v>
      </c>
      <c r="G1265" t="s">
        <v>4879</v>
      </c>
      <c r="H1265" t="s">
        <v>4888</v>
      </c>
      <c r="I1265" t="s">
        <v>4893</v>
      </c>
      <c r="J1265" t="s">
        <v>4917</v>
      </c>
      <c r="K1265" t="s">
        <v>4930</v>
      </c>
      <c r="L1265" t="s">
        <v>4938</v>
      </c>
      <c r="M1265" t="s">
        <v>4942</v>
      </c>
      <c r="N1265" s="11">
        <v>5563.12</v>
      </c>
      <c r="O1265" t="s">
        <v>4947</v>
      </c>
      <c r="P1265" t="s">
        <v>4951</v>
      </c>
      <c r="R1265">
        <v>90</v>
      </c>
      <c r="S1265" t="str">
        <f t="shared" si="57"/>
        <v>Adult</v>
      </c>
      <c r="T1265" t="str">
        <f t="shared" si="58"/>
        <v>Medium</v>
      </c>
      <c r="U1265" t="str">
        <f t="shared" si="59"/>
        <v>Short Days</v>
      </c>
    </row>
    <row r="1266" spans="1:21">
      <c r="A1266" t="s">
        <v>1282</v>
      </c>
      <c r="B1266" s="5">
        <v>45673</v>
      </c>
      <c r="C1266" t="s">
        <v>3905</v>
      </c>
      <c r="D1266" t="s">
        <v>4754</v>
      </c>
      <c r="E1266" t="s">
        <v>4866</v>
      </c>
      <c r="F1266">
        <v>28</v>
      </c>
      <c r="G1266" t="s">
        <v>4878</v>
      </c>
      <c r="H1266" t="s">
        <v>4889</v>
      </c>
      <c r="I1266" t="s">
        <v>4897</v>
      </c>
      <c r="J1266" t="s">
        <v>4907</v>
      </c>
      <c r="K1266" t="s">
        <v>4933</v>
      </c>
      <c r="L1266" t="s">
        <v>4939</v>
      </c>
      <c r="M1266" t="s">
        <v>4942</v>
      </c>
      <c r="N1266" s="11">
        <v>13025.27</v>
      </c>
      <c r="O1266" t="s">
        <v>4949</v>
      </c>
      <c r="P1266" t="s">
        <v>4951</v>
      </c>
      <c r="S1266" t="str">
        <f t="shared" si="57"/>
        <v>Adult</v>
      </c>
      <c r="T1266" t="str">
        <f t="shared" si="58"/>
        <v>High</v>
      </c>
      <c r="U1266" t="str">
        <f t="shared" si="59"/>
        <v>Short Days</v>
      </c>
    </row>
    <row r="1267" spans="1:21">
      <c r="A1267" t="s">
        <v>1283</v>
      </c>
      <c r="B1267" s="5">
        <v>45832</v>
      </c>
      <c r="C1267" t="s">
        <v>3020</v>
      </c>
      <c r="D1267" t="s">
        <v>4642</v>
      </c>
      <c r="E1267" t="s">
        <v>4867</v>
      </c>
      <c r="F1267">
        <v>58</v>
      </c>
      <c r="G1267" t="s">
        <v>4879</v>
      </c>
      <c r="H1267" t="s">
        <v>4888</v>
      </c>
      <c r="I1267" t="s">
        <v>4897</v>
      </c>
      <c r="J1267" t="s">
        <v>4922</v>
      </c>
      <c r="K1267" t="s">
        <v>4928</v>
      </c>
      <c r="L1267" t="s">
        <v>4939</v>
      </c>
      <c r="M1267" t="s">
        <v>4942</v>
      </c>
      <c r="N1267" s="11">
        <v>2041.93</v>
      </c>
      <c r="O1267" t="s">
        <v>4949</v>
      </c>
      <c r="P1267" t="s">
        <v>4951</v>
      </c>
      <c r="S1267" t="str">
        <f t="shared" si="57"/>
        <v>Middle-Aged</v>
      </c>
      <c r="T1267" t="str">
        <f t="shared" si="58"/>
        <v>Low</v>
      </c>
      <c r="U1267" t="str">
        <f t="shared" si="59"/>
        <v>Short Days</v>
      </c>
    </row>
    <row r="1268" spans="1:21">
      <c r="A1268" t="s">
        <v>1284</v>
      </c>
      <c r="B1268" s="5">
        <v>45820</v>
      </c>
      <c r="C1268" t="s">
        <v>3217</v>
      </c>
      <c r="D1268" t="s">
        <v>4665</v>
      </c>
      <c r="E1268" t="s">
        <v>4867</v>
      </c>
      <c r="F1268">
        <v>25</v>
      </c>
      <c r="G1268" t="s">
        <v>4879</v>
      </c>
      <c r="H1268" t="s">
        <v>4888</v>
      </c>
      <c r="I1268" t="s">
        <v>4898</v>
      </c>
      <c r="J1268" t="s">
        <v>4918</v>
      </c>
      <c r="K1268" t="s">
        <v>4928</v>
      </c>
      <c r="L1268" t="s">
        <v>4934</v>
      </c>
      <c r="M1268" t="s">
        <v>4942</v>
      </c>
      <c r="N1268" s="11">
        <v>6392.84</v>
      </c>
      <c r="O1268" t="s">
        <v>4947</v>
      </c>
      <c r="P1268" t="s">
        <v>4951</v>
      </c>
      <c r="R1268">
        <v>14</v>
      </c>
      <c r="S1268" t="str">
        <f t="shared" si="57"/>
        <v>Adult</v>
      </c>
      <c r="T1268" t="str">
        <f t="shared" si="58"/>
        <v>Medium</v>
      </c>
      <c r="U1268" t="str">
        <f t="shared" si="59"/>
        <v>Short Days</v>
      </c>
    </row>
    <row r="1269" spans="1:21">
      <c r="A1269" t="s">
        <v>1285</v>
      </c>
      <c r="B1269" s="5">
        <v>45681</v>
      </c>
      <c r="C1269" t="s">
        <v>3746</v>
      </c>
      <c r="D1269" t="s">
        <v>4671</v>
      </c>
      <c r="E1269" t="s">
        <v>4867</v>
      </c>
      <c r="F1269">
        <v>19</v>
      </c>
      <c r="G1269" t="s">
        <v>4882</v>
      </c>
      <c r="H1269" t="s">
        <v>4891</v>
      </c>
      <c r="I1269" t="s">
        <v>4894</v>
      </c>
      <c r="J1269" t="s">
        <v>4910</v>
      </c>
      <c r="K1269" t="s">
        <v>4931</v>
      </c>
      <c r="L1269" t="s">
        <v>4940</v>
      </c>
      <c r="M1269" t="s">
        <v>4943</v>
      </c>
      <c r="N1269" s="11">
        <v>7688.37</v>
      </c>
      <c r="O1269" t="s">
        <v>4949</v>
      </c>
      <c r="P1269" t="s">
        <v>4951</v>
      </c>
      <c r="R1269">
        <v>14</v>
      </c>
      <c r="S1269" t="str">
        <f t="shared" si="57"/>
        <v>Adult</v>
      </c>
      <c r="T1269" t="str">
        <f t="shared" si="58"/>
        <v>Medium</v>
      </c>
      <c r="U1269" t="str">
        <f t="shared" si="59"/>
        <v>Short Days</v>
      </c>
    </row>
    <row r="1270" spans="1:21">
      <c r="A1270" t="s">
        <v>1286</v>
      </c>
      <c r="B1270" s="5">
        <v>45794</v>
      </c>
      <c r="C1270" t="s">
        <v>3973</v>
      </c>
      <c r="D1270" t="s">
        <v>4707</v>
      </c>
      <c r="E1270" t="s">
        <v>4866</v>
      </c>
      <c r="F1270">
        <v>43</v>
      </c>
      <c r="G1270" t="s">
        <v>4883</v>
      </c>
      <c r="H1270" t="s">
        <v>4892</v>
      </c>
      <c r="I1270" t="s">
        <v>4901</v>
      </c>
      <c r="J1270" t="s">
        <v>4921</v>
      </c>
      <c r="K1270" t="s">
        <v>4928</v>
      </c>
      <c r="L1270" t="s">
        <v>4934</v>
      </c>
      <c r="M1270" t="s">
        <v>4942</v>
      </c>
      <c r="N1270" s="11">
        <v>3304.42</v>
      </c>
      <c r="O1270" t="s">
        <v>4946</v>
      </c>
      <c r="P1270" t="s">
        <v>4951</v>
      </c>
      <c r="R1270">
        <v>30</v>
      </c>
      <c r="S1270" t="str">
        <f t="shared" si="57"/>
        <v>Middle-Aged</v>
      </c>
      <c r="T1270" t="str">
        <f t="shared" si="58"/>
        <v>Low</v>
      </c>
      <c r="U1270" t="str">
        <f t="shared" si="59"/>
        <v>Short Days</v>
      </c>
    </row>
    <row r="1271" spans="1:21">
      <c r="A1271" t="s">
        <v>1287</v>
      </c>
      <c r="B1271" s="5">
        <v>45943</v>
      </c>
      <c r="C1271" t="s">
        <v>3045</v>
      </c>
      <c r="D1271" t="s">
        <v>4818</v>
      </c>
      <c r="E1271" t="s">
        <v>4867</v>
      </c>
      <c r="F1271">
        <v>42</v>
      </c>
      <c r="G1271" t="s">
        <v>4873</v>
      </c>
      <c r="H1271" t="s">
        <v>4888</v>
      </c>
      <c r="I1271" t="s">
        <v>4896</v>
      </c>
      <c r="J1271" t="s">
        <v>4908</v>
      </c>
      <c r="K1271" t="s">
        <v>4933</v>
      </c>
      <c r="L1271" t="s">
        <v>4938</v>
      </c>
      <c r="M1271" t="s">
        <v>4942</v>
      </c>
      <c r="N1271" s="11">
        <v>775.54</v>
      </c>
      <c r="O1271" t="s">
        <v>4947</v>
      </c>
      <c r="P1271" t="s">
        <v>4951</v>
      </c>
      <c r="S1271" t="str">
        <f t="shared" si="57"/>
        <v>Middle-Aged</v>
      </c>
      <c r="T1271" t="str">
        <f t="shared" si="58"/>
        <v>Low</v>
      </c>
      <c r="U1271" t="str">
        <f t="shared" si="59"/>
        <v>Short Days</v>
      </c>
    </row>
    <row r="1272" spans="1:21">
      <c r="A1272" t="s">
        <v>1288</v>
      </c>
      <c r="B1272" s="5">
        <v>45950</v>
      </c>
      <c r="C1272" t="s">
        <v>3542</v>
      </c>
      <c r="D1272" t="s">
        <v>4745</v>
      </c>
      <c r="E1272" t="s">
        <v>4867</v>
      </c>
      <c r="F1272">
        <v>18</v>
      </c>
      <c r="G1272" t="s">
        <v>4880</v>
      </c>
      <c r="H1272" t="s">
        <v>4890</v>
      </c>
      <c r="I1272" t="s">
        <v>4902</v>
      </c>
      <c r="J1272" t="s">
        <v>4920</v>
      </c>
      <c r="K1272" t="s">
        <v>4925</v>
      </c>
      <c r="L1272" t="s">
        <v>4936</v>
      </c>
      <c r="M1272" t="s">
        <v>4942</v>
      </c>
      <c r="N1272" s="11">
        <v>11951.7</v>
      </c>
      <c r="O1272" t="s">
        <v>4946</v>
      </c>
      <c r="P1272" t="s">
        <v>4951</v>
      </c>
      <c r="S1272" t="str">
        <f t="shared" si="57"/>
        <v>Adult</v>
      </c>
      <c r="T1272" t="str">
        <f t="shared" si="58"/>
        <v>High</v>
      </c>
      <c r="U1272" t="str">
        <f t="shared" si="59"/>
        <v>Short Days</v>
      </c>
    </row>
    <row r="1273" spans="1:21">
      <c r="A1273" t="s">
        <v>1289</v>
      </c>
      <c r="B1273" s="5">
        <v>45862</v>
      </c>
      <c r="C1273" t="s">
        <v>3974</v>
      </c>
      <c r="D1273" t="s">
        <v>4820</v>
      </c>
      <c r="E1273" t="s">
        <v>4866</v>
      </c>
      <c r="F1273">
        <v>55</v>
      </c>
      <c r="G1273" t="s">
        <v>4869</v>
      </c>
      <c r="H1273" t="s">
        <v>4884</v>
      </c>
      <c r="I1273" t="s">
        <v>4895</v>
      </c>
      <c r="J1273" t="s">
        <v>4915</v>
      </c>
      <c r="K1273" t="s">
        <v>4928</v>
      </c>
      <c r="L1273" t="s">
        <v>4938</v>
      </c>
      <c r="M1273" t="s">
        <v>4942</v>
      </c>
      <c r="N1273" s="11">
        <v>6512.97</v>
      </c>
      <c r="O1273" t="s">
        <v>15</v>
      </c>
      <c r="P1273" t="s">
        <v>4952</v>
      </c>
      <c r="S1273" t="str">
        <f t="shared" si="57"/>
        <v>Middle-Aged</v>
      </c>
      <c r="T1273" t="str">
        <f t="shared" si="58"/>
        <v>Medium</v>
      </c>
      <c r="U1273" t="str">
        <f t="shared" si="59"/>
        <v>Short Days</v>
      </c>
    </row>
    <row r="1274" spans="1:21">
      <c r="A1274" t="s">
        <v>1290</v>
      </c>
      <c r="B1274" s="5">
        <v>45753</v>
      </c>
      <c r="C1274" t="s">
        <v>3975</v>
      </c>
      <c r="D1274" t="s">
        <v>4653</v>
      </c>
      <c r="E1274" t="s">
        <v>4866</v>
      </c>
      <c r="F1274">
        <v>76</v>
      </c>
      <c r="G1274" t="s">
        <v>4872</v>
      </c>
      <c r="H1274" t="s">
        <v>4887</v>
      </c>
      <c r="I1274" t="s">
        <v>4899</v>
      </c>
      <c r="J1274" t="s">
        <v>4912</v>
      </c>
      <c r="K1274" t="s">
        <v>4930</v>
      </c>
      <c r="L1274" t="s">
        <v>4934</v>
      </c>
      <c r="M1274" t="s">
        <v>4944</v>
      </c>
      <c r="N1274" s="11">
        <v>6438.17</v>
      </c>
      <c r="O1274" t="s">
        <v>4946</v>
      </c>
      <c r="P1274" t="s">
        <v>4951</v>
      </c>
      <c r="R1274">
        <v>7</v>
      </c>
      <c r="S1274" t="str">
        <f t="shared" si="57"/>
        <v>Senior</v>
      </c>
      <c r="T1274" t="str">
        <f t="shared" si="58"/>
        <v>Medium</v>
      </c>
      <c r="U1274" t="str">
        <f t="shared" si="59"/>
        <v>Short Days</v>
      </c>
    </row>
    <row r="1275" spans="1:21">
      <c r="A1275" t="s">
        <v>1291</v>
      </c>
      <c r="B1275" s="5">
        <v>45711</v>
      </c>
      <c r="C1275" t="s">
        <v>3976</v>
      </c>
      <c r="D1275" t="s">
        <v>4840</v>
      </c>
      <c r="E1275" t="s">
        <v>4867</v>
      </c>
      <c r="F1275">
        <v>10</v>
      </c>
      <c r="G1275" t="s">
        <v>4870</v>
      </c>
      <c r="H1275" t="s">
        <v>4885</v>
      </c>
      <c r="I1275" t="s">
        <v>4902</v>
      </c>
      <c r="J1275" t="s">
        <v>4916</v>
      </c>
      <c r="K1275" t="s">
        <v>4926</v>
      </c>
      <c r="L1275" t="s">
        <v>4940</v>
      </c>
      <c r="M1275" t="s">
        <v>4942</v>
      </c>
      <c r="N1275" s="11">
        <v>7726.31</v>
      </c>
      <c r="O1275" t="s">
        <v>4946</v>
      </c>
      <c r="P1275" t="s">
        <v>4951</v>
      </c>
      <c r="R1275">
        <v>30</v>
      </c>
      <c r="S1275" t="str">
        <f t="shared" si="57"/>
        <v>Child</v>
      </c>
      <c r="T1275" t="str">
        <f t="shared" si="58"/>
        <v>Medium</v>
      </c>
      <c r="U1275" t="str">
        <f t="shared" si="59"/>
        <v>Short Days</v>
      </c>
    </row>
    <row r="1276" spans="1:21">
      <c r="A1276" t="s">
        <v>1292</v>
      </c>
      <c r="B1276" s="5">
        <v>45807</v>
      </c>
      <c r="C1276" t="s">
        <v>3977</v>
      </c>
      <c r="D1276" t="s">
        <v>4630</v>
      </c>
      <c r="E1276" t="s">
        <v>4867</v>
      </c>
      <c r="F1276">
        <v>0</v>
      </c>
      <c r="G1276" t="s">
        <v>4875</v>
      </c>
      <c r="H1276" t="s">
        <v>4889</v>
      </c>
      <c r="I1276" t="s">
        <v>4895</v>
      </c>
      <c r="J1276" t="s">
        <v>4915</v>
      </c>
      <c r="K1276" t="s">
        <v>4927</v>
      </c>
      <c r="L1276" t="s">
        <v>4936</v>
      </c>
      <c r="M1276" t="s">
        <v>4942</v>
      </c>
      <c r="N1276" s="11">
        <v>5096.43</v>
      </c>
      <c r="O1276" t="s">
        <v>4947</v>
      </c>
      <c r="P1276" t="s">
        <v>4951</v>
      </c>
      <c r="R1276">
        <v>30</v>
      </c>
      <c r="S1276" t="str">
        <f t="shared" si="57"/>
        <v>Child</v>
      </c>
      <c r="T1276" t="str">
        <f t="shared" si="58"/>
        <v>Medium</v>
      </c>
      <c r="U1276" t="str">
        <f t="shared" si="59"/>
        <v>Short Days</v>
      </c>
    </row>
    <row r="1277" spans="1:21">
      <c r="A1277" t="s">
        <v>1293</v>
      </c>
      <c r="B1277" s="5">
        <v>45565</v>
      </c>
      <c r="C1277" t="s">
        <v>3938</v>
      </c>
      <c r="D1277" t="s">
        <v>4670</v>
      </c>
      <c r="E1277" t="s">
        <v>4866</v>
      </c>
      <c r="F1277">
        <v>29</v>
      </c>
      <c r="G1277" t="s">
        <v>4882</v>
      </c>
      <c r="H1277" t="s">
        <v>4891</v>
      </c>
      <c r="I1277" t="s">
        <v>4902</v>
      </c>
      <c r="J1277" t="s">
        <v>4920</v>
      </c>
      <c r="K1277" t="s">
        <v>4929</v>
      </c>
      <c r="L1277" t="s">
        <v>4937</v>
      </c>
      <c r="M1277" t="s">
        <v>4942</v>
      </c>
      <c r="N1277" s="11">
        <v>7979.33</v>
      </c>
      <c r="O1277" t="s">
        <v>15</v>
      </c>
      <c r="P1277" t="s">
        <v>4952</v>
      </c>
      <c r="R1277">
        <v>7</v>
      </c>
      <c r="S1277" t="str">
        <f t="shared" si="57"/>
        <v>Adult</v>
      </c>
      <c r="T1277" t="str">
        <f t="shared" si="58"/>
        <v>Medium</v>
      </c>
      <c r="U1277" t="str">
        <f t="shared" si="59"/>
        <v>Short Days</v>
      </c>
    </row>
    <row r="1278" spans="1:21">
      <c r="A1278" t="s">
        <v>1294</v>
      </c>
      <c r="B1278" s="5">
        <v>45961</v>
      </c>
      <c r="C1278" t="s">
        <v>3978</v>
      </c>
      <c r="D1278" t="s">
        <v>4633</v>
      </c>
      <c r="E1278" t="s">
        <v>4867</v>
      </c>
      <c r="F1278">
        <v>18</v>
      </c>
      <c r="G1278" t="s">
        <v>4883</v>
      </c>
      <c r="H1278" t="s">
        <v>4892</v>
      </c>
      <c r="I1278" t="s">
        <v>4893</v>
      </c>
      <c r="J1278" t="s">
        <v>4903</v>
      </c>
      <c r="K1278" t="s">
        <v>4932</v>
      </c>
      <c r="L1278" t="s">
        <v>4939</v>
      </c>
      <c r="M1278" t="s">
        <v>4945</v>
      </c>
      <c r="N1278" s="11">
        <v>6205.34</v>
      </c>
      <c r="O1278" t="s">
        <v>15</v>
      </c>
      <c r="P1278" t="s">
        <v>4952</v>
      </c>
      <c r="Q1278">
        <v>12</v>
      </c>
      <c r="R1278">
        <v>14</v>
      </c>
      <c r="S1278" t="str">
        <f t="shared" si="57"/>
        <v>Adult</v>
      </c>
      <c r="T1278" t="str">
        <f t="shared" si="58"/>
        <v>Medium</v>
      </c>
      <c r="U1278" t="str">
        <f t="shared" si="59"/>
        <v>Long Days</v>
      </c>
    </row>
    <row r="1279" spans="1:21">
      <c r="A1279" t="s">
        <v>1295</v>
      </c>
      <c r="B1279" s="5">
        <v>45445</v>
      </c>
      <c r="C1279" t="s">
        <v>3032</v>
      </c>
      <c r="D1279" t="s">
        <v>4819</v>
      </c>
      <c r="E1279" t="s">
        <v>4866</v>
      </c>
      <c r="F1279">
        <v>72</v>
      </c>
      <c r="G1279" t="s">
        <v>4879</v>
      </c>
      <c r="H1279" t="s">
        <v>4888</v>
      </c>
      <c r="I1279" t="s">
        <v>4902</v>
      </c>
      <c r="J1279" t="s">
        <v>4916</v>
      </c>
      <c r="K1279" t="s">
        <v>4932</v>
      </c>
      <c r="L1279" t="s">
        <v>4941</v>
      </c>
      <c r="M1279" t="s">
        <v>4944</v>
      </c>
      <c r="N1279" s="11">
        <v>5816.49</v>
      </c>
      <c r="O1279" t="s">
        <v>4947</v>
      </c>
      <c r="P1279" t="s">
        <v>4951</v>
      </c>
      <c r="R1279">
        <v>30</v>
      </c>
      <c r="S1279" t="str">
        <f t="shared" si="57"/>
        <v>Senior</v>
      </c>
      <c r="T1279" t="str">
        <f t="shared" si="58"/>
        <v>Medium</v>
      </c>
      <c r="U1279" t="str">
        <f t="shared" si="59"/>
        <v>Short Days</v>
      </c>
    </row>
    <row r="1280" spans="1:21">
      <c r="A1280" t="s">
        <v>1296</v>
      </c>
      <c r="B1280" s="5">
        <v>45352</v>
      </c>
      <c r="C1280" t="s">
        <v>3208</v>
      </c>
      <c r="D1280" t="s">
        <v>4778</v>
      </c>
      <c r="E1280" t="s">
        <v>4866</v>
      </c>
      <c r="F1280">
        <v>26</v>
      </c>
      <c r="G1280" t="s">
        <v>4872</v>
      </c>
      <c r="H1280" t="s">
        <v>4887</v>
      </c>
      <c r="I1280" t="s">
        <v>4901</v>
      </c>
      <c r="J1280" t="s">
        <v>4914</v>
      </c>
      <c r="K1280" t="s">
        <v>4932</v>
      </c>
      <c r="L1280" t="s">
        <v>4939</v>
      </c>
      <c r="M1280" t="s">
        <v>4944</v>
      </c>
      <c r="N1280" s="11">
        <v>22286</v>
      </c>
      <c r="O1280" t="s">
        <v>4947</v>
      </c>
      <c r="P1280" t="s">
        <v>4951</v>
      </c>
      <c r="R1280">
        <v>14</v>
      </c>
      <c r="S1280" t="str">
        <f t="shared" si="57"/>
        <v>Adult</v>
      </c>
      <c r="T1280" t="str">
        <f t="shared" si="58"/>
        <v>High</v>
      </c>
      <c r="U1280" t="str">
        <f t="shared" si="59"/>
        <v>Short Days</v>
      </c>
    </row>
    <row r="1281" spans="1:21">
      <c r="A1281" t="s">
        <v>1297</v>
      </c>
      <c r="B1281" s="5">
        <v>45513</v>
      </c>
      <c r="C1281" t="s">
        <v>3669</v>
      </c>
      <c r="D1281" t="s">
        <v>4675</v>
      </c>
      <c r="E1281" t="s">
        <v>4867</v>
      </c>
      <c r="F1281">
        <v>47</v>
      </c>
      <c r="G1281" t="s">
        <v>4880</v>
      </c>
      <c r="H1281" t="s">
        <v>4890</v>
      </c>
      <c r="I1281" t="s">
        <v>4902</v>
      </c>
      <c r="J1281" t="s">
        <v>4920</v>
      </c>
      <c r="K1281" t="s">
        <v>4929</v>
      </c>
      <c r="L1281" t="s">
        <v>4935</v>
      </c>
      <c r="M1281" t="s">
        <v>4942</v>
      </c>
      <c r="N1281" s="11">
        <v>6731.42</v>
      </c>
      <c r="O1281" t="s">
        <v>4949</v>
      </c>
      <c r="P1281" t="s">
        <v>4951</v>
      </c>
      <c r="S1281" t="str">
        <f t="shared" si="57"/>
        <v>Middle-Aged</v>
      </c>
      <c r="T1281" t="str">
        <f t="shared" si="58"/>
        <v>Medium</v>
      </c>
      <c r="U1281" t="str">
        <f t="shared" si="59"/>
        <v>Short Days</v>
      </c>
    </row>
    <row r="1282" spans="1:21">
      <c r="A1282" t="s">
        <v>1298</v>
      </c>
      <c r="B1282" s="5">
        <v>45673</v>
      </c>
      <c r="C1282" t="s">
        <v>3299</v>
      </c>
      <c r="D1282" t="s">
        <v>4795</v>
      </c>
      <c r="E1282" t="s">
        <v>4866</v>
      </c>
      <c r="F1282">
        <v>50</v>
      </c>
      <c r="G1282" t="s">
        <v>4880</v>
      </c>
      <c r="H1282" t="s">
        <v>4890</v>
      </c>
      <c r="I1282" t="s">
        <v>4898</v>
      </c>
      <c r="J1282" t="s">
        <v>4923</v>
      </c>
      <c r="K1282" t="s">
        <v>4927</v>
      </c>
      <c r="L1282" t="s">
        <v>4936</v>
      </c>
      <c r="M1282" t="s">
        <v>4942</v>
      </c>
      <c r="N1282" s="11">
        <v>1217.54</v>
      </c>
      <c r="O1282" t="s">
        <v>4949</v>
      </c>
      <c r="P1282" t="s">
        <v>4951</v>
      </c>
      <c r="R1282">
        <v>7</v>
      </c>
      <c r="S1282" t="str">
        <f t="shared" si="57"/>
        <v>Middle-Aged</v>
      </c>
      <c r="T1282" t="str">
        <f t="shared" si="58"/>
        <v>Low</v>
      </c>
      <c r="U1282" t="str">
        <f t="shared" si="59"/>
        <v>Short Days</v>
      </c>
    </row>
    <row r="1283" spans="1:21">
      <c r="A1283" t="s">
        <v>1299</v>
      </c>
      <c r="B1283" s="5">
        <v>45797</v>
      </c>
      <c r="C1283" t="s">
        <v>3705</v>
      </c>
      <c r="D1283" t="s">
        <v>4594</v>
      </c>
      <c r="E1283" t="s">
        <v>4867</v>
      </c>
      <c r="F1283">
        <v>54</v>
      </c>
      <c r="G1283" t="s">
        <v>4881</v>
      </c>
      <c r="H1283" t="s">
        <v>4881</v>
      </c>
      <c r="I1283" t="s">
        <v>4899</v>
      </c>
      <c r="J1283" t="s">
        <v>4911</v>
      </c>
      <c r="K1283" t="s">
        <v>4933</v>
      </c>
      <c r="L1283" t="s">
        <v>4940</v>
      </c>
      <c r="M1283" t="s">
        <v>4942</v>
      </c>
      <c r="N1283" s="11">
        <v>101.46</v>
      </c>
      <c r="O1283" t="s">
        <v>15</v>
      </c>
      <c r="P1283" t="s">
        <v>4952</v>
      </c>
      <c r="R1283">
        <v>30</v>
      </c>
      <c r="S1283" t="str">
        <f t="shared" ref="S1283:S1346" si="60">IF(F1283&lt;18,"Child",IF(F1283&lt;=40,"Adult",IF(F1283&lt;=60,"Middle-Aged",IF(F1283,"Senior"))))</f>
        <v>Middle-Aged</v>
      </c>
      <c r="T1283" t="str">
        <f t="shared" ref="T1283:T1346" si="61">IF(N1283&lt;=5000,"Low",IF(N1283&lt;=10000,"Medium","High"))</f>
        <v>Low</v>
      </c>
      <c r="U1283" t="str">
        <f t="shared" ref="U1283:U1346" si="62">IF(Q1283&lt;=5,"Short Days","Long Days")</f>
        <v>Short Days</v>
      </c>
    </row>
    <row r="1284" spans="1:21">
      <c r="A1284" t="s">
        <v>1300</v>
      </c>
      <c r="B1284" s="5">
        <v>45944</v>
      </c>
      <c r="C1284" t="s">
        <v>3041</v>
      </c>
      <c r="D1284" t="s">
        <v>4794</v>
      </c>
      <c r="E1284" t="s">
        <v>4866</v>
      </c>
      <c r="F1284">
        <v>32</v>
      </c>
      <c r="G1284" t="s">
        <v>4880</v>
      </c>
      <c r="H1284" t="s">
        <v>4890</v>
      </c>
      <c r="I1284" t="s">
        <v>4897</v>
      </c>
      <c r="J1284" t="s">
        <v>4907</v>
      </c>
      <c r="K1284" t="s">
        <v>4928</v>
      </c>
      <c r="L1284" t="s">
        <v>4940</v>
      </c>
      <c r="M1284" t="s">
        <v>4942</v>
      </c>
      <c r="N1284" s="11">
        <v>7908.29</v>
      </c>
      <c r="O1284" t="s">
        <v>15</v>
      </c>
      <c r="P1284" t="s">
        <v>4952</v>
      </c>
      <c r="R1284">
        <v>7</v>
      </c>
      <c r="S1284" t="str">
        <f t="shared" si="60"/>
        <v>Adult</v>
      </c>
      <c r="T1284" t="str">
        <f t="shared" si="61"/>
        <v>Medium</v>
      </c>
      <c r="U1284" t="str">
        <f t="shared" si="62"/>
        <v>Short Days</v>
      </c>
    </row>
    <row r="1285" spans="1:21">
      <c r="A1285" t="s">
        <v>1301</v>
      </c>
      <c r="B1285" s="5">
        <v>45912</v>
      </c>
      <c r="C1285" t="s">
        <v>3489</v>
      </c>
      <c r="D1285" t="s">
        <v>4726</v>
      </c>
      <c r="E1285" t="s">
        <v>4866</v>
      </c>
      <c r="F1285">
        <v>81</v>
      </c>
      <c r="G1285" t="s">
        <v>4881</v>
      </c>
      <c r="H1285" t="s">
        <v>4881</v>
      </c>
      <c r="I1285" t="s">
        <v>4894</v>
      </c>
      <c r="J1285" t="s">
        <v>4904</v>
      </c>
      <c r="K1285" t="s">
        <v>4927</v>
      </c>
      <c r="L1285" t="s">
        <v>4935</v>
      </c>
      <c r="M1285" t="s">
        <v>4942</v>
      </c>
      <c r="N1285" s="11">
        <v>19776.849999999999</v>
      </c>
      <c r="O1285" t="s">
        <v>4947</v>
      </c>
      <c r="P1285" t="s">
        <v>4951</v>
      </c>
      <c r="R1285">
        <v>14</v>
      </c>
      <c r="S1285" t="str">
        <f t="shared" si="60"/>
        <v>Senior</v>
      </c>
      <c r="T1285" t="str">
        <f t="shared" si="61"/>
        <v>High</v>
      </c>
      <c r="U1285" t="str">
        <f t="shared" si="62"/>
        <v>Short Days</v>
      </c>
    </row>
    <row r="1286" spans="1:21">
      <c r="A1286" t="s">
        <v>1302</v>
      </c>
      <c r="B1286" s="5">
        <v>45942</v>
      </c>
      <c r="C1286" t="s">
        <v>3979</v>
      </c>
      <c r="D1286" t="s">
        <v>4813</v>
      </c>
      <c r="E1286" t="s">
        <v>4867</v>
      </c>
      <c r="F1286">
        <v>38</v>
      </c>
      <c r="G1286" t="s">
        <v>4869</v>
      </c>
      <c r="H1286" t="s">
        <v>4884</v>
      </c>
      <c r="I1286" t="s">
        <v>4900</v>
      </c>
      <c r="J1286" t="s">
        <v>4913</v>
      </c>
      <c r="K1286" t="s">
        <v>4930</v>
      </c>
      <c r="L1286" t="s">
        <v>4938</v>
      </c>
      <c r="M1286" t="s">
        <v>4945</v>
      </c>
      <c r="N1286" s="11">
        <v>9698.48</v>
      </c>
      <c r="O1286" t="s">
        <v>4947</v>
      </c>
      <c r="P1286" t="s">
        <v>4951</v>
      </c>
      <c r="Q1286">
        <v>5</v>
      </c>
      <c r="R1286">
        <v>14</v>
      </c>
      <c r="S1286" t="str">
        <f t="shared" si="60"/>
        <v>Adult</v>
      </c>
      <c r="T1286" t="str">
        <f t="shared" si="61"/>
        <v>Medium</v>
      </c>
      <c r="U1286" t="str">
        <f t="shared" si="62"/>
        <v>Short Days</v>
      </c>
    </row>
    <row r="1287" spans="1:21">
      <c r="A1287" t="s">
        <v>1303</v>
      </c>
      <c r="B1287" s="5">
        <v>45429</v>
      </c>
      <c r="C1287" t="s">
        <v>3980</v>
      </c>
      <c r="D1287" t="s">
        <v>4785</v>
      </c>
      <c r="E1287" t="s">
        <v>4867</v>
      </c>
      <c r="F1287">
        <v>40</v>
      </c>
      <c r="G1287" t="s">
        <v>4873</v>
      </c>
      <c r="H1287" t="s">
        <v>4888</v>
      </c>
      <c r="I1287" t="s">
        <v>4894</v>
      </c>
      <c r="J1287" t="s">
        <v>4904</v>
      </c>
      <c r="K1287" t="s">
        <v>4927</v>
      </c>
      <c r="L1287" t="s">
        <v>4940</v>
      </c>
      <c r="M1287" t="s">
        <v>4942</v>
      </c>
      <c r="N1287" s="11">
        <v>2008.32</v>
      </c>
      <c r="O1287" t="s">
        <v>4948</v>
      </c>
      <c r="P1287" t="s">
        <v>4951</v>
      </c>
      <c r="R1287">
        <v>90</v>
      </c>
      <c r="S1287" t="str">
        <f t="shared" si="60"/>
        <v>Adult</v>
      </c>
      <c r="T1287" t="str">
        <f t="shared" si="61"/>
        <v>Low</v>
      </c>
      <c r="U1287" t="str">
        <f t="shared" si="62"/>
        <v>Short Days</v>
      </c>
    </row>
    <row r="1288" spans="1:21">
      <c r="A1288" t="s">
        <v>1304</v>
      </c>
      <c r="B1288" s="5">
        <v>45504</v>
      </c>
      <c r="C1288" t="s">
        <v>3092</v>
      </c>
      <c r="D1288" t="s">
        <v>4862</v>
      </c>
      <c r="E1288" t="s">
        <v>4866</v>
      </c>
      <c r="F1288">
        <v>45</v>
      </c>
      <c r="G1288" t="s">
        <v>4873</v>
      </c>
      <c r="H1288" t="s">
        <v>4888</v>
      </c>
      <c r="I1288" t="s">
        <v>4901</v>
      </c>
      <c r="J1288" t="s">
        <v>4921</v>
      </c>
      <c r="K1288" t="s">
        <v>4927</v>
      </c>
      <c r="L1288" t="s">
        <v>4936</v>
      </c>
      <c r="M1288" t="s">
        <v>4943</v>
      </c>
      <c r="N1288" s="11">
        <v>8347.2099999999991</v>
      </c>
      <c r="O1288" t="s">
        <v>4947</v>
      </c>
      <c r="P1288" t="s">
        <v>4951</v>
      </c>
      <c r="R1288">
        <v>7</v>
      </c>
      <c r="S1288" t="str">
        <f t="shared" si="60"/>
        <v>Middle-Aged</v>
      </c>
      <c r="T1288" t="str">
        <f t="shared" si="61"/>
        <v>Medium</v>
      </c>
      <c r="U1288" t="str">
        <f t="shared" si="62"/>
        <v>Short Days</v>
      </c>
    </row>
    <row r="1289" spans="1:21">
      <c r="A1289" t="s">
        <v>1305</v>
      </c>
      <c r="B1289" s="5">
        <v>45352</v>
      </c>
      <c r="C1289" t="s">
        <v>3981</v>
      </c>
      <c r="D1289" t="s">
        <v>4826</v>
      </c>
      <c r="E1289" t="s">
        <v>4866</v>
      </c>
      <c r="F1289">
        <v>10</v>
      </c>
      <c r="G1289" t="s">
        <v>4883</v>
      </c>
      <c r="H1289" t="s">
        <v>4892</v>
      </c>
      <c r="I1289" t="s">
        <v>4899</v>
      </c>
      <c r="J1289" t="s">
        <v>4912</v>
      </c>
      <c r="K1289" t="s">
        <v>4933</v>
      </c>
      <c r="L1289" t="s">
        <v>4938</v>
      </c>
      <c r="M1289" t="s">
        <v>4942</v>
      </c>
      <c r="N1289" s="11">
        <v>9329.35</v>
      </c>
      <c r="O1289" t="s">
        <v>15</v>
      </c>
      <c r="P1289" t="s">
        <v>4952</v>
      </c>
      <c r="R1289">
        <v>90</v>
      </c>
      <c r="S1289" t="str">
        <f t="shared" si="60"/>
        <v>Child</v>
      </c>
      <c r="T1289" t="str">
        <f t="shared" si="61"/>
        <v>Medium</v>
      </c>
      <c r="U1289" t="str">
        <f t="shared" si="62"/>
        <v>Short Days</v>
      </c>
    </row>
    <row r="1290" spans="1:21">
      <c r="A1290" t="s">
        <v>1306</v>
      </c>
      <c r="B1290" s="5">
        <v>45590</v>
      </c>
      <c r="C1290" t="s">
        <v>3819</v>
      </c>
      <c r="D1290" t="s">
        <v>4759</v>
      </c>
      <c r="E1290" t="s">
        <v>4867</v>
      </c>
      <c r="F1290">
        <v>16</v>
      </c>
      <c r="G1290" t="s">
        <v>4883</v>
      </c>
      <c r="H1290" t="s">
        <v>4892</v>
      </c>
      <c r="I1290" t="s">
        <v>4897</v>
      </c>
      <c r="J1290" t="s">
        <v>4907</v>
      </c>
      <c r="K1290" t="s">
        <v>4928</v>
      </c>
      <c r="L1290" t="s">
        <v>4934</v>
      </c>
      <c r="M1290" t="s">
        <v>4942</v>
      </c>
      <c r="N1290" s="11">
        <v>7317.11</v>
      </c>
      <c r="O1290" t="s">
        <v>4946</v>
      </c>
      <c r="P1290" t="s">
        <v>4951</v>
      </c>
      <c r="R1290">
        <v>7</v>
      </c>
      <c r="S1290" t="str">
        <f t="shared" si="60"/>
        <v>Child</v>
      </c>
      <c r="T1290" t="str">
        <f t="shared" si="61"/>
        <v>Medium</v>
      </c>
      <c r="U1290" t="str">
        <f t="shared" si="62"/>
        <v>Short Days</v>
      </c>
    </row>
    <row r="1291" spans="1:21">
      <c r="A1291" t="s">
        <v>1307</v>
      </c>
      <c r="B1291" s="5">
        <v>45958</v>
      </c>
      <c r="C1291" t="s">
        <v>3642</v>
      </c>
      <c r="D1291" t="s">
        <v>4712</v>
      </c>
      <c r="E1291" t="s">
        <v>4867</v>
      </c>
      <c r="F1291">
        <v>25</v>
      </c>
      <c r="G1291" t="s">
        <v>4873</v>
      </c>
      <c r="H1291" t="s">
        <v>4888</v>
      </c>
      <c r="I1291" t="s">
        <v>4897</v>
      </c>
      <c r="J1291" t="s">
        <v>4907</v>
      </c>
      <c r="K1291" t="s">
        <v>4933</v>
      </c>
      <c r="L1291" t="s">
        <v>4939</v>
      </c>
      <c r="M1291" t="s">
        <v>4944</v>
      </c>
      <c r="N1291" s="11">
        <v>18798.59</v>
      </c>
      <c r="O1291" t="s">
        <v>4946</v>
      </c>
      <c r="P1291" t="s">
        <v>4951</v>
      </c>
      <c r="S1291" t="str">
        <f t="shared" si="60"/>
        <v>Adult</v>
      </c>
      <c r="T1291" t="str">
        <f t="shared" si="61"/>
        <v>High</v>
      </c>
      <c r="U1291" t="str">
        <f t="shared" si="62"/>
        <v>Short Days</v>
      </c>
    </row>
    <row r="1292" spans="1:21">
      <c r="A1292" t="s">
        <v>1308</v>
      </c>
      <c r="B1292" s="5">
        <v>45671</v>
      </c>
      <c r="C1292" t="s">
        <v>3341</v>
      </c>
      <c r="D1292" t="s">
        <v>4843</v>
      </c>
      <c r="E1292" t="s">
        <v>4867</v>
      </c>
      <c r="F1292">
        <v>62</v>
      </c>
      <c r="G1292" t="s">
        <v>4875</v>
      </c>
      <c r="H1292" t="s">
        <v>4889</v>
      </c>
      <c r="I1292" t="s">
        <v>4899</v>
      </c>
      <c r="J1292" t="s">
        <v>4912</v>
      </c>
      <c r="K1292" t="s">
        <v>4933</v>
      </c>
      <c r="L1292" t="s">
        <v>4939</v>
      </c>
      <c r="M1292" t="s">
        <v>4944</v>
      </c>
      <c r="N1292" s="11">
        <v>13837.11</v>
      </c>
      <c r="O1292" t="s">
        <v>4946</v>
      </c>
      <c r="P1292" t="s">
        <v>4951</v>
      </c>
      <c r="S1292" t="str">
        <f t="shared" si="60"/>
        <v>Senior</v>
      </c>
      <c r="T1292" t="str">
        <f t="shared" si="61"/>
        <v>High</v>
      </c>
      <c r="U1292" t="str">
        <f t="shared" si="62"/>
        <v>Short Days</v>
      </c>
    </row>
    <row r="1293" spans="1:21">
      <c r="A1293" t="s">
        <v>1309</v>
      </c>
      <c r="B1293" s="5">
        <v>45351</v>
      </c>
      <c r="C1293" t="s">
        <v>3514</v>
      </c>
      <c r="D1293" t="s">
        <v>4690</v>
      </c>
      <c r="E1293" t="s">
        <v>4867</v>
      </c>
      <c r="F1293">
        <v>39</v>
      </c>
      <c r="G1293" t="s">
        <v>4878</v>
      </c>
      <c r="H1293" t="s">
        <v>4889</v>
      </c>
      <c r="I1293" t="s">
        <v>4899</v>
      </c>
      <c r="J1293" t="s">
        <v>4911</v>
      </c>
      <c r="K1293" t="s">
        <v>4929</v>
      </c>
      <c r="L1293" t="s">
        <v>4940</v>
      </c>
      <c r="M1293" t="s">
        <v>4942</v>
      </c>
      <c r="N1293" s="11">
        <v>8555.7000000000007</v>
      </c>
      <c r="O1293" t="s">
        <v>4948</v>
      </c>
      <c r="P1293" t="s">
        <v>4951</v>
      </c>
      <c r="R1293">
        <v>30</v>
      </c>
      <c r="S1293" t="str">
        <f t="shared" si="60"/>
        <v>Adult</v>
      </c>
      <c r="T1293" t="str">
        <f t="shared" si="61"/>
        <v>Medium</v>
      </c>
      <c r="U1293" t="str">
        <f t="shared" si="62"/>
        <v>Short Days</v>
      </c>
    </row>
    <row r="1294" spans="1:21">
      <c r="A1294" t="s">
        <v>1310</v>
      </c>
      <c r="B1294" s="5">
        <v>45815</v>
      </c>
      <c r="C1294" t="s">
        <v>3097</v>
      </c>
      <c r="D1294" t="s">
        <v>4650</v>
      </c>
      <c r="E1294" t="s">
        <v>4867</v>
      </c>
      <c r="F1294">
        <v>56</v>
      </c>
      <c r="G1294" t="s">
        <v>4880</v>
      </c>
      <c r="H1294" t="s">
        <v>4890</v>
      </c>
      <c r="I1294" t="s">
        <v>4898</v>
      </c>
      <c r="J1294" t="s">
        <v>4909</v>
      </c>
      <c r="K1294" t="s">
        <v>4930</v>
      </c>
      <c r="L1294" t="s">
        <v>4935</v>
      </c>
      <c r="M1294" t="s">
        <v>4944</v>
      </c>
      <c r="N1294" s="11">
        <v>8699.74</v>
      </c>
      <c r="O1294" t="s">
        <v>4947</v>
      </c>
      <c r="P1294" t="s">
        <v>4951</v>
      </c>
      <c r="S1294" t="str">
        <f t="shared" si="60"/>
        <v>Middle-Aged</v>
      </c>
      <c r="T1294" t="str">
        <f t="shared" si="61"/>
        <v>Medium</v>
      </c>
      <c r="U1294" t="str">
        <f t="shared" si="62"/>
        <v>Short Days</v>
      </c>
    </row>
    <row r="1295" spans="1:21">
      <c r="A1295" t="s">
        <v>1311</v>
      </c>
      <c r="B1295" s="5">
        <v>45647</v>
      </c>
      <c r="C1295" t="s">
        <v>3726</v>
      </c>
      <c r="D1295" t="s">
        <v>4633</v>
      </c>
      <c r="E1295" t="s">
        <v>4867</v>
      </c>
      <c r="F1295">
        <v>7</v>
      </c>
      <c r="G1295" t="s">
        <v>4870</v>
      </c>
      <c r="H1295" t="s">
        <v>4885</v>
      </c>
      <c r="I1295" t="s">
        <v>4893</v>
      </c>
      <c r="J1295" t="s">
        <v>4917</v>
      </c>
      <c r="K1295" t="s">
        <v>4931</v>
      </c>
      <c r="L1295" t="s">
        <v>4939</v>
      </c>
      <c r="M1295" t="s">
        <v>4944</v>
      </c>
      <c r="N1295" s="11">
        <v>6092.27</v>
      </c>
      <c r="O1295" t="s">
        <v>4948</v>
      </c>
      <c r="P1295" t="s">
        <v>4951</v>
      </c>
      <c r="S1295" t="str">
        <f t="shared" si="60"/>
        <v>Child</v>
      </c>
      <c r="T1295" t="str">
        <f t="shared" si="61"/>
        <v>Medium</v>
      </c>
      <c r="U1295" t="str">
        <f t="shared" si="62"/>
        <v>Short Days</v>
      </c>
    </row>
    <row r="1296" spans="1:21">
      <c r="A1296" t="s">
        <v>1312</v>
      </c>
      <c r="B1296" s="5">
        <v>45355</v>
      </c>
      <c r="C1296" t="s">
        <v>3982</v>
      </c>
      <c r="D1296" t="s">
        <v>4619</v>
      </c>
      <c r="E1296" t="s">
        <v>4867</v>
      </c>
      <c r="F1296">
        <v>37</v>
      </c>
      <c r="G1296" t="s">
        <v>4874</v>
      </c>
      <c r="H1296" t="s">
        <v>4886</v>
      </c>
      <c r="I1296" t="s">
        <v>4902</v>
      </c>
      <c r="J1296" t="s">
        <v>4920</v>
      </c>
      <c r="K1296" t="s">
        <v>4928</v>
      </c>
      <c r="L1296" t="s">
        <v>4941</v>
      </c>
      <c r="M1296" t="s">
        <v>4944</v>
      </c>
      <c r="N1296" s="11">
        <v>10457.08</v>
      </c>
      <c r="O1296" t="s">
        <v>4947</v>
      </c>
      <c r="P1296" t="s">
        <v>4951</v>
      </c>
      <c r="R1296">
        <v>30</v>
      </c>
      <c r="S1296" t="str">
        <f t="shared" si="60"/>
        <v>Adult</v>
      </c>
      <c r="T1296" t="str">
        <f t="shared" si="61"/>
        <v>High</v>
      </c>
      <c r="U1296" t="str">
        <f t="shared" si="62"/>
        <v>Short Days</v>
      </c>
    </row>
    <row r="1297" spans="1:21">
      <c r="A1297" t="s">
        <v>1313</v>
      </c>
      <c r="B1297" s="5">
        <v>45874</v>
      </c>
      <c r="C1297" t="s">
        <v>3131</v>
      </c>
      <c r="D1297" t="s">
        <v>4827</v>
      </c>
      <c r="E1297" t="s">
        <v>4866</v>
      </c>
      <c r="F1297">
        <v>58</v>
      </c>
      <c r="G1297" t="s">
        <v>4881</v>
      </c>
      <c r="H1297" t="s">
        <v>4881</v>
      </c>
      <c r="I1297" t="s">
        <v>4899</v>
      </c>
      <c r="J1297" t="s">
        <v>4911</v>
      </c>
      <c r="K1297" t="s">
        <v>4927</v>
      </c>
      <c r="L1297" t="s">
        <v>4937</v>
      </c>
      <c r="M1297" t="s">
        <v>4942</v>
      </c>
      <c r="N1297" s="11">
        <v>2236.83</v>
      </c>
      <c r="O1297" t="s">
        <v>4949</v>
      </c>
      <c r="P1297" t="s">
        <v>4951</v>
      </c>
      <c r="R1297">
        <v>14</v>
      </c>
      <c r="S1297" t="str">
        <f t="shared" si="60"/>
        <v>Middle-Aged</v>
      </c>
      <c r="T1297" t="str">
        <f t="shared" si="61"/>
        <v>Low</v>
      </c>
      <c r="U1297" t="str">
        <f t="shared" si="62"/>
        <v>Short Days</v>
      </c>
    </row>
    <row r="1298" spans="1:21">
      <c r="A1298" t="s">
        <v>1314</v>
      </c>
      <c r="B1298" s="5">
        <v>45301</v>
      </c>
      <c r="C1298" t="s">
        <v>3070</v>
      </c>
      <c r="D1298" t="s">
        <v>4730</v>
      </c>
      <c r="E1298" t="s">
        <v>4867</v>
      </c>
      <c r="F1298">
        <v>60</v>
      </c>
      <c r="G1298" t="s">
        <v>4869</v>
      </c>
      <c r="H1298" t="s">
        <v>4884</v>
      </c>
      <c r="I1298" t="s">
        <v>4899</v>
      </c>
      <c r="J1298" t="s">
        <v>4912</v>
      </c>
      <c r="K1298" t="s">
        <v>4925</v>
      </c>
      <c r="L1298" t="s">
        <v>4940</v>
      </c>
      <c r="M1298" t="s">
        <v>4942</v>
      </c>
      <c r="N1298" s="11">
        <v>4138.95</v>
      </c>
      <c r="O1298" t="s">
        <v>4948</v>
      </c>
      <c r="P1298" t="s">
        <v>4951</v>
      </c>
      <c r="R1298">
        <v>7</v>
      </c>
      <c r="S1298" t="str">
        <f t="shared" si="60"/>
        <v>Middle-Aged</v>
      </c>
      <c r="T1298" t="str">
        <f t="shared" si="61"/>
        <v>Low</v>
      </c>
      <c r="U1298" t="str">
        <f t="shared" si="62"/>
        <v>Short Days</v>
      </c>
    </row>
    <row r="1299" spans="1:21">
      <c r="A1299" t="s">
        <v>1315</v>
      </c>
      <c r="B1299" s="5">
        <v>45536</v>
      </c>
      <c r="C1299" t="s">
        <v>3983</v>
      </c>
      <c r="D1299" t="s">
        <v>4655</v>
      </c>
      <c r="E1299" t="s">
        <v>4866</v>
      </c>
      <c r="F1299">
        <v>48</v>
      </c>
      <c r="G1299" t="s">
        <v>4880</v>
      </c>
      <c r="H1299" t="s">
        <v>4890</v>
      </c>
      <c r="I1299" t="s">
        <v>4895</v>
      </c>
      <c r="J1299" t="s">
        <v>4915</v>
      </c>
      <c r="K1299" t="s">
        <v>4927</v>
      </c>
      <c r="L1299" t="s">
        <v>4938</v>
      </c>
      <c r="M1299" t="s">
        <v>4942</v>
      </c>
      <c r="N1299" s="11">
        <v>6482.56</v>
      </c>
      <c r="O1299" t="s">
        <v>4947</v>
      </c>
      <c r="P1299" t="s">
        <v>4951</v>
      </c>
      <c r="R1299">
        <v>14</v>
      </c>
      <c r="S1299" t="str">
        <f t="shared" si="60"/>
        <v>Middle-Aged</v>
      </c>
      <c r="T1299" t="str">
        <f t="shared" si="61"/>
        <v>Medium</v>
      </c>
      <c r="U1299" t="str">
        <f t="shared" si="62"/>
        <v>Short Days</v>
      </c>
    </row>
    <row r="1300" spans="1:21">
      <c r="A1300" t="s">
        <v>1316</v>
      </c>
      <c r="B1300" s="5">
        <v>45931</v>
      </c>
      <c r="C1300" t="s">
        <v>3984</v>
      </c>
      <c r="D1300" t="s">
        <v>4719</v>
      </c>
      <c r="E1300" t="s">
        <v>4866</v>
      </c>
      <c r="F1300">
        <v>39</v>
      </c>
      <c r="G1300" t="s">
        <v>4874</v>
      </c>
      <c r="H1300" t="s">
        <v>4886</v>
      </c>
      <c r="I1300" t="s">
        <v>4894</v>
      </c>
      <c r="J1300" t="s">
        <v>4910</v>
      </c>
      <c r="K1300" t="s">
        <v>4932</v>
      </c>
      <c r="L1300" t="s">
        <v>4934</v>
      </c>
      <c r="M1300" t="s">
        <v>4944</v>
      </c>
      <c r="N1300" s="11">
        <v>5183.55</v>
      </c>
      <c r="O1300" t="s">
        <v>15</v>
      </c>
      <c r="P1300" t="s">
        <v>4952</v>
      </c>
      <c r="R1300">
        <v>14</v>
      </c>
      <c r="S1300" t="str">
        <f t="shared" si="60"/>
        <v>Adult</v>
      </c>
      <c r="T1300" t="str">
        <f t="shared" si="61"/>
        <v>Medium</v>
      </c>
      <c r="U1300" t="str">
        <f t="shared" si="62"/>
        <v>Short Days</v>
      </c>
    </row>
    <row r="1301" spans="1:21">
      <c r="A1301" t="s">
        <v>1317</v>
      </c>
      <c r="B1301" s="5">
        <v>45383</v>
      </c>
      <c r="C1301" t="s">
        <v>3985</v>
      </c>
      <c r="D1301" t="s">
        <v>4849</v>
      </c>
      <c r="E1301" t="s">
        <v>4867</v>
      </c>
      <c r="F1301">
        <v>45</v>
      </c>
      <c r="G1301" t="s">
        <v>4869</v>
      </c>
      <c r="H1301" t="s">
        <v>4884</v>
      </c>
      <c r="I1301" t="s">
        <v>4897</v>
      </c>
      <c r="J1301" t="s">
        <v>4922</v>
      </c>
      <c r="K1301" t="s">
        <v>4933</v>
      </c>
      <c r="L1301" t="s">
        <v>4938</v>
      </c>
      <c r="M1301" t="s">
        <v>4942</v>
      </c>
      <c r="N1301" s="11">
        <v>1800.61</v>
      </c>
      <c r="O1301" t="s">
        <v>15</v>
      </c>
      <c r="P1301" t="s">
        <v>4952</v>
      </c>
      <c r="R1301">
        <v>30</v>
      </c>
      <c r="S1301" t="str">
        <f t="shared" si="60"/>
        <v>Middle-Aged</v>
      </c>
      <c r="T1301" t="str">
        <f t="shared" si="61"/>
        <v>Low</v>
      </c>
      <c r="U1301" t="str">
        <f t="shared" si="62"/>
        <v>Short Days</v>
      </c>
    </row>
    <row r="1302" spans="1:21">
      <c r="A1302" t="s">
        <v>1318</v>
      </c>
      <c r="B1302" s="5">
        <v>45376</v>
      </c>
      <c r="C1302" t="s">
        <v>3417</v>
      </c>
      <c r="D1302" t="s">
        <v>4743</v>
      </c>
      <c r="E1302" t="s">
        <v>4867</v>
      </c>
      <c r="F1302">
        <v>0</v>
      </c>
      <c r="G1302" t="s">
        <v>4870</v>
      </c>
      <c r="H1302" t="s">
        <v>4885</v>
      </c>
      <c r="I1302" t="s">
        <v>4902</v>
      </c>
      <c r="J1302" t="s">
        <v>4916</v>
      </c>
      <c r="K1302" t="s">
        <v>4933</v>
      </c>
      <c r="L1302" t="s">
        <v>4939</v>
      </c>
      <c r="M1302" t="s">
        <v>4943</v>
      </c>
      <c r="N1302" s="11">
        <v>11380.16</v>
      </c>
      <c r="O1302" t="s">
        <v>15</v>
      </c>
      <c r="P1302" t="s">
        <v>4952</v>
      </c>
      <c r="R1302">
        <v>7</v>
      </c>
      <c r="S1302" t="str">
        <f t="shared" si="60"/>
        <v>Child</v>
      </c>
      <c r="T1302" t="str">
        <f t="shared" si="61"/>
        <v>High</v>
      </c>
      <c r="U1302" t="str">
        <f t="shared" si="62"/>
        <v>Short Days</v>
      </c>
    </row>
    <row r="1303" spans="1:21">
      <c r="A1303" t="s">
        <v>1319</v>
      </c>
      <c r="B1303" s="5">
        <v>45360</v>
      </c>
      <c r="C1303" t="s">
        <v>3462</v>
      </c>
      <c r="D1303" t="s">
        <v>4758</v>
      </c>
      <c r="E1303" t="s">
        <v>4867</v>
      </c>
      <c r="F1303">
        <v>8</v>
      </c>
      <c r="G1303" t="s">
        <v>4880</v>
      </c>
      <c r="H1303" t="s">
        <v>4890</v>
      </c>
      <c r="I1303" t="s">
        <v>4895</v>
      </c>
      <c r="J1303" t="s">
        <v>4905</v>
      </c>
      <c r="K1303" t="s">
        <v>4926</v>
      </c>
      <c r="L1303" t="s">
        <v>4934</v>
      </c>
      <c r="M1303" t="s">
        <v>4942</v>
      </c>
      <c r="N1303" s="11">
        <v>5451.93</v>
      </c>
      <c r="O1303" t="s">
        <v>15</v>
      </c>
      <c r="P1303" t="s">
        <v>4952</v>
      </c>
      <c r="S1303" t="str">
        <f t="shared" si="60"/>
        <v>Child</v>
      </c>
      <c r="T1303" t="str">
        <f t="shared" si="61"/>
        <v>Medium</v>
      </c>
      <c r="U1303" t="str">
        <f t="shared" si="62"/>
        <v>Short Days</v>
      </c>
    </row>
    <row r="1304" spans="1:21">
      <c r="A1304" t="s">
        <v>1320</v>
      </c>
      <c r="B1304" s="5">
        <v>45579</v>
      </c>
      <c r="C1304" t="s">
        <v>3986</v>
      </c>
      <c r="D1304" t="s">
        <v>4829</v>
      </c>
      <c r="E1304" t="s">
        <v>4866</v>
      </c>
      <c r="F1304">
        <v>19</v>
      </c>
      <c r="G1304" t="s">
        <v>4873</v>
      </c>
      <c r="H1304" t="s">
        <v>4888</v>
      </c>
      <c r="I1304" t="s">
        <v>4900</v>
      </c>
      <c r="J1304" t="s">
        <v>4913</v>
      </c>
      <c r="K1304" t="s">
        <v>4926</v>
      </c>
      <c r="L1304" t="s">
        <v>4938</v>
      </c>
      <c r="M1304" t="s">
        <v>4942</v>
      </c>
      <c r="N1304" s="11">
        <v>1550.33</v>
      </c>
      <c r="O1304" t="s">
        <v>4947</v>
      </c>
      <c r="P1304" t="s">
        <v>4951</v>
      </c>
      <c r="R1304">
        <v>30</v>
      </c>
      <c r="S1304" t="str">
        <f t="shared" si="60"/>
        <v>Adult</v>
      </c>
      <c r="T1304" t="str">
        <f t="shared" si="61"/>
        <v>Low</v>
      </c>
      <c r="U1304" t="str">
        <f t="shared" si="62"/>
        <v>Short Days</v>
      </c>
    </row>
    <row r="1305" spans="1:21">
      <c r="A1305" t="s">
        <v>1321</v>
      </c>
      <c r="B1305" s="5">
        <v>45472</v>
      </c>
      <c r="C1305" t="s">
        <v>3987</v>
      </c>
      <c r="D1305" t="s">
        <v>4607</v>
      </c>
      <c r="E1305" t="s">
        <v>4867</v>
      </c>
      <c r="F1305">
        <v>39</v>
      </c>
      <c r="G1305" t="s">
        <v>4869</v>
      </c>
      <c r="H1305" t="s">
        <v>4884</v>
      </c>
      <c r="I1305" t="s">
        <v>4902</v>
      </c>
      <c r="J1305" t="s">
        <v>4920</v>
      </c>
      <c r="K1305" t="s">
        <v>4924</v>
      </c>
      <c r="L1305" t="s">
        <v>4937</v>
      </c>
      <c r="M1305" t="s">
        <v>4942</v>
      </c>
      <c r="N1305" s="11">
        <v>8700.6200000000008</v>
      </c>
      <c r="O1305" t="s">
        <v>4947</v>
      </c>
      <c r="P1305" t="s">
        <v>4951</v>
      </c>
      <c r="R1305">
        <v>7</v>
      </c>
      <c r="S1305" t="str">
        <f t="shared" si="60"/>
        <v>Adult</v>
      </c>
      <c r="T1305" t="str">
        <f t="shared" si="61"/>
        <v>Medium</v>
      </c>
      <c r="U1305" t="str">
        <f t="shared" si="62"/>
        <v>Short Days</v>
      </c>
    </row>
    <row r="1306" spans="1:21">
      <c r="A1306" t="s">
        <v>1322</v>
      </c>
      <c r="B1306" s="5">
        <v>45914</v>
      </c>
      <c r="C1306" t="s">
        <v>3988</v>
      </c>
      <c r="D1306" t="s">
        <v>4833</v>
      </c>
      <c r="E1306" t="s">
        <v>4867</v>
      </c>
      <c r="F1306">
        <v>65</v>
      </c>
      <c r="G1306" t="s">
        <v>4883</v>
      </c>
      <c r="H1306" t="s">
        <v>4892</v>
      </c>
      <c r="I1306" t="s">
        <v>4901</v>
      </c>
      <c r="J1306" t="s">
        <v>4921</v>
      </c>
      <c r="K1306" t="s">
        <v>4924</v>
      </c>
      <c r="L1306" t="s">
        <v>4940</v>
      </c>
      <c r="M1306" t="s">
        <v>4942</v>
      </c>
      <c r="N1306" s="11">
        <v>5510.41</v>
      </c>
      <c r="O1306" t="s">
        <v>4949</v>
      </c>
      <c r="P1306" t="s">
        <v>4951</v>
      </c>
      <c r="R1306">
        <v>14</v>
      </c>
      <c r="S1306" t="str">
        <f t="shared" si="60"/>
        <v>Senior</v>
      </c>
      <c r="T1306" t="str">
        <f t="shared" si="61"/>
        <v>Medium</v>
      </c>
      <c r="U1306" t="str">
        <f t="shared" si="62"/>
        <v>Short Days</v>
      </c>
    </row>
    <row r="1307" spans="1:21">
      <c r="A1307" t="s">
        <v>1323</v>
      </c>
      <c r="B1307" s="5">
        <v>45672</v>
      </c>
      <c r="C1307" t="s">
        <v>3252</v>
      </c>
      <c r="D1307" t="s">
        <v>4808</v>
      </c>
      <c r="E1307" t="s">
        <v>4866</v>
      </c>
      <c r="F1307">
        <v>20</v>
      </c>
      <c r="G1307" t="s">
        <v>4876</v>
      </c>
      <c r="H1307" t="s">
        <v>4888</v>
      </c>
      <c r="I1307" t="s">
        <v>4901</v>
      </c>
      <c r="J1307" t="s">
        <v>4921</v>
      </c>
      <c r="K1307" t="s">
        <v>4927</v>
      </c>
      <c r="L1307" t="s">
        <v>4940</v>
      </c>
      <c r="M1307" t="s">
        <v>4942</v>
      </c>
      <c r="N1307" s="11">
        <v>7049.32</v>
      </c>
      <c r="O1307" t="s">
        <v>4947</v>
      </c>
      <c r="P1307" t="s">
        <v>4951</v>
      </c>
      <c r="S1307" t="str">
        <f t="shared" si="60"/>
        <v>Adult</v>
      </c>
      <c r="T1307" t="str">
        <f t="shared" si="61"/>
        <v>Medium</v>
      </c>
      <c r="U1307" t="str">
        <f t="shared" si="62"/>
        <v>Short Days</v>
      </c>
    </row>
    <row r="1308" spans="1:21">
      <c r="A1308" t="s">
        <v>1324</v>
      </c>
      <c r="B1308" s="5">
        <v>45681</v>
      </c>
      <c r="C1308" t="s">
        <v>3989</v>
      </c>
      <c r="D1308" t="s">
        <v>4825</v>
      </c>
      <c r="E1308" t="s">
        <v>4867</v>
      </c>
      <c r="F1308">
        <v>37</v>
      </c>
      <c r="G1308" t="s">
        <v>4878</v>
      </c>
      <c r="H1308" t="s">
        <v>4889</v>
      </c>
      <c r="I1308" t="s">
        <v>4896</v>
      </c>
      <c r="J1308" t="s">
        <v>4906</v>
      </c>
      <c r="K1308" t="s">
        <v>4928</v>
      </c>
      <c r="L1308" t="s">
        <v>4939</v>
      </c>
      <c r="M1308" t="s">
        <v>4942</v>
      </c>
      <c r="N1308" s="11">
        <v>3434.47</v>
      </c>
      <c r="O1308" t="s">
        <v>4950</v>
      </c>
      <c r="P1308" t="s">
        <v>4951</v>
      </c>
      <c r="R1308">
        <v>7</v>
      </c>
      <c r="S1308" t="str">
        <f t="shared" si="60"/>
        <v>Adult</v>
      </c>
      <c r="T1308" t="str">
        <f t="shared" si="61"/>
        <v>Low</v>
      </c>
      <c r="U1308" t="str">
        <f t="shared" si="62"/>
        <v>Short Days</v>
      </c>
    </row>
    <row r="1309" spans="1:21">
      <c r="A1309" t="s">
        <v>1325</v>
      </c>
      <c r="B1309" s="5">
        <v>45423</v>
      </c>
      <c r="C1309" t="s">
        <v>3990</v>
      </c>
      <c r="D1309" t="s">
        <v>4803</v>
      </c>
      <c r="E1309" t="s">
        <v>4866</v>
      </c>
      <c r="F1309">
        <v>49</v>
      </c>
      <c r="G1309" t="s">
        <v>4874</v>
      </c>
      <c r="H1309" t="s">
        <v>4886</v>
      </c>
      <c r="I1309" t="s">
        <v>4893</v>
      </c>
      <c r="J1309" t="s">
        <v>4903</v>
      </c>
      <c r="K1309" t="s">
        <v>4932</v>
      </c>
      <c r="L1309" t="s">
        <v>4935</v>
      </c>
      <c r="M1309" t="s">
        <v>4942</v>
      </c>
      <c r="N1309" s="11">
        <v>6181.66</v>
      </c>
      <c r="O1309" t="s">
        <v>15</v>
      </c>
      <c r="P1309" t="s">
        <v>4952</v>
      </c>
      <c r="R1309">
        <v>30</v>
      </c>
      <c r="S1309" t="str">
        <f t="shared" si="60"/>
        <v>Middle-Aged</v>
      </c>
      <c r="T1309" t="str">
        <f t="shared" si="61"/>
        <v>Medium</v>
      </c>
      <c r="U1309" t="str">
        <f t="shared" si="62"/>
        <v>Short Days</v>
      </c>
    </row>
    <row r="1310" spans="1:21">
      <c r="A1310" t="s">
        <v>1326</v>
      </c>
      <c r="B1310" s="5">
        <v>45601</v>
      </c>
      <c r="C1310" t="s">
        <v>3494</v>
      </c>
      <c r="D1310" t="s">
        <v>4679</v>
      </c>
      <c r="E1310" t="s">
        <v>4866</v>
      </c>
      <c r="F1310">
        <v>40</v>
      </c>
      <c r="G1310" t="s">
        <v>4873</v>
      </c>
      <c r="H1310" t="s">
        <v>4888</v>
      </c>
      <c r="I1310" t="s">
        <v>4893</v>
      </c>
      <c r="J1310" t="s">
        <v>4917</v>
      </c>
      <c r="K1310" t="s">
        <v>4924</v>
      </c>
      <c r="L1310" t="s">
        <v>4938</v>
      </c>
      <c r="M1310" t="s">
        <v>4945</v>
      </c>
      <c r="N1310" s="11">
        <v>5563.2</v>
      </c>
      <c r="O1310" t="s">
        <v>4950</v>
      </c>
      <c r="P1310" t="s">
        <v>4951</v>
      </c>
      <c r="Q1310">
        <v>7</v>
      </c>
      <c r="R1310">
        <v>90</v>
      </c>
      <c r="S1310" t="str">
        <f t="shared" si="60"/>
        <v>Adult</v>
      </c>
      <c r="T1310" t="str">
        <f t="shared" si="61"/>
        <v>Medium</v>
      </c>
      <c r="U1310" t="str">
        <f t="shared" si="62"/>
        <v>Long Days</v>
      </c>
    </row>
    <row r="1311" spans="1:21">
      <c r="A1311" t="s">
        <v>1327</v>
      </c>
      <c r="B1311" s="5">
        <v>45855</v>
      </c>
      <c r="C1311" t="s">
        <v>3991</v>
      </c>
      <c r="D1311" t="s">
        <v>4688</v>
      </c>
      <c r="E1311" t="s">
        <v>4867</v>
      </c>
      <c r="F1311">
        <v>44</v>
      </c>
      <c r="G1311" t="s">
        <v>4882</v>
      </c>
      <c r="H1311" t="s">
        <v>4891</v>
      </c>
      <c r="I1311" t="s">
        <v>4899</v>
      </c>
      <c r="J1311" t="s">
        <v>4912</v>
      </c>
      <c r="K1311" t="s">
        <v>4925</v>
      </c>
      <c r="L1311" t="s">
        <v>4941</v>
      </c>
      <c r="M1311" t="s">
        <v>4942</v>
      </c>
      <c r="N1311" s="11">
        <v>3616.45</v>
      </c>
      <c r="O1311" t="s">
        <v>15</v>
      </c>
      <c r="P1311" t="s">
        <v>4952</v>
      </c>
      <c r="R1311">
        <v>7</v>
      </c>
      <c r="S1311" t="str">
        <f t="shared" si="60"/>
        <v>Middle-Aged</v>
      </c>
      <c r="T1311" t="str">
        <f t="shared" si="61"/>
        <v>Low</v>
      </c>
      <c r="U1311" t="str">
        <f t="shared" si="62"/>
        <v>Short Days</v>
      </c>
    </row>
    <row r="1312" spans="1:21">
      <c r="A1312" t="s">
        <v>1328</v>
      </c>
      <c r="B1312" s="5">
        <v>45620</v>
      </c>
      <c r="C1312" t="s">
        <v>3992</v>
      </c>
      <c r="D1312" t="s">
        <v>4602</v>
      </c>
      <c r="E1312" t="s">
        <v>4867</v>
      </c>
      <c r="F1312">
        <v>28</v>
      </c>
      <c r="G1312" t="s">
        <v>4883</v>
      </c>
      <c r="H1312" t="s">
        <v>4892</v>
      </c>
      <c r="I1312" t="s">
        <v>4900</v>
      </c>
      <c r="J1312" t="s">
        <v>4919</v>
      </c>
      <c r="K1312" t="s">
        <v>4924</v>
      </c>
      <c r="L1312" t="s">
        <v>4936</v>
      </c>
      <c r="M1312" t="s">
        <v>4942</v>
      </c>
      <c r="N1312" s="11">
        <v>17974.16</v>
      </c>
      <c r="O1312" t="s">
        <v>4949</v>
      </c>
      <c r="P1312" t="s">
        <v>4951</v>
      </c>
      <c r="R1312">
        <v>30</v>
      </c>
      <c r="S1312" t="str">
        <f t="shared" si="60"/>
        <v>Adult</v>
      </c>
      <c r="T1312" t="str">
        <f t="shared" si="61"/>
        <v>High</v>
      </c>
      <c r="U1312" t="str">
        <f t="shared" si="62"/>
        <v>Short Days</v>
      </c>
    </row>
    <row r="1313" spans="1:21">
      <c r="A1313" t="s">
        <v>1329</v>
      </c>
      <c r="B1313" s="5">
        <v>45507</v>
      </c>
      <c r="C1313" t="s">
        <v>3046</v>
      </c>
      <c r="D1313" t="s">
        <v>4727</v>
      </c>
      <c r="E1313" t="s">
        <v>4867</v>
      </c>
      <c r="F1313">
        <v>20</v>
      </c>
      <c r="G1313" t="s">
        <v>4876</v>
      </c>
      <c r="H1313" t="s">
        <v>4888</v>
      </c>
      <c r="I1313" t="s">
        <v>4895</v>
      </c>
      <c r="J1313" t="s">
        <v>4905</v>
      </c>
      <c r="K1313" t="s">
        <v>4930</v>
      </c>
      <c r="L1313" t="s">
        <v>4940</v>
      </c>
      <c r="M1313" t="s">
        <v>4942</v>
      </c>
      <c r="N1313" s="11">
        <v>487.69</v>
      </c>
      <c r="O1313" t="s">
        <v>4946</v>
      </c>
      <c r="P1313" t="s">
        <v>4951</v>
      </c>
      <c r="S1313" t="str">
        <f t="shared" si="60"/>
        <v>Adult</v>
      </c>
      <c r="T1313" t="str">
        <f t="shared" si="61"/>
        <v>Low</v>
      </c>
      <c r="U1313" t="str">
        <f t="shared" si="62"/>
        <v>Short Days</v>
      </c>
    </row>
    <row r="1314" spans="1:21">
      <c r="A1314" t="s">
        <v>1330</v>
      </c>
      <c r="B1314" s="5">
        <v>45532</v>
      </c>
      <c r="C1314" t="s">
        <v>3993</v>
      </c>
      <c r="D1314" t="s">
        <v>4838</v>
      </c>
      <c r="E1314" t="s">
        <v>4867</v>
      </c>
      <c r="F1314">
        <v>46</v>
      </c>
      <c r="G1314" t="s">
        <v>4881</v>
      </c>
      <c r="H1314" t="s">
        <v>4881</v>
      </c>
      <c r="I1314" t="s">
        <v>4894</v>
      </c>
      <c r="J1314" t="s">
        <v>4910</v>
      </c>
      <c r="K1314" t="s">
        <v>4928</v>
      </c>
      <c r="L1314" t="s">
        <v>4939</v>
      </c>
      <c r="M1314" t="s">
        <v>4942</v>
      </c>
      <c r="N1314" s="11">
        <v>2466</v>
      </c>
      <c r="O1314" t="s">
        <v>4947</v>
      </c>
      <c r="P1314" t="s">
        <v>4951</v>
      </c>
      <c r="R1314">
        <v>14</v>
      </c>
      <c r="S1314" t="str">
        <f t="shared" si="60"/>
        <v>Middle-Aged</v>
      </c>
      <c r="T1314" t="str">
        <f t="shared" si="61"/>
        <v>Low</v>
      </c>
      <c r="U1314" t="str">
        <f t="shared" si="62"/>
        <v>Short Days</v>
      </c>
    </row>
    <row r="1315" spans="1:21">
      <c r="A1315" t="s">
        <v>1331</v>
      </c>
      <c r="B1315" s="5">
        <v>45655</v>
      </c>
      <c r="C1315" t="s">
        <v>3758</v>
      </c>
      <c r="D1315" t="s">
        <v>4684</v>
      </c>
      <c r="E1315" t="s">
        <v>4866</v>
      </c>
      <c r="F1315">
        <v>52</v>
      </c>
      <c r="G1315" t="s">
        <v>4875</v>
      </c>
      <c r="H1315" t="s">
        <v>4889</v>
      </c>
      <c r="I1315" t="s">
        <v>4895</v>
      </c>
      <c r="J1315" t="s">
        <v>4905</v>
      </c>
      <c r="K1315" t="s">
        <v>4925</v>
      </c>
      <c r="L1315" t="s">
        <v>4938</v>
      </c>
      <c r="M1315" t="s">
        <v>4942</v>
      </c>
      <c r="N1315" s="11">
        <v>13768.38</v>
      </c>
      <c r="O1315" t="s">
        <v>4947</v>
      </c>
      <c r="P1315" t="s">
        <v>4951</v>
      </c>
      <c r="R1315">
        <v>14</v>
      </c>
      <c r="S1315" t="str">
        <f t="shared" si="60"/>
        <v>Middle-Aged</v>
      </c>
      <c r="T1315" t="str">
        <f t="shared" si="61"/>
        <v>High</v>
      </c>
      <c r="U1315" t="str">
        <f t="shared" si="62"/>
        <v>Short Days</v>
      </c>
    </row>
    <row r="1316" spans="1:21">
      <c r="A1316" t="s">
        <v>1332</v>
      </c>
      <c r="B1316" s="5">
        <v>45508</v>
      </c>
      <c r="C1316" t="s">
        <v>3602</v>
      </c>
      <c r="D1316" t="s">
        <v>4840</v>
      </c>
      <c r="E1316" t="s">
        <v>4867</v>
      </c>
      <c r="F1316">
        <v>17</v>
      </c>
      <c r="G1316" t="s">
        <v>4882</v>
      </c>
      <c r="H1316" t="s">
        <v>4891</v>
      </c>
      <c r="I1316" t="s">
        <v>4898</v>
      </c>
      <c r="J1316" t="s">
        <v>4923</v>
      </c>
      <c r="K1316" t="s">
        <v>4926</v>
      </c>
      <c r="L1316" t="s">
        <v>4940</v>
      </c>
      <c r="M1316" t="s">
        <v>4942</v>
      </c>
      <c r="N1316" s="11">
        <v>308.13</v>
      </c>
      <c r="O1316" t="s">
        <v>15</v>
      </c>
      <c r="P1316" t="s">
        <v>4952</v>
      </c>
      <c r="R1316">
        <v>7</v>
      </c>
      <c r="S1316" t="str">
        <f t="shared" si="60"/>
        <v>Child</v>
      </c>
      <c r="T1316" t="str">
        <f t="shared" si="61"/>
        <v>Low</v>
      </c>
      <c r="U1316" t="str">
        <f t="shared" si="62"/>
        <v>Short Days</v>
      </c>
    </row>
    <row r="1317" spans="1:21">
      <c r="A1317" t="s">
        <v>1333</v>
      </c>
      <c r="B1317" s="5">
        <v>45958</v>
      </c>
      <c r="C1317" t="s">
        <v>3994</v>
      </c>
      <c r="D1317" t="s">
        <v>4791</v>
      </c>
      <c r="E1317" t="s">
        <v>4866</v>
      </c>
      <c r="F1317">
        <v>25</v>
      </c>
      <c r="G1317" t="s">
        <v>4882</v>
      </c>
      <c r="H1317" t="s">
        <v>4891</v>
      </c>
      <c r="I1317" t="s">
        <v>4897</v>
      </c>
      <c r="J1317" t="s">
        <v>4907</v>
      </c>
      <c r="K1317" t="s">
        <v>4928</v>
      </c>
      <c r="L1317" t="s">
        <v>4938</v>
      </c>
      <c r="M1317" t="s">
        <v>4942</v>
      </c>
      <c r="N1317" s="11">
        <v>671.2</v>
      </c>
      <c r="O1317" t="s">
        <v>15</v>
      </c>
      <c r="P1317" t="s">
        <v>4952</v>
      </c>
      <c r="R1317">
        <v>14</v>
      </c>
      <c r="S1317" t="str">
        <f t="shared" si="60"/>
        <v>Adult</v>
      </c>
      <c r="T1317" t="str">
        <f t="shared" si="61"/>
        <v>Low</v>
      </c>
      <c r="U1317" t="str">
        <f t="shared" si="62"/>
        <v>Short Days</v>
      </c>
    </row>
    <row r="1318" spans="1:21">
      <c r="A1318" t="s">
        <v>1334</v>
      </c>
      <c r="B1318" s="5">
        <v>45485</v>
      </c>
      <c r="C1318" t="s">
        <v>3995</v>
      </c>
      <c r="D1318" t="s">
        <v>4696</v>
      </c>
      <c r="E1318" t="s">
        <v>4866</v>
      </c>
      <c r="F1318">
        <v>57</v>
      </c>
      <c r="G1318" t="s">
        <v>4876</v>
      </c>
      <c r="H1318" t="s">
        <v>4888</v>
      </c>
      <c r="I1318" t="s">
        <v>4900</v>
      </c>
      <c r="J1318" t="s">
        <v>4913</v>
      </c>
      <c r="K1318" t="s">
        <v>4929</v>
      </c>
      <c r="L1318" t="s">
        <v>4934</v>
      </c>
      <c r="M1318" t="s">
        <v>4942</v>
      </c>
      <c r="N1318" s="11">
        <v>231.56</v>
      </c>
      <c r="O1318" t="s">
        <v>4947</v>
      </c>
      <c r="P1318" t="s">
        <v>4951</v>
      </c>
      <c r="R1318">
        <v>90</v>
      </c>
      <c r="S1318" t="str">
        <f t="shared" si="60"/>
        <v>Middle-Aged</v>
      </c>
      <c r="T1318" t="str">
        <f t="shared" si="61"/>
        <v>Low</v>
      </c>
      <c r="U1318" t="str">
        <f t="shared" si="62"/>
        <v>Short Days</v>
      </c>
    </row>
    <row r="1319" spans="1:21">
      <c r="A1319" t="s">
        <v>1335</v>
      </c>
      <c r="B1319" s="5">
        <v>45960</v>
      </c>
      <c r="C1319" t="s">
        <v>3934</v>
      </c>
      <c r="D1319" t="s">
        <v>4682</v>
      </c>
      <c r="E1319" t="s">
        <v>4866</v>
      </c>
      <c r="F1319">
        <v>31</v>
      </c>
      <c r="G1319" t="s">
        <v>4875</v>
      </c>
      <c r="H1319" t="s">
        <v>4889</v>
      </c>
      <c r="I1319" t="s">
        <v>4893</v>
      </c>
      <c r="J1319" t="s">
        <v>4917</v>
      </c>
      <c r="K1319" t="s">
        <v>4932</v>
      </c>
      <c r="L1319" t="s">
        <v>4938</v>
      </c>
      <c r="M1319" t="s">
        <v>4942</v>
      </c>
      <c r="N1319" s="11">
        <v>5965</v>
      </c>
      <c r="O1319" t="s">
        <v>15</v>
      </c>
      <c r="P1319" t="s">
        <v>4952</v>
      </c>
      <c r="R1319">
        <v>7</v>
      </c>
      <c r="S1319" t="str">
        <f t="shared" si="60"/>
        <v>Adult</v>
      </c>
      <c r="T1319" t="str">
        <f t="shared" si="61"/>
        <v>Medium</v>
      </c>
      <c r="U1319" t="str">
        <f t="shared" si="62"/>
        <v>Short Days</v>
      </c>
    </row>
    <row r="1320" spans="1:21">
      <c r="A1320" t="s">
        <v>1336</v>
      </c>
      <c r="B1320" s="5">
        <v>45686</v>
      </c>
      <c r="C1320" t="s">
        <v>3996</v>
      </c>
      <c r="D1320" t="s">
        <v>4651</v>
      </c>
      <c r="E1320" t="s">
        <v>4867</v>
      </c>
      <c r="F1320">
        <v>8</v>
      </c>
      <c r="G1320" t="s">
        <v>4882</v>
      </c>
      <c r="H1320" t="s">
        <v>4891</v>
      </c>
      <c r="I1320" t="s">
        <v>4896</v>
      </c>
      <c r="J1320" t="s">
        <v>4906</v>
      </c>
      <c r="K1320" t="s">
        <v>4928</v>
      </c>
      <c r="L1320" t="s">
        <v>4940</v>
      </c>
      <c r="M1320" t="s">
        <v>4944</v>
      </c>
      <c r="N1320" s="11">
        <v>5827.06</v>
      </c>
      <c r="O1320" t="s">
        <v>4947</v>
      </c>
      <c r="P1320" t="s">
        <v>4951</v>
      </c>
      <c r="R1320">
        <v>14</v>
      </c>
      <c r="S1320" t="str">
        <f t="shared" si="60"/>
        <v>Child</v>
      </c>
      <c r="T1320" t="str">
        <f t="shared" si="61"/>
        <v>Medium</v>
      </c>
      <c r="U1320" t="str">
        <f t="shared" si="62"/>
        <v>Short Days</v>
      </c>
    </row>
    <row r="1321" spans="1:21">
      <c r="A1321" t="s">
        <v>1337</v>
      </c>
      <c r="B1321" s="5">
        <v>45498</v>
      </c>
      <c r="C1321" t="s">
        <v>3997</v>
      </c>
      <c r="D1321" t="s">
        <v>4846</v>
      </c>
      <c r="E1321" t="s">
        <v>4867</v>
      </c>
      <c r="F1321">
        <v>52</v>
      </c>
      <c r="G1321" t="s">
        <v>4878</v>
      </c>
      <c r="H1321" t="s">
        <v>4889</v>
      </c>
      <c r="I1321" t="s">
        <v>4894</v>
      </c>
      <c r="J1321" t="s">
        <v>4910</v>
      </c>
      <c r="K1321" t="s">
        <v>4931</v>
      </c>
      <c r="L1321" t="s">
        <v>4937</v>
      </c>
      <c r="M1321" t="s">
        <v>4944</v>
      </c>
      <c r="N1321" s="11">
        <v>6361.93</v>
      </c>
      <c r="O1321" t="s">
        <v>4946</v>
      </c>
      <c r="P1321" t="s">
        <v>4951</v>
      </c>
      <c r="R1321">
        <v>90</v>
      </c>
      <c r="S1321" t="str">
        <f t="shared" si="60"/>
        <v>Middle-Aged</v>
      </c>
      <c r="T1321" t="str">
        <f t="shared" si="61"/>
        <v>Medium</v>
      </c>
      <c r="U1321" t="str">
        <f t="shared" si="62"/>
        <v>Short Days</v>
      </c>
    </row>
    <row r="1322" spans="1:21">
      <c r="A1322" t="s">
        <v>1338</v>
      </c>
      <c r="B1322" s="5">
        <v>45780</v>
      </c>
      <c r="C1322" t="s">
        <v>3418</v>
      </c>
      <c r="D1322" t="s">
        <v>4842</v>
      </c>
      <c r="E1322" t="s">
        <v>4866</v>
      </c>
      <c r="F1322">
        <v>34</v>
      </c>
      <c r="G1322" t="s">
        <v>4883</v>
      </c>
      <c r="H1322" t="s">
        <v>4892</v>
      </c>
      <c r="I1322" t="s">
        <v>4895</v>
      </c>
      <c r="J1322" t="s">
        <v>4915</v>
      </c>
      <c r="K1322" t="s">
        <v>4924</v>
      </c>
      <c r="L1322" t="s">
        <v>4941</v>
      </c>
      <c r="M1322" t="s">
        <v>4942</v>
      </c>
      <c r="N1322" s="11">
        <v>9775.1299999999992</v>
      </c>
      <c r="O1322" t="s">
        <v>4949</v>
      </c>
      <c r="P1322" t="s">
        <v>4951</v>
      </c>
      <c r="R1322">
        <v>30</v>
      </c>
      <c r="S1322" t="str">
        <f t="shared" si="60"/>
        <v>Adult</v>
      </c>
      <c r="T1322" t="str">
        <f t="shared" si="61"/>
        <v>Medium</v>
      </c>
      <c r="U1322" t="str">
        <f t="shared" si="62"/>
        <v>Short Days</v>
      </c>
    </row>
    <row r="1323" spans="1:21">
      <c r="A1323" t="s">
        <v>1339</v>
      </c>
      <c r="B1323" s="5">
        <v>45630</v>
      </c>
      <c r="C1323" t="s">
        <v>3998</v>
      </c>
      <c r="D1323" t="s">
        <v>4770</v>
      </c>
      <c r="E1323" t="s">
        <v>4867</v>
      </c>
      <c r="F1323">
        <v>42</v>
      </c>
      <c r="G1323" t="s">
        <v>4883</v>
      </c>
      <c r="H1323" t="s">
        <v>4892</v>
      </c>
      <c r="I1323" t="s">
        <v>4893</v>
      </c>
      <c r="J1323" t="s">
        <v>4917</v>
      </c>
      <c r="K1323" t="s">
        <v>4925</v>
      </c>
      <c r="L1323" t="s">
        <v>4940</v>
      </c>
      <c r="M1323" t="s">
        <v>4943</v>
      </c>
      <c r="N1323" s="11">
        <v>5048.6400000000003</v>
      </c>
      <c r="O1323" t="s">
        <v>4949</v>
      </c>
      <c r="P1323" t="s">
        <v>4951</v>
      </c>
      <c r="R1323">
        <v>14</v>
      </c>
      <c r="S1323" t="str">
        <f t="shared" si="60"/>
        <v>Middle-Aged</v>
      </c>
      <c r="T1323" t="str">
        <f t="shared" si="61"/>
        <v>Medium</v>
      </c>
      <c r="U1323" t="str">
        <f t="shared" si="62"/>
        <v>Short Days</v>
      </c>
    </row>
    <row r="1324" spans="1:21">
      <c r="A1324" t="s">
        <v>1340</v>
      </c>
      <c r="B1324" s="5">
        <v>45799</v>
      </c>
      <c r="C1324" t="s">
        <v>3583</v>
      </c>
      <c r="D1324" t="s">
        <v>4695</v>
      </c>
      <c r="E1324" t="s">
        <v>4867</v>
      </c>
      <c r="F1324">
        <v>60</v>
      </c>
      <c r="G1324" t="s">
        <v>4875</v>
      </c>
      <c r="H1324" t="s">
        <v>4889</v>
      </c>
      <c r="I1324" t="s">
        <v>4902</v>
      </c>
      <c r="J1324" t="s">
        <v>4916</v>
      </c>
      <c r="K1324" t="s">
        <v>4929</v>
      </c>
      <c r="L1324" t="s">
        <v>4940</v>
      </c>
      <c r="M1324" t="s">
        <v>4942</v>
      </c>
      <c r="N1324" s="11">
        <v>3281.57</v>
      </c>
      <c r="O1324" t="s">
        <v>4947</v>
      </c>
      <c r="P1324" t="s">
        <v>4951</v>
      </c>
      <c r="R1324">
        <v>7</v>
      </c>
      <c r="S1324" t="str">
        <f t="shared" si="60"/>
        <v>Middle-Aged</v>
      </c>
      <c r="T1324" t="str">
        <f t="shared" si="61"/>
        <v>Low</v>
      </c>
      <c r="U1324" t="str">
        <f t="shared" si="62"/>
        <v>Short Days</v>
      </c>
    </row>
    <row r="1325" spans="1:21">
      <c r="A1325" t="s">
        <v>1341</v>
      </c>
      <c r="B1325" s="5">
        <v>45605</v>
      </c>
      <c r="C1325" t="s">
        <v>3960</v>
      </c>
      <c r="D1325" t="s">
        <v>4681</v>
      </c>
      <c r="E1325" t="s">
        <v>4867</v>
      </c>
      <c r="F1325">
        <v>55</v>
      </c>
      <c r="G1325" t="s">
        <v>4878</v>
      </c>
      <c r="H1325" t="s">
        <v>4889</v>
      </c>
      <c r="I1325" t="s">
        <v>4897</v>
      </c>
      <c r="J1325" t="s">
        <v>4922</v>
      </c>
      <c r="K1325" t="s">
        <v>4933</v>
      </c>
      <c r="L1325" t="s">
        <v>4934</v>
      </c>
      <c r="M1325" t="s">
        <v>4942</v>
      </c>
      <c r="N1325" s="11">
        <v>703.12</v>
      </c>
      <c r="O1325" t="s">
        <v>4948</v>
      </c>
      <c r="P1325" t="s">
        <v>4951</v>
      </c>
      <c r="R1325">
        <v>7</v>
      </c>
      <c r="S1325" t="str">
        <f t="shared" si="60"/>
        <v>Middle-Aged</v>
      </c>
      <c r="T1325" t="str">
        <f t="shared" si="61"/>
        <v>Low</v>
      </c>
      <c r="U1325" t="str">
        <f t="shared" si="62"/>
        <v>Short Days</v>
      </c>
    </row>
    <row r="1326" spans="1:21">
      <c r="A1326" t="s">
        <v>1342</v>
      </c>
      <c r="B1326" s="5">
        <v>45362</v>
      </c>
      <c r="C1326" t="s">
        <v>3999</v>
      </c>
      <c r="D1326" t="s">
        <v>4635</v>
      </c>
      <c r="E1326" t="s">
        <v>4866</v>
      </c>
      <c r="F1326">
        <v>21</v>
      </c>
      <c r="G1326" t="s">
        <v>4883</v>
      </c>
      <c r="H1326" t="s">
        <v>4892</v>
      </c>
      <c r="I1326" t="s">
        <v>4901</v>
      </c>
      <c r="J1326" t="s">
        <v>4914</v>
      </c>
      <c r="K1326" t="s">
        <v>4929</v>
      </c>
      <c r="L1326" t="s">
        <v>4937</v>
      </c>
      <c r="M1326" t="s">
        <v>4942</v>
      </c>
      <c r="N1326" s="11">
        <v>1678.81</v>
      </c>
      <c r="O1326" t="s">
        <v>4949</v>
      </c>
      <c r="P1326" t="s">
        <v>4951</v>
      </c>
      <c r="R1326">
        <v>7</v>
      </c>
      <c r="S1326" t="str">
        <f t="shared" si="60"/>
        <v>Adult</v>
      </c>
      <c r="T1326" t="str">
        <f t="shared" si="61"/>
        <v>Low</v>
      </c>
      <c r="U1326" t="str">
        <f t="shared" si="62"/>
        <v>Short Days</v>
      </c>
    </row>
    <row r="1327" spans="1:21">
      <c r="A1327" t="s">
        <v>1343</v>
      </c>
      <c r="B1327" s="5">
        <v>45449</v>
      </c>
      <c r="C1327" t="s">
        <v>3300</v>
      </c>
      <c r="D1327" t="s">
        <v>4675</v>
      </c>
      <c r="E1327" t="s">
        <v>4866</v>
      </c>
      <c r="F1327">
        <v>37</v>
      </c>
      <c r="G1327" t="s">
        <v>4883</v>
      </c>
      <c r="H1327" t="s">
        <v>4892</v>
      </c>
      <c r="I1327" t="s">
        <v>4899</v>
      </c>
      <c r="J1327" t="s">
        <v>4912</v>
      </c>
      <c r="K1327" t="s">
        <v>4927</v>
      </c>
      <c r="L1327" t="s">
        <v>4939</v>
      </c>
      <c r="M1327" t="s">
        <v>4942</v>
      </c>
      <c r="N1327" s="11">
        <v>321.58</v>
      </c>
      <c r="O1327" t="s">
        <v>4949</v>
      </c>
      <c r="P1327" t="s">
        <v>4951</v>
      </c>
      <c r="R1327">
        <v>30</v>
      </c>
      <c r="S1327" t="str">
        <f t="shared" si="60"/>
        <v>Adult</v>
      </c>
      <c r="T1327" t="str">
        <f t="shared" si="61"/>
        <v>Low</v>
      </c>
      <c r="U1327" t="str">
        <f t="shared" si="62"/>
        <v>Short Days</v>
      </c>
    </row>
    <row r="1328" spans="1:21">
      <c r="A1328" t="s">
        <v>1344</v>
      </c>
      <c r="B1328" s="5">
        <v>45518</v>
      </c>
      <c r="C1328" t="s">
        <v>4000</v>
      </c>
      <c r="D1328" t="s">
        <v>4657</v>
      </c>
      <c r="E1328" t="s">
        <v>4867</v>
      </c>
      <c r="F1328">
        <v>28</v>
      </c>
      <c r="G1328" t="s">
        <v>4874</v>
      </c>
      <c r="H1328" t="s">
        <v>4886</v>
      </c>
      <c r="I1328" t="s">
        <v>4896</v>
      </c>
      <c r="J1328" t="s">
        <v>4908</v>
      </c>
      <c r="K1328" t="s">
        <v>4927</v>
      </c>
      <c r="L1328" t="s">
        <v>4937</v>
      </c>
      <c r="M1328" t="s">
        <v>4942</v>
      </c>
      <c r="N1328" s="11">
        <v>1518.63</v>
      </c>
      <c r="O1328" t="s">
        <v>4946</v>
      </c>
      <c r="P1328" t="s">
        <v>4951</v>
      </c>
      <c r="S1328" t="str">
        <f t="shared" si="60"/>
        <v>Adult</v>
      </c>
      <c r="T1328" t="str">
        <f t="shared" si="61"/>
        <v>Low</v>
      </c>
      <c r="U1328" t="str">
        <f t="shared" si="62"/>
        <v>Short Days</v>
      </c>
    </row>
    <row r="1329" spans="1:21">
      <c r="A1329" t="s">
        <v>1345</v>
      </c>
      <c r="B1329" s="5">
        <v>45897</v>
      </c>
      <c r="C1329" t="s">
        <v>3138</v>
      </c>
      <c r="D1329" t="s">
        <v>4712</v>
      </c>
      <c r="E1329" t="s">
        <v>4866</v>
      </c>
      <c r="F1329">
        <v>58</v>
      </c>
      <c r="G1329" t="s">
        <v>4880</v>
      </c>
      <c r="H1329" t="s">
        <v>4890</v>
      </c>
      <c r="I1329" t="s">
        <v>4894</v>
      </c>
      <c r="J1329" t="s">
        <v>4910</v>
      </c>
      <c r="K1329" t="s">
        <v>4930</v>
      </c>
      <c r="L1329" t="s">
        <v>4939</v>
      </c>
      <c r="M1329" t="s">
        <v>4942</v>
      </c>
      <c r="N1329" s="11">
        <v>364.67</v>
      </c>
      <c r="O1329" t="s">
        <v>15</v>
      </c>
      <c r="P1329" t="s">
        <v>4952</v>
      </c>
      <c r="R1329">
        <v>7</v>
      </c>
      <c r="S1329" t="str">
        <f t="shared" si="60"/>
        <v>Middle-Aged</v>
      </c>
      <c r="T1329" t="str">
        <f t="shared" si="61"/>
        <v>Low</v>
      </c>
      <c r="U1329" t="str">
        <f t="shared" si="62"/>
        <v>Short Days</v>
      </c>
    </row>
    <row r="1330" spans="1:21">
      <c r="A1330" t="s">
        <v>1346</v>
      </c>
      <c r="B1330" s="5">
        <v>45690</v>
      </c>
      <c r="C1330" t="s">
        <v>3047</v>
      </c>
      <c r="D1330" t="s">
        <v>4599</v>
      </c>
      <c r="E1330" t="s">
        <v>4866</v>
      </c>
      <c r="F1330">
        <f>AVERAGE(F1323,F1329)</f>
        <v>50</v>
      </c>
      <c r="G1330" t="s">
        <v>4881</v>
      </c>
      <c r="H1330" t="s">
        <v>4888</v>
      </c>
      <c r="I1330" t="s">
        <v>4893</v>
      </c>
      <c r="J1330" t="s">
        <v>4903</v>
      </c>
      <c r="K1330" t="s">
        <v>4953</v>
      </c>
      <c r="L1330" t="s">
        <v>4935</v>
      </c>
      <c r="M1330" t="s">
        <v>4942</v>
      </c>
      <c r="N1330" s="11">
        <v>1099.54</v>
      </c>
      <c r="O1330" t="s">
        <v>4948</v>
      </c>
      <c r="P1330" t="s">
        <v>4951</v>
      </c>
      <c r="R1330">
        <v>7</v>
      </c>
      <c r="S1330" t="str">
        <f t="shared" si="60"/>
        <v>Middle-Aged</v>
      </c>
      <c r="T1330" t="str">
        <f t="shared" si="61"/>
        <v>Low</v>
      </c>
      <c r="U1330" t="str">
        <f t="shared" si="62"/>
        <v>Short Days</v>
      </c>
    </row>
    <row r="1331" spans="1:21">
      <c r="A1331" t="s">
        <v>1347</v>
      </c>
      <c r="B1331" s="5">
        <v>45728</v>
      </c>
      <c r="C1331" t="s">
        <v>4001</v>
      </c>
      <c r="D1331" t="s">
        <v>4761</v>
      </c>
      <c r="E1331" t="s">
        <v>4867</v>
      </c>
      <c r="F1331">
        <v>46</v>
      </c>
      <c r="G1331" t="s">
        <v>4870</v>
      </c>
      <c r="H1331" t="s">
        <v>4885</v>
      </c>
      <c r="I1331" t="s">
        <v>4895</v>
      </c>
      <c r="J1331" t="s">
        <v>4905</v>
      </c>
      <c r="K1331" t="s">
        <v>4927</v>
      </c>
      <c r="L1331" t="s">
        <v>4934</v>
      </c>
      <c r="M1331" t="s">
        <v>4944</v>
      </c>
      <c r="N1331" s="11">
        <v>22961.93</v>
      </c>
      <c r="O1331" t="s">
        <v>4949</v>
      </c>
      <c r="P1331" t="s">
        <v>4951</v>
      </c>
      <c r="R1331">
        <v>14</v>
      </c>
      <c r="S1331" t="str">
        <f t="shared" si="60"/>
        <v>Middle-Aged</v>
      </c>
      <c r="T1331" t="str">
        <f t="shared" si="61"/>
        <v>High</v>
      </c>
      <c r="U1331" t="str">
        <f t="shared" si="62"/>
        <v>Short Days</v>
      </c>
    </row>
    <row r="1332" spans="1:21">
      <c r="A1332" t="s">
        <v>1348</v>
      </c>
      <c r="B1332" s="5">
        <v>45373</v>
      </c>
      <c r="C1332" t="s">
        <v>3710</v>
      </c>
      <c r="D1332" t="s">
        <v>4714</v>
      </c>
      <c r="E1332" t="s">
        <v>4868</v>
      </c>
      <c r="F1332">
        <v>37</v>
      </c>
      <c r="G1332" t="s">
        <v>4871</v>
      </c>
      <c r="H1332" t="s">
        <v>4886</v>
      </c>
      <c r="I1332" t="s">
        <v>4899</v>
      </c>
      <c r="J1332" t="s">
        <v>4912</v>
      </c>
      <c r="K1332" t="s">
        <v>4926</v>
      </c>
      <c r="L1332" t="s">
        <v>4937</v>
      </c>
      <c r="M1332" t="s">
        <v>4942</v>
      </c>
      <c r="N1332" s="11">
        <v>7684.11</v>
      </c>
      <c r="O1332" t="s">
        <v>4948</v>
      </c>
      <c r="P1332" t="s">
        <v>4951</v>
      </c>
      <c r="R1332">
        <v>14</v>
      </c>
      <c r="S1332" t="str">
        <f t="shared" si="60"/>
        <v>Adult</v>
      </c>
      <c r="T1332" t="str">
        <f t="shared" si="61"/>
        <v>Medium</v>
      </c>
      <c r="U1332" t="str">
        <f t="shared" si="62"/>
        <v>Short Days</v>
      </c>
    </row>
    <row r="1333" spans="1:21">
      <c r="A1333" t="s">
        <v>1349</v>
      </c>
      <c r="B1333" s="5">
        <v>45750</v>
      </c>
      <c r="C1333" t="s">
        <v>4002</v>
      </c>
      <c r="D1333" t="s">
        <v>4840</v>
      </c>
      <c r="E1333" t="s">
        <v>4866</v>
      </c>
      <c r="F1333">
        <v>46</v>
      </c>
      <c r="G1333" t="s">
        <v>4877</v>
      </c>
      <c r="H1333" t="s">
        <v>4888</v>
      </c>
      <c r="I1333" t="s">
        <v>4899</v>
      </c>
      <c r="J1333" t="s">
        <v>4912</v>
      </c>
      <c r="K1333" t="s">
        <v>4931</v>
      </c>
      <c r="L1333" t="s">
        <v>4937</v>
      </c>
      <c r="M1333" t="s">
        <v>4942</v>
      </c>
      <c r="N1333" s="11">
        <v>5879.76</v>
      </c>
      <c r="O1333" t="s">
        <v>4949</v>
      </c>
      <c r="P1333" t="s">
        <v>4951</v>
      </c>
      <c r="R1333">
        <v>90</v>
      </c>
      <c r="S1333" t="str">
        <f t="shared" si="60"/>
        <v>Middle-Aged</v>
      </c>
      <c r="T1333" t="str">
        <f t="shared" si="61"/>
        <v>Medium</v>
      </c>
      <c r="U1333" t="str">
        <f t="shared" si="62"/>
        <v>Short Days</v>
      </c>
    </row>
    <row r="1334" spans="1:21">
      <c r="A1334" t="s">
        <v>1350</v>
      </c>
      <c r="B1334" s="5">
        <v>45682</v>
      </c>
      <c r="C1334" t="s">
        <v>4003</v>
      </c>
      <c r="D1334" t="s">
        <v>4615</v>
      </c>
      <c r="E1334" t="s">
        <v>4867</v>
      </c>
      <c r="F1334">
        <v>9</v>
      </c>
      <c r="G1334" t="s">
        <v>4871</v>
      </c>
      <c r="H1334" t="s">
        <v>4886</v>
      </c>
      <c r="I1334" t="s">
        <v>4894</v>
      </c>
      <c r="J1334" t="s">
        <v>4910</v>
      </c>
      <c r="K1334" t="s">
        <v>4926</v>
      </c>
      <c r="L1334" t="s">
        <v>4941</v>
      </c>
      <c r="M1334" t="s">
        <v>4944</v>
      </c>
      <c r="N1334" s="11">
        <v>7193.03</v>
      </c>
      <c r="O1334" t="s">
        <v>15</v>
      </c>
      <c r="P1334" t="s">
        <v>4952</v>
      </c>
      <c r="R1334">
        <v>7</v>
      </c>
      <c r="S1334" t="str">
        <f t="shared" si="60"/>
        <v>Child</v>
      </c>
      <c r="T1334" t="str">
        <f t="shared" si="61"/>
        <v>Medium</v>
      </c>
      <c r="U1334" t="str">
        <f t="shared" si="62"/>
        <v>Short Days</v>
      </c>
    </row>
    <row r="1335" spans="1:21">
      <c r="A1335" t="s">
        <v>1351</v>
      </c>
      <c r="B1335" s="5">
        <v>45583</v>
      </c>
      <c r="C1335" t="s">
        <v>4004</v>
      </c>
      <c r="D1335" t="s">
        <v>4664</v>
      </c>
      <c r="E1335" t="s">
        <v>4866</v>
      </c>
      <c r="F1335">
        <v>54</v>
      </c>
      <c r="G1335" t="s">
        <v>4876</v>
      </c>
      <c r="H1335" t="s">
        <v>4888</v>
      </c>
      <c r="I1335" t="s">
        <v>4900</v>
      </c>
      <c r="J1335" t="s">
        <v>4913</v>
      </c>
      <c r="K1335" t="s">
        <v>4930</v>
      </c>
      <c r="L1335" t="s">
        <v>4936</v>
      </c>
      <c r="M1335" t="s">
        <v>4942</v>
      </c>
      <c r="N1335" s="11">
        <v>3768.25</v>
      </c>
      <c r="O1335" t="s">
        <v>4946</v>
      </c>
      <c r="P1335" t="s">
        <v>4951</v>
      </c>
      <c r="R1335">
        <v>90</v>
      </c>
      <c r="S1335" t="str">
        <f t="shared" si="60"/>
        <v>Middle-Aged</v>
      </c>
      <c r="T1335" t="str">
        <f t="shared" si="61"/>
        <v>Low</v>
      </c>
      <c r="U1335" t="str">
        <f t="shared" si="62"/>
        <v>Short Days</v>
      </c>
    </row>
    <row r="1336" spans="1:21">
      <c r="A1336" t="s">
        <v>1352</v>
      </c>
      <c r="B1336" s="5">
        <v>45842</v>
      </c>
      <c r="C1336" t="s">
        <v>4005</v>
      </c>
      <c r="D1336" t="s">
        <v>4827</v>
      </c>
      <c r="E1336" t="s">
        <v>4868</v>
      </c>
      <c r="F1336">
        <v>35</v>
      </c>
      <c r="G1336" t="s">
        <v>4879</v>
      </c>
      <c r="H1336" t="s">
        <v>4888</v>
      </c>
      <c r="I1336" t="s">
        <v>4900</v>
      </c>
      <c r="J1336" t="s">
        <v>4919</v>
      </c>
      <c r="K1336" t="s">
        <v>4928</v>
      </c>
      <c r="L1336" t="s">
        <v>4940</v>
      </c>
      <c r="M1336" t="s">
        <v>4944</v>
      </c>
      <c r="N1336" s="11">
        <v>11873.02</v>
      </c>
      <c r="O1336" t="s">
        <v>4949</v>
      </c>
      <c r="P1336" t="s">
        <v>4951</v>
      </c>
      <c r="S1336" t="str">
        <f t="shared" si="60"/>
        <v>Adult</v>
      </c>
      <c r="T1336" t="str">
        <f t="shared" si="61"/>
        <v>High</v>
      </c>
      <c r="U1336" t="str">
        <f t="shared" si="62"/>
        <v>Short Days</v>
      </c>
    </row>
    <row r="1337" spans="1:21">
      <c r="A1337" t="s">
        <v>1353</v>
      </c>
      <c r="B1337" s="5">
        <v>45898</v>
      </c>
      <c r="C1337" t="s">
        <v>3633</v>
      </c>
      <c r="D1337" t="s">
        <v>4833</v>
      </c>
      <c r="E1337" t="s">
        <v>4866</v>
      </c>
      <c r="F1337">
        <v>47</v>
      </c>
      <c r="G1337" t="s">
        <v>4877</v>
      </c>
      <c r="H1337" t="s">
        <v>4888</v>
      </c>
      <c r="I1337" t="s">
        <v>4898</v>
      </c>
      <c r="J1337" t="s">
        <v>4909</v>
      </c>
      <c r="K1337" t="s">
        <v>4933</v>
      </c>
      <c r="L1337" t="s">
        <v>4937</v>
      </c>
      <c r="M1337" t="s">
        <v>4942</v>
      </c>
      <c r="N1337" s="11">
        <v>8140.16</v>
      </c>
      <c r="O1337" t="s">
        <v>4949</v>
      </c>
      <c r="P1337" t="s">
        <v>4951</v>
      </c>
      <c r="R1337">
        <v>7</v>
      </c>
      <c r="S1337" t="str">
        <f t="shared" si="60"/>
        <v>Middle-Aged</v>
      </c>
      <c r="T1337" t="str">
        <f t="shared" si="61"/>
        <v>Medium</v>
      </c>
      <c r="U1337" t="str">
        <f t="shared" si="62"/>
        <v>Short Days</v>
      </c>
    </row>
    <row r="1338" spans="1:21">
      <c r="A1338" t="s">
        <v>1354</v>
      </c>
      <c r="B1338" s="5">
        <v>45943</v>
      </c>
      <c r="C1338" t="s">
        <v>3041</v>
      </c>
      <c r="D1338" t="s">
        <v>4625</v>
      </c>
      <c r="E1338" t="s">
        <v>4867</v>
      </c>
      <c r="F1338">
        <v>63</v>
      </c>
      <c r="G1338" t="s">
        <v>4883</v>
      </c>
      <c r="H1338" t="s">
        <v>4892</v>
      </c>
      <c r="I1338" t="s">
        <v>4896</v>
      </c>
      <c r="J1338" t="s">
        <v>4908</v>
      </c>
      <c r="K1338" t="s">
        <v>4932</v>
      </c>
      <c r="L1338" t="s">
        <v>4937</v>
      </c>
      <c r="M1338" t="s">
        <v>4945</v>
      </c>
      <c r="N1338" s="11">
        <v>6436.72</v>
      </c>
      <c r="O1338" t="s">
        <v>4946</v>
      </c>
      <c r="P1338" t="s">
        <v>4951</v>
      </c>
      <c r="Q1338">
        <v>7</v>
      </c>
      <c r="R1338">
        <v>90</v>
      </c>
      <c r="S1338" t="str">
        <f t="shared" si="60"/>
        <v>Senior</v>
      </c>
      <c r="T1338" t="str">
        <f t="shared" si="61"/>
        <v>Medium</v>
      </c>
      <c r="U1338" t="str">
        <f t="shared" si="62"/>
        <v>Long Days</v>
      </c>
    </row>
    <row r="1339" spans="1:21">
      <c r="A1339" t="s">
        <v>1355</v>
      </c>
      <c r="B1339" s="5">
        <v>45648</v>
      </c>
      <c r="C1339" t="s">
        <v>4006</v>
      </c>
      <c r="D1339" t="s">
        <v>4616</v>
      </c>
      <c r="E1339" t="s">
        <v>4867</v>
      </c>
      <c r="F1339">
        <v>42</v>
      </c>
      <c r="G1339" t="s">
        <v>4883</v>
      </c>
      <c r="H1339" t="s">
        <v>4892</v>
      </c>
      <c r="I1339" t="s">
        <v>4894</v>
      </c>
      <c r="J1339" t="s">
        <v>4904</v>
      </c>
      <c r="K1339" t="s">
        <v>4926</v>
      </c>
      <c r="L1339" t="s">
        <v>4936</v>
      </c>
      <c r="M1339" t="s">
        <v>4942</v>
      </c>
      <c r="N1339" s="11">
        <v>9173.02</v>
      </c>
      <c r="O1339" t="s">
        <v>4948</v>
      </c>
      <c r="P1339" t="s">
        <v>4951</v>
      </c>
      <c r="S1339" t="str">
        <f t="shared" si="60"/>
        <v>Middle-Aged</v>
      </c>
      <c r="T1339" t="str">
        <f t="shared" si="61"/>
        <v>Medium</v>
      </c>
      <c r="U1339" t="str">
        <f t="shared" si="62"/>
        <v>Short Days</v>
      </c>
    </row>
    <row r="1340" spans="1:21">
      <c r="A1340" t="s">
        <v>1356</v>
      </c>
      <c r="B1340" s="5">
        <v>45949</v>
      </c>
      <c r="C1340" t="s">
        <v>3055</v>
      </c>
      <c r="D1340" t="s">
        <v>4712</v>
      </c>
      <c r="E1340" t="s">
        <v>4866</v>
      </c>
      <c r="F1340">
        <v>57</v>
      </c>
      <c r="G1340" t="s">
        <v>4870</v>
      </c>
      <c r="H1340" t="s">
        <v>4885</v>
      </c>
      <c r="I1340" t="s">
        <v>4899</v>
      </c>
      <c r="J1340" t="s">
        <v>4912</v>
      </c>
      <c r="K1340" t="s">
        <v>4932</v>
      </c>
      <c r="L1340" t="s">
        <v>4935</v>
      </c>
      <c r="M1340" t="s">
        <v>4942</v>
      </c>
      <c r="N1340" s="11">
        <v>6158.7</v>
      </c>
      <c r="O1340" t="s">
        <v>15</v>
      </c>
      <c r="P1340" t="s">
        <v>4952</v>
      </c>
      <c r="R1340">
        <v>30</v>
      </c>
      <c r="S1340" t="str">
        <f t="shared" si="60"/>
        <v>Middle-Aged</v>
      </c>
      <c r="T1340" t="str">
        <f t="shared" si="61"/>
        <v>Medium</v>
      </c>
      <c r="U1340" t="str">
        <f t="shared" si="62"/>
        <v>Short Days</v>
      </c>
    </row>
    <row r="1341" spans="1:21">
      <c r="A1341" t="s">
        <v>1357</v>
      </c>
      <c r="B1341" s="5">
        <v>45718</v>
      </c>
      <c r="C1341" t="s">
        <v>4007</v>
      </c>
      <c r="D1341" t="s">
        <v>4674</v>
      </c>
      <c r="E1341" t="s">
        <v>4866</v>
      </c>
      <c r="F1341">
        <v>37</v>
      </c>
      <c r="G1341" t="s">
        <v>4873</v>
      </c>
      <c r="H1341" t="s">
        <v>4888</v>
      </c>
      <c r="I1341" t="s">
        <v>4895</v>
      </c>
      <c r="J1341" t="s">
        <v>4915</v>
      </c>
      <c r="K1341" t="s">
        <v>4926</v>
      </c>
      <c r="L1341" t="s">
        <v>4937</v>
      </c>
      <c r="M1341" t="s">
        <v>4942</v>
      </c>
      <c r="N1341" s="11">
        <v>493.61</v>
      </c>
      <c r="O1341" t="s">
        <v>15</v>
      </c>
      <c r="P1341" t="s">
        <v>4952</v>
      </c>
      <c r="R1341">
        <v>30</v>
      </c>
      <c r="S1341" t="str">
        <f t="shared" si="60"/>
        <v>Adult</v>
      </c>
      <c r="T1341" t="str">
        <f t="shared" si="61"/>
        <v>Low</v>
      </c>
      <c r="U1341" t="str">
        <f t="shared" si="62"/>
        <v>Short Days</v>
      </c>
    </row>
    <row r="1342" spans="1:21">
      <c r="A1342" t="s">
        <v>1358</v>
      </c>
      <c r="B1342" s="5">
        <v>45805</v>
      </c>
      <c r="C1342" t="s">
        <v>3742</v>
      </c>
      <c r="D1342" t="s">
        <v>4695</v>
      </c>
      <c r="E1342" t="s">
        <v>4867</v>
      </c>
      <c r="F1342">
        <v>26</v>
      </c>
      <c r="G1342" t="s">
        <v>4877</v>
      </c>
      <c r="H1342" t="s">
        <v>4888</v>
      </c>
      <c r="I1342" t="s">
        <v>4900</v>
      </c>
      <c r="J1342" t="s">
        <v>4913</v>
      </c>
      <c r="K1342" t="s">
        <v>4926</v>
      </c>
      <c r="L1342" t="s">
        <v>4940</v>
      </c>
      <c r="M1342" t="s">
        <v>4942</v>
      </c>
      <c r="N1342" s="11">
        <v>11880.99</v>
      </c>
      <c r="O1342" t="s">
        <v>4947</v>
      </c>
      <c r="P1342" t="s">
        <v>4951</v>
      </c>
      <c r="R1342">
        <v>30</v>
      </c>
      <c r="S1342" t="str">
        <f t="shared" si="60"/>
        <v>Adult</v>
      </c>
      <c r="T1342" t="str">
        <f t="shared" si="61"/>
        <v>High</v>
      </c>
      <c r="U1342" t="str">
        <f t="shared" si="62"/>
        <v>Short Days</v>
      </c>
    </row>
    <row r="1343" spans="1:21">
      <c r="A1343" t="s">
        <v>1359</v>
      </c>
      <c r="B1343" s="5">
        <v>45345</v>
      </c>
      <c r="C1343" t="s">
        <v>4007</v>
      </c>
      <c r="D1343" t="s">
        <v>4773</v>
      </c>
      <c r="E1343" t="s">
        <v>4867</v>
      </c>
      <c r="F1343">
        <v>0</v>
      </c>
      <c r="G1343" t="s">
        <v>4877</v>
      </c>
      <c r="H1343" t="s">
        <v>4888</v>
      </c>
      <c r="I1343" t="s">
        <v>4900</v>
      </c>
      <c r="J1343" t="s">
        <v>4919</v>
      </c>
      <c r="K1343" t="s">
        <v>4926</v>
      </c>
      <c r="L1343" t="s">
        <v>4940</v>
      </c>
      <c r="M1343" t="s">
        <v>4942</v>
      </c>
      <c r="N1343" s="11">
        <v>2320.46</v>
      </c>
      <c r="O1343" t="s">
        <v>4948</v>
      </c>
      <c r="P1343" t="s">
        <v>4951</v>
      </c>
      <c r="R1343">
        <v>30</v>
      </c>
      <c r="S1343" t="str">
        <f t="shared" si="60"/>
        <v>Child</v>
      </c>
      <c r="T1343" t="str">
        <f t="shared" si="61"/>
        <v>Low</v>
      </c>
      <c r="U1343" t="str">
        <f t="shared" si="62"/>
        <v>Short Days</v>
      </c>
    </row>
    <row r="1344" spans="1:21">
      <c r="A1344" t="s">
        <v>1360</v>
      </c>
      <c r="B1344" s="5">
        <v>45952</v>
      </c>
      <c r="C1344" t="s">
        <v>3942</v>
      </c>
      <c r="D1344" t="s">
        <v>4836</v>
      </c>
      <c r="E1344" t="s">
        <v>4866</v>
      </c>
      <c r="F1344">
        <v>43</v>
      </c>
      <c r="G1344" t="s">
        <v>4878</v>
      </c>
      <c r="H1344" t="s">
        <v>4889</v>
      </c>
      <c r="I1344" t="s">
        <v>4897</v>
      </c>
      <c r="J1344" t="s">
        <v>4907</v>
      </c>
      <c r="K1344" t="s">
        <v>4924</v>
      </c>
      <c r="L1344" t="s">
        <v>4938</v>
      </c>
      <c r="M1344" t="s">
        <v>4943</v>
      </c>
      <c r="N1344" s="11">
        <v>10573.27</v>
      </c>
      <c r="O1344" t="s">
        <v>4946</v>
      </c>
      <c r="P1344" t="s">
        <v>4951</v>
      </c>
      <c r="R1344">
        <v>30</v>
      </c>
      <c r="S1344" t="str">
        <f t="shared" si="60"/>
        <v>Middle-Aged</v>
      </c>
      <c r="T1344" t="str">
        <f t="shared" si="61"/>
        <v>High</v>
      </c>
      <c r="U1344" t="str">
        <f t="shared" si="62"/>
        <v>Short Days</v>
      </c>
    </row>
    <row r="1345" spans="1:21">
      <c r="A1345" t="s">
        <v>1361</v>
      </c>
      <c r="B1345" s="5">
        <v>45668</v>
      </c>
      <c r="C1345" t="s">
        <v>4008</v>
      </c>
      <c r="D1345" t="s">
        <v>4671</v>
      </c>
      <c r="E1345" t="s">
        <v>4867</v>
      </c>
      <c r="F1345">
        <v>6</v>
      </c>
      <c r="G1345" t="s">
        <v>4883</v>
      </c>
      <c r="H1345" t="s">
        <v>4892</v>
      </c>
      <c r="I1345" t="s">
        <v>4898</v>
      </c>
      <c r="J1345" t="s">
        <v>4918</v>
      </c>
      <c r="K1345" t="s">
        <v>4931</v>
      </c>
      <c r="L1345" t="s">
        <v>4936</v>
      </c>
      <c r="M1345" t="s">
        <v>4942</v>
      </c>
      <c r="N1345" s="11">
        <v>4219.43</v>
      </c>
      <c r="O1345" t="s">
        <v>4946</v>
      </c>
      <c r="P1345" t="s">
        <v>4951</v>
      </c>
      <c r="R1345">
        <v>30</v>
      </c>
      <c r="S1345" t="str">
        <f t="shared" si="60"/>
        <v>Child</v>
      </c>
      <c r="T1345" t="str">
        <f t="shared" si="61"/>
        <v>Low</v>
      </c>
      <c r="U1345" t="str">
        <f t="shared" si="62"/>
        <v>Short Days</v>
      </c>
    </row>
    <row r="1346" spans="1:21">
      <c r="A1346" t="s">
        <v>1362</v>
      </c>
      <c r="B1346" s="5">
        <v>45774</v>
      </c>
      <c r="C1346" t="s">
        <v>3660</v>
      </c>
      <c r="D1346" t="s">
        <v>4855</v>
      </c>
      <c r="E1346" t="s">
        <v>4867</v>
      </c>
      <c r="F1346">
        <v>20</v>
      </c>
      <c r="G1346" t="s">
        <v>4870</v>
      </c>
      <c r="H1346" t="s">
        <v>4885</v>
      </c>
      <c r="I1346" t="s">
        <v>4900</v>
      </c>
      <c r="J1346" t="s">
        <v>4919</v>
      </c>
      <c r="K1346" t="s">
        <v>4926</v>
      </c>
      <c r="L1346" t="s">
        <v>4934</v>
      </c>
      <c r="M1346" t="s">
        <v>4942</v>
      </c>
      <c r="N1346" s="11">
        <v>566.72</v>
      </c>
      <c r="O1346" t="s">
        <v>4947</v>
      </c>
      <c r="P1346" t="s">
        <v>4951</v>
      </c>
      <c r="R1346">
        <v>90</v>
      </c>
      <c r="S1346" t="str">
        <f t="shared" si="60"/>
        <v>Adult</v>
      </c>
      <c r="T1346" t="str">
        <f t="shared" si="61"/>
        <v>Low</v>
      </c>
      <c r="U1346" t="str">
        <f t="shared" si="62"/>
        <v>Short Days</v>
      </c>
    </row>
    <row r="1347" spans="1:21">
      <c r="A1347" t="s">
        <v>1363</v>
      </c>
      <c r="B1347" s="5">
        <v>45595</v>
      </c>
      <c r="C1347" t="s">
        <v>4009</v>
      </c>
      <c r="D1347" t="s">
        <v>4750</v>
      </c>
      <c r="E1347" t="s">
        <v>4866</v>
      </c>
      <c r="F1347">
        <v>46</v>
      </c>
      <c r="G1347" t="s">
        <v>4869</v>
      </c>
      <c r="H1347" t="s">
        <v>4884</v>
      </c>
      <c r="I1347" t="s">
        <v>4901</v>
      </c>
      <c r="J1347" t="s">
        <v>4921</v>
      </c>
      <c r="K1347" t="s">
        <v>4933</v>
      </c>
      <c r="L1347" t="s">
        <v>4938</v>
      </c>
      <c r="M1347" t="s">
        <v>4942</v>
      </c>
      <c r="N1347" s="11">
        <v>6715.93</v>
      </c>
      <c r="O1347" t="s">
        <v>15</v>
      </c>
      <c r="P1347" t="s">
        <v>4952</v>
      </c>
      <c r="R1347">
        <v>14</v>
      </c>
      <c r="S1347" t="str">
        <f t="shared" ref="S1347:S1410" si="63">IF(F1347&lt;18,"Child",IF(F1347&lt;=40,"Adult",IF(F1347&lt;=60,"Middle-Aged",IF(F1347,"Senior"))))</f>
        <v>Middle-Aged</v>
      </c>
      <c r="T1347" t="str">
        <f t="shared" ref="T1347:T1410" si="64">IF(N1347&lt;=5000,"Low",IF(N1347&lt;=10000,"Medium","High"))</f>
        <v>Medium</v>
      </c>
      <c r="U1347" t="str">
        <f t="shared" ref="U1347:U1410" si="65">IF(Q1347&lt;=5,"Short Days","Long Days")</f>
        <v>Short Days</v>
      </c>
    </row>
    <row r="1348" spans="1:21">
      <c r="A1348" t="s">
        <v>1364</v>
      </c>
      <c r="B1348" s="5">
        <v>45491</v>
      </c>
      <c r="C1348" t="s">
        <v>3526</v>
      </c>
      <c r="D1348" t="s">
        <v>4651</v>
      </c>
      <c r="E1348" t="s">
        <v>4866</v>
      </c>
      <c r="F1348">
        <v>17</v>
      </c>
      <c r="G1348" t="s">
        <v>4878</v>
      </c>
      <c r="H1348" t="s">
        <v>4889</v>
      </c>
      <c r="I1348" t="s">
        <v>4902</v>
      </c>
      <c r="J1348" t="s">
        <v>4920</v>
      </c>
      <c r="K1348" t="s">
        <v>4924</v>
      </c>
      <c r="L1348" t="s">
        <v>4941</v>
      </c>
      <c r="M1348" t="s">
        <v>4942</v>
      </c>
      <c r="N1348" s="11">
        <v>7070.08</v>
      </c>
      <c r="O1348" t="s">
        <v>4946</v>
      </c>
      <c r="P1348" t="s">
        <v>4951</v>
      </c>
      <c r="R1348">
        <v>7</v>
      </c>
      <c r="S1348" t="str">
        <f t="shared" si="63"/>
        <v>Child</v>
      </c>
      <c r="T1348" t="str">
        <f t="shared" si="64"/>
        <v>Medium</v>
      </c>
      <c r="U1348" t="str">
        <f t="shared" si="65"/>
        <v>Short Days</v>
      </c>
    </row>
    <row r="1349" spans="1:21">
      <c r="A1349" t="s">
        <v>1365</v>
      </c>
      <c r="B1349" s="5">
        <v>45793</v>
      </c>
      <c r="C1349" t="s">
        <v>3701</v>
      </c>
      <c r="D1349" t="s">
        <v>4671</v>
      </c>
      <c r="E1349" t="s">
        <v>4866</v>
      </c>
      <c r="F1349">
        <v>19</v>
      </c>
      <c r="G1349" t="s">
        <v>4871</v>
      </c>
      <c r="H1349" t="s">
        <v>4886</v>
      </c>
      <c r="I1349" t="s">
        <v>4898</v>
      </c>
      <c r="J1349" t="s">
        <v>4909</v>
      </c>
      <c r="K1349" t="s">
        <v>4931</v>
      </c>
      <c r="L1349" t="s">
        <v>4941</v>
      </c>
      <c r="M1349" t="s">
        <v>4942</v>
      </c>
      <c r="N1349" s="11">
        <v>1600.76</v>
      </c>
      <c r="O1349" t="s">
        <v>4948</v>
      </c>
      <c r="P1349" t="s">
        <v>4951</v>
      </c>
      <c r="S1349" t="str">
        <f t="shared" si="63"/>
        <v>Adult</v>
      </c>
      <c r="T1349" t="str">
        <f t="shared" si="64"/>
        <v>Low</v>
      </c>
      <c r="U1349" t="str">
        <f t="shared" si="65"/>
        <v>Short Days</v>
      </c>
    </row>
    <row r="1350" spans="1:21">
      <c r="A1350" t="s">
        <v>1366</v>
      </c>
      <c r="B1350" s="5">
        <v>45551</v>
      </c>
      <c r="C1350" t="s">
        <v>3129</v>
      </c>
      <c r="D1350" t="s">
        <v>4856</v>
      </c>
      <c r="E1350" t="s">
        <v>4866</v>
      </c>
      <c r="F1350">
        <v>59</v>
      </c>
      <c r="G1350" t="s">
        <v>4870</v>
      </c>
      <c r="H1350" t="s">
        <v>4885</v>
      </c>
      <c r="I1350" t="s">
        <v>4897</v>
      </c>
      <c r="J1350" t="s">
        <v>4907</v>
      </c>
      <c r="K1350" t="s">
        <v>4931</v>
      </c>
      <c r="L1350" t="s">
        <v>4934</v>
      </c>
      <c r="M1350" t="s">
        <v>4945</v>
      </c>
      <c r="N1350" s="11">
        <v>5159.57</v>
      </c>
      <c r="O1350" t="s">
        <v>4950</v>
      </c>
      <c r="P1350" t="s">
        <v>4951</v>
      </c>
      <c r="Q1350">
        <v>6</v>
      </c>
      <c r="S1350" t="str">
        <f t="shared" si="63"/>
        <v>Middle-Aged</v>
      </c>
      <c r="T1350" t="str">
        <f t="shared" si="64"/>
        <v>Medium</v>
      </c>
      <c r="U1350" t="str">
        <f t="shared" si="65"/>
        <v>Long Days</v>
      </c>
    </row>
    <row r="1351" spans="1:21">
      <c r="A1351" t="s">
        <v>1367</v>
      </c>
      <c r="B1351" s="5">
        <v>45508</v>
      </c>
      <c r="C1351" t="s">
        <v>3266</v>
      </c>
      <c r="D1351" t="s">
        <v>4690</v>
      </c>
      <c r="E1351" t="s">
        <v>4867</v>
      </c>
      <c r="F1351">
        <v>19</v>
      </c>
      <c r="G1351" t="s">
        <v>4876</v>
      </c>
      <c r="H1351" t="s">
        <v>4888</v>
      </c>
      <c r="I1351" t="s">
        <v>4894</v>
      </c>
      <c r="J1351" t="s">
        <v>4910</v>
      </c>
      <c r="K1351" t="s">
        <v>4925</v>
      </c>
      <c r="L1351" t="s">
        <v>4940</v>
      </c>
      <c r="M1351" t="s">
        <v>4942</v>
      </c>
      <c r="N1351" s="11">
        <v>106.97</v>
      </c>
      <c r="O1351" t="s">
        <v>15</v>
      </c>
      <c r="P1351" t="s">
        <v>4952</v>
      </c>
      <c r="R1351">
        <v>90</v>
      </c>
      <c r="S1351" t="str">
        <f t="shared" si="63"/>
        <v>Adult</v>
      </c>
      <c r="T1351" t="str">
        <f t="shared" si="64"/>
        <v>Low</v>
      </c>
      <c r="U1351" t="str">
        <f t="shared" si="65"/>
        <v>Short Days</v>
      </c>
    </row>
    <row r="1352" spans="1:21">
      <c r="A1352" t="s">
        <v>1368</v>
      </c>
      <c r="B1352" s="5">
        <v>45924</v>
      </c>
      <c r="C1352" t="s">
        <v>3224</v>
      </c>
      <c r="D1352" t="s">
        <v>4628</v>
      </c>
      <c r="E1352" t="s">
        <v>4867</v>
      </c>
      <c r="F1352">
        <v>54</v>
      </c>
      <c r="G1352" t="s">
        <v>4872</v>
      </c>
      <c r="H1352" t="s">
        <v>4887</v>
      </c>
      <c r="I1352" t="s">
        <v>4898</v>
      </c>
      <c r="J1352" t="s">
        <v>4909</v>
      </c>
      <c r="K1352" t="s">
        <v>4929</v>
      </c>
      <c r="L1352" t="s">
        <v>4937</v>
      </c>
      <c r="M1352" t="s">
        <v>4942</v>
      </c>
      <c r="N1352" s="11">
        <v>4897.6099999999997</v>
      </c>
      <c r="O1352" t="s">
        <v>4949</v>
      </c>
      <c r="P1352" t="s">
        <v>4951</v>
      </c>
      <c r="R1352">
        <v>14</v>
      </c>
      <c r="S1352" t="str">
        <f t="shared" si="63"/>
        <v>Middle-Aged</v>
      </c>
      <c r="T1352" t="str">
        <f t="shared" si="64"/>
        <v>Low</v>
      </c>
      <c r="U1352" t="str">
        <f t="shared" si="65"/>
        <v>Short Days</v>
      </c>
    </row>
    <row r="1353" spans="1:21">
      <c r="A1353" t="s">
        <v>1369</v>
      </c>
      <c r="B1353" s="5">
        <v>45808</v>
      </c>
      <c r="C1353" t="s">
        <v>3116</v>
      </c>
      <c r="D1353" t="s">
        <v>4641</v>
      </c>
      <c r="E1353" t="s">
        <v>4867</v>
      </c>
      <c r="F1353">
        <v>60</v>
      </c>
      <c r="G1353" t="s">
        <v>4871</v>
      </c>
      <c r="H1353" t="s">
        <v>4886</v>
      </c>
      <c r="I1353" t="s">
        <v>4898</v>
      </c>
      <c r="J1353" t="s">
        <v>4918</v>
      </c>
      <c r="K1353" t="s">
        <v>4932</v>
      </c>
      <c r="L1353" t="s">
        <v>4937</v>
      </c>
      <c r="M1353" t="s">
        <v>4944</v>
      </c>
      <c r="N1353" s="11">
        <v>8085.57</v>
      </c>
      <c r="O1353" t="s">
        <v>15</v>
      </c>
      <c r="P1353" t="s">
        <v>4952</v>
      </c>
      <c r="R1353">
        <v>7</v>
      </c>
      <c r="S1353" t="str">
        <f t="shared" si="63"/>
        <v>Middle-Aged</v>
      </c>
      <c r="T1353" t="str">
        <f t="shared" si="64"/>
        <v>Medium</v>
      </c>
      <c r="U1353" t="str">
        <f t="shared" si="65"/>
        <v>Short Days</v>
      </c>
    </row>
    <row r="1354" spans="1:21">
      <c r="A1354" t="s">
        <v>1370</v>
      </c>
      <c r="B1354" s="5">
        <v>45516</v>
      </c>
      <c r="C1354" t="s">
        <v>3281</v>
      </c>
      <c r="D1354" t="s">
        <v>4705</v>
      </c>
      <c r="E1354" t="s">
        <v>4866</v>
      </c>
      <c r="F1354">
        <v>35</v>
      </c>
      <c r="G1354" t="s">
        <v>4877</v>
      </c>
      <c r="H1354" t="s">
        <v>4888</v>
      </c>
      <c r="I1354" t="s">
        <v>4895</v>
      </c>
      <c r="J1354" t="s">
        <v>4905</v>
      </c>
      <c r="K1354" t="s">
        <v>4928</v>
      </c>
      <c r="L1354" t="s">
        <v>4938</v>
      </c>
      <c r="M1354" t="s">
        <v>4942</v>
      </c>
      <c r="N1354" s="11">
        <v>188.61</v>
      </c>
      <c r="O1354" t="s">
        <v>15</v>
      </c>
      <c r="P1354" t="s">
        <v>4952</v>
      </c>
      <c r="S1354" t="str">
        <f t="shared" si="63"/>
        <v>Adult</v>
      </c>
      <c r="T1354" t="str">
        <f t="shared" si="64"/>
        <v>Low</v>
      </c>
      <c r="U1354" t="str">
        <f t="shared" si="65"/>
        <v>Short Days</v>
      </c>
    </row>
    <row r="1355" spans="1:21">
      <c r="A1355" t="s">
        <v>1371</v>
      </c>
      <c r="B1355" s="5">
        <v>45863</v>
      </c>
      <c r="C1355" t="s">
        <v>3791</v>
      </c>
      <c r="D1355" t="s">
        <v>4729</v>
      </c>
      <c r="E1355" t="s">
        <v>4868</v>
      </c>
      <c r="F1355">
        <v>30</v>
      </c>
      <c r="G1355" t="s">
        <v>4878</v>
      </c>
      <c r="H1355" t="s">
        <v>4889</v>
      </c>
      <c r="I1355" t="s">
        <v>4899</v>
      </c>
      <c r="J1355" t="s">
        <v>4912</v>
      </c>
      <c r="K1355" t="s">
        <v>4926</v>
      </c>
      <c r="L1355" t="s">
        <v>4936</v>
      </c>
      <c r="M1355" t="s">
        <v>4942</v>
      </c>
      <c r="N1355" s="11">
        <v>2677.09</v>
      </c>
      <c r="O1355" t="s">
        <v>4947</v>
      </c>
      <c r="P1355" t="s">
        <v>4951</v>
      </c>
      <c r="S1355" t="str">
        <f t="shared" si="63"/>
        <v>Adult</v>
      </c>
      <c r="T1355" t="str">
        <f t="shared" si="64"/>
        <v>Low</v>
      </c>
      <c r="U1355" t="str">
        <f t="shared" si="65"/>
        <v>Short Days</v>
      </c>
    </row>
    <row r="1356" spans="1:21">
      <c r="A1356" t="s">
        <v>1372</v>
      </c>
      <c r="B1356" s="5">
        <v>45907</v>
      </c>
      <c r="C1356" t="s">
        <v>4010</v>
      </c>
      <c r="D1356" t="s">
        <v>4791</v>
      </c>
      <c r="E1356" t="s">
        <v>4867</v>
      </c>
      <c r="F1356">
        <v>28</v>
      </c>
      <c r="G1356" t="s">
        <v>4878</v>
      </c>
      <c r="H1356" t="s">
        <v>4889</v>
      </c>
      <c r="I1356" t="s">
        <v>4899</v>
      </c>
      <c r="J1356" t="s">
        <v>4911</v>
      </c>
      <c r="K1356" t="s">
        <v>4927</v>
      </c>
      <c r="L1356" t="s">
        <v>4934</v>
      </c>
      <c r="M1356" t="s">
        <v>4942</v>
      </c>
      <c r="N1356" s="11">
        <v>7905.14</v>
      </c>
      <c r="O1356" t="s">
        <v>4950</v>
      </c>
      <c r="P1356" t="s">
        <v>4951</v>
      </c>
      <c r="R1356">
        <v>30</v>
      </c>
      <c r="S1356" t="str">
        <f t="shared" si="63"/>
        <v>Adult</v>
      </c>
      <c r="T1356" t="str">
        <f t="shared" si="64"/>
        <v>Medium</v>
      </c>
      <c r="U1356" t="str">
        <f t="shared" si="65"/>
        <v>Short Days</v>
      </c>
    </row>
    <row r="1357" spans="1:21">
      <c r="A1357" t="s">
        <v>1373</v>
      </c>
      <c r="B1357" s="5">
        <v>45575</v>
      </c>
      <c r="C1357" t="s">
        <v>3981</v>
      </c>
      <c r="D1357" t="s">
        <v>4701</v>
      </c>
      <c r="E1357" t="s">
        <v>4866</v>
      </c>
      <c r="F1357">
        <v>57</v>
      </c>
      <c r="G1357" t="s">
        <v>4878</v>
      </c>
      <c r="H1357" t="s">
        <v>4889</v>
      </c>
      <c r="I1357" t="s">
        <v>4901</v>
      </c>
      <c r="J1357" t="s">
        <v>4914</v>
      </c>
      <c r="K1357" t="s">
        <v>4932</v>
      </c>
      <c r="L1357" t="s">
        <v>4941</v>
      </c>
      <c r="M1357" t="s">
        <v>4944</v>
      </c>
      <c r="N1357" s="11">
        <v>15790.27</v>
      </c>
      <c r="O1357" t="s">
        <v>4949</v>
      </c>
      <c r="P1357" t="s">
        <v>4951</v>
      </c>
      <c r="R1357">
        <v>30</v>
      </c>
      <c r="S1357" t="str">
        <f t="shared" si="63"/>
        <v>Middle-Aged</v>
      </c>
      <c r="T1357" t="str">
        <f t="shared" si="64"/>
        <v>High</v>
      </c>
      <c r="U1357" t="str">
        <f t="shared" si="65"/>
        <v>Short Days</v>
      </c>
    </row>
    <row r="1358" spans="1:21">
      <c r="A1358" t="s">
        <v>1374</v>
      </c>
      <c r="B1358" s="5">
        <v>45921</v>
      </c>
      <c r="C1358" t="s">
        <v>3459</v>
      </c>
      <c r="D1358" t="s">
        <v>4664</v>
      </c>
      <c r="E1358" t="s">
        <v>4866</v>
      </c>
      <c r="F1358">
        <v>18</v>
      </c>
      <c r="G1358" t="s">
        <v>4878</v>
      </c>
      <c r="H1358" t="s">
        <v>4889</v>
      </c>
      <c r="I1358" t="s">
        <v>4896</v>
      </c>
      <c r="J1358" t="s">
        <v>4906</v>
      </c>
      <c r="K1358" t="s">
        <v>4927</v>
      </c>
      <c r="L1358" t="s">
        <v>4939</v>
      </c>
      <c r="M1358" t="s">
        <v>4944</v>
      </c>
      <c r="N1358" s="11">
        <v>6362.65</v>
      </c>
      <c r="O1358" t="s">
        <v>4946</v>
      </c>
      <c r="P1358" t="s">
        <v>4951</v>
      </c>
      <c r="R1358">
        <v>7</v>
      </c>
      <c r="S1358" t="str">
        <f t="shared" si="63"/>
        <v>Adult</v>
      </c>
      <c r="T1358" t="str">
        <f t="shared" si="64"/>
        <v>Medium</v>
      </c>
      <c r="U1358" t="str">
        <f t="shared" si="65"/>
        <v>Short Days</v>
      </c>
    </row>
    <row r="1359" spans="1:21">
      <c r="A1359" t="s">
        <v>1375</v>
      </c>
      <c r="B1359" s="5">
        <v>45483</v>
      </c>
      <c r="C1359" t="s">
        <v>3807</v>
      </c>
      <c r="D1359" t="s">
        <v>4853</v>
      </c>
      <c r="E1359" t="s">
        <v>4866</v>
      </c>
      <c r="F1359">
        <v>30</v>
      </c>
      <c r="G1359" t="s">
        <v>4881</v>
      </c>
      <c r="H1359" t="s">
        <v>4881</v>
      </c>
      <c r="I1359" t="s">
        <v>4901</v>
      </c>
      <c r="J1359" t="s">
        <v>4914</v>
      </c>
      <c r="K1359" t="s">
        <v>4927</v>
      </c>
      <c r="L1359" t="s">
        <v>4936</v>
      </c>
      <c r="M1359" t="s">
        <v>4945</v>
      </c>
      <c r="N1359" s="11">
        <v>7150.58</v>
      </c>
      <c r="O1359" t="s">
        <v>15</v>
      </c>
      <c r="P1359" t="s">
        <v>4952</v>
      </c>
      <c r="Q1359">
        <v>8</v>
      </c>
      <c r="R1359">
        <v>90</v>
      </c>
      <c r="S1359" t="str">
        <f t="shared" si="63"/>
        <v>Adult</v>
      </c>
      <c r="T1359" t="str">
        <f t="shared" si="64"/>
        <v>Medium</v>
      </c>
      <c r="U1359" t="str">
        <f t="shared" si="65"/>
        <v>Long Days</v>
      </c>
    </row>
    <row r="1360" spans="1:21">
      <c r="A1360" t="s">
        <v>1376</v>
      </c>
      <c r="B1360" s="5">
        <v>45683</v>
      </c>
      <c r="C1360" t="s">
        <v>4011</v>
      </c>
      <c r="D1360" t="s">
        <v>4607</v>
      </c>
      <c r="E1360" t="s">
        <v>4867</v>
      </c>
      <c r="F1360">
        <v>22</v>
      </c>
      <c r="G1360" t="s">
        <v>4870</v>
      </c>
      <c r="H1360" t="s">
        <v>4885</v>
      </c>
      <c r="I1360" t="s">
        <v>4893</v>
      </c>
      <c r="J1360" t="s">
        <v>4903</v>
      </c>
      <c r="K1360" t="s">
        <v>4931</v>
      </c>
      <c r="L1360" t="s">
        <v>4939</v>
      </c>
      <c r="M1360" t="s">
        <v>4944</v>
      </c>
      <c r="N1360" s="11">
        <v>7015.72</v>
      </c>
      <c r="O1360" t="s">
        <v>4948</v>
      </c>
      <c r="P1360" t="s">
        <v>4951</v>
      </c>
      <c r="S1360" t="str">
        <f t="shared" si="63"/>
        <v>Adult</v>
      </c>
      <c r="T1360" t="str">
        <f t="shared" si="64"/>
        <v>Medium</v>
      </c>
      <c r="U1360" t="str">
        <f t="shared" si="65"/>
        <v>Short Days</v>
      </c>
    </row>
    <row r="1361" spans="1:21">
      <c r="A1361" t="s">
        <v>1377</v>
      </c>
      <c r="B1361" s="5">
        <v>45353</v>
      </c>
      <c r="C1361" t="s">
        <v>3617</v>
      </c>
      <c r="D1361" t="s">
        <v>4638</v>
      </c>
      <c r="E1361" t="s">
        <v>4866</v>
      </c>
      <c r="F1361">
        <v>0</v>
      </c>
      <c r="G1361" t="s">
        <v>4876</v>
      </c>
      <c r="H1361" t="s">
        <v>4888</v>
      </c>
      <c r="I1361" t="s">
        <v>4896</v>
      </c>
      <c r="J1361" t="s">
        <v>4906</v>
      </c>
      <c r="K1361" t="s">
        <v>4932</v>
      </c>
      <c r="L1361" t="s">
        <v>4937</v>
      </c>
      <c r="M1361" t="s">
        <v>4944</v>
      </c>
      <c r="N1361" s="11">
        <v>12479.6</v>
      </c>
      <c r="O1361" t="s">
        <v>4946</v>
      </c>
      <c r="P1361" t="s">
        <v>4951</v>
      </c>
      <c r="R1361">
        <v>14</v>
      </c>
      <c r="S1361" t="str">
        <f t="shared" si="63"/>
        <v>Child</v>
      </c>
      <c r="T1361" t="str">
        <f t="shared" si="64"/>
        <v>High</v>
      </c>
      <c r="U1361" t="str">
        <f t="shared" si="65"/>
        <v>Short Days</v>
      </c>
    </row>
    <row r="1362" spans="1:21">
      <c r="A1362" t="s">
        <v>1378</v>
      </c>
      <c r="B1362" s="5">
        <v>45557</v>
      </c>
      <c r="C1362" t="s">
        <v>3792</v>
      </c>
      <c r="D1362" t="s">
        <v>4744</v>
      </c>
      <c r="E1362" t="s">
        <v>4867</v>
      </c>
      <c r="F1362">
        <v>55</v>
      </c>
      <c r="G1362" t="s">
        <v>4876</v>
      </c>
      <c r="H1362" t="s">
        <v>4888</v>
      </c>
      <c r="I1362" t="s">
        <v>4893</v>
      </c>
      <c r="J1362" t="s">
        <v>4917</v>
      </c>
      <c r="K1362" t="s">
        <v>4932</v>
      </c>
      <c r="L1362" t="s">
        <v>4941</v>
      </c>
      <c r="M1362" t="s">
        <v>4944</v>
      </c>
      <c r="N1362" s="11">
        <v>14002.13</v>
      </c>
      <c r="O1362" t="s">
        <v>15</v>
      </c>
      <c r="P1362" t="s">
        <v>4952</v>
      </c>
      <c r="R1362">
        <v>14</v>
      </c>
      <c r="S1362" t="str">
        <f t="shared" si="63"/>
        <v>Middle-Aged</v>
      </c>
      <c r="T1362" t="str">
        <f t="shared" si="64"/>
        <v>High</v>
      </c>
      <c r="U1362" t="str">
        <f t="shared" si="65"/>
        <v>Short Days</v>
      </c>
    </row>
    <row r="1363" spans="1:21">
      <c r="A1363" t="s">
        <v>1379</v>
      </c>
      <c r="B1363" s="5">
        <v>45618</v>
      </c>
      <c r="C1363" t="s">
        <v>3317</v>
      </c>
      <c r="D1363" t="s">
        <v>4787</v>
      </c>
      <c r="E1363" t="s">
        <v>4867</v>
      </c>
      <c r="F1363">
        <v>47</v>
      </c>
      <c r="G1363" t="s">
        <v>4879</v>
      </c>
      <c r="H1363" t="s">
        <v>4888</v>
      </c>
      <c r="I1363" t="s">
        <v>4899</v>
      </c>
      <c r="J1363" t="s">
        <v>4911</v>
      </c>
      <c r="K1363" t="s">
        <v>4932</v>
      </c>
      <c r="L1363" t="s">
        <v>4940</v>
      </c>
      <c r="M1363" t="s">
        <v>4942</v>
      </c>
      <c r="N1363" s="11">
        <v>5210.8100000000004</v>
      </c>
      <c r="O1363" t="s">
        <v>4947</v>
      </c>
      <c r="P1363" t="s">
        <v>4951</v>
      </c>
      <c r="S1363" t="str">
        <f t="shared" si="63"/>
        <v>Middle-Aged</v>
      </c>
      <c r="T1363" t="str">
        <f t="shared" si="64"/>
        <v>Medium</v>
      </c>
      <c r="U1363" t="str">
        <f t="shared" si="65"/>
        <v>Short Days</v>
      </c>
    </row>
    <row r="1364" spans="1:21">
      <c r="A1364" t="s">
        <v>1380</v>
      </c>
      <c r="B1364" s="5">
        <v>45405</v>
      </c>
      <c r="C1364" t="s">
        <v>3508</v>
      </c>
      <c r="D1364" t="s">
        <v>4787</v>
      </c>
      <c r="E1364" t="s">
        <v>4866</v>
      </c>
      <c r="F1364">
        <v>11</v>
      </c>
      <c r="G1364" t="s">
        <v>4882</v>
      </c>
      <c r="H1364" t="s">
        <v>4891</v>
      </c>
      <c r="I1364" t="s">
        <v>4897</v>
      </c>
      <c r="J1364" t="s">
        <v>4922</v>
      </c>
      <c r="K1364" t="s">
        <v>4928</v>
      </c>
      <c r="L1364" t="s">
        <v>4936</v>
      </c>
      <c r="M1364" t="s">
        <v>4944</v>
      </c>
      <c r="N1364" s="11">
        <v>9130.34</v>
      </c>
      <c r="O1364" t="s">
        <v>4947</v>
      </c>
      <c r="P1364" t="s">
        <v>4951</v>
      </c>
      <c r="R1364">
        <v>90</v>
      </c>
      <c r="S1364" t="str">
        <f t="shared" si="63"/>
        <v>Child</v>
      </c>
      <c r="T1364" t="str">
        <f t="shared" si="64"/>
        <v>Medium</v>
      </c>
      <c r="U1364" t="str">
        <f t="shared" si="65"/>
        <v>Short Days</v>
      </c>
    </row>
    <row r="1365" spans="1:21">
      <c r="A1365" t="s">
        <v>1381</v>
      </c>
      <c r="B1365" s="5">
        <v>45554</v>
      </c>
      <c r="C1365" t="s">
        <v>3535</v>
      </c>
      <c r="D1365" t="s">
        <v>4634</v>
      </c>
      <c r="E1365" t="s">
        <v>4867</v>
      </c>
      <c r="F1365">
        <v>35</v>
      </c>
      <c r="G1365" t="s">
        <v>4871</v>
      </c>
      <c r="H1365" t="s">
        <v>4886</v>
      </c>
      <c r="I1365" t="s">
        <v>4898</v>
      </c>
      <c r="J1365" t="s">
        <v>4909</v>
      </c>
      <c r="K1365" t="s">
        <v>4925</v>
      </c>
      <c r="L1365" t="s">
        <v>4936</v>
      </c>
      <c r="M1365" t="s">
        <v>4944</v>
      </c>
      <c r="N1365" s="11">
        <v>7722.97</v>
      </c>
      <c r="O1365" t="s">
        <v>4949</v>
      </c>
      <c r="P1365" t="s">
        <v>4951</v>
      </c>
      <c r="S1365" t="str">
        <f t="shared" si="63"/>
        <v>Adult</v>
      </c>
      <c r="T1365" t="str">
        <f t="shared" si="64"/>
        <v>Medium</v>
      </c>
      <c r="U1365" t="str">
        <f t="shared" si="65"/>
        <v>Short Days</v>
      </c>
    </row>
    <row r="1366" spans="1:21">
      <c r="A1366" t="s">
        <v>1382</v>
      </c>
      <c r="B1366" s="5">
        <v>45943</v>
      </c>
      <c r="C1366" t="s">
        <v>4012</v>
      </c>
      <c r="D1366" t="s">
        <v>4729</v>
      </c>
      <c r="E1366" t="s">
        <v>4867</v>
      </c>
      <c r="F1366">
        <v>12</v>
      </c>
      <c r="G1366" t="s">
        <v>4876</v>
      </c>
      <c r="H1366" t="s">
        <v>4888</v>
      </c>
      <c r="I1366" t="s">
        <v>4902</v>
      </c>
      <c r="J1366" t="s">
        <v>4916</v>
      </c>
      <c r="K1366" t="s">
        <v>4930</v>
      </c>
      <c r="L1366" t="s">
        <v>4937</v>
      </c>
      <c r="M1366" t="s">
        <v>4942</v>
      </c>
      <c r="N1366" s="11">
        <v>1505.23</v>
      </c>
      <c r="O1366" t="s">
        <v>15</v>
      </c>
      <c r="P1366" t="s">
        <v>4952</v>
      </c>
      <c r="R1366">
        <v>30</v>
      </c>
      <c r="S1366" t="str">
        <f t="shared" si="63"/>
        <v>Child</v>
      </c>
      <c r="T1366" t="str">
        <f t="shared" si="64"/>
        <v>Low</v>
      </c>
      <c r="U1366" t="str">
        <f t="shared" si="65"/>
        <v>Short Days</v>
      </c>
    </row>
    <row r="1367" spans="1:21">
      <c r="A1367" t="s">
        <v>1383</v>
      </c>
      <c r="B1367" s="5">
        <v>45480</v>
      </c>
      <c r="C1367" t="s">
        <v>4013</v>
      </c>
      <c r="D1367" t="s">
        <v>4839</v>
      </c>
      <c r="E1367" t="s">
        <v>4867</v>
      </c>
      <c r="F1367">
        <v>66</v>
      </c>
      <c r="G1367" t="s">
        <v>4869</v>
      </c>
      <c r="H1367" t="s">
        <v>4884</v>
      </c>
      <c r="I1367" t="s">
        <v>4898</v>
      </c>
      <c r="J1367" t="s">
        <v>4909</v>
      </c>
      <c r="K1367" t="s">
        <v>4929</v>
      </c>
      <c r="L1367" t="s">
        <v>4941</v>
      </c>
      <c r="M1367" t="s">
        <v>4942</v>
      </c>
      <c r="N1367" s="11">
        <v>1441.71</v>
      </c>
      <c r="O1367" t="s">
        <v>4946</v>
      </c>
      <c r="P1367" t="s">
        <v>4951</v>
      </c>
      <c r="S1367" t="str">
        <f t="shared" si="63"/>
        <v>Senior</v>
      </c>
      <c r="T1367" t="str">
        <f t="shared" si="64"/>
        <v>Low</v>
      </c>
      <c r="U1367" t="str">
        <f t="shared" si="65"/>
        <v>Short Days</v>
      </c>
    </row>
    <row r="1368" spans="1:21">
      <c r="A1368" t="s">
        <v>1384</v>
      </c>
      <c r="B1368" s="5">
        <v>45627</v>
      </c>
      <c r="C1368" t="s">
        <v>4014</v>
      </c>
      <c r="D1368" t="s">
        <v>4631</v>
      </c>
      <c r="E1368" t="s">
        <v>4867</v>
      </c>
      <c r="F1368">
        <v>43</v>
      </c>
      <c r="G1368" t="s">
        <v>4879</v>
      </c>
      <c r="H1368" t="s">
        <v>4888</v>
      </c>
      <c r="I1368" t="s">
        <v>4902</v>
      </c>
      <c r="J1368" t="s">
        <v>4920</v>
      </c>
      <c r="K1368" t="s">
        <v>4924</v>
      </c>
      <c r="L1368" t="s">
        <v>4934</v>
      </c>
      <c r="M1368" t="s">
        <v>4942</v>
      </c>
      <c r="N1368" s="11">
        <v>1601.78</v>
      </c>
      <c r="O1368" t="s">
        <v>4948</v>
      </c>
      <c r="P1368" t="s">
        <v>4951</v>
      </c>
      <c r="R1368">
        <v>90</v>
      </c>
      <c r="S1368" t="str">
        <f t="shared" si="63"/>
        <v>Middle-Aged</v>
      </c>
      <c r="T1368" t="str">
        <f t="shared" si="64"/>
        <v>Low</v>
      </c>
      <c r="U1368" t="str">
        <f t="shared" si="65"/>
        <v>Short Days</v>
      </c>
    </row>
    <row r="1369" spans="1:21">
      <c r="A1369" t="s">
        <v>1385</v>
      </c>
      <c r="B1369" s="5">
        <v>45397</v>
      </c>
      <c r="C1369" t="s">
        <v>4015</v>
      </c>
      <c r="D1369" t="s">
        <v>4661</v>
      </c>
      <c r="E1369" t="s">
        <v>4866</v>
      </c>
      <c r="F1369">
        <v>36</v>
      </c>
      <c r="G1369" t="s">
        <v>4870</v>
      </c>
      <c r="H1369" t="s">
        <v>4885</v>
      </c>
      <c r="I1369" t="s">
        <v>4894</v>
      </c>
      <c r="J1369" t="s">
        <v>4904</v>
      </c>
      <c r="K1369" t="s">
        <v>4933</v>
      </c>
      <c r="L1369" t="s">
        <v>4937</v>
      </c>
      <c r="M1369" t="s">
        <v>4942</v>
      </c>
      <c r="N1369" s="11">
        <v>10412.26</v>
      </c>
      <c r="O1369" t="s">
        <v>4948</v>
      </c>
      <c r="P1369" t="s">
        <v>4951</v>
      </c>
      <c r="S1369" t="str">
        <f t="shared" si="63"/>
        <v>Adult</v>
      </c>
      <c r="T1369" t="str">
        <f t="shared" si="64"/>
        <v>High</v>
      </c>
      <c r="U1369" t="str">
        <f t="shared" si="65"/>
        <v>Short Days</v>
      </c>
    </row>
    <row r="1370" spans="1:21">
      <c r="A1370" t="s">
        <v>1386</v>
      </c>
      <c r="B1370" s="5">
        <v>45880</v>
      </c>
      <c r="C1370" t="s">
        <v>4016</v>
      </c>
      <c r="D1370" t="s">
        <v>4604</v>
      </c>
      <c r="E1370" t="s">
        <v>4867</v>
      </c>
      <c r="F1370">
        <v>21</v>
      </c>
      <c r="G1370" t="s">
        <v>4880</v>
      </c>
      <c r="H1370" t="s">
        <v>4890</v>
      </c>
      <c r="I1370" t="s">
        <v>4893</v>
      </c>
      <c r="J1370" t="s">
        <v>4903</v>
      </c>
      <c r="K1370" t="s">
        <v>4931</v>
      </c>
      <c r="L1370" t="s">
        <v>4935</v>
      </c>
      <c r="M1370" t="s">
        <v>4942</v>
      </c>
      <c r="N1370" s="11">
        <v>4299.53</v>
      </c>
      <c r="O1370" t="s">
        <v>4946</v>
      </c>
      <c r="P1370" t="s">
        <v>4951</v>
      </c>
      <c r="R1370">
        <v>7</v>
      </c>
      <c r="S1370" t="str">
        <f t="shared" si="63"/>
        <v>Adult</v>
      </c>
      <c r="T1370" t="str">
        <f t="shared" si="64"/>
        <v>Low</v>
      </c>
      <c r="U1370" t="str">
        <f t="shared" si="65"/>
        <v>Short Days</v>
      </c>
    </row>
    <row r="1371" spans="1:21">
      <c r="A1371" t="s">
        <v>1387</v>
      </c>
      <c r="B1371" s="5">
        <v>45667</v>
      </c>
      <c r="C1371" t="s">
        <v>4017</v>
      </c>
      <c r="D1371" t="s">
        <v>4710</v>
      </c>
      <c r="E1371" t="s">
        <v>4867</v>
      </c>
      <c r="F1371">
        <v>45</v>
      </c>
      <c r="G1371" t="s">
        <v>4874</v>
      </c>
      <c r="H1371" t="s">
        <v>4886</v>
      </c>
      <c r="I1371" t="s">
        <v>4894</v>
      </c>
      <c r="J1371" t="s">
        <v>4910</v>
      </c>
      <c r="K1371" t="s">
        <v>4927</v>
      </c>
      <c r="L1371" t="s">
        <v>4938</v>
      </c>
      <c r="M1371" t="s">
        <v>4942</v>
      </c>
      <c r="N1371" s="11">
        <v>1567.18</v>
      </c>
      <c r="O1371" t="s">
        <v>4947</v>
      </c>
      <c r="P1371" t="s">
        <v>4951</v>
      </c>
      <c r="R1371">
        <v>30</v>
      </c>
      <c r="S1371" t="str">
        <f t="shared" si="63"/>
        <v>Middle-Aged</v>
      </c>
      <c r="T1371" t="str">
        <f t="shared" si="64"/>
        <v>Low</v>
      </c>
      <c r="U1371" t="str">
        <f t="shared" si="65"/>
        <v>Short Days</v>
      </c>
    </row>
    <row r="1372" spans="1:21">
      <c r="A1372" t="s">
        <v>1388</v>
      </c>
      <c r="B1372" s="5">
        <v>45839</v>
      </c>
      <c r="C1372" t="s">
        <v>3550</v>
      </c>
      <c r="D1372" t="s">
        <v>4606</v>
      </c>
      <c r="E1372" t="s">
        <v>4866</v>
      </c>
      <c r="F1372">
        <v>43</v>
      </c>
      <c r="G1372" t="s">
        <v>4882</v>
      </c>
      <c r="H1372" t="s">
        <v>4891</v>
      </c>
      <c r="I1372" t="s">
        <v>4897</v>
      </c>
      <c r="J1372" t="s">
        <v>4922</v>
      </c>
      <c r="K1372" t="s">
        <v>4930</v>
      </c>
      <c r="L1372" t="s">
        <v>4941</v>
      </c>
      <c r="M1372" t="s">
        <v>4942</v>
      </c>
      <c r="N1372" s="11">
        <v>22682.25</v>
      </c>
      <c r="O1372" t="s">
        <v>4947</v>
      </c>
      <c r="P1372" t="s">
        <v>4951</v>
      </c>
      <c r="R1372">
        <v>7</v>
      </c>
      <c r="S1372" t="str">
        <f t="shared" si="63"/>
        <v>Middle-Aged</v>
      </c>
      <c r="T1372" t="str">
        <f t="shared" si="64"/>
        <v>High</v>
      </c>
      <c r="U1372" t="str">
        <f t="shared" si="65"/>
        <v>Short Days</v>
      </c>
    </row>
    <row r="1373" spans="1:21">
      <c r="A1373" t="s">
        <v>1389</v>
      </c>
      <c r="B1373" s="5">
        <v>45310</v>
      </c>
      <c r="C1373" t="s">
        <v>4018</v>
      </c>
      <c r="D1373" t="s">
        <v>4756</v>
      </c>
      <c r="E1373" t="s">
        <v>4866</v>
      </c>
      <c r="F1373">
        <v>48</v>
      </c>
      <c r="G1373" t="s">
        <v>4869</v>
      </c>
      <c r="H1373" t="s">
        <v>4884</v>
      </c>
      <c r="I1373" t="s">
        <v>4899</v>
      </c>
      <c r="J1373" t="s">
        <v>4911</v>
      </c>
      <c r="K1373" t="s">
        <v>4926</v>
      </c>
      <c r="L1373" t="s">
        <v>4934</v>
      </c>
      <c r="M1373" t="s">
        <v>4942</v>
      </c>
      <c r="N1373" s="11">
        <v>1584.6</v>
      </c>
      <c r="O1373" t="s">
        <v>4948</v>
      </c>
      <c r="P1373" t="s">
        <v>4951</v>
      </c>
      <c r="R1373">
        <v>7</v>
      </c>
      <c r="S1373" t="str">
        <f t="shared" si="63"/>
        <v>Middle-Aged</v>
      </c>
      <c r="T1373" t="str">
        <f t="shared" si="64"/>
        <v>Low</v>
      </c>
      <c r="U1373" t="str">
        <f t="shared" si="65"/>
        <v>Short Days</v>
      </c>
    </row>
    <row r="1374" spans="1:21">
      <c r="A1374" t="s">
        <v>1390</v>
      </c>
      <c r="B1374" s="5">
        <v>45864</v>
      </c>
      <c r="C1374" t="s">
        <v>4019</v>
      </c>
      <c r="D1374" t="s">
        <v>4615</v>
      </c>
      <c r="E1374" t="s">
        <v>4867</v>
      </c>
      <c r="F1374">
        <v>61</v>
      </c>
      <c r="G1374" t="s">
        <v>4875</v>
      </c>
      <c r="H1374" t="s">
        <v>4889</v>
      </c>
      <c r="I1374" t="s">
        <v>4895</v>
      </c>
      <c r="J1374" t="s">
        <v>4905</v>
      </c>
      <c r="K1374" t="s">
        <v>4925</v>
      </c>
      <c r="L1374" t="s">
        <v>4937</v>
      </c>
      <c r="M1374" t="s">
        <v>4945</v>
      </c>
      <c r="N1374" s="11">
        <v>6918.52</v>
      </c>
      <c r="O1374" t="s">
        <v>4949</v>
      </c>
      <c r="P1374" t="s">
        <v>4951</v>
      </c>
      <c r="Q1374">
        <v>3</v>
      </c>
      <c r="R1374">
        <v>30</v>
      </c>
      <c r="S1374" t="str">
        <f t="shared" si="63"/>
        <v>Senior</v>
      </c>
      <c r="T1374" t="str">
        <f t="shared" si="64"/>
        <v>Medium</v>
      </c>
      <c r="U1374" t="str">
        <f t="shared" si="65"/>
        <v>Short Days</v>
      </c>
    </row>
    <row r="1375" spans="1:21">
      <c r="A1375" t="s">
        <v>1391</v>
      </c>
      <c r="B1375" s="5">
        <v>45602</v>
      </c>
      <c r="C1375" t="s">
        <v>3356</v>
      </c>
      <c r="D1375" t="s">
        <v>4617</v>
      </c>
      <c r="E1375" t="s">
        <v>4867</v>
      </c>
      <c r="F1375">
        <v>45</v>
      </c>
      <c r="G1375" t="s">
        <v>4871</v>
      </c>
      <c r="H1375" t="s">
        <v>4886</v>
      </c>
      <c r="I1375" t="s">
        <v>4895</v>
      </c>
      <c r="J1375" t="s">
        <v>4915</v>
      </c>
      <c r="K1375" t="s">
        <v>4927</v>
      </c>
      <c r="L1375" t="s">
        <v>4941</v>
      </c>
      <c r="M1375" t="s">
        <v>4942</v>
      </c>
      <c r="N1375" s="11">
        <v>3591.52</v>
      </c>
      <c r="O1375" t="s">
        <v>4949</v>
      </c>
      <c r="P1375" t="s">
        <v>4951</v>
      </c>
      <c r="R1375">
        <v>90</v>
      </c>
      <c r="S1375" t="str">
        <f t="shared" si="63"/>
        <v>Middle-Aged</v>
      </c>
      <c r="T1375" t="str">
        <f t="shared" si="64"/>
        <v>Low</v>
      </c>
      <c r="U1375" t="str">
        <f t="shared" si="65"/>
        <v>Short Days</v>
      </c>
    </row>
    <row r="1376" spans="1:21">
      <c r="A1376" t="s">
        <v>1392</v>
      </c>
      <c r="B1376" s="5">
        <v>45328</v>
      </c>
      <c r="C1376" t="s">
        <v>4020</v>
      </c>
      <c r="D1376" t="s">
        <v>4773</v>
      </c>
      <c r="E1376" t="s">
        <v>4866</v>
      </c>
      <c r="F1376">
        <v>57</v>
      </c>
      <c r="G1376" t="s">
        <v>4878</v>
      </c>
      <c r="H1376" t="s">
        <v>4889</v>
      </c>
      <c r="I1376" t="s">
        <v>4894</v>
      </c>
      <c r="J1376" t="s">
        <v>4904</v>
      </c>
      <c r="K1376" t="s">
        <v>4932</v>
      </c>
      <c r="L1376" t="s">
        <v>4937</v>
      </c>
      <c r="M1376" t="s">
        <v>4942</v>
      </c>
      <c r="N1376" s="11">
        <v>17815.45</v>
      </c>
      <c r="O1376" t="s">
        <v>4949</v>
      </c>
      <c r="P1376" t="s">
        <v>4951</v>
      </c>
      <c r="R1376">
        <v>14</v>
      </c>
      <c r="S1376" t="str">
        <f t="shared" si="63"/>
        <v>Middle-Aged</v>
      </c>
      <c r="T1376" t="str">
        <f t="shared" si="64"/>
        <v>High</v>
      </c>
      <c r="U1376" t="str">
        <f t="shared" si="65"/>
        <v>Short Days</v>
      </c>
    </row>
    <row r="1377" spans="1:21">
      <c r="A1377" t="s">
        <v>1393</v>
      </c>
      <c r="B1377" s="5">
        <v>45575</v>
      </c>
      <c r="C1377" t="s">
        <v>4021</v>
      </c>
      <c r="D1377" t="s">
        <v>4626</v>
      </c>
      <c r="E1377" t="s">
        <v>4866</v>
      </c>
      <c r="F1377">
        <v>61</v>
      </c>
      <c r="G1377" t="s">
        <v>4879</v>
      </c>
      <c r="H1377" t="s">
        <v>4888</v>
      </c>
      <c r="I1377" t="s">
        <v>4901</v>
      </c>
      <c r="J1377" t="s">
        <v>4914</v>
      </c>
      <c r="K1377" t="s">
        <v>4926</v>
      </c>
      <c r="L1377" t="s">
        <v>4936</v>
      </c>
      <c r="M1377" t="s">
        <v>4944</v>
      </c>
      <c r="N1377" s="11">
        <v>7903.22</v>
      </c>
      <c r="O1377" t="s">
        <v>15</v>
      </c>
      <c r="P1377" t="s">
        <v>4952</v>
      </c>
      <c r="S1377" t="str">
        <f t="shared" si="63"/>
        <v>Senior</v>
      </c>
      <c r="T1377" t="str">
        <f t="shared" si="64"/>
        <v>Medium</v>
      </c>
      <c r="U1377" t="str">
        <f t="shared" si="65"/>
        <v>Short Days</v>
      </c>
    </row>
    <row r="1378" spans="1:21">
      <c r="A1378" t="s">
        <v>1394</v>
      </c>
      <c r="B1378" s="5">
        <v>45697</v>
      </c>
      <c r="C1378" t="s">
        <v>4014</v>
      </c>
      <c r="D1378" t="s">
        <v>4658</v>
      </c>
      <c r="E1378" t="s">
        <v>4867</v>
      </c>
      <c r="F1378">
        <v>48</v>
      </c>
      <c r="G1378" t="s">
        <v>4878</v>
      </c>
      <c r="H1378" t="s">
        <v>4889</v>
      </c>
      <c r="I1378" t="s">
        <v>4894</v>
      </c>
      <c r="J1378" t="s">
        <v>4904</v>
      </c>
      <c r="K1378" t="s">
        <v>4928</v>
      </c>
      <c r="L1378" t="s">
        <v>4935</v>
      </c>
      <c r="M1378" t="s">
        <v>4942</v>
      </c>
      <c r="N1378" s="11">
        <v>2235.9699999999998</v>
      </c>
      <c r="O1378" t="s">
        <v>15</v>
      </c>
      <c r="P1378" t="s">
        <v>4952</v>
      </c>
      <c r="R1378">
        <v>7</v>
      </c>
      <c r="S1378" t="str">
        <f t="shared" si="63"/>
        <v>Middle-Aged</v>
      </c>
      <c r="T1378" t="str">
        <f t="shared" si="64"/>
        <v>Low</v>
      </c>
      <c r="U1378" t="str">
        <f t="shared" si="65"/>
        <v>Short Days</v>
      </c>
    </row>
    <row r="1379" spans="1:21">
      <c r="A1379" t="s">
        <v>1395</v>
      </c>
      <c r="B1379" s="5">
        <v>45746</v>
      </c>
      <c r="C1379" t="s">
        <v>3739</v>
      </c>
      <c r="D1379" t="s">
        <v>4596</v>
      </c>
      <c r="E1379" t="s">
        <v>4867</v>
      </c>
      <c r="F1379">
        <v>45</v>
      </c>
      <c r="G1379" t="s">
        <v>4877</v>
      </c>
      <c r="H1379" t="s">
        <v>4888</v>
      </c>
      <c r="I1379" t="s">
        <v>4897</v>
      </c>
      <c r="J1379" t="s">
        <v>4922</v>
      </c>
      <c r="K1379" t="s">
        <v>4926</v>
      </c>
      <c r="L1379" t="s">
        <v>4937</v>
      </c>
      <c r="M1379" t="s">
        <v>4945</v>
      </c>
      <c r="N1379" s="11">
        <v>5740.66</v>
      </c>
      <c r="O1379" t="s">
        <v>4950</v>
      </c>
      <c r="P1379" t="s">
        <v>4951</v>
      </c>
      <c r="Q1379">
        <v>7</v>
      </c>
      <c r="S1379" t="str">
        <f t="shared" si="63"/>
        <v>Middle-Aged</v>
      </c>
      <c r="T1379" t="str">
        <f t="shared" si="64"/>
        <v>Medium</v>
      </c>
      <c r="U1379" t="str">
        <f t="shared" si="65"/>
        <v>Long Days</v>
      </c>
    </row>
    <row r="1380" spans="1:21">
      <c r="A1380" t="s">
        <v>1396</v>
      </c>
      <c r="B1380" s="5">
        <v>45601</v>
      </c>
      <c r="C1380" t="s">
        <v>4022</v>
      </c>
      <c r="D1380" t="s">
        <v>4802</v>
      </c>
      <c r="E1380" t="s">
        <v>4867</v>
      </c>
      <c r="F1380">
        <v>40</v>
      </c>
      <c r="G1380" t="s">
        <v>4869</v>
      </c>
      <c r="H1380" t="s">
        <v>4884</v>
      </c>
      <c r="I1380" t="s">
        <v>4898</v>
      </c>
      <c r="J1380" t="s">
        <v>4923</v>
      </c>
      <c r="K1380" t="s">
        <v>4924</v>
      </c>
      <c r="L1380" t="s">
        <v>4940</v>
      </c>
      <c r="M1380" t="s">
        <v>4942</v>
      </c>
      <c r="N1380" s="11">
        <v>2989.11</v>
      </c>
      <c r="O1380" t="s">
        <v>15</v>
      </c>
      <c r="P1380" t="s">
        <v>4952</v>
      </c>
      <c r="R1380">
        <v>14</v>
      </c>
      <c r="S1380" t="str">
        <f t="shared" si="63"/>
        <v>Adult</v>
      </c>
      <c r="T1380" t="str">
        <f t="shared" si="64"/>
        <v>Low</v>
      </c>
      <c r="U1380" t="str">
        <f t="shared" si="65"/>
        <v>Short Days</v>
      </c>
    </row>
    <row r="1381" spans="1:21">
      <c r="A1381" t="s">
        <v>1397</v>
      </c>
      <c r="B1381" s="5">
        <v>45556</v>
      </c>
      <c r="C1381" t="s">
        <v>3579</v>
      </c>
      <c r="D1381" t="s">
        <v>4688</v>
      </c>
      <c r="E1381" t="s">
        <v>4866</v>
      </c>
      <c r="F1381">
        <v>66</v>
      </c>
      <c r="G1381" t="s">
        <v>4879</v>
      </c>
      <c r="H1381" t="s">
        <v>4888</v>
      </c>
      <c r="I1381" t="s">
        <v>4902</v>
      </c>
      <c r="J1381" t="s">
        <v>4920</v>
      </c>
      <c r="K1381" t="s">
        <v>4924</v>
      </c>
      <c r="L1381" t="s">
        <v>4939</v>
      </c>
      <c r="M1381" t="s">
        <v>4944</v>
      </c>
      <c r="N1381" s="11">
        <v>11650.26</v>
      </c>
      <c r="O1381" t="s">
        <v>4949</v>
      </c>
      <c r="P1381" t="s">
        <v>4951</v>
      </c>
      <c r="S1381" t="str">
        <f t="shared" si="63"/>
        <v>Senior</v>
      </c>
      <c r="T1381" t="str">
        <f t="shared" si="64"/>
        <v>High</v>
      </c>
      <c r="U1381" t="str">
        <f t="shared" si="65"/>
        <v>Short Days</v>
      </c>
    </row>
    <row r="1382" spans="1:21">
      <c r="A1382" t="s">
        <v>1398</v>
      </c>
      <c r="B1382" s="5">
        <v>45451</v>
      </c>
      <c r="C1382" t="s">
        <v>3685</v>
      </c>
      <c r="D1382" t="s">
        <v>4779</v>
      </c>
      <c r="E1382" t="s">
        <v>4867</v>
      </c>
      <c r="F1382">
        <v>68</v>
      </c>
      <c r="G1382" t="s">
        <v>4879</v>
      </c>
      <c r="H1382" t="s">
        <v>4888</v>
      </c>
      <c r="I1382" t="s">
        <v>4896</v>
      </c>
      <c r="J1382" t="s">
        <v>4906</v>
      </c>
      <c r="K1382" t="s">
        <v>4925</v>
      </c>
      <c r="L1382" t="s">
        <v>4937</v>
      </c>
      <c r="M1382" t="s">
        <v>4944</v>
      </c>
      <c r="N1382" s="11">
        <v>5195.01</v>
      </c>
      <c r="O1382" t="s">
        <v>4949</v>
      </c>
      <c r="P1382" t="s">
        <v>4951</v>
      </c>
      <c r="R1382">
        <v>90</v>
      </c>
      <c r="S1382" t="str">
        <f t="shared" si="63"/>
        <v>Senior</v>
      </c>
      <c r="T1382" t="str">
        <f t="shared" si="64"/>
        <v>Medium</v>
      </c>
      <c r="U1382" t="str">
        <f t="shared" si="65"/>
        <v>Short Days</v>
      </c>
    </row>
    <row r="1383" spans="1:21">
      <c r="A1383" t="s">
        <v>1399</v>
      </c>
      <c r="B1383" s="5">
        <v>45810</v>
      </c>
      <c r="C1383" t="s">
        <v>4023</v>
      </c>
      <c r="D1383" t="s">
        <v>4698</v>
      </c>
      <c r="E1383" t="s">
        <v>4867</v>
      </c>
      <c r="F1383">
        <v>26</v>
      </c>
      <c r="G1383" t="s">
        <v>4876</v>
      </c>
      <c r="H1383" t="s">
        <v>4888</v>
      </c>
      <c r="I1383" t="s">
        <v>4897</v>
      </c>
      <c r="J1383" t="s">
        <v>4922</v>
      </c>
      <c r="K1383" t="s">
        <v>4924</v>
      </c>
      <c r="L1383" t="s">
        <v>4936</v>
      </c>
      <c r="M1383" t="s">
        <v>4942</v>
      </c>
      <c r="N1383" s="11">
        <v>1022.59</v>
      </c>
      <c r="O1383" t="s">
        <v>4947</v>
      </c>
      <c r="P1383" t="s">
        <v>4951</v>
      </c>
      <c r="R1383">
        <v>7</v>
      </c>
      <c r="S1383" t="str">
        <f t="shared" si="63"/>
        <v>Adult</v>
      </c>
      <c r="T1383" t="str">
        <f t="shared" si="64"/>
        <v>Low</v>
      </c>
      <c r="U1383" t="str">
        <f t="shared" si="65"/>
        <v>Short Days</v>
      </c>
    </row>
    <row r="1384" spans="1:21">
      <c r="A1384" t="s">
        <v>1400</v>
      </c>
      <c r="B1384" s="5">
        <v>45433</v>
      </c>
      <c r="C1384" t="s">
        <v>4024</v>
      </c>
      <c r="D1384" t="s">
        <v>4790</v>
      </c>
      <c r="E1384" t="s">
        <v>4867</v>
      </c>
      <c r="F1384">
        <v>59</v>
      </c>
      <c r="G1384" t="s">
        <v>4882</v>
      </c>
      <c r="H1384" t="s">
        <v>4891</v>
      </c>
      <c r="I1384" t="s">
        <v>4898</v>
      </c>
      <c r="J1384" t="s">
        <v>4923</v>
      </c>
      <c r="K1384" t="s">
        <v>4927</v>
      </c>
      <c r="L1384" t="s">
        <v>4941</v>
      </c>
      <c r="M1384" t="s">
        <v>4944</v>
      </c>
      <c r="N1384" s="11">
        <v>10927.16</v>
      </c>
      <c r="O1384" t="s">
        <v>4947</v>
      </c>
      <c r="P1384" t="s">
        <v>4951</v>
      </c>
      <c r="R1384">
        <v>30</v>
      </c>
      <c r="S1384" t="str">
        <f t="shared" si="63"/>
        <v>Middle-Aged</v>
      </c>
      <c r="T1384" t="str">
        <f t="shared" si="64"/>
        <v>High</v>
      </c>
      <c r="U1384" t="str">
        <f t="shared" si="65"/>
        <v>Short Days</v>
      </c>
    </row>
    <row r="1385" spans="1:21">
      <c r="A1385" t="s">
        <v>1401</v>
      </c>
      <c r="B1385" s="5">
        <v>45654</v>
      </c>
      <c r="C1385" t="s">
        <v>3388</v>
      </c>
      <c r="D1385" t="s">
        <v>4650</v>
      </c>
      <c r="E1385" t="s">
        <v>4866</v>
      </c>
      <c r="F1385">
        <v>52</v>
      </c>
      <c r="G1385" t="s">
        <v>4880</v>
      </c>
      <c r="H1385" t="s">
        <v>4890</v>
      </c>
      <c r="I1385" t="s">
        <v>4896</v>
      </c>
      <c r="J1385" t="s">
        <v>4908</v>
      </c>
      <c r="K1385" t="s">
        <v>4928</v>
      </c>
      <c r="L1385" t="s">
        <v>4936</v>
      </c>
      <c r="M1385" t="s">
        <v>4942</v>
      </c>
      <c r="N1385" s="11">
        <v>1528.11</v>
      </c>
      <c r="O1385" t="s">
        <v>4946</v>
      </c>
      <c r="P1385" t="s">
        <v>4951</v>
      </c>
      <c r="R1385">
        <v>30</v>
      </c>
      <c r="S1385" t="str">
        <f t="shared" si="63"/>
        <v>Middle-Aged</v>
      </c>
      <c r="T1385" t="str">
        <f t="shared" si="64"/>
        <v>Low</v>
      </c>
      <c r="U1385" t="str">
        <f t="shared" si="65"/>
        <v>Short Days</v>
      </c>
    </row>
    <row r="1386" spans="1:21">
      <c r="A1386" t="s">
        <v>1402</v>
      </c>
      <c r="B1386" s="5">
        <v>45387</v>
      </c>
      <c r="C1386" t="s">
        <v>4025</v>
      </c>
      <c r="D1386" t="s">
        <v>4749</v>
      </c>
      <c r="E1386" t="s">
        <v>4866</v>
      </c>
      <c r="F1386">
        <v>56</v>
      </c>
      <c r="G1386" t="s">
        <v>4871</v>
      </c>
      <c r="H1386" t="s">
        <v>4886</v>
      </c>
      <c r="I1386" t="s">
        <v>4902</v>
      </c>
      <c r="J1386" t="s">
        <v>4920</v>
      </c>
      <c r="K1386" t="s">
        <v>4933</v>
      </c>
      <c r="L1386" t="s">
        <v>4934</v>
      </c>
      <c r="M1386" t="s">
        <v>4942</v>
      </c>
      <c r="N1386" s="11">
        <v>3610.65</v>
      </c>
      <c r="O1386" t="s">
        <v>4946</v>
      </c>
      <c r="P1386" t="s">
        <v>4951</v>
      </c>
      <c r="S1386" t="str">
        <f t="shared" si="63"/>
        <v>Middle-Aged</v>
      </c>
      <c r="T1386" t="str">
        <f t="shared" si="64"/>
        <v>Low</v>
      </c>
      <c r="U1386" t="str">
        <f t="shared" si="65"/>
        <v>Short Days</v>
      </c>
    </row>
    <row r="1387" spans="1:21">
      <c r="A1387" t="s">
        <v>1403</v>
      </c>
      <c r="B1387" s="5">
        <v>45379</v>
      </c>
      <c r="C1387" t="s">
        <v>3712</v>
      </c>
      <c r="D1387" t="s">
        <v>4677</v>
      </c>
      <c r="E1387" t="s">
        <v>4866</v>
      </c>
      <c r="F1387">
        <v>27</v>
      </c>
      <c r="G1387" t="s">
        <v>4869</v>
      </c>
      <c r="H1387" t="s">
        <v>4884</v>
      </c>
      <c r="I1387" t="s">
        <v>4900</v>
      </c>
      <c r="J1387" t="s">
        <v>4913</v>
      </c>
      <c r="K1387" t="s">
        <v>4927</v>
      </c>
      <c r="L1387" t="s">
        <v>4941</v>
      </c>
      <c r="M1387" t="s">
        <v>4942</v>
      </c>
      <c r="N1387" s="11">
        <v>205.09</v>
      </c>
      <c r="O1387" t="s">
        <v>15</v>
      </c>
      <c r="P1387" t="s">
        <v>4952</v>
      </c>
      <c r="R1387">
        <v>90</v>
      </c>
      <c r="S1387" t="str">
        <f t="shared" si="63"/>
        <v>Adult</v>
      </c>
      <c r="T1387" t="str">
        <f t="shared" si="64"/>
        <v>Low</v>
      </c>
      <c r="U1387" t="str">
        <f t="shared" si="65"/>
        <v>Short Days</v>
      </c>
    </row>
    <row r="1388" spans="1:21">
      <c r="A1388" t="s">
        <v>1404</v>
      </c>
      <c r="B1388" s="5">
        <v>45356</v>
      </c>
      <c r="C1388" t="s">
        <v>4026</v>
      </c>
      <c r="D1388" t="s">
        <v>4846</v>
      </c>
      <c r="E1388" t="s">
        <v>4866</v>
      </c>
      <c r="F1388">
        <v>71</v>
      </c>
      <c r="G1388" t="s">
        <v>4871</v>
      </c>
      <c r="H1388" t="s">
        <v>4886</v>
      </c>
      <c r="I1388" t="s">
        <v>4902</v>
      </c>
      <c r="J1388" t="s">
        <v>4920</v>
      </c>
      <c r="K1388" t="s">
        <v>4927</v>
      </c>
      <c r="L1388" t="s">
        <v>4934</v>
      </c>
      <c r="M1388" t="s">
        <v>4942</v>
      </c>
      <c r="N1388" s="11">
        <v>10465.51</v>
      </c>
      <c r="O1388" t="s">
        <v>4946</v>
      </c>
      <c r="P1388" t="s">
        <v>4951</v>
      </c>
      <c r="R1388">
        <v>7</v>
      </c>
      <c r="S1388" t="str">
        <f t="shared" si="63"/>
        <v>Senior</v>
      </c>
      <c r="T1388" t="str">
        <f t="shared" si="64"/>
        <v>High</v>
      </c>
      <c r="U1388" t="str">
        <f t="shared" si="65"/>
        <v>Short Days</v>
      </c>
    </row>
    <row r="1389" spans="1:21">
      <c r="A1389" t="s">
        <v>1405</v>
      </c>
      <c r="B1389" s="5">
        <v>45743</v>
      </c>
      <c r="C1389" t="s">
        <v>3380</v>
      </c>
      <c r="D1389" t="s">
        <v>4671</v>
      </c>
      <c r="E1389" t="s">
        <v>4866</v>
      </c>
      <c r="F1389">
        <v>46</v>
      </c>
      <c r="G1389" t="s">
        <v>4871</v>
      </c>
      <c r="H1389" t="s">
        <v>4886</v>
      </c>
      <c r="I1389" t="s">
        <v>4901</v>
      </c>
      <c r="J1389" t="s">
        <v>4921</v>
      </c>
      <c r="K1389" t="s">
        <v>4924</v>
      </c>
      <c r="L1389" t="s">
        <v>4941</v>
      </c>
      <c r="M1389" t="s">
        <v>4942</v>
      </c>
      <c r="N1389" s="11">
        <v>1265.74</v>
      </c>
      <c r="O1389" t="s">
        <v>4946</v>
      </c>
      <c r="P1389" t="s">
        <v>4951</v>
      </c>
      <c r="R1389">
        <v>90</v>
      </c>
      <c r="S1389" t="str">
        <f t="shared" si="63"/>
        <v>Middle-Aged</v>
      </c>
      <c r="T1389" t="str">
        <f t="shared" si="64"/>
        <v>Low</v>
      </c>
      <c r="U1389" t="str">
        <f t="shared" si="65"/>
        <v>Short Days</v>
      </c>
    </row>
    <row r="1390" spans="1:21">
      <c r="A1390" t="s">
        <v>1406</v>
      </c>
      <c r="B1390" s="5">
        <v>45852</v>
      </c>
      <c r="C1390" t="s">
        <v>3575</v>
      </c>
      <c r="D1390" t="s">
        <v>4636</v>
      </c>
      <c r="E1390" t="s">
        <v>4866</v>
      </c>
      <c r="F1390">
        <v>45</v>
      </c>
      <c r="G1390" t="s">
        <v>4877</v>
      </c>
      <c r="H1390" t="s">
        <v>4888</v>
      </c>
      <c r="I1390" t="s">
        <v>4894</v>
      </c>
      <c r="J1390" t="s">
        <v>4910</v>
      </c>
      <c r="K1390" t="s">
        <v>4932</v>
      </c>
      <c r="L1390" t="s">
        <v>4935</v>
      </c>
      <c r="M1390" t="s">
        <v>4942</v>
      </c>
      <c r="N1390" s="11">
        <v>84.4</v>
      </c>
      <c r="O1390" t="s">
        <v>4947</v>
      </c>
      <c r="P1390" t="s">
        <v>4951</v>
      </c>
      <c r="R1390">
        <v>7</v>
      </c>
      <c r="S1390" t="str">
        <f t="shared" si="63"/>
        <v>Middle-Aged</v>
      </c>
      <c r="T1390" t="str">
        <f t="shared" si="64"/>
        <v>Low</v>
      </c>
      <c r="U1390" t="str">
        <f t="shared" si="65"/>
        <v>Short Days</v>
      </c>
    </row>
    <row r="1391" spans="1:21">
      <c r="A1391" t="s">
        <v>1407</v>
      </c>
      <c r="B1391" s="5">
        <v>45683</v>
      </c>
      <c r="C1391" t="s">
        <v>3313</v>
      </c>
      <c r="D1391" t="s">
        <v>4812</v>
      </c>
      <c r="E1391" t="s">
        <v>4866</v>
      </c>
      <c r="F1391">
        <v>54</v>
      </c>
      <c r="G1391" t="s">
        <v>4876</v>
      </c>
      <c r="H1391" t="s">
        <v>4888</v>
      </c>
      <c r="I1391" t="s">
        <v>4900</v>
      </c>
      <c r="J1391" t="s">
        <v>4913</v>
      </c>
      <c r="K1391" t="s">
        <v>4933</v>
      </c>
      <c r="L1391" t="s">
        <v>4939</v>
      </c>
      <c r="M1391" t="s">
        <v>4945</v>
      </c>
      <c r="N1391" s="11">
        <v>17484.78</v>
      </c>
      <c r="O1391" t="s">
        <v>4947</v>
      </c>
      <c r="P1391" t="s">
        <v>4951</v>
      </c>
      <c r="Q1391">
        <v>9</v>
      </c>
      <c r="S1391" t="str">
        <f t="shared" si="63"/>
        <v>Middle-Aged</v>
      </c>
      <c r="T1391" t="str">
        <f t="shared" si="64"/>
        <v>High</v>
      </c>
      <c r="U1391" t="str">
        <f t="shared" si="65"/>
        <v>Long Days</v>
      </c>
    </row>
    <row r="1392" spans="1:21">
      <c r="A1392" t="s">
        <v>1408</v>
      </c>
      <c r="B1392" s="5">
        <v>45310</v>
      </c>
      <c r="C1392" t="s">
        <v>4027</v>
      </c>
      <c r="D1392" t="s">
        <v>4603</v>
      </c>
      <c r="E1392" t="s">
        <v>4867</v>
      </c>
      <c r="F1392">
        <v>45</v>
      </c>
      <c r="G1392" t="s">
        <v>4871</v>
      </c>
      <c r="H1392" t="s">
        <v>4886</v>
      </c>
      <c r="I1392" t="s">
        <v>4902</v>
      </c>
      <c r="J1392" t="s">
        <v>4916</v>
      </c>
      <c r="K1392" t="s">
        <v>4930</v>
      </c>
      <c r="L1392" t="s">
        <v>4939</v>
      </c>
      <c r="M1392" t="s">
        <v>4942</v>
      </c>
      <c r="N1392" s="11">
        <v>6315.82</v>
      </c>
      <c r="O1392" t="s">
        <v>4946</v>
      </c>
      <c r="P1392" t="s">
        <v>4951</v>
      </c>
      <c r="R1392">
        <v>30</v>
      </c>
      <c r="S1392" t="str">
        <f t="shared" si="63"/>
        <v>Middle-Aged</v>
      </c>
      <c r="T1392" t="str">
        <f t="shared" si="64"/>
        <v>Medium</v>
      </c>
      <c r="U1392" t="str">
        <f t="shared" si="65"/>
        <v>Short Days</v>
      </c>
    </row>
    <row r="1393" spans="1:21">
      <c r="A1393" t="s">
        <v>1409</v>
      </c>
      <c r="B1393" s="5">
        <v>45647</v>
      </c>
      <c r="C1393" t="s">
        <v>3681</v>
      </c>
      <c r="D1393" t="s">
        <v>4610</v>
      </c>
      <c r="E1393" t="s">
        <v>4867</v>
      </c>
      <c r="F1393">
        <v>42</v>
      </c>
      <c r="G1393" t="s">
        <v>4878</v>
      </c>
      <c r="H1393" t="s">
        <v>4889</v>
      </c>
      <c r="I1393" t="s">
        <v>4898</v>
      </c>
      <c r="J1393" t="s">
        <v>4918</v>
      </c>
      <c r="K1393" t="s">
        <v>4924</v>
      </c>
      <c r="L1393" t="s">
        <v>4940</v>
      </c>
      <c r="M1393" t="s">
        <v>4942</v>
      </c>
      <c r="N1393" s="11">
        <v>3284.54</v>
      </c>
      <c r="O1393" t="s">
        <v>4949</v>
      </c>
      <c r="P1393" t="s">
        <v>4951</v>
      </c>
      <c r="R1393">
        <v>90</v>
      </c>
      <c r="S1393" t="str">
        <f t="shared" si="63"/>
        <v>Middle-Aged</v>
      </c>
      <c r="T1393" t="str">
        <f t="shared" si="64"/>
        <v>Low</v>
      </c>
      <c r="U1393" t="str">
        <f t="shared" si="65"/>
        <v>Short Days</v>
      </c>
    </row>
    <row r="1394" spans="1:21">
      <c r="A1394" t="s">
        <v>1410</v>
      </c>
      <c r="B1394" s="5">
        <v>45710</v>
      </c>
      <c r="C1394" t="s">
        <v>3758</v>
      </c>
      <c r="D1394" t="s">
        <v>4860</v>
      </c>
      <c r="E1394" t="s">
        <v>4867</v>
      </c>
      <c r="F1394">
        <v>49</v>
      </c>
      <c r="G1394" t="s">
        <v>4871</v>
      </c>
      <c r="H1394" t="s">
        <v>4886</v>
      </c>
      <c r="I1394" t="s">
        <v>4894</v>
      </c>
      <c r="J1394" t="s">
        <v>4904</v>
      </c>
      <c r="K1394" t="s">
        <v>4930</v>
      </c>
      <c r="L1394" t="s">
        <v>4937</v>
      </c>
      <c r="M1394" t="s">
        <v>4942</v>
      </c>
      <c r="N1394" s="11">
        <v>1422.86</v>
      </c>
      <c r="O1394" t="s">
        <v>4946</v>
      </c>
      <c r="P1394" t="s">
        <v>4951</v>
      </c>
      <c r="R1394">
        <v>30</v>
      </c>
      <c r="S1394" t="str">
        <f t="shared" si="63"/>
        <v>Middle-Aged</v>
      </c>
      <c r="T1394" t="str">
        <f t="shared" si="64"/>
        <v>Low</v>
      </c>
      <c r="U1394" t="str">
        <f t="shared" si="65"/>
        <v>Short Days</v>
      </c>
    </row>
    <row r="1395" spans="1:21">
      <c r="A1395" t="s">
        <v>1411</v>
      </c>
      <c r="B1395" s="5">
        <v>45732</v>
      </c>
      <c r="C1395" t="s">
        <v>3929</v>
      </c>
      <c r="D1395" t="s">
        <v>4748</v>
      </c>
      <c r="E1395" t="s">
        <v>4867</v>
      </c>
      <c r="F1395">
        <v>22</v>
      </c>
      <c r="G1395" t="s">
        <v>4869</v>
      </c>
      <c r="H1395" t="s">
        <v>4884</v>
      </c>
      <c r="I1395" t="s">
        <v>4901</v>
      </c>
      <c r="J1395" t="s">
        <v>4921</v>
      </c>
      <c r="K1395" t="s">
        <v>4924</v>
      </c>
      <c r="L1395" t="s">
        <v>4934</v>
      </c>
      <c r="M1395" t="s">
        <v>4943</v>
      </c>
      <c r="N1395" s="11">
        <v>7069.3</v>
      </c>
      <c r="O1395" t="s">
        <v>4949</v>
      </c>
      <c r="P1395" t="s">
        <v>4951</v>
      </c>
      <c r="R1395">
        <v>14</v>
      </c>
      <c r="S1395" t="str">
        <f t="shared" si="63"/>
        <v>Adult</v>
      </c>
      <c r="T1395" t="str">
        <f t="shared" si="64"/>
        <v>Medium</v>
      </c>
      <c r="U1395" t="str">
        <f t="shared" si="65"/>
        <v>Short Days</v>
      </c>
    </row>
    <row r="1396" spans="1:21">
      <c r="A1396" t="s">
        <v>1412</v>
      </c>
      <c r="B1396" s="5">
        <v>45961</v>
      </c>
      <c r="C1396" t="s">
        <v>4028</v>
      </c>
      <c r="D1396" t="s">
        <v>4638</v>
      </c>
      <c r="E1396" t="s">
        <v>4867</v>
      </c>
      <c r="F1396">
        <v>49</v>
      </c>
      <c r="G1396" t="s">
        <v>4874</v>
      </c>
      <c r="H1396" t="s">
        <v>4886</v>
      </c>
      <c r="I1396" t="s">
        <v>4900</v>
      </c>
      <c r="J1396" t="s">
        <v>4913</v>
      </c>
      <c r="K1396" t="s">
        <v>4930</v>
      </c>
      <c r="L1396" t="s">
        <v>4937</v>
      </c>
      <c r="M1396" t="s">
        <v>4942</v>
      </c>
      <c r="N1396" s="11">
        <v>1152.99</v>
      </c>
      <c r="O1396" t="s">
        <v>4948</v>
      </c>
      <c r="P1396" t="s">
        <v>4951</v>
      </c>
      <c r="R1396">
        <v>14</v>
      </c>
      <c r="S1396" t="str">
        <f t="shared" si="63"/>
        <v>Middle-Aged</v>
      </c>
      <c r="T1396" t="str">
        <f t="shared" si="64"/>
        <v>Low</v>
      </c>
      <c r="U1396" t="str">
        <f t="shared" si="65"/>
        <v>Short Days</v>
      </c>
    </row>
    <row r="1397" spans="1:21">
      <c r="A1397" t="s">
        <v>1413</v>
      </c>
      <c r="B1397" s="5">
        <v>45410</v>
      </c>
      <c r="C1397" t="s">
        <v>3658</v>
      </c>
      <c r="D1397" t="s">
        <v>4804</v>
      </c>
      <c r="E1397" t="s">
        <v>4866</v>
      </c>
      <c r="F1397">
        <v>37</v>
      </c>
      <c r="G1397" t="s">
        <v>4881</v>
      </c>
      <c r="H1397" t="s">
        <v>4881</v>
      </c>
      <c r="I1397" t="s">
        <v>4893</v>
      </c>
      <c r="J1397" t="s">
        <v>4903</v>
      </c>
      <c r="K1397" t="s">
        <v>4932</v>
      </c>
      <c r="L1397" t="s">
        <v>4936</v>
      </c>
      <c r="M1397" t="s">
        <v>4943</v>
      </c>
      <c r="N1397" s="11">
        <v>5503.87</v>
      </c>
      <c r="O1397" t="s">
        <v>4949</v>
      </c>
      <c r="P1397" t="s">
        <v>4951</v>
      </c>
      <c r="S1397" t="str">
        <f t="shared" si="63"/>
        <v>Adult</v>
      </c>
      <c r="T1397" t="str">
        <f t="shared" si="64"/>
        <v>Medium</v>
      </c>
      <c r="U1397" t="str">
        <f t="shared" si="65"/>
        <v>Short Days</v>
      </c>
    </row>
    <row r="1398" spans="1:21">
      <c r="A1398" t="s">
        <v>1414</v>
      </c>
      <c r="B1398" s="5">
        <v>45685</v>
      </c>
      <c r="C1398" t="s">
        <v>3466</v>
      </c>
      <c r="D1398" t="s">
        <v>4842</v>
      </c>
      <c r="E1398" t="s">
        <v>4867</v>
      </c>
      <c r="F1398">
        <v>62</v>
      </c>
      <c r="G1398" t="s">
        <v>4876</v>
      </c>
      <c r="H1398" t="s">
        <v>4888</v>
      </c>
      <c r="I1398" t="s">
        <v>4894</v>
      </c>
      <c r="J1398" t="s">
        <v>4910</v>
      </c>
      <c r="K1398" t="s">
        <v>4930</v>
      </c>
      <c r="L1398" t="s">
        <v>4939</v>
      </c>
      <c r="M1398" t="s">
        <v>4942</v>
      </c>
      <c r="N1398" s="11">
        <v>3205.74</v>
      </c>
      <c r="O1398" t="s">
        <v>15</v>
      </c>
      <c r="P1398" t="s">
        <v>4952</v>
      </c>
      <c r="S1398" t="str">
        <f t="shared" si="63"/>
        <v>Senior</v>
      </c>
      <c r="T1398" t="str">
        <f t="shared" si="64"/>
        <v>Low</v>
      </c>
      <c r="U1398" t="str">
        <f t="shared" si="65"/>
        <v>Short Days</v>
      </c>
    </row>
    <row r="1399" spans="1:21">
      <c r="A1399" t="s">
        <v>1415</v>
      </c>
      <c r="B1399" s="5">
        <v>45376</v>
      </c>
      <c r="C1399" t="s">
        <v>3259</v>
      </c>
      <c r="D1399" t="s">
        <v>4751</v>
      </c>
      <c r="E1399" t="s">
        <v>4866</v>
      </c>
      <c r="F1399">
        <v>23</v>
      </c>
      <c r="G1399" t="s">
        <v>4870</v>
      </c>
      <c r="H1399" t="s">
        <v>4885</v>
      </c>
      <c r="I1399" t="s">
        <v>4898</v>
      </c>
      <c r="J1399" t="s">
        <v>4909</v>
      </c>
      <c r="K1399" t="s">
        <v>4932</v>
      </c>
      <c r="L1399" t="s">
        <v>4940</v>
      </c>
      <c r="M1399" t="s">
        <v>4944</v>
      </c>
      <c r="N1399" s="11">
        <v>5124.08</v>
      </c>
      <c r="O1399" t="s">
        <v>4950</v>
      </c>
      <c r="P1399" t="s">
        <v>4951</v>
      </c>
      <c r="S1399" t="str">
        <f t="shared" si="63"/>
        <v>Adult</v>
      </c>
      <c r="T1399" t="str">
        <f t="shared" si="64"/>
        <v>Medium</v>
      </c>
      <c r="U1399" t="str">
        <f t="shared" si="65"/>
        <v>Short Days</v>
      </c>
    </row>
    <row r="1400" spans="1:21">
      <c r="A1400" t="s">
        <v>1416</v>
      </c>
      <c r="B1400" s="5">
        <v>45946</v>
      </c>
      <c r="C1400" t="s">
        <v>4029</v>
      </c>
      <c r="D1400" t="s">
        <v>4724</v>
      </c>
      <c r="E1400" t="s">
        <v>4867</v>
      </c>
      <c r="F1400">
        <v>33</v>
      </c>
      <c r="G1400" t="s">
        <v>4883</v>
      </c>
      <c r="H1400" t="s">
        <v>4892</v>
      </c>
      <c r="I1400" t="s">
        <v>4898</v>
      </c>
      <c r="J1400" t="s">
        <v>4923</v>
      </c>
      <c r="K1400" t="s">
        <v>4928</v>
      </c>
      <c r="L1400" t="s">
        <v>4934</v>
      </c>
      <c r="M1400" t="s">
        <v>4942</v>
      </c>
      <c r="N1400" s="11">
        <v>9070.84</v>
      </c>
      <c r="O1400" t="s">
        <v>15</v>
      </c>
      <c r="P1400" t="s">
        <v>4952</v>
      </c>
      <c r="R1400">
        <v>30</v>
      </c>
      <c r="S1400" t="str">
        <f t="shared" si="63"/>
        <v>Adult</v>
      </c>
      <c r="T1400" t="str">
        <f t="shared" si="64"/>
        <v>Medium</v>
      </c>
      <c r="U1400" t="str">
        <f t="shared" si="65"/>
        <v>Short Days</v>
      </c>
    </row>
    <row r="1401" spans="1:21">
      <c r="A1401" t="s">
        <v>1417</v>
      </c>
      <c r="B1401" s="5">
        <v>45862</v>
      </c>
      <c r="C1401" t="s">
        <v>3947</v>
      </c>
      <c r="D1401" t="s">
        <v>4726</v>
      </c>
      <c r="E1401" t="s">
        <v>4867</v>
      </c>
      <c r="F1401">
        <f>AVERAGE(F1394,F1400)</f>
        <v>41</v>
      </c>
      <c r="G1401" t="s">
        <v>4881</v>
      </c>
      <c r="H1401" t="s">
        <v>4888</v>
      </c>
      <c r="I1401" t="s">
        <v>4899</v>
      </c>
      <c r="J1401" t="s">
        <v>4911</v>
      </c>
      <c r="K1401" t="s">
        <v>4953</v>
      </c>
      <c r="L1401" t="s">
        <v>4939</v>
      </c>
      <c r="M1401" t="s">
        <v>4942</v>
      </c>
      <c r="N1401" s="11">
        <v>16330.08</v>
      </c>
      <c r="O1401" t="s">
        <v>4947</v>
      </c>
      <c r="P1401" t="s">
        <v>4951</v>
      </c>
      <c r="R1401">
        <v>7</v>
      </c>
      <c r="S1401" t="str">
        <f t="shared" si="63"/>
        <v>Middle-Aged</v>
      </c>
      <c r="T1401" t="str">
        <f t="shared" si="64"/>
        <v>High</v>
      </c>
      <c r="U1401" t="str">
        <f t="shared" si="65"/>
        <v>Short Days</v>
      </c>
    </row>
    <row r="1402" spans="1:21">
      <c r="A1402" t="s">
        <v>1418</v>
      </c>
      <c r="B1402" s="5">
        <v>45497</v>
      </c>
      <c r="C1402" t="s">
        <v>3520</v>
      </c>
      <c r="D1402" t="s">
        <v>4673</v>
      </c>
      <c r="E1402" t="s">
        <v>4867</v>
      </c>
      <c r="F1402">
        <v>53</v>
      </c>
      <c r="G1402" t="s">
        <v>4872</v>
      </c>
      <c r="H1402" t="s">
        <v>4887</v>
      </c>
      <c r="I1402" t="s">
        <v>4899</v>
      </c>
      <c r="J1402" t="s">
        <v>4912</v>
      </c>
      <c r="K1402" t="s">
        <v>4924</v>
      </c>
      <c r="L1402" t="s">
        <v>4934</v>
      </c>
      <c r="M1402" t="s">
        <v>4944</v>
      </c>
      <c r="N1402" s="11">
        <v>6636.33</v>
      </c>
      <c r="O1402" t="s">
        <v>4947</v>
      </c>
      <c r="P1402" t="s">
        <v>4951</v>
      </c>
      <c r="R1402">
        <v>30</v>
      </c>
      <c r="S1402" t="str">
        <f t="shared" si="63"/>
        <v>Middle-Aged</v>
      </c>
      <c r="T1402" t="str">
        <f t="shared" si="64"/>
        <v>Medium</v>
      </c>
      <c r="U1402" t="str">
        <f t="shared" si="65"/>
        <v>Short Days</v>
      </c>
    </row>
    <row r="1403" spans="1:21">
      <c r="A1403" t="s">
        <v>1419</v>
      </c>
      <c r="B1403" s="5">
        <v>45347</v>
      </c>
      <c r="C1403" t="s">
        <v>4030</v>
      </c>
      <c r="D1403" t="s">
        <v>4776</v>
      </c>
      <c r="E1403" t="s">
        <v>4866</v>
      </c>
      <c r="F1403">
        <v>29</v>
      </c>
      <c r="G1403" t="s">
        <v>4876</v>
      </c>
      <c r="H1403" t="s">
        <v>4888</v>
      </c>
      <c r="I1403" t="s">
        <v>4896</v>
      </c>
      <c r="J1403" t="s">
        <v>4908</v>
      </c>
      <c r="K1403" t="s">
        <v>4932</v>
      </c>
      <c r="L1403" t="s">
        <v>4941</v>
      </c>
      <c r="M1403" t="s">
        <v>4945</v>
      </c>
      <c r="N1403" s="11">
        <v>10459.86</v>
      </c>
      <c r="O1403" t="s">
        <v>4947</v>
      </c>
      <c r="P1403" t="s">
        <v>4951</v>
      </c>
      <c r="Q1403">
        <v>12</v>
      </c>
      <c r="R1403">
        <v>90</v>
      </c>
      <c r="S1403" t="str">
        <f t="shared" si="63"/>
        <v>Adult</v>
      </c>
      <c r="T1403" t="str">
        <f t="shared" si="64"/>
        <v>High</v>
      </c>
      <c r="U1403" t="str">
        <f t="shared" si="65"/>
        <v>Long Days</v>
      </c>
    </row>
    <row r="1404" spans="1:21">
      <c r="A1404" t="s">
        <v>1420</v>
      </c>
      <c r="B1404" s="5">
        <v>45345</v>
      </c>
      <c r="C1404" t="s">
        <v>4031</v>
      </c>
      <c r="D1404" t="s">
        <v>4709</v>
      </c>
      <c r="E1404" t="s">
        <v>4867</v>
      </c>
      <c r="F1404">
        <v>38</v>
      </c>
      <c r="G1404" t="s">
        <v>4870</v>
      </c>
      <c r="H1404" t="s">
        <v>4885</v>
      </c>
      <c r="I1404" t="s">
        <v>4894</v>
      </c>
      <c r="J1404" t="s">
        <v>4910</v>
      </c>
      <c r="K1404" t="s">
        <v>4929</v>
      </c>
      <c r="L1404" t="s">
        <v>4936</v>
      </c>
      <c r="M1404" t="s">
        <v>4942</v>
      </c>
      <c r="N1404" s="11">
        <v>1762.31</v>
      </c>
      <c r="O1404" t="s">
        <v>4946</v>
      </c>
      <c r="P1404" t="s">
        <v>4951</v>
      </c>
      <c r="R1404">
        <v>90</v>
      </c>
      <c r="S1404" t="str">
        <f t="shared" si="63"/>
        <v>Adult</v>
      </c>
      <c r="T1404" t="str">
        <f t="shared" si="64"/>
        <v>Low</v>
      </c>
      <c r="U1404" t="str">
        <f t="shared" si="65"/>
        <v>Short Days</v>
      </c>
    </row>
    <row r="1405" spans="1:21">
      <c r="A1405" t="s">
        <v>1421</v>
      </c>
      <c r="B1405" s="5">
        <v>45327</v>
      </c>
      <c r="C1405" t="s">
        <v>4026</v>
      </c>
      <c r="D1405" t="s">
        <v>4723</v>
      </c>
      <c r="E1405" t="s">
        <v>4866</v>
      </c>
      <c r="F1405">
        <v>20</v>
      </c>
      <c r="G1405" t="s">
        <v>4876</v>
      </c>
      <c r="H1405" t="s">
        <v>4888</v>
      </c>
      <c r="I1405" t="s">
        <v>4899</v>
      </c>
      <c r="J1405" t="s">
        <v>4911</v>
      </c>
      <c r="K1405" t="s">
        <v>4925</v>
      </c>
      <c r="L1405" t="s">
        <v>4941</v>
      </c>
      <c r="M1405" t="s">
        <v>4943</v>
      </c>
      <c r="N1405" s="11">
        <v>17539.95</v>
      </c>
      <c r="O1405" t="s">
        <v>4950</v>
      </c>
      <c r="P1405" t="s">
        <v>4951</v>
      </c>
      <c r="R1405">
        <v>7</v>
      </c>
      <c r="S1405" t="str">
        <f t="shared" si="63"/>
        <v>Adult</v>
      </c>
      <c r="T1405" t="str">
        <f t="shared" si="64"/>
        <v>High</v>
      </c>
      <c r="U1405" t="str">
        <f t="shared" si="65"/>
        <v>Short Days</v>
      </c>
    </row>
    <row r="1406" spans="1:21">
      <c r="A1406" t="s">
        <v>1422</v>
      </c>
      <c r="B1406" s="5">
        <v>45768</v>
      </c>
      <c r="C1406" t="s">
        <v>3419</v>
      </c>
      <c r="D1406" t="s">
        <v>4612</v>
      </c>
      <c r="E1406" t="s">
        <v>4866</v>
      </c>
      <c r="F1406">
        <v>65</v>
      </c>
      <c r="G1406" t="s">
        <v>4869</v>
      </c>
      <c r="H1406" t="s">
        <v>4884</v>
      </c>
      <c r="I1406" t="s">
        <v>4900</v>
      </c>
      <c r="J1406" t="s">
        <v>4919</v>
      </c>
      <c r="K1406" t="s">
        <v>4927</v>
      </c>
      <c r="L1406" t="s">
        <v>4938</v>
      </c>
      <c r="M1406" t="s">
        <v>4944</v>
      </c>
      <c r="N1406" s="11">
        <v>10627.13</v>
      </c>
      <c r="O1406" t="s">
        <v>4949</v>
      </c>
      <c r="P1406" t="s">
        <v>4951</v>
      </c>
      <c r="R1406">
        <v>90</v>
      </c>
      <c r="S1406" t="str">
        <f t="shared" si="63"/>
        <v>Senior</v>
      </c>
      <c r="T1406" t="str">
        <f t="shared" si="64"/>
        <v>High</v>
      </c>
      <c r="U1406" t="str">
        <f t="shared" si="65"/>
        <v>Short Days</v>
      </c>
    </row>
    <row r="1407" spans="1:21">
      <c r="A1407" t="s">
        <v>1423</v>
      </c>
      <c r="B1407" s="5">
        <v>45725</v>
      </c>
      <c r="C1407" t="s">
        <v>4032</v>
      </c>
      <c r="D1407" t="s">
        <v>4709</v>
      </c>
      <c r="E1407" t="s">
        <v>4866</v>
      </c>
      <c r="F1407">
        <v>50</v>
      </c>
      <c r="G1407" t="s">
        <v>4880</v>
      </c>
      <c r="H1407" t="s">
        <v>4890</v>
      </c>
      <c r="I1407" t="s">
        <v>4895</v>
      </c>
      <c r="J1407" t="s">
        <v>4915</v>
      </c>
      <c r="K1407" t="s">
        <v>4925</v>
      </c>
      <c r="L1407" t="s">
        <v>4937</v>
      </c>
      <c r="M1407" t="s">
        <v>4942</v>
      </c>
      <c r="N1407" s="11">
        <v>4110.04</v>
      </c>
      <c r="O1407" t="s">
        <v>4946</v>
      </c>
      <c r="P1407" t="s">
        <v>4951</v>
      </c>
      <c r="S1407" t="str">
        <f t="shared" si="63"/>
        <v>Middle-Aged</v>
      </c>
      <c r="T1407" t="str">
        <f t="shared" si="64"/>
        <v>Low</v>
      </c>
      <c r="U1407" t="str">
        <f t="shared" si="65"/>
        <v>Short Days</v>
      </c>
    </row>
    <row r="1408" spans="1:21">
      <c r="A1408" t="s">
        <v>1424</v>
      </c>
      <c r="B1408" s="5">
        <v>45574</v>
      </c>
      <c r="C1408" t="s">
        <v>3660</v>
      </c>
      <c r="D1408" t="s">
        <v>4774</v>
      </c>
      <c r="E1408" t="s">
        <v>4867</v>
      </c>
      <c r="F1408">
        <v>50</v>
      </c>
      <c r="G1408" t="s">
        <v>4882</v>
      </c>
      <c r="H1408" t="s">
        <v>4891</v>
      </c>
      <c r="I1408" t="s">
        <v>4894</v>
      </c>
      <c r="J1408" t="s">
        <v>4904</v>
      </c>
      <c r="K1408" t="s">
        <v>4927</v>
      </c>
      <c r="L1408" t="s">
        <v>4936</v>
      </c>
      <c r="M1408" t="s">
        <v>4942</v>
      </c>
      <c r="N1408" s="11">
        <v>357</v>
      </c>
      <c r="O1408" t="s">
        <v>4947</v>
      </c>
      <c r="P1408" t="s">
        <v>4951</v>
      </c>
      <c r="R1408">
        <v>90</v>
      </c>
      <c r="S1408" t="str">
        <f t="shared" si="63"/>
        <v>Middle-Aged</v>
      </c>
      <c r="T1408" t="str">
        <f t="shared" si="64"/>
        <v>Low</v>
      </c>
      <c r="U1408" t="str">
        <f t="shared" si="65"/>
        <v>Short Days</v>
      </c>
    </row>
    <row r="1409" spans="1:21">
      <c r="A1409" t="s">
        <v>1425</v>
      </c>
      <c r="B1409" s="5">
        <v>45851</v>
      </c>
      <c r="C1409" t="s">
        <v>3372</v>
      </c>
      <c r="D1409" t="s">
        <v>4629</v>
      </c>
      <c r="E1409" t="s">
        <v>4867</v>
      </c>
      <c r="F1409">
        <v>52</v>
      </c>
      <c r="G1409" t="s">
        <v>4874</v>
      </c>
      <c r="H1409" t="s">
        <v>4886</v>
      </c>
      <c r="I1409" t="s">
        <v>4895</v>
      </c>
      <c r="J1409" t="s">
        <v>4915</v>
      </c>
      <c r="K1409" t="s">
        <v>4924</v>
      </c>
      <c r="L1409" t="s">
        <v>4938</v>
      </c>
      <c r="M1409" t="s">
        <v>4942</v>
      </c>
      <c r="N1409" s="11">
        <v>21189.57</v>
      </c>
      <c r="O1409" t="s">
        <v>4947</v>
      </c>
      <c r="P1409" t="s">
        <v>4951</v>
      </c>
      <c r="R1409">
        <v>90</v>
      </c>
      <c r="S1409" t="str">
        <f t="shared" si="63"/>
        <v>Middle-Aged</v>
      </c>
      <c r="T1409" t="str">
        <f t="shared" si="64"/>
        <v>High</v>
      </c>
      <c r="U1409" t="str">
        <f t="shared" si="65"/>
        <v>Short Days</v>
      </c>
    </row>
    <row r="1410" spans="1:21">
      <c r="A1410" t="s">
        <v>1426</v>
      </c>
      <c r="B1410" s="5">
        <v>45927</v>
      </c>
      <c r="C1410" t="s">
        <v>3107</v>
      </c>
      <c r="D1410" t="s">
        <v>4613</v>
      </c>
      <c r="E1410" t="s">
        <v>4866</v>
      </c>
      <c r="F1410">
        <v>43</v>
      </c>
      <c r="G1410" t="s">
        <v>4874</v>
      </c>
      <c r="H1410" t="s">
        <v>4886</v>
      </c>
      <c r="I1410" t="s">
        <v>4896</v>
      </c>
      <c r="J1410" t="s">
        <v>4908</v>
      </c>
      <c r="K1410" t="s">
        <v>4932</v>
      </c>
      <c r="L1410" t="s">
        <v>4940</v>
      </c>
      <c r="M1410" t="s">
        <v>4944</v>
      </c>
      <c r="N1410" s="11">
        <v>6884.75</v>
      </c>
      <c r="O1410" t="s">
        <v>4946</v>
      </c>
      <c r="P1410" t="s">
        <v>4951</v>
      </c>
      <c r="R1410">
        <v>30</v>
      </c>
      <c r="S1410" t="str">
        <f t="shared" si="63"/>
        <v>Middle-Aged</v>
      </c>
      <c r="T1410" t="str">
        <f t="shared" si="64"/>
        <v>Medium</v>
      </c>
      <c r="U1410" t="str">
        <f t="shared" si="65"/>
        <v>Short Days</v>
      </c>
    </row>
    <row r="1411" spans="1:21">
      <c r="A1411" t="s">
        <v>1427</v>
      </c>
      <c r="B1411" s="5">
        <v>45829</v>
      </c>
      <c r="C1411" t="s">
        <v>3502</v>
      </c>
      <c r="D1411" t="s">
        <v>4830</v>
      </c>
      <c r="E1411" t="s">
        <v>4867</v>
      </c>
      <c r="F1411">
        <v>29</v>
      </c>
      <c r="G1411" t="s">
        <v>4872</v>
      </c>
      <c r="H1411" t="s">
        <v>4887</v>
      </c>
      <c r="I1411" t="s">
        <v>4896</v>
      </c>
      <c r="J1411" t="s">
        <v>4906</v>
      </c>
      <c r="K1411" t="s">
        <v>4929</v>
      </c>
      <c r="L1411" t="s">
        <v>4934</v>
      </c>
      <c r="M1411" t="s">
        <v>4943</v>
      </c>
      <c r="N1411" s="11">
        <v>5615.05</v>
      </c>
      <c r="O1411" t="s">
        <v>4948</v>
      </c>
      <c r="P1411" t="s">
        <v>4951</v>
      </c>
      <c r="S1411" t="str">
        <f t="shared" ref="S1411:S1474" si="66">IF(F1411&lt;18,"Child",IF(F1411&lt;=40,"Adult",IF(F1411&lt;=60,"Middle-Aged",IF(F1411,"Senior"))))</f>
        <v>Adult</v>
      </c>
      <c r="T1411" t="str">
        <f t="shared" ref="T1411:T1474" si="67">IF(N1411&lt;=5000,"Low",IF(N1411&lt;=10000,"Medium","High"))</f>
        <v>Medium</v>
      </c>
      <c r="U1411" t="str">
        <f t="shared" ref="U1411:U1474" si="68">IF(Q1411&lt;=5,"Short Days","Long Days")</f>
        <v>Short Days</v>
      </c>
    </row>
    <row r="1412" spans="1:21">
      <c r="A1412" t="s">
        <v>1428</v>
      </c>
      <c r="B1412" s="5">
        <v>45310</v>
      </c>
      <c r="C1412" t="s">
        <v>4033</v>
      </c>
      <c r="D1412" t="s">
        <v>4651</v>
      </c>
      <c r="E1412" t="s">
        <v>4866</v>
      </c>
      <c r="F1412">
        <v>41</v>
      </c>
      <c r="G1412" t="s">
        <v>4869</v>
      </c>
      <c r="H1412" t="s">
        <v>4884</v>
      </c>
      <c r="I1412" t="s">
        <v>4900</v>
      </c>
      <c r="J1412" t="s">
        <v>4919</v>
      </c>
      <c r="K1412" t="s">
        <v>4925</v>
      </c>
      <c r="L1412" t="s">
        <v>4939</v>
      </c>
      <c r="M1412" t="s">
        <v>4942</v>
      </c>
      <c r="N1412" s="11">
        <v>599.23</v>
      </c>
      <c r="O1412" t="s">
        <v>4946</v>
      </c>
      <c r="P1412" t="s">
        <v>4951</v>
      </c>
      <c r="S1412" t="str">
        <f t="shared" si="66"/>
        <v>Middle-Aged</v>
      </c>
      <c r="T1412" t="str">
        <f t="shared" si="67"/>
        <v>Low</v>
      </c>
      <c r="U1412" t="str">
        <f t="shared" si="68"/>
        <v>Short Days</v>
      </c>
    </row>
    <row r="1413" spans="1:21">
      <c r="A1413" t="s">
        <v>1429</v>
      </c>
      <c r="B1413" s="5">
        <v>45905</v>
      </c>
      <c r="C1413" t="s">
        <v>4034</v>
      </c>
      <c r="D1413" t="s">
        <v>4826</v>
      </c>
      <c r="E1413" t="s">
        <v>4866</v>
      </c>
      <c r="F1413">
        <v>42</v>
      </c>
      <c r="G1413" t="s">
        <v>4871</v>
      </c>
      <c r="H1413" t="s">
        <v>4886</v>
      </c>
      <c r="I1413" t="s">
        <v>4897</v>
      </c>
      <c r="J1413" t="s">
        <v>4907</v>
      </c>
      <c r="K1413" t="s">
        <v>4932</v>
      </c>
      <c r="L1413" t="s">
        <v>4941</v>
      </c>
      <c r="M1413" t="s">
        <v>4944</v>
      </c>
      <c r="N1413" s="11">
        <v>7930.58</v>
      </c>
      <c r="O1413" t="s">
        <v>4946</v>
      </c>
      <c r="P1413" t="s">
        <v>4951</v>
      </c>
      <c r="R1413">
        <v>90</v>
      </c>
      <c r="S1413" t="str">
        <f t="shared" si="66"/>
        <v>Middle-Aged</v>
      </c>
      <c r="T1413" t="str">
        <f t="shared" si="67"/>
        <v>Medium</v>
      </c>
      <c r="U1413" t="str">
        <f t="shared" si="68"/>
        <v>Short Days</v>
      </c>
    </row>
    <row r="1414" spans="1:21">
      <c r="A1414" t="s">
        <v>1430</v>
      </c>
      <c r="B1414" s="5">
        <v>45541</v>
      </c>
      <c r="C1414" t="s">
        <v>4018</v>
      </c>
      <c r="D1414" t="s">
        <v>4813</v>
      </c>
      <c r="E1414" t="s">
        <v>4867</v>
      </c>
      <c r="F1414">
        <v>45</v>
      </c>
      <c r="G1414" t="s">
        <v>4882</v>
      </c>
      <c r="H1414" t="s">
        <v>4891</v>
      </c>
      <c r="I1414" t="s">
        <v>4899</v>
      </c>
      <c r="J1414" t="s">
        <v>4911</v>
      </c>
      <c r="K1414" t="s">
        <v>4933</v>
      </c>
      <c r="L1414" t="s">
        <v>4940</v>
      </c>
      <c r="M1414" t="s">
        <v>4942</v>
      </c>
      <c r="N1414" s="11">
        <v>2428.85</v>
      </c>
      <c r="O1414" t="s">
        <v>4949</v>
      </c>
      <c r="P1414" t="s">
        <v>4951</v>
      </c>
      <c r="S1414" t="str">
        <f t="shared" si="66"/>
        <v>Middle-Aged</v>
      </c>
      <c r="T1414" t="str">
        <f t="shared" si="67"/>
        <v>Low</v>
      </c>
      <c r="U1414" t="str">
        <f t="shared" si="68"/>
        <v>Short Days</v>
      </c>
    </row>
    <row r="1415" spans="1:21">
      <c r="A1415" t="s">
        <v>1431</v>
      </c>
      <c r="B1415" s="5">
        <v>45310</v>
      </c>
      <c r="C1415" t="s">
        <v>3870</v>
      </c>
      <c r="D1415" t="s">
        <v>4694</v>
      </c>
      <c r="E1415" t="s">
        <v>4867</v>
      </c>
      <c r="F1415">
        <v>41</v>
      </c>
      <c r="G1415" t="s">
        <v>4881</v>
      </c>
      <c r="H1415" t="s">
        <v>4881</v>
      </c>
      <c r="I1415" t="s">
        <v>4896</v>
      </c>
      <c r="J1415" t="s">
        <v>4908</v>
      </c>
      <c r="K1415" t="s">
        <v>4928</v>
      </c>
      <c r="L1415" t="s">
        <v>4937</v>
      </c>
      <c r="M1415" t="s">
        <v>4942</v>
      </c>
      <c r="N1415" s="11">
        <v>756.99</v>
      </c>
      <c r="O1415" t="s">
        <v>15</v>
      </c>
      <c r="P1415" t="s">
        <v>4952</v>
      </c>
      <c r="S1415" t="str">
        <f t="shared" si="66"/>
        <v>Middle-Aged</v>
      </c>
      <c r="T1415" t="str">
        <f t="shared" si="67"/>
        <v>Low</v>
      </c>
      <c r="U1415" t="str">
        <f t="shared" si="68"/>
        <v>Short Days</v>
      </c>
    </row>
    <row r="1416" spans="1:21">
      <c r="A1416" t="s">
        <v>1432</v>
      </c>
      <c r="B1416" s="5">
        <v>45435</v>
      </c>
      <c r="C1416" t="s">
        <v>3622</v>
      </c>
      <c r="D1416" t="s">
        <v>4689</v>
      </c>
      <c r="E1416" t="s">
        <v>4866</v>
      </c>
      <c r="F1416">
        <v>57</v>
      </c>
      <c r="G1416" t="s">
        <v>4876</v>
      </c>
      <c r="H1416" t="s">
        <v>4888</v>
      </c>
      <c r="I1416" t="s">
        <v>4893</v>
      </c>
      <c r="J1416" t="s">
        <v>4903</v>
      </c>
      <c r="K1416" t="s">
        <v>4929</v>
      </c>
      <c r="L1416" t="s">
        <v>4940</v>
      </c>
      <c r="M1416" t="s">
        <v>4944</v>
      </c>
      <c r="N1416" s="11">
        <v>12736.74</v>
      </c>
      <c r="O1416" t="s">
        <v>4946</v>
      </c>
      <c r="P1416" t="s">
        <v>4951</v>
      </c>
      <c r="R1416">
        <v>7</v>
      </c>
      <c r="S1416" t="str">
        <f t="shared" si="66"/>
        <v>Middle-Aged</v>
      </c>
      <c r="T1416" t="str">
        <f t="shared" si="67"/>
        <v>High</v>
      </c>
      <c r="U1416" t="str">
        <f t="shared" si="68"/>
        <v>Short Days</v>
      </c>
    </row>
    <row r="1417" spans="1:21">
      <c r="A1417" t="s">
        <v>1433</v>
      </c>
      <c r="B1417" s="5">
        <v>45439</v>
      </c>
      <c r="C1417" t="s">
        <v>3298</v>
      </c>
      <c r="D1417" t="s">
        <v>4624</v>
      </c>
      <c r="E1417" t="s">
        <v>4867</v>
      </c>
      <c r="F1417">
        <v>20</v>
      </c>
      <c r="G1417" t="s">
        <v>4880</v>
      </c>
      <c r="H1417" t="s">
        <v>4890</v>
      </c>
      <c r="I1417" t="s">
        <v>4894</v>
      </c>
      <c r="J1417" t="s">
        <v>4910</v>
      </c>
      <c r="K1417" t="s">
        <v>4925</v>
      </c>
      <c r="L1417" t="s">
        <v>4941</v>
      </c>
      <c r="M1417" t="s">
        <v>4942</v>
      </c>
      <c r="N1417" s="11">
        <v>2440.17</v>
      </c>
      <c r="O1417" t="s">
        <v>4949</v>
      </c>
      <c r="P1417" t="s">
        <v>4951</v>
      </c>
      <c r="R1417">
        <v>14</v>
      </c>
      <c r="S1417" t="str">
        <f t="shared" si="66"/>
        <v>Adult</v>
      </c>
      <c r="T1417" t="str">
        <f t="shared" si="67"/>
        <v>Low</v>
      </c>
      <c r="U1417" t="str">
        <f t="shared" si="68"/>
        <v>Short Days</v>
      </c>
    </row>
    <row r="1418" spans="1:21">
      <c r="A1418" t="s">
        <v>1434</v>
      </c>
      <c r="B1418" s="5">
        <v>45391</v>
      </c>
      <c r="C1418" t="s">
        <v>4035</v>
      </c>
      <c r="D1418" t="s">
        <v>4623</v>
      </c>
      <c r="E1418" t="s">
        <v>4866</v>
      </c>
      <c r="F1418">
        <v>14</v>
      </c>
      <c r="G1418" t="s">
        <v>4880</v>
      </c>
      <c r="H1418" t="s">
        <v>4890</v>
      </c>
      <c r="I1418" t="s">
        <v>4901</v>
      </c>
      <c r="J1418" t="s">
        <v>4914</v>
      </c>
      <c r="K1418" t="s">
        <v>4927</v>
      </c>
      <c r="L1418" t="s">
        <v>4938</v>
      </c>
      <c r="M1418" t="s">
        <v>4943</v>
      </c>
      <c r="N1418" s="11">
        <v>22111.37</v>
      </c>
      <c r="O1418" t="s">
        <v>4946</v>
      </c>
      <c r="P1418" t="s">
        <v>4951</v>
      </c>
      <c r="S1418" t="str">
        <f t="shared" si="66"/>
        <v>Child</v>
      </c>
      <c r="T1418" t="str">
        <f t="shared" si="67"/>
        <v>High</v>
      </c>
      <c r="U1418" t="str">
        <f t="shared" si="68"/>
        <v>Short Days</v>
      </c>
    </row>
    <row r="1419" spans="1:21">
      <c r="A1419" t="s">
        <v>1435</v>
      </c>
      <c r="B1419" s="5">
        <v>45817</v>
      </c>
      <c r="C1419" t="s">
        <v>3203</v>
      </c>
      <c r="D1419" t="s">
        <v>4666</v>
      </c>
      <c r="E1419" t="s">
        <v>4867</v>
      </c>
      <c r="F1419">
        <v>51</v>
      </c>
      <c r="G1419" t="s">
        <v>4872</v>
      </c>
      <c r="H1419" t="s">
        <v>4887</v>
      </c>
      <c r="I1419" t="s">
        <v>4893</v>
      </c>
      <c r="J1419" t="s">
        <v>4903</v>
      </c>
      <c r="K1419" t="s">
        <v>4953</v>
      </c>
      <c r="L1419" t="s">
        <v>4935</v>
      </c>
      <c r="M1419" t="s">
        <v>4942</v>
      </c>
      <c r="N1419" s="11">
        <v>12980.22</v>
      </c>
      <c r="O1419" t="s">
        <v>4946</v>
      </c>
      <c r="P1419" t="s">
        <v>4951</v>
      </c>
      <c r="S1419" t="str">
        <f t="shared" si="66"/>
        <v>Middle-Aged</v>
      </c>
      <c r="T1419" t="str">
        <f t="shared" si="67"/>
        <v>High</v>
      </c>
      <c r="U1419" t="str">
        <f t="shared" si="68"/>
        <v>Short Days</v>
      </c>
    </row>
    <row r="1420" spans="1:21">
      <c r="A1420" t="s">
        <v>1436</v>
      </c>
      <c r="B1420" s="5">
        <v>45415</v>
      </c>
      <c r="C1420" t="s">
        <v>4036</v>
      </c>
      <c r="D1420" t="s">
        <v>4771</v>
      </c>
      <c r="E1420" t="s">
        <v>4867</v>
      </c>
      <c r="F1420">
        <v>46</v>
      </c>
      <c r="G1420" t="s">
        <v>4870</v>
      </c>
      <c r="H1420" t="s">
        <v>4885</v>
      </c>
      <c r="I1420" t="s">
        <v>4902</v>
      </c>
      <c r="J1420" t="s">
        <v>4920</v>
      </c>
      <c r="K1420" t="s">
        <v>4930</v>
      </c>
      <c r="L1420" t="s">
        <v>4935</v>
      </c>
      <c r="M1420" t="s">
        <v>4942</v>
      </c>
      <c r="N1420" s="11">
        <v>4005.92</v>
      </c>
      <c r="O1420" t="s">
        <v>4949</v>
      </c>
      <c r="P1420" t="s">
        <v>4951</v>
      </c>
      <c r="S1420" t="str">
        <f t="shared" si="66"/>
        <v>Middle-Aged</v>
      </c>
      <c r="T1420" t="str">
        <f t="shared" si="67"/>
        <v>Low</v>
      </c>
      <c r="U1420" t="str">
        <f t="shared" si="68"/>
        <v>Short Days</v>
      </c>
    </row>
    <row r="1421" spans="1:21">
      <c r="A1421" t="s">
        <v>1437</v>
      </c>
      <c r="B1421" s="5">
        <v>45867</v>
      </c>
      <c r="C1421" t="s">
        <v>4037</v>
      </c>
      <c r="D1421" t="s">
        <v>4850</v>
      </c>
      <c r="E1421" t="s">
        <v>4867</v>
      </c>
      <c r="F1421">
        <v>51</v>
      </c>
      <c r="G1421" t="s">
        <v>4876</v>
      </c>
      <c r="H1421" t="s">
        <v>4888</v>
      </c>
      <c r="I1421" t="s">
        <v>4900</v>
      </c>
      <c r="J1421" t="s">
        <v>4913</v>
      </c>
      <c r="K1421" t="s">
        <v>4931</v>
      </c>
      <c r="L1421" t="s">
        <v>4939</v>
      </c>
      <c r="M1421" t="s">
        <v>4942</v>
      </c>
      <c r="N1421" s="11">
        <v>4244.6000000000004</v>
      </c>
      <c r="O1421" t="s">
        <v>4946</v>
      </c>
      <c r="P1421" t="s">
        <v>4951</v>
      </c>
      <c r="R1421">
        <v>30</v>
      </c>
      <c r="S1421" t="str">
        <f t="shared" si="66"/>
        <v>Middle-Aged</v>
      </c>
      <c r="T1421" t="str">
        <f t="shared" si="67"/>
        <v>Low</v>
      </c>
      <c r="U1421" t="str">
        <f t="shared" si="68"/>
        <v>Short Days</v>
      </c>
    </row>
    <row r="1422" spans="1:21">
      <c r="A1422" t="s">
        <v>1438</v>
      </c>
      <c r="B1422" s="5">
        <v>45404</v>
      </c>
      <c r="C1422" t="s">
        <v>4038</v>
      </c>
      <c r="D1422" t="s">
        <v>4619</v>
      </c>
      <c r="E1422" t="s">
        <v>4867</v>
      </c>
      <c r="F1422">
        <v>29</v>
      </c>
      <c r="G1422" t="s">
        <v>4872</v>
      </c>
      <c r="H1422" t="s">
        <v>4887</v>
      </c>
      <c r="I1422" t="s">
        <v>4902</v>
      </c>
      <c r="J1422" t="s">
        <v>4916</v>
      </c>
      <c r="K1422" t="s">
        <v>4953</v>
      </c>
      <c r="L1422" t="s">
        <v>4938</v>
      </c>
      <c r="M1422" t="s">
        <v>4942</v>
      </c>
      <c r="N1422" s="11">
        <v>21776</v>
      </c>
      <c r="O1422" t="s">
        <v>4947</v>
      </c>
      <c r="P1422" t="s">
        <v>4951</v>
      </c>
      <c r="R1422">
        <v>30</v>
      </c>
      <c r="S1422" t="str">
        <f t="shared" si="66"/>
        <v>Adult</v>
      </c>
      <c r="T1422" t="str">
        <f t="shared" si="67"/>
        <v>High</v>
      </c>
      <c r="U1422" t="str">
        <f t="shared" si="68"/>
        <v>Short Days</v>
      </c>
    </row>
    <row r="1423" spans="1:21">
      <c r="A1423" t="s">
        <v>1439</v>
      </c>
      <c r="B1423" s="5">
        <v>45726</v>
      </c>
      <c r="C1423" t="s">
        <v>3963</v>
      </c>
      <c r="D1423" t="s">
        <v>4764</v>
      </c>
      <c r="E1423" t="s">
        <v>4868</v>
      </c>
      <c r="F1423">
        <v>38</v>
      </c>
      <c r="G1423" t="s">
        <v>4872</v>
      </c>
      <c r="H1423" t="s">
        <v>4887</v>
      </c>
      <c r="I1423" t="s">
        <v>4896</v>
      </c>
      <c r="J1423" t="s">
        <v>4906</v>
      </c>
      <c r="K1423" t="s">
        <v>4929</v>
      </c>
      <c r="L1423" t="s">
        <v>4941</v>
      </c>
      <c r="M1423" t="s">
        <v>4943</v>
      </c>
      <c r="N1423" s="11">
        <v>5754.39</v>
      </c>
      <c r="O1423" t="s">
        <v>4947</v>
      </c>
      <c r="P1423" t="s">
        <v>4951</v>
      </c>
      <c r="S1423" t="str">
        <f t="shared" si="66"/>
        <v>Adult</v>
      </c>
      <c r="T1423" t="str">
        <f t="shared" si="67"/>
        <v>Medium</v>
      </c>
      <c r="U1423" t="str">
        <f t="shared" si="68"/>
        <v>Short Days</v>
      </c>
    </row>
    <row r="1424" spans="1:21">
      <c r="A1424" t="s">
        <v>1440</v>
      </c>
      <c r="B1424" s="5">
        <v>45657</v>
      </c>
      <c r="C1424" t="s">
        <v>3158</v>
      </c>
      <c r="D1424" t="s">
        <v>4779</v>
      </c>
      <c r="E1424" t="s">
        <v>4867</v>
      </c>
      <c r="F1424">
        <v>34</v>
      </c>
      <c r="G1424" t="s">
        <v>4879</v>
      </c>
      <c r="H1424" t="s">
        <v>4888</v>
      </c>
      <c r="I1424" t="s">
        <v>4902</v>
      </c>
      <c r="J1424" t="s">
        <v>4916</v>
      </c>
      <c r="K1424" t="s">
        <v>4925</v>
      </c>
      <c r="L1424" t="s">
        <v>4936</v>
      </c>
      <c r="M1424" t="s">
        <v>4942</v>
      </c>
      <c r="N1424" s="11">
        <v>1247.5999999999999</v>
      </c>
      <c r="O1424" t="s">
        <v>4948</v>
      </c>
      <c r="P1424" t="s">
        <v>4951</v>
      </c>
      <c r="R1424">
        <v>90</v>
      </c>
      <c r="S1424" t="str">
        <f t="shared" si="66"/>
        <v>Adult</v>
      </c>
      <c r="T1424" t="str">
        <f t="shared" si="67"/>
        <v>Low</v>
      </c>
      <c r="U1424" t="str">
        <f t="shared" si="68"/>
        <v>Short Days</v>
      </c>
    </row>
    <row r="1425" spans="1:21">
      <c r="A1425" t="s">
        <v>1441</v>
      </c>
      <c r="B1425" s="5">
        <v>45725</v>
      </c>
      <c r="C1425" t="s">
        <v>4039</v>
      </c>
      <c r="D1425" t="s">
        <v>4590</v>
      </c>
      <c r="E1425" t="s">
        <v>4867</v>
      </c>
      <c r="F1425">
        <v>37</v>
      </c>
      <c r="G1425" t="s">
        <v>4872</v>
      </c>
      <c r="H1425" t="s">
        <v>4887</v>
      </c>
      <c r="I1425" t="s">
        <v>4894</v>
      </c>
      <c r="J1425" t="s">
        <v>4904</v>
      </c>
      <c r="K1425" t="s">
        <v>4929</v>
      </c>
      <c r="L1425" t="s">
        <v>4934</v>
      </c>
      <c r="M1425" t="s">
        <v>4942</v>
      </c>
      <c r="N1425" s="11">
        <v>213.46</v>
      </c>
      <c r="O1425" t="s">
        <v>15</v>
      </c>
      <c r="P1425" t="s">
        <v>4952</v>
      </c>
      <c r="S1425" t="str">
        <f t="shared" si="66"/>
        <v>Adult</v>
      </c>
      <c r="T1425" t="str">
        <f t="shared" si="67"/>
        <v>Low</v>
      </c>
      <c r="U1425" t="str">
        <f t="shared" si="68"/>
        <v>Short Days</v>
      </c>
    </row>
    <row r="1426" spans="1:21">
      <c r="A1426" t="s">
        <v>1442</v>
      </c>
      <c r="B1426" s="5">
        <v>45906</v>
      </c>
      <c r="C1426" t="s">
        <v>3527</v>
      </c>
      <c r="D1426" t="s">
        <v>4771</v>
      </c>
      <c r="E1426" t="s">
        <v>4867</v>
      </c>
      <c r="F1426">
        <v>77</v>
      </c>
      <c r="G1426" t="s">
        <v>4883</v>
      </c>
      <c r="H1426" t="s">
        <v>4892</v>
      </c>
      <c r="I1426" t="s">
        <v>4898</v>
      </c>
      <c r="J1426" t="s">
        <v>4909</v>
      </c>
      <c r="K1426" t="s">
        <v>4931</v>
      </c>
      <c r="L1426" t="s">
        <v>4938</v>
      </c>
      <c r="M1426" t="s">
        <v>4944</v>
      </c>
      <c r="N1426" s="11">
        <v>8320.64</v>
      </c>
      <c r="O1426" t="s">
        <v>4946</v>
      </c>
      <c r="P1426" t="s">
        <v>4951</v>
      </c>
      <c r="R1426">
        <v>30</v>
      </c>
      <c r="S1426" t="str">
        <f t="shared" si="66"/>
        <v>Senior</v>
      </c>
      <c r="T1426" t="str">
        <f t="shared" si="67"/>
        <v>Medium</v>
      </c>
      <c r="U1426" t="str">
        <f t="shared" si="68"/>
        <v>Short Days</v>
      </c>
    </row>
    <row r="1427" spans="1:21">
      <c r="A1427" t="s">
        <v>1443</v>
      </c>
      <c r="B1427" s="5">
        <v>45742</v>
      </c>
      <c r="C1427" t="s">
        <v>4040</v>
      </c>
      <c r="D1427" t="s">
        <v>4822</v>
      </c>
      <c r="E1427" t="s">
        <v>4867</v>
      </c>
      <c r="F1427">
        <v>31</v>
      </c>
      <c r="G1427" t="s">
        <v>4870</v>
      </c>
      <c r="H1427" t="s">
        <v>4885</v>
      </c>
      <c r="I1427" t="s">
        <v>4897</v>
      </c>
      <c r="J1427" t="s">
        <v>4907</v>
      </c>
      <c r="K1427" t="s">
        <v>4925</v>
      </c>
      <c r="L1427" t="s">
        <v>4940</v>
      </c>
      <c r="M1427" t="s">
        <v>4944</v>
      </c>
      <c r="N1427" s="11">
        <v>9044.48</v>
      </c>
      <c r="O1427" t="s">
        <v>4949</v>
      </c>
      <c r="P1427" t="s">
        <v>4951</v>
      </c>
      <c r="R1427">
        <v>90</v>
      </c>
      <c r="S1427" t="str">
        <f t="shared" si="66"/>
        <v>Adult</v>
      </c>
      <c r="T1427" t="str">
        <f t="shared" si="67"/>
        <v>Medium</v>
      </c>
      <c r="U1427" t="str">
        <f t="shared" si="68"/>
        <v>Short Days</v>
      </c>
    </row>
    <row r="1428" spans="1:21">
      <c r="A1428" t="s">
        <v>1444</v>
      </c>
      <c r="B1428" s="5">
        <v>45591</v>
      </c>
      <c r="C1428" t="s">
        <v>4041</v>
      </c>
      <c r="D1428" t="s">
        <v>4850</v>
      </c>
      <c r="E1428" t="s">
        <v>4867</v>
      </c>
      <c r="F1428">
        <v>67</v>
      </c>
      <c r="G1428" t="s">
        <v>4871</v>
      </c>
      <c r="H1428" t="s">
        <v>4886</v>
      </c>
      <c r="I1428" t="s">
        <v>4895</v>
      </c>
      <c r="J1428" t="s">
        <v>4915</v>
      </c>
      <c r="K1428" t="s">
        <v>4929</v>
      </c>
      <c r="L1428" t="s">
        <v>4934</v>
      </c>
      <c r="M1428" t="s">
        <v>4943</v>
      </c>
      <c r="N1428" s="11">
        <v>12068.89</v>
      </c>
      <c r="O1428" t="s">
        <v>4946</v>
      </c>
      <c r="P1428" t="s">
        <v>4951</v>
      </c>
      <c r="R1428">
        <v>7</v>
      </c>
      <c r="S1428" t="str">
        <f t="shared" si="66"/>
        <v>Senior</v>
      </c>
      <c r="T1428" t="str">
        <f t="shared" si="67"/>
        <v>High</v>
      </c>
      <c r="U1428" t="str">
        <f t="shared" si="68"/>
        <v>Short Days</v>
      </c>
    </row>
    <row r="1429" spans="1:21">
      <c r="A1429" t="s">
        <v>1445</v>
      </c>
      <c r="B1429" s="5">
        <v>45722</v>
      </c>
      <c r="C1429" t="s">
        <v>4042</v>
      </c>
      <c r="D1429" t="s">
        <v>4807</v>
      </c>
      <c r="E1429" t="s">
        <v>4868</v>
      </c>
      <c r="F1429">
        <v>54</v>
      </c>
      <c r="G1429" t="s">
        <v>4876</v>
      </c>
      <c r="H1429" t="s">
        <v>4888</v>
      </c>
      <c r="I1429" t="s">
        <v>4897</v>
      </c>
      <c r="J1429" t="s">
        <v>4907</v>
      </c>
      <c r="K1429" t="s">
        <v>4926</v>
      </c>
      <c r="L1429" t="s">
        <v>4935</v>
      </c>
      <c r="M1429" t="s">
        <v>4942</v>
      </c>
      <c r="N1429" s="11">
        <v>4764.3</v>
      </c>
      <c r="O1429" t="s">
        <v>15</v>
      </c>
      <c r="P1429" t="s">
        <v>4952</v>
      </c>
      <c r="R1429">
        <v>14</v>
      </c>
      <c r="S1429" t="str">
        <f t="shared" si="66"/>
        <v>Middle-Aged</v>
      </c>
      <c r="T1429" t="str">
        <f t="shared" si="67"/>
        <v>Low</v>
      </c>
      <c r="U1429" t="str">
        <f t="shared" si="68"/>
        <v>Short Days</v>
      </c>
    </row>
    <row r="1430" spans="1:21">
      <c r="A1430" t="s">
        <v>1446</v>
      </c>
      <c r="B1430" s="5">
        <v>45615</v>
      </c>
      <c r="C1430" t="s">
        <v>4043</v>
      </c>
      <c r="D1430" t="s">
        <v>4787</v>
      </c>
      <c r="E1430" t="s">
        <v>4866</v>
      </c>
      <c r="F1430">
        <v>37</v>
      </c>
      <c r="G1430" t="s">
        <v>4870</v>
      </c>
      <c r="H1430" t="s">
        <v>4885</v>
      </c>
      <c r="I1430" t="s">
        <v>4895</v>
      </c>
      <c r="J1430" t="s">
        <v>4915</v>
      </c>
      <c r="K1430" t="s">
        <v>4927</v>
      </c>
      <c r="L1430" t="s">
        <v>4935</v>
      </c>
      <c r="M1430" t="s">
        <v>4944</v>
      </c>
      <c r="N1430" s="11">
        <v>7879.37</v>
      </c>
      <c r="O1430" t="s">
        <v>4948</v>
      </c>
      <c r="P1430" t="s">
        <v>4951</v>
      </c>
      <c r="R1430">
        <v>14</v>
      </c>
      <c r="S1430" t="str">
        <f t="shared" si="66"/>
        <v>Adult</v>
      </c>
      <c r="T1430" t="str">
        <f t="shared" si="67"/>
        <v>Medium</v>
      </c>
      <c r="U1430" t="str">
        <f t="shared" si="68"/>
        <v>Short Days</v>
      </c>
    </row>
    <row r="1431" spans="1:21">
      <c r="A1431" t="s">
        <v>1447</v>
      </c>
      <c r="B1431" s="5">
        <v>45934</v>
      </c>
      <c r="C1431" t="s">
        <v>4044</v>
      </c>
      <c r="D1431" t="s">
        <v>4784</v>
      </c>
      <c r="E1431" t="s">
        <v>4866</v>
      </c>
      <c r="F1431">
        <v>47</v>
      </c>
      <c r="G1431" t="s">
        <v>4883</v>
      </c>
      <c r="H1431" t="s">
        <v>4892</v>
      </c>
      <c r="I1431" t="s">
        <v>4900</v>
      </c>
      <c r="J1431" t="s">
        <v>4919</v>
      </c>
      <c r="K1431" t="s">
        <v>4927</v>
      </c>
      <c r="L1431" t="s">
        <v>4934</v>
      </c>
      <c r="M1431" t="s">
        <v>4942</v>
      </c>
      <c r="N1431" s="11">
        <v>3138.52</v>
      </c>
      <c r="O1431" t="s">
        <v>4948</v>
      </c>
      <c r="P1431" t="s">
        <v>4951</v>
      </c>
      <c r="R1431">
        <v>7</v>
      </c>
      <c r="S1431" t="str">
        <f t="shared" si="66"/>
        <v>Middle-Aged</v>
      </c>
      <c r="T1431" t="str">
        <f t="shared" si="67"/>
        <v>Low</v>
      </c>
      <c r="U1431" t="str">
        <f t="shared" si="68"/>
        <v>Short Days</v>
      </c>
    </row>
    <row r="1432" spans="1:21">
      <c r="A1432" t="s">
        <v>1448</v>
      </c>
      <c r="B1432" s="5">
        <v>45301</v>
      </c>
      <c r="C1432" t="s">
        <v>4045</v>
      </c>
      <c r="D1432" t="s">
        <v>4664</v>
      </c>
      <c r="E1432" t="s">
        <v>4866</v>
      </c>
      <c r="F1432">
        <v>44</v>
      </c>
      <c r="G1432" t="s">
        <v>4873</v>
      </c>
      <c r="H1432" t="s">
        <v>4888</v>
      </c>
      <c r="I1432" t="s">
        <v>4902</v>
      </c>
      <c r="J1432" t="s">
        <v>4920</v>
      </c>
      <c r="K1432" t="s">
        <v>4932</v>
      </c>
      <c r="L1432" t="s">
        <v>4937</v>
      </c>
      <c r="M1432" t="s">
        <v>4944</v>
      </c>
      <c r="N1432" s="11">
        <v>11980.38</v>
      </c>
      <c r="O1432" t="s">
        <v>4949</v>
      </c>
      <c r="P1432" t="s">
        <v>4951</v>
      </c>
      <c r="R1432">
        <v>14</v>
      </c>
      <c r="S1432" t="str">
        <f t="shared" si="66"/>
        <v>Middle-Aged</v>
      </c>
      <c r="T1432" t="str">
        <f t="shared" si="67"/>
        <v>High</v>
      </c>
      <c r="U1432" t="str">
        <f t="shared" si="68"/>
        <v>Short Days</v>
      </c>
    </row>
    <row r="1433" spans="1:21">
      <c r="A1433" t="s">
        <v>1449</v>
      </c>
      <c r="B1433" s="5">
        <v>45566</v>
      </c>
      <c r="C1433" t="s">
        <v>3744</v>
      </c>
      <c r="D1433" t="s">
        <v>4631</v>
      </c>
      <c r="E1433" t="s">
        <v>4866</v>
      </c>
      <c r="F1433">
        <v>39</v>
      </c>
      <c r="G1433" t="s">
        <v>4872</v>
      </c>
      <c r="H1433" t="s">
        <v>4887</v>
      </c>
      <c r="I1433" t="s">
        <v>4893</v>
      </c>
      <c r="J1433" t="s">
        <v>4903</v>
      </c>
      <c r="K1433" t="s">
        <v>4930</v>
      </c>
      <c r="L1433" t="s">
        <v>4937</v>
      </c>
      <c r="M1433" t="s">
        <v>4942</v>
      </c>
      <c r="N1433" s="11">
        <v>17372.150000000001</v>
      </c>
      <c r="O1433" t="s">
        <v>15</v>
      </c>
      <c r="P1433" t="s">
        <v>4952</v>
      </c>
      <c r="S1433" t="str">
        <f t="shared" si="66"/>
        <v>Adult</v>
      </c>
      <c r="T1433" t="str">
        <f t="shared" si="67"/>
        <v>High</v>
      </c>
      <c r="U1433" t="str">
        <f t="shared" si="68"/>
        <v>Short Days</v>
      </c>
    </row>
    <row r="1434" spans="1:21">
      <c r="A1434" t="s">
        <v>1450</v>
      </c>
      <c r="B1434" s="5">
        <v>45839</v>
      </c>
      <c r="C1434" t="s">
        <v>3674</v>
      </c>
      <c r="D1434" t="s">
        <v>4716</v>
      </c>
      <c r="E1434" t="s">
        <v>4866</v>
      </c>
      <c r="F1434">
        <v>59</v>
      </c>
      <c r="G1434" t="s">
        <v>4879</v>
      </c>
      <c r="H1434" t="s">
        <v>4888</v>
      </c>
      <c r="I1434" t="s">
        <v>4893</v>
      </c>
      <c r="J1434" t="s">
        <v>4917</v>
      </c>
      <c r="K1434" t="s">
        <v>4928</v>
      </c>
      <c r="L1434" t="s">
        <v>4935</v>
      </c>
      <c r="M1434" t="s">
        <v>4942</v>
      </c>
      <c r="N1434" s="11">
        <v>16136.78</v>
      </c>
      <c r="O1434" t="s">
        <v>4946</v>
      </c>
      <c r="P1434" t="s">
        <v>4951</v>
      </c>
      <c r="S1434" t="str">
        <f t="shared" si="66"/>
        <v>Middle-Aged</v>
      </c>
      <c r="T1434" t="str">
        <f t="shared" si="67"/>
        <v>High</v>
      </c>
      <c r="U1434" t="str">
        <f t="shared" si="68"/>
        <v>Short Days</v>
      </c>
    </row>
    <row r="1435" spans="1:21">
      <c r="A1435" t="s">
        <v>1451</v>
      </c>
      <c r="B1435" s="5">
        <v>45494</v>
      </c>
      <c r="C1435" t="s">
        <v>4046</v>
      </c>
      <c r="D1435" t="s">
        <v>4821</v>
      </c>
      <c r="E1435" t="s">
        <v>4866</v>
      </c>
      <c r="F1435">
        <v>86</v>
      </c>
      <c r="G1435" t="s">
        <v>4876</v>
      </c>
      <c r="H1435" t="s">
        <v>4888</v>
      </c>
      <c r="I1435" t="s">
        <v>4894</v>
      </c>
      <c r="J1435" t="s">
        <v>4910</v>
      </c>
      <c r="K1435" t="s">
        <v>4924</v>
      </c>
      <c r="L1435" t="s">
        <v>4940</v>
      </c>
      <c r="M1435" t="s">
        <v>4945</v>
      </c>
      <c r="N1435" s="11">
        <v>5085.47</v>
      </c>
      <c r="O1435" t="s">
        <v>4946</v>
      </c>
      <c r="P1435" t="s">
        <v>4951</v>
      </c>
      <c r="Q1435">
        <v>6</v>
      </c>
      <c r="R1435">
        <v>90</v>
      </c>
      <c r="S1435" t="str">
        <f t="shared" si="66"/>
        <v>Senior</v>
      </c>
      <c r="T1435" t="str">
        <f t="shared" si="67"/>
        <v>Medium</v>
      </c>
      <c r="U1435" t="str">
        <f t="shared" si="68"/>
        <v>Long Days</v>
      </c>
    </row>
    <row r="1436" spans="1:21">
      <c r="A1436" t="s">
        <v>1452</v>
      </c>
      <c r="B1436" s="5">
        <v>45560</v>
      </c>
      <c r="C1436" t="s">
        <v>4047</v>
      </c>
      <c r="D1436" t="s">
        <v>4850</v>
      </c>
      <c r="E1436" t="s">
        <v>4867</v>
      </c>
      <c r="F1436">
        <f>AVERAGE(F1429,F1435)</f>
        <v>70</v>
      </c>
      <c r="G1436" t="s">
        <v>4881</v>
      </c>
      <c r="H1436" t="s">
        <v>4881</v>
      </c>
      <c r="I1436" t="s">
        <v>4900</v>
      </c>
      <c r="J1436" t="s">
        <v>4913</v>
      </c>
      <c r="K1436" t="s">
        <v>4953</v>
      </c>
      <c r="L1436" t="s">
        <v>4941</v>
      </c>
      <c r="M1436" t="s">
        <v>4944</v>
      </c>
      <c r="N1436" s="11">
        <v>17970.86</v>
      </c>
      <c r="O1436" t="s">
        <v>4950</v>
      </c>
      <c r="P1436" t="s">
        <v>4951</v>
      </c>
      <c r="S1436" t="str">
        <f t="shared" si="66"/>
        <v>Senior</v>
      </c>
      <c r="T1436" t="str">
        <f t="shared" si="67"/>
        <v>High</v>
      </c>
      <c r="U1436" t="str">
        <f t="shared" si="68"/>
        <v>Short Days</v>
      </c>
    </row>
    <row r="1437" spans="1:21">
      <c r="A1437" t="s">
        <v>1453</v>
      </c>
      <c r="B1437" s="5">
        <v>45314</v>
      </c>
      <c r="C1437" t="s">
        <v>3241</v>
      </c>
      <c r="D1437" t="s">
        <v>4777</v>
      </c>
      <c r="E1437" t="s">
        <v>4866</v>
      </c>
      <c r="F1437">
        <v>44</v>
      </c>
      <c r="G1437" t="s">
        <v>4877</v>
      </c>
      <c r="H1437" t="s">
        <v>4888</v>
      </c>
      <c r="I1437" t="s">
        <v>4893</v>
      </c>
      <c r="J1437" t="s">
        <v>4903</v>
      </c>
      <c r="K1437" t="s">
        <v>4930</v>
      </c>
      <c r="L1437" t="s">
        <v>4934</v>
      </c>
      <c r="M1437" t="s">
        <v>4942</v>
      </c>
      <c r="N1437" s="11">
        <v>2963.87</v>
      </c>
      <c r="O1437" t="s">
        <v>15</v>
      </c>
      <c r="P1437" t="s">
        <v>4952</v>
      </c>
      <c r="R1437">
        <v>90</v>
      </c>
      <c r="S1437" t="str">
        <f t="shared" si="66"/>
        <v>Middle-Aged</v>
      </c>
      <c r="T1437" t="str">
        <f t="shared" si="67"/>
        <v>Low</v>
      </c>
      <c r="U1437" t="str">
        <f t="shared" si="68"/>
        <v>Short Days</v>
      </c>
    </row>
    <row r="1438" spans="1:21">
      <c r="A1438" t="s">
        <v>1454</v>
      </c>
      <c r="B1438" s="5">
        <v>45332</v>
      </c>
      <c r="C1438" t="s">
        <v>3073</v>
      </c>
      <c r="D1438" t="s">
        <v>4732</v>
      </c>
      <c r="E1438" t="s">
        <v>4866</v>
      </c>
      <c r="F1438">
        <v>12</v>
      </c>
      <c r="G1438" t="s">
        <v>4883</v>
      </c>
      <c r="H1438" t="s">
        <v>4892</v>
      </c>
      <c r="I1438" t="s">
        <v>4895</v>
      </c>
      <c r="J1438" t="s">
        <v>4915</v>
      </c>
      <c r="K1438" t="s">
        <v>4930</v>
      </c>
      <c r="L1438" t="s">
        <v>4936</v>
      </c>
      <c r="M1438" t="s">
        <v>4942</v>
      </c>
      <c r="N1438" s="11">
        <v>6022.57</v>
      </c>
      <c r="O1438" t="s">
        <v>4947</v>
      </c>
      <c r="P1438" t="s">
        <v>4951</v>
      </c>
      <c r="S1438" t="str">
        <f t="shared" si="66"/>
        <v>Child</v>
      </c>
      <c r="T1438" t="str">
        <f t="shared" si="67"/>
        <v>Medium</v>
      </c>
      <c r="U1438" t="str">
        <f t="shared" si="68"/>
        <v>Short Days</v>
      </c>
    </row>
    <row r="1439" spans="1:21">
      <c r="A1439" t="s">
        <v>1455</v>
      </c>
      <c r="B1439" s="5">
        <v>45892</v>
      </c>
      <c r="C1439" t="s">
        <v>4048</v>
      </c>
      <c r="D1439" t="s">
        <v>4767</v>
      </c>
      <c r="E1439" t="s">
        <v>4866</v>
      </c>
      <c r="F1439">
        <v>33</v>
      </c>
      <c r="G1439" t="s">
        <v>4874</v>
      </c>
      <c r="H1439" t="s">
        <v>4886</v>
      </c>
      <c r="I1439" t="s">
        <v>4897</v>
      </c>
      <c r="J1439" t="s">
        <v>4922</v>
      </c>
      <c r="K1439" t="s">
        <v>4933</v>
      </c>
      <c r="L1439" t="s">
        <v>4938</v>
      </c>
      <c r="M1439" t="s">
        <v>4942</v>
      </c>
      <c r="N1439" s="11">
        <v>889.33</v>
      </c>
      <c r="O1439" t="s">
        <v>4948</v>
      </c>
      <c r="P1439" t="s">
        <v>4951</v>
      </c>
      <c r="R1439">
        <v>90</v>
      </c>
      <c r="S1439" t="str">
        <f t="shared" si="66"/>
        <v>Adult</v>
      </c>
      <c r="T1439" t="str">
        <f t="shared" si="67"/>
        <v>Low</v>
      </c>
      <c r="U1439" t="str">
        <f t="shared" si="68"/>
        <v>Short Days</v>
      </c>
    </row>
    <row r="1440" spans="1:21">
      <c r="A1440" t="s">
        <v>1456</v>
      </c>
      <c r="B1440" s="5">
        <v>45682</v>
      </c>
      <c r="C1440" t="s">
        <v>4049</v>
      </c>
      <c r="D1440" t="s">
        <v>4738</v>
      </c>
      <c r="E1440" t="s">
        <v>4866</v>
      </c>
      <c r="F1440">
        <v>39</v>
      </c>
      <c r="G1440" t="s">
        <v>4882</v>
      </c>
      <c r="H1440" t="s">
        <v>4891</v>
      </c>
      <c r="I1440" t="s">
        <v>4893</v>
      </c>
      <c r="J1440" t="s">
        <v>4917</v>
      </c>
      <c r="K1440" t="s">
        <v>4929</v>
      </c>
      <c r="L1440" t="s">
        <v>4940</v>
      </c>
      <c r="M1440" t="s">
        <v>4943</v>
      </c>
      <c r="N1440" s="11">
        <v>10845.21</v>
      </c>
      <c r="O1440" t="s">
        <v>4948</v>
      </c>
      <c r="P1440" t="s">
        <v>4951</v>
      </c>
      <c r="R1440">
        <v>90</v>
      </c>
      <c r="S1440" t="str">
        <f t="shared" si="66"/>
        <v>Adult</v>
      </c>
      <c r="T1440" t="str">
        <f t="shared" si="67"/>
        <v>High</v>
      </c>
      <c r="U1440" t="str">
        <f t="shared" si="68"/>
        <v>Short Days</v>
      </c>
    </row>
    <row r="1441" spans="1:21">
      <c r="A1441" t="s">
        <v>1457</v>
      </c>
      <c r="B1441" s="5">
        <v>45955</v>
      </c>
      <c r="C1441" t="s">
        <v>3301</v>
      </c>
      <c r="D1441" t="s">
        <v>4604</v>
      </c>
      <c r="E1441" t="s">
        <v>4867</v>
      </c>
      <c r="F1441">
        <v>50</v>
      </c>
      <c r="G1441" t="s">
        <v>4872</v>
      </c>
      <c r="H1441" t="s">
        <v>4887</v>
      </c>
      <c r="I1441" t="s">
        <v>4894</v>
      </c>
      <c r="J1441" t="s">
        <v>4904</v>
      </c>
      <c r="K1441" t="s">
        <v>4930</v>
      </c>
      <c r="L1441" t="s">
        <v>4939</v>
      </c>
      <c r="M1441" t="s">
        <v>4942</v>
      </c>
      <c r="N1441" s="11">
        <v>2979.25</v>
      </c>
      <c r="O1441" t="s">
        <v>4946</v>
      </c>
      <c r="P1441" t="s">
        <v>4951</v>
      </c>
      <c r="S1441" t="str">
        <f t="shared" si="66"/>
        <v>Middle-Aged</v>
      </c>
      <c r="T1441" t="str">
        <f t="shared" si="67"/>
        <v>Low</v>
      </c>
      <c r="U1441" t="str">
        <f t="shared" si="68"/>
        <v>Short Days</v>
      </c>
    </row>
    <row r="1442" spans="1:21">
      <c r="A1442" t="s">
        <v>1458</v>
      </c>
      <c r="B1442" s="5">
        <v>45923</v>
      </c>
      <c r="C1442" t="s">
        <v>3528</v>
      </c>
      <c r="D1442" t="s">
        <v>4786</v>
      </c>
      <c r="E1442" t="s">
        <v>4866</v>
      </c>
      <c r="F1442">
        <v>46</v>
      </c>
      <c r="G1442" t="s">
        <v>4870</v>
      </c>
      <c r="H1442" t="s">
        <v>4885</v>
      </c>
      <c r="I1442" t="s">
        <v>4896</v>
      </c>
      <c r="J1442" t="s">
        <v>4908</v>
      </c>
      <c r="K1442" t="s">
        <v>4925</v>
      </c>
      <c r="L1442" t="s">
        <v>4934</v>
      </c>
      <c r="M1442" t="s">
        <v>4945</v>
      </c>
      <c r="N1442" s="11">
        <v>6987.8</v>
      </c>
      <c r="O1442" t="s">
        <v>4947</v>
      </c>
      <c r="P1442" t="s">
        <v>4951</v>
      </c>
      <c r="Q1442">
        <v>9</v>
      </c>
      <c r="R1442">
        <v>7</v>
      </c>
      <c r="S1442" t="str">
        <f t="shared" si="66"/>
        <v>Middle-Aged</v>
      </c>
      <c r="T1442" t="str">
        <f t="shared" si="67"/>
        <v>Medium</v>
      </c>
      <c r="U1442" t="str">
        <f t="shared" si="68"/>
        <v>Long Days</v>
      </c>
    </row>
    <row r="1443" spans="1:21">
      <c r="A1443" t="s">
        <v>1459</v>
      </c>
      <c r="B1443" s="5">
        <v>45934</v>
      </c>
      <c r="C1443" t="s">
        <v>4050</v>
      </c>
      <c r="D1443" t="s">
        <v>4772</v>
      </c>
      <c r="E1443" t="s">
        <v>4866</v>
      </c>
      <c r="F1443">
        <v>66</v>
      </c>
      <c r="G1443" t="s">
        <v>4870</v>
      </c>
      <c r="H1443" t="s">
        <v>4885</v>
      </c>
      <c r="I1443" t="s">
        <v>4901</v>
      </c>
      <c r="J1443" t="s">
        <v>4914</v>
      </c>
      <c r="K1443" t="s">
        <v>4931</v>
      </c>
      <c r="L1443" t="s">
        <v>4934</v>
      </c>
      <c r="M1443" t="s">
        <v>4942</v>
      </c>
      <c r="N1443" s="11">
        <v>861.33</v>
      </c>
      <c r="O1443" t="s">
        <v>4946</v>
      </c>
      <c r="P1443" t="s">
        <v>4951</v>
      </c>
      <c r="S1443" t="str">
        <f t="shared" si="66"/>
        <v>Senior</v>
      </c>
      <c r="T1443" t="str">
        <f t="shared" si="67"/>
        <v>Low</v>
      </c>
      <c r="U1443" t="str">
        <f t="shared" si="68"/>
        <v>Short Days</v>
      </c>
    </row>
    <row r="1444" spans="1:21">
      <c r="A1444" t="s">
        <v>1460</v>
      </c>
      <c r="B1444" s="5">
        <v>45474</v>
      </c>
      <c r="C1444" t="s">
        <v>4051</v>
      </c>
      <c r="D1444" t="s">
        <v>4810</v>
      </c>
      <c r="E1444" t="s">
        <v>4866</v>
      </c>
      <c r="F1444">
        <v>36</v>
      </c>
      <c r="G1444" t="s">
        <v>4874</v>
      </c>
      <c r="H1444" t="s">
        <v>4886</v>
      </c>
      <c r="I1444" t="s">
        <v>4896</v>
      </c>
      <c r="J1444" t="s">
        <v>4908</v>
      </c>
      <c r="K1444" t="s">
        <v>4932</v>
      </c>
      <c r="L1444" t="s">
        <v>4940</v>
      </c>
      <c r="M1444" t="s">
        <v>4942</v>
      </c>
      <c r="N1444" s="11">
        <v>4926.2700000000004</v>
      </c>
      <c r="O1444" t="s">
        <v>4946</v>
      </c>
      <c r="P1444" t="s">
        <v>4951</v>
      </c>
      <c r="R1444">
        <v>90</v>
      </c>
      <c r="S1444" t="str">
        <f t="shared" si="66"/>
        <v>Adult</v>
      </c>
      <c r="T1444" t="str">
        <f t="shared" si="67"/>
        <v>Low</v>
      </c>
      <c r="U1444" t="str">
        <f t="shared" si="68"/>
        <v>Short Days</v>
      </c>
    </row>
    <row r="1445" spans="1:21">
      <c r="A1445" t="s">
        <v>1461</v>
      </c>
      <c r="B1445" s="5">
        <v>45464</v>
      </c>
      <c r="C1445" t="s">
        <v>3542</v>
      </c>
      <c r="D1445" t="s">
        <v>4803</v>
      </c>
      <c r="E1445" t="s">
        <v>4866</v>
      </c>
      <c r="F1445">
        <v>6</v>
      </c>
      <c r="G1445" t="s">
        <v>4878</v>
      </c>
      <c r="H1445" t="s">
        <v>4889</v>
      </c>
      <c r="I1445" t="s">
        <v>4899</v>
      </c>
      <c r="J1445" t="s">
        <v>4911</v>
      </c>
      <c r="K1445" t="s">
        <v>4924</v>
      </c>
      <c r="L1445" t="s">
        <v>4937</v>
      </c>
      <c r="M1445" t="s">
        <v>4942</v>
      </c>
      <c r="N1445" s="11">
        <v>701.93</v>
      </c>
      <c r="O1445" t="s">
        <v>4947</v>
      </c>
      <c r="P1445" t="s">
        <v>4951</v>
      </c>
      <c r="S1445" t="str">
        <f t="shared" si="66"/>
        <v>Child</v>
      </c>
      <c r="T1445" t="str">
        <f t="shared" si="67"/>
        <v>Low</v>
      </c>
      <c r="U1445" t="str">
        <f t="shared" si="68"/>
        <v>Short Days</v>
      </c>
    </row>
    <row r="1446" spans="1:21">
      <c r="A1446" t="s">
        <v>1462</v>
      </c>
      <c r="B1446" s="5">
        <v>45306</v>
      </c>
      <c r="C1446" t="s">
        <v>3538</v>
      </c>
      <c r="D1446" t="s">
        <v>4686</v>
      </c>
      <c r="E1446" t="s">
        <v>4866</v>
      </c>
      <c r="F1446">
        <v>76</v>
      </c>
      <c r="G1446" t="s">
        <v>4875</v>
      </c>
      <c r="H1446" t="s">
        <v>4889</v>
      </c>
      <c r="I1446" t="s">
        <v>4900</v>
      </c>
      <c r="J1446" t="s">
        <v>4913</v>
      </c>
      <c r="K1446" t="s">
        <v>4926</v>
      </c>
      <c r="L1446" t="s">
        <v>4940</v>
      </c>
      <c r="M1446" t="s">
        <v>4944</v>
      </c>
      <c r="N1446" s="11">
        <v>8894.2800000000007</v>
      </c>
      <c r="O1446" t="s">
        <v>4949</v>
      </c>
      <c r="P1446" t="s">
        <v>4951</v>
      </c>
      <c r="S1446" t="str">
        <f t="shared" si="66"/>
        <v>Senior</v>
      </c>
      <c r="T1446" t="str">
        <f t="shared" si="67"/>
        <v>Medium</v>
      </c>
      <c r="U1446" t="str">
        <f t="shared" si="68"/>
        <v>Short Days</v>
      </c>
    </row>
    <row r="1447" spans="1:21">
      <c r="A1447" t="s">
        <v>1463</v>
      </c>
      <c r="B1447" s="5">
        <v>45489</v>
      </c>
      <c r="C1447" t="s">
        <v>4052</v>
      </c>
      <c r="D1447" t="s">
        <v>4624</v>
      </c>
      <c r="E1447" t="s">
        <v>4867</v>
      </c>
      <c r="F1447">
        <v>29</v>
      </c>
      <c r="G1447" t="s">
        <v>4879</v>
      </c>
      <c r="H1447" t="s">
        <v>4888</v>
      </c>
      <c r="I1447" t="s">
        <v>4900</v>
      </c>
      <c r="J1447" t="s">
        <v>4913</v>
      </c>
      <c r="K1447" t="s">
        <v>4932</v>
      </c>
      <c r="L1447" t="s">
        <v>4940</v>
      </c>
      <c r="M1447" t="s">
        <v>4944</v>
      </c>
      <c r="N1447" s="11">
        <v>5185.72</v>
      </c>
      <c r="O1447" t="s">
        <v>4946</v>
      </c>
      <c r="P1447" t="s">
        <v>4951</v>
      </c>
      <c r="R1447">
        <v>14</v>
      </c>
      <c r="S1447" t="str">
        <f t="shared" si="66"/>
        <v>Adult</v>
      </c>
      <c r="T1447" t="str">
        <f t="shared" si="67"/>
        <v>Medium</v>
      </c>
      <c r="U1447" t="str">
        <f t="shared" si="68"/>
        <v>Short Days</v>
      </c>
    </row>
    <row r="1448" spans="1:21">
      <c r="A1448" t="s">
        <v>1464</v>
      </c>
      <c r="B1448" s="5">
        <v>45915</v>
      </c>
      <c r="C1448" t="s">
        <v>3606</v>
      </c>
      <c r="D1448" t="s">
        <v>4589</v>
      </c>
      <c r="E1448" t="s">
        <v>4867</v>
      </c>
      <c r="F1448">
        <v>37</v>
      </c>
      <c r="G1448" t="s">
        <v>4874</v>
      </c>
      <c r="H1448" t="s">
        <v>4886</v>
      </c>
      <c r="I1448" t="s">
        <v>4900</v>
      </c>
      <c r="J1448" t="s">
        <v>4919</v>
      </c>
      <c r="K1448" t="s">
        <v>4925</v>
      </c>
      <c r="L1448" t="s">
        <v>4936</v>
      </c>
      <c r="M1448" t="s">
        <v>4943</v>
      </c>
      <c r="N1448" s="11">
        <v>6135.85</v>
      </c>
      <c r="O1448" t="s">
        <v>4949</v>
      </c>
      <c r="P1448" t="s">
        <v>4951</v>
      </c>
      <c r="S1448" t="str">
        <f t="shared" si="66"/>
        <v>Adult</v>
      </c>
      <c r="T1448" t="str">
        <f t="shared" si="67"/>
        <v>Medium</v>
      </c>
      <c r="U1448" t="str">
        <f t="shared" si="68"/>
        <v>Short Days</v>
      </c>
    </row>
    <row r="1449" spans="1:21">
      <c r="A1449" t="s">
        <v>1465</v>
      </c>
      <c r="B1449" s="5">
        <v>45695</v>
      </c>
      <c r="C1449" t="s">
        <v>3094</v>
      </c>
      <c r="D1449" t="s">
        <v>4807</v>
      </c>
      <c r="E1449" t="s">
        <v>4866</v>
      </c>
      <c r="F1449">
        <v>35</v>
      </c>
      <c r="G1449" t="s">
        <v>4873</v>
      </c>
      <c r="H1449" t="s">
        <v>4888</v>
      </c>
      <c r="I1449" t="s">
        <v>4896</v>
      </c>
      <c r="J1449" t="s">
        <v>4906</v>
      </c>
      <c r="K1449" t="s">
        <v>4932</v>
      </c>
      <c r="L1449" t="s">
        <v>4936</v>
      </c>
      <c r="M1449" t="s">
        <v>4942</v>
      </c>
      <c r="N1449" s="11">
        <v>14240.82</v>
      </c>
      <c r="O1449" t="s">
        <v>4949</v>
      </c>
      <c r="P1449" t="s">
        <v>4951</v>
      </c>
      <c r="R1449">
        <v>90</v>
      </c>
      <c r="S1449" t="str">
        <f t="shared" si="66"/>
        <v>Adult</v>
      </c>
      <c r="T1449" t="str">
        <f t="shared" si="67"/>
        <v>High</v>
      </c>
      <c r="U1449" t="str">
        <f t="shared" si="68"/>
        <v>Short Days</v>
      </c>
    </row>
    <row r="1450" spans="1:21">
      <c r="A1450" t="s">
        <v>1466</v>
      </c>
      <c r="B1450" s="5">
        <v>45478</v>
      </c>
      <c r="C1450" t="s">
        <v>3501</v>
      </c>
      <c r="D1450" t="s">
        <v>4819</v>
      </c>
      <c r="E1450" t="s">
        <v>4866</v>
      </c>
      <c r="F1450">
        <v>57</v>
      </c>
      <c r="G1450" t="s">
        <v>4870</v>
      </c>
      <c r="H1450" t="s">
        <v>4885</v>
      </c>
      <c r="I1450" t="s">
        <v>4898</v>
      </c>
      <c r="J1450" t="s">
        <v>4918</v>
      </c>
      <c r="K1450" t="s">
        <v>4927</v>
      </c>
      <c r="L1450" t="s">
        <v>4936</v>
      </c>
      <c r="M1450" t="s">
        <v>4942</v>
      </c>
      <c r="N1450" s="11">
        <v>4721.9399999999996</v>
      </c>
      <c r="O1450" t="s">
        <v>4946</v>
      </c>
      <c r="P1450" t="s">
        <v>4951</v>
      </c>
      <c r="R1450">
        <v>90</v>
      </c>
      <c r="S1450" t="str">
        <f t="shared" si="66"/>
        <v>Middle-Aged</v>
      </c>
      <c r="T1450" t="str">
        <f t="shared" si="67"/>
        <v>Low</v>
      </c>
      <c r="U1450" t="str">
        <f t="shared" si="68"/>
        <v>Short Days</v>
      </c>
    </row>
    <row r="1451" spans="1:21">
      <c r="A1451" t="s">
        <v>1467</v>
      </c>
      <c r="B1451" s="5">
        <v>45420</v>
      </c>
      <c r="C1451" t="s">
        <v>3159</v>
      </c>
      <c r="D1451" t="s">
        <v>4692</v>
      </c>
      <c r="E1451" t="s">
        <v>4866</v>
      </c>
      <c r="F1451">
        <v>62</v>
      </c>
      <c r="G1451" t="s">
        <v>4869</v>
      </c>
      <c r="H1451" t="s">
        <v>4884</v>
      </c>
      <c r="I1451" t="s">
        <v>4897</v>
      </c>
      <c r="J1451" t="s">
        <v>4922</v>
      </c>
      <c r="K1451" t="s">
        <v>4927</v>
      </c>
      <c r="L1451" t="s">
        <v>4941</v>
      </c>
      <c r="M1451" t="s">
        <v>4942</v>
      </c>
      <c r="N1451" s="11">
        <v>4401.3</v>
      </c>
      <c r="O1451" t="s">
        <v>4949</v>
      </c>
      <c r="P1451" t="s">
        <v>4951</v>
      </c>
      <c r="R1451">
        <v>7</v>
      </c>
      <c r="S1451" t="str">
        <f t="shared" si="66"/>
        <v>Senior</v>
      </c>
      <c r="T1451" t="str">
        <f t="shared" si="67"/>
        <v>Low</v>
      </c>
      <c r="U1451" t="str">
        <f t="shared" si="68"/>
        <v>Short Days</v>
      </c>
    </row>
    <row r="1452" spans="1:21">
      <c r="A1452" t="s">
        <v>1468</v>
      </c>
      <c r="B1452" s="5">
        <v>45731</v>
      </c>
      <c r="C1452" t="s">
        <v>4053</v>
      </c>
      <c r="D1452" t="s">
        <v>4799</v>
      </c>
      <c r="E1452" t="s">
        <v>4866</v>
      </c>
      <c r="F1452">
        <v>54</v>
      </c>
      <c r="G1452" t="s">
        <v>4883</v>
      </c>
      <c r="H1452" t="s">
        <v>4892</v>
      </c>
      <c r="I1452" t="s">
        <v>4899</v>
      </c>
      <c r="J1452" t="s">
        <v>4912</v>
      </c>
      <c r="K1452" t="s">
        <v>4925</v>
      </c>
      <c r="L1452" t="s">
        <v>4938</v>
      </c>
      <c r="M1452" t="s">
        <v>4944</v>
      </c>
      <c r="N1452" s="11">
        <v>25495.29</v>
      </c>
      <c r="O1452" t="s">
        <v>4950</v>
      </c>
      <c r="P1452" t="s">
        <v>4951</v>
      </c>
      <c r="R1452">
        <v>7</v>
      </c>
      <c r="S1452" t="str">
        <f t="shared" si="66"/>
        <v>Middle-Aged</v>
      </c>
      <c r="T1452" t="str">
        <f t="shared" si="67"/>
        <v>High</v>
      </c>
      <c r="U1452" t="str">
        <f t="shared" si="68"/>
        <v>Short Days</v>
      </c>
    </row>
    <row r="1453" spans="1:21">
      <c r="A1453" t="s">
        <v>1469</v>
      </c>
      <c r="B1453" s="5">
        <v>45712</v>
      </c>
      <c r="C1453" t="s">
        <v>3161</v>
      </c>
      <c r="D1453" t="s">
        <v>4642</v>
      </c>
      <c r="E1453" t="s">
        <v>4867</v>
      </c>
      <c r="F1453">
        <v>32</v>
      </c>
      <c r="G1453" t="s">
        <v>4870</v>
      </c>
      <c r="H1453" t="s">
        <v>4885</v>
      </c>
      <c r="I1453" t="s">
        <v>4901</v>
      </c>
      <c r="J1453" t="s">
        <v>4921</v>
      </c>
      <c r="K1453" t="s">
        <v>4931</v>
      </c>
      <c r="L1453" t="s">
        <v>4938</v>
      </c>
      <c r="M1453" t="s">
        <v>4942</v>
      </c>
      <c r="N1453" s="11">
        <v>579.02</v>
      </c>
      <c r="O1453" t="s">
        <v>4946</v>
      </c>
      <c r="P1453" t="s">
        <v>4951</v>
      </c>
      <c r="R1453">
        <v>30</v>
      </c>
      <c r="S1453" t="str">
        <f t="shared" si="66"/>
        <v>Adult</v>
      </c>
      <c r="T1453" t="str">
        <f t="shared" si="67"/>
        <v>Low</v>
      </c>
      <c r="U1453" t="str">
        <f t="shared" si="68"/>
        <v>Short Days</v>
      </c>
    </row>
    <row r="1454" spans="1:21">
      <c r="A1454" t="s">
        <v>1470</v>
      </c>
      <c r="B1454" s="5">
        <v>45930</v>
      </c>
      <c r="C1454" t="s">
        <v>3264</v>
      </c>
      <c r="D1454" t="s">
        <v>4836</v>
      </c>
      <c r="E1454" t="s">
        <v>4866</v>
      </c>
      <c r="F1454">
        <v>57</v>
      </c>
      <c r="G1454" t="s">
        <v>4881</v>
      </c>
      <c r="H1454" t="s">
        <v>4881</v>
      </c>
      <c r="I1454" t="s">
        <v>4898</v>
      </c>
      <c r="J1454" t="s">
        <v>4918</v>
      </c>
      <c r="K1454" t="s">
        <v>4930</v>
      </c>
      <c r="L1454" t="s">
        <v>4936</v>
      </c>
      <c r="M1454" t="s">
        <v>4942</v>
      </c>
      <c r="N1454" s="11">
        <v>750.34</v>
      </c>
      <c r="O1454" t="s">
        <v>4946</v>
      </c>
      <c r="P1454" t="s">
        <v>4951</v>
      </c>
      <c r="R1454">
        <v>14</v>
      </c>
      <c r="S1454" t="str">
        <f t="shared" si="66"/>
        <v>Middle-Aged</v>
      </c>
      <c r="T1454" t="str">
        <f t="shared" si="67"/>
        <v>Low</v>
      </c>
      <c r="U1454" t="str">
        <f t="shared" si="68"/>
        <v>Short Days</v>
      </c>
    </row>
    <row r="1455" spans="1:21">
      <c r="A1455" t="s">
        <v>1471</v>
      </c>
      <c r="B1455" s="5">
        <v>45403</v>
      </c>
      <c r="C1455" t="s">
        <v>4054</v>
      </c>
      <c r="D1455" t="s">
        <v>4586</v>
      </c>
      <c r="E1455" t="s">
        <v>4866</v>
      </c>
      <c r="F1455">
        <v>51</v>
      </c>
      <c r="G1455" t="s">
        <v>4879</v>
      </c>
      <c r="H1455" t="s">
        <v>4888</v>
      </c>
      <c r="I1455" t="s">
        <v>4899</v>
      </c>
      <c r="J1455" t="s">
        <v>4912</v>
      </c>
      <c r="K1455" t="s">
        <v>4929</v>
      </c>
      <c r="L1455" t="s">
        <v>4939</v>
      </c>
      <c r="M1455" t="s">
        <v>4944</v>
      </c>
      <c r="N1455" s="11">
        <v>9917.65</v>
      </c>
      <c r="O1455" t="s">
        <v>4946</v>
      </c>
      <c r="P1455" t="s">
        <v>4951</v>
      </c>
      <c r="R1455">
        <v>7</v>
      </c>
      <c r="S1455" t="str">
        <f t="shared" si="66"/>
        <v>Middle-Aged</v>
      </c>
      <c r="T1455" t="str">
        <f t="shared" si="67"/>
        <v>Medium</v>
      </c>
      <c r="U1455" t="str">
        <f t="shared" si="68"/>
        <v>Short Days</v>
      </c>
    </row>
    <row r="1456" spans="1:21">
      <c r="A1456" t="s">
        <v>1472</v>
      </c>
      <c r="B1456" s="5">
        <v>45619</v>
      </c>
      <c r="C1456" t="s">
        <v>4055</v>
      </c>
      <c r="D1456" t="s">
        <v>4680</v>
      </c>
      <c r="E1456" t="s">
        <v>4867</v>
      </c>
      <c r="F1456">
        <v>65</v>
      </c>
      <c r="G1456" t="s">
        <v>4877</v>
      </c>
      <c r="H1456" t="s">
        <v>4888</v>
      </c>
      <c r="I1456" t="s">
        <v>4897</v>
      </c>
      <c r="J1456" t="s">
        <v>4922</v>
      </c>
      <c r="K1456" t="s">
        <v>4925</v>
      </c>
      <c r="L1456" t="s">
        <v>4939</v>
      </c>
      <c r="M1456" t="s">
        <v>4942</v>
      </c>
      <c r="N1456" s="11">
        <v>2356.15</v>
      </c>
      <c r="O1456" t="s">
        <v>4949</v>
      </c>
      <c r="P1456" t="s">
        <v>4951</v>
      </c>
      <c r="R1456">
        <v>30</v>
      </c>
      <c r="S1456" t="str">
        <f t="shared" si="66"/>
        <v>Senior</v>
      </c>
      <c r="T1456" t="str">
        <f t="shared" si="67"/>
        <v>Low</v>
      </c>
      <c r="U1456" t="str">
        <f t="shared" si="68"/>
        <v>Short Days</v>
      </c>
    </row>
    <row r="1457" spans="1:21">
      <c r="A1457" t="s">
        <v>1473</v>
      </c>
      <c r="B1457" s="5">
        <v>45782</v>
      </c>
      <c r="C1457" t="s">
        <v>3074</v>
      </c>
      <c r="D1457" t="s">
        <v>4706</v>
      </c>
      <c r="E1457" t="s">
        <v>4866</v>
      </c>
      <c r="F1457">
        <v>34</v>
      </c>
      <c r="G1457" t="s">
        <v>4875</v>
      </c>
      <c r="H1457" t="s">
        <v>4889</v>
      </c>
      <c r="I1457" t="s">
        <v>4900</v>
      </c>
      <c r="J1457" t="s">
        <v>4913</v>
      </c>
      <c r="K1457" t="s">
        <v>4926</v>
      </c>
      <c r="L1457" t="s">
        <v>4939</v>
      </c>
      <c r="M1457" t="s">
        <v>4943</v>
      </c>
      <c r="N1457" s="11">
        <v>5869.36</v>
      </c>
      <c r="O1457" t="s">
        <v>4947</v>
      </c>
      <c r="P1457" t="s">
        <v>4951</v>
      </c>
      <c r="R1457">
        <v>14</v>
      </c>
      <c r="S1457" t="str">
        <f t="shared" si="66"/>
        <v>Adult</v>
      </c>
      <c r="T1457" t="str">
        <f t="shared" si="67"/>
        <v>Medium</v>
      </c>
      <c r="U1457" t="str">
        <f t="shared" si="68"/>
        <v>Short Days</v>
      </c>
    </row>
    <row r="1458" spans="1:21">
      <c r="A1458" t="s">
        <v>1474</v>
      </c>
      <c r="B1458" s="5">
        <v>45703</v>
      </c>
      <c r="C1458" t="s">
        <v>3644</v>
      </c>
      <c r="D1458" t="s">
        <v>4825</v>
      </c>
      <c r="E1458" t="s">
        <v>4866</v>
      </c>
      <c r="F1458">
        <v>56</v>
      </c>
      <c r="G1458" t="s">
        <v>4879</v>
      </c>
      <c r="H1458" t="s">
        <v>4888</v>
      </c>
      <c r="I1458" t="s">
        <v>4902</v>
      </c>
      <c r="J1458" t="s">
        <v>4920</v>
      </c>
      <c r="K1458" t="s">
        <v>4928</v>
      </c>
      <c r="L1458" t="s">
        <v>4941</v>
      </c>
      <c r="M1458" t="s">
        <v>4942</v>
      </c>
      <c r="N1458" s="11">
        <v>5508.68</v>
      </c>
      <c r="O1458" t="s">
        <v>4946</v>
      </c>
      <c r="P1458" t="s">
        <v>4951</v>
      </c>
      <c r="R1458">
        <v>14</v>
      </c>
      <c r="S1458" t="str">
        <f t="shared" si="66"/>
        <v>Middle-Aged</v>
      </c>
      <c r="T1458" t="str">
        <f t="shared" si="67"/>
        <v>Medium</v>
      </c>
      <c r="U1458" t="str">
        <f t="shared" si="68"/>
        <v>Short Days</v>
      </c>
    </row>
    <row r="1459" spans="1:21">
      <c r="A1459" t="s">
        <v>1475</v>
      </c>
      <c r="B1459" s="5">
        <v>45360</v>
      </c>
      <c r="C1459" t="s">
        <v>3690</v>
      </c>
      <c r="D1459" t="s">
        <v>4645</v>
      </c>
      <c r="E1459" t="s">
        <v>4867</v>
      </c>
      <c r="F1459">
        <v>59</v>
      </c>
      <c r="G1459" t="s">
        <v>4880</v>
      </c>
      <c r="H1459" t="s">
        <v>4890</v>
      </c>
      <c r="I1459" t="s">
        <v>4893</v>
      </c>
      <c r="J1459" t="s">
        <v>4903</v>
      </c>
      <c r="K1459" t="s">
        <v>4931</v>
      </c>
      <c r="L1459" t="s">
        <v>4937</v>
      </c>
      <c r="M1459" t="s">
        <v>4943</v>
      </c>
      <c r="N1459" s="11">
        <v>9371.01</v>
      </c>
      <c r="O1459" t="s">
        <v>4949</v>
      </c>
      <c r="P1459" t="s">
        <v>4951</v>
      </c>
      <c r="R1459">
        <v>7</v>
      </c>
      <c r="S1459" t="str">
        <f t="shared" si="66"/>
        <v>Middle-Aged</v>
      </c>
      <c r="T1459" t="str">
        <f t="shared" si="67"/>
        <v>Medium</v>
      </c>
      <c r="U1459" t="str">
        <f t="shared" si="68"/>
        <v>Short Days</v>
      </c>
    </row>
    <row r="1460" spans="1:21">
      <c r="A1460" t="s">
        <v>1476</v>
      </c>
      <c r="B1460" s="5">
        <v>45852</v>
      </c>
      <c r="C1460" t="s">
        <v>4056</v>
      </c>
      <c r="D1460" t="s">
        <v>4681</v>
      </c>
      <c r="E1460" t="s">
        <v>4866</v>
      </c>
      <c r="F1460">
        <v>63</v>
      </c>
      <c r="G1460" t="s">
        <v>4872</v>
      </c>
      <c r="H1460" t="s">
        <v>4887</v>
      </c>
      <c r="I1460" t="s">
        <v>4893</v>
      </c>
      <c r="J1460" t="s">
        <v>4903</v>
      </c>
      <c r="K1460" t="s">
        <v>4927</v>
      </c>
      <c r="L1460" t="s">
        <v>4939</v>
      </c>
      <c r="M1460" t="s">
        <v>4945</v>
      </c>
      <c r="N1460" s="11">
        <v>17116.560000000001</v>
      </c>
      <c r="O1460" t="s">
        <v>15</v>
      </c>
      <c r="P1460" t="s">
        <v>4952</v>
      </c>
      <c r="Q1460">
        <v>6</v>
      </c>
      <c r="R1460">
        <v>30</v>
      </c>
      <c r="S1460" t="str">
        <f t="shared" si="66"/>
        <v>Senior</v>
      </c>
      <c r="T1460" t="str">
        <f t="shared" si="67"/>
        <v>High</v>
      </c>
      <c r="U1460" t="str">
        <f t="shared" si="68"/>
        <v>Long Days</v>
      </c>
    </row>
    <row r="1461" spans="1:21">
      <c r="A1461" t="s">
        <v>1477</v>
      </c>
      <c r="B1461" s="5">
        <v>45299</v>
      </c>
      <c r="C1461" t="s">
        <v>4032</v>
      </c>
      <c r="D1461" t="s">
        <v>4609</v>
      </c>
      <c r="E1461" t="s">
        <v>4867</v>
      </c>
      <c r="F1461">
        <v>23</v>
      </c>
      <c r="G1461" t="s">
        <v>4871</v>
      </c>
      <c r="H1461" t="s">
        <v>4886</v>
      </c>
      <c r="I1461" t="s">
        <v>4902</v>
      </c>
      <c r="J1461" t="s">
        <v>4920</v>
      </c>
      <c r="K1461" t="s">
        <v>4932</v>
      </c>
      <c r="L1461" t="s">
        <v>4940</v>
      </c>
      <c r="M1461" t="s">
        <v>4942</v>
      </c>
      <c r="N1461" s="11">
        <v>3549.44</v>
      </c>
      <c r="O1461" t="s">
        <v>4948</v>
      </c>
      <c r="P1461" t="s">
        <v>4951</v>
      </c>
      <c r="R1461">
        <v>7</v>
      </c>
      <c r="S1461" t="str">
        <f t="shared" si="66"/>
        <v>Adult</v>
      </c>
      <c r="T1461" t="str">
        <f t="shared" si="67"/>
        <v>Low</v>
      </c>
      <c r="U1461" t="str">
        <f t="shared" si="68"/>
        <v>Short Days</v>
      </c>
    </row>
    <row r="1462" spans="1:21">
      <c r="A1462" t="s">
        <v>1478</v>
      </c>
      <c r="B1462" s="5">
        <v>45359</v>
      </c>
      <c r="C1462" t="s">
        <v>4057</v>
      </c>
      <c r="D1462" t="s">
        <v>4776</v>
      </c>
      <c r="E1462" t="s">
        <v>4866</v>
      </c>
      <c r="F1462">
        <v>56</v>
      </c>
      <c r="G1462" t="s">
        <v>4883</v>
      </c>
      <c r="H1462" t="s">
        <v>4892</v>
      </c>
      <c r="I1462" t="s">
        <v>4896</v>
      </c>
      <c r="J1462" t="s">
        <v>4908</v>
      </c>
      <c r="K1462" t="s">
        <v>4927</v>
      </c>
      <c r="L1462" t="s">
        <v>4934</v>
      </c>
      <c r="M1462" t="s">
        <v>4942</v>
      </c>
      <c r="N1462" s="11">
        <v>4409.53</v>
      </c>
      <c r="O1462" t="s">
        <v>4948</v>
      </c>
      <c r="P1462" t="s">
        <v>4951</v>
      </c>
      <c r="R1462">
        <v>7</v>
      </c>
      <c r="S1462" t="str">
        <f t="shared" si="66"/>
        <v>Middle-Aged</v>
      </c>
      <c r="T1462" t="str">
        <f t="shared" si="67"/>
        <v>Low</v>
      </c>
      <c r="U1462" t="str">
        <f t="shared" si="68"/>
        <v>Short Days</v>
      </c>
    </row>
    <row r="1463" spans="1:21">
      <c r="A1463" t="s">
        <v>1479</v>
      </c>
      <c r="B1463" s="5">
        <v>45573</v>
      </c>
      <c r="C1463" t="s">
        <v>3264</v>
      </c>
      <c r="D1463" t="s">
        <v>4754</v>
      </c>
      <c r="E1463" t="s">
        <v>4866</v>
      </c>
      <c r="F1463">
        <v>17</v>
      </c>
      <c r="G1463" t="s">
        <v>4883</v>
      </c>
      <c r="H1463" t="s">
        <v>4892</v>
      </c>
      <c r="I1463" t="s">
        <v>4902</v>
      </c>
      <c r="J1463" t="s">
        <v>4920</v>
      </c>
      <c r="K1463" t="s">
        <v>4929</v>
      </c>
      <c r="L1463" t="s">
        <v>4934</v>
      </c>
      <c r="M1463" t="s">
        <v>4945</v>
      </c>
      <c r="N1463" s="11">
        <v>7986.47</v>
      </c>
      <c r="O1463" t="s">
        <v>4946</v>
      </c>
      <c r="P1463" t="s">
        <v>4951</v>
      </c>
      <c r="Q1463">
        <v>5</v>
      </c>
      <c r="R1463">
        <v>7</v>
      </c>
      <c r="S1463" t="str">
        <f t="shared" si="66"/>
        <v>Child</v>
      </c>
      <c r="T1463" t="str">
        <f t="shared" si="67"/>
        <v>Medium</v>
      </c>
      <c r="U1463" t="str">
        <f t="shared" si="68"/>
        <v>Short Days</v>
      </c>
    </row>
    <row r="1464" spans="1:21">
      <c r="A1464" t="s">
        <v>1480</v>
      </c>
      <c r="B1464" s="5">
        <v>45637</v>
      </c>
      <c r="C1464" t="s">
        <v>3216</v>
      </c>
      <c r="D1464" t="s">
        <v>4769</v>
      </c>
      <c r="E1464" t="s">
        <v>4866</v>
      </c>
      <c r="F1464">
        <v>16</v>
      </c>
      <c r="G1464" t="s">
        <v>4883</v>
      </c>
      <c r="H1464" t="s">
        <v>4892</v>
      </c>
      <c r="I1464" t="s">
        <v>4902</v>
      </c>
      <c r="J1464" t="s">
        <v>4916</v>
      </c>
      <c r="K1464" t="s">
        <v>4933</v>
      </c>
      <c r="L1464" t="s">
        <v>4936</v>
      </c>
      <c r="M1464" t="s">
        <v>4942</v>
      </c>
      <c r="N1464" s="11">
        <v>3097.55</v>
      </c>
      <c r="O1464" t="s">
        <v>4946</v>
      </c>
      <c r="P1464" t="s">
        <v>4951</v>
      </c>
      <c r="R1464">
        <v>7</v>
      </c>
      <c r="S1464" t="str">
        <f t="shared" si="66"/>
        <v>Child</v>
      </c>
      <c r="T1464" t="str">
        <f t="shared" si="67"/>
        <v>Low</v>
      </c>
      <c r="U1464" t="str">
        <f t="shared" si="68"/>
        <v>Short Days</v>
      </c>
    </row>
    <row r="1465" spans="1:21">
      <c r="A1465" t="s">
        <v>1481</v>
      </c>
      <c r="B1465" s="5">
        <v>45960</v>
      </c>
      <c r="C1465" t="s">
        <v>4058</v>
      </c>
      <c r="D1465" t="s">
        <v>4706</v>
      </c>
      <c r="E1465" t="s">
        <v>4866</v>
      </c>
      <c r="F1465">
        <v>39</v>
      </c>
      <c r="G1465" t="s">
        <v>4877</v>
      </c>
      <c r="H1465" t="s">
        <v>4888</v>
      </c>
      <c r="I1465" t="s">
        <v>4899</v>
      </c>
      <c r="J1465" t="s">
        <v>4911</v>
      </c>
      <c r="K1465" t="s">
        <v>4926</v>
      </c>
      <c r="L1465" t="s">
        <v>4936</v>
      </c>
      <c r="M1465" t="s">
        <v>4942</v>
      </c>
      <c r="N1465" s="11">
        <v>7685.17</v>
      </c>
      <c r="O1465" t="s">
        <v>4946</v>
      </c>
      <c r="P1465" t="s">
        <v>4951</v>
      </c>
      <c r="R1465">
        <v>90</v>
      </c>
      <c r="S1465" t="str">
        <f t="shared" si="66"/>
        <v>Adult</v>
      </c>
      <c r="T1465" t="str">
        <f t="shared" si="67"/>
        <v>Medium</v>
      </c>
      <c r="U1465" t="str">
        <f t="shared" si="68"/>
        <v>Short Days</v>
      </c>
    </row>
    <row r="1466" spans="1:21">
      <c r="A1466" t="s">
        <v>1482</v>
      </c>
      <c r="B1466" s="5">
        <v>45919</v>
      </c>
      <c r="C1466" t="s">
        <v>4059</v>
      </c>
      <c r="D1466" t="s">
        <v>4781</v>
      </c>
      <c r="E1466" t="s">
        <v>4866</v>
      </c>
      <c r="F1466">
        <v>32</v>
      </c>
      <c r="G1466" t="s">
        <v>4875</v>
      </c>
      <c r="H1466" t="s">
        <v>4889</v>
      </c>
      <c r="I1466" t="s">
        <v>4900</v>
      </c>
      <c r="J1466" t="s">
        <v>4919</v>
      </c>
      <c r="K1466" t="s">
        <v>4924</v>
      </c>
      <c r="L1466" t="s">
        <v>4939</v>
      </c>
      <c r="M1466" t="s">
        <v>4944</v>
      </c>
      <c r="N1466" s="11">
        <v>18034.259999999998</v>
      </c>
      <c r="O1466" t="s">
        <v>4946</v>
      </c>
      <c r="P1466" t="s">
        <v>4951</v>
      </c>
      <c r="R1466">
        <v>30</v>
      </c>
      <c r="S1466" t="str">
        <f t="shared" si="66"/>
        <v>Adult</v>
      </c>
      <c r="T1466" t="str">
        <f t="shared" si="67"/>
        <v>High</v>
      </c>
      <c r="U1466" t="str">
        <f t="shared" si="68"/>
        <v>Short Days</v>
      </c>
    </row>
    <row r="1467" spans="1:21">
      <c r="A1467" t="s">
        <v>1483</v>
      </c>
      <c r="B1467" s="5">
        <v>45766</v>
      </c>
      <c r="C1467" t="s">
        <v>3334</v>
      </c>
      <c r="D1467" t="s">
        <v>4649</v>
      </c>
      <c r="E1467" t="s">
        <v>4867</v>
      </c>
      <c r="F1467">
        <v>72</v>
      </c>
      <c r="G1467" t="s">
        <v>4878</v>
      </c>
      <c r="H1467" t="s">
        <v>4889</v>
      </c>
      <c r="I1467" t="s">
        <v>4900</v>
      </c>
      <c r="J1467" t="s">
        <v>4919</v>
      </c>
      <c r="K1467" t="s">
        <v>4933</v>
      </c>
      <c r="L1467" t="s">
        <v>4937</v>
      </c>
      <c r="M1467" t="s">
        <v>4944</v>
      </c>
      <c r="N1467" s="11">
        <v>13105.54</v>
      </c>
      <c r="O1467" t="s">
        <v>4947</v>
      </c>
      <c r="P1467" t="s">
        <v>4951</v>
      </c>
      <c r="S1467" t="str">
        <f t="shared" si="66"/>
        <v>Senior</v>
      </c>
      <c r="T1467" t="str">
        <f t="shared" si="67"/>
        <v>High</v>
      </c>
      <c r="U1467" t="str">
        <f t="shared" si="68"/>
        <v>Short Days</v>
      </c>
    </row>
    <row r="1468" spans="1:21">
      <c r="A1468" t="s">
        <v>1484</v>
      </c>
      <c r="B1468" s="5">
        <v>45344</v>
      </c>
      <c r="C1468" t="s">
        <v>3794</v>
      </c>
      <c r="D1468" t="s">
        <v>4819</v>
      </c>
      <c r="E1468" t="s">
        <v>4866</v>
      </c>
      <c r="F1468">
        <v>95</v>
      </c>
      <c r="G1468" t="s">
        <v>4871</v>
      </c>
      <c r="H1468" t="s">
        <v>4886</v>
      </c>
      <c r="I1468" t="s">
        <v>4901</v>
      </c>
      <c r="J1468" t="s">
        <v>4914</v>
      </c>
      <c r="K1468" t="s">
        <v>4930</v>
      </c>
      <c r="L1468" t="s">
        <v>4939</v>
      </c>
      <c r="M1468" t="s">
        <v>4942</v>
      </c>
      <c r="N1468" s="11">
        <v>211.83</v>
      </c>
      <c r="O1468" t="s">
        <v>15</v>
      </c>
      <c r="P1468" t="s">
        <v>4952</v>
      </c>
      <c r="S1468" t="str">
        <f t="shared" si="66"/>
        <v>Senior</v>
      </c>
      <c r="T1468" t="str">
        <f t="shared" si="67"/>
        <v>Low</v>
      </c>
      <c r="U1468" t="str">
        <f t="shared" si="68"/>
        <v>Short Days</v>
      </c>
    </row>
    <row r="1469" spans="1:21">
      <c r="A1469" t="s">
        <v>1485</v>
      </c>
      <c r="B1469" s="5">
        <v>45847</v>
      </c>
      <c r="C1469" t="s">
        <v>3097</v>
      </c>
      <c r="D1469" t="s">
        <v>4834</v>
      </c>
      <c r="E1469" t="s">
        <v>4868</v>
      </c>
      <c r="F1469">
        <v>75</v>
      </c>
      <c r="G1469" t="s">
        <v>4874</v>
      </c>
      <c r="H1469" t="s">
        <v>4886</v>
      </c>
      <c r="I1469" t="s">
        <v>4899</v>
      </c>
      <c r="J1469" t="s">
        <v>4911</v>
      </c>
      <c r="K1469" t="s">
        <v>4932</v>
      </c>
      <c r="L1469" t="s">
        <v>4941</v>
      </c>
      <c r="M1469" t="s">
        <v>4942</v>
      </c>
      <c r="N1469" s="11">
        <v>9722.1</v>
      </c>
      <c r="O1469" t="s">
        <v>4947</v>
      </c>
      <c r="P1469" t="s">
        <v>4951</v>
      </c>
      <c r="R1469">
        <v>14</v>
      </c>
      <c r="S1469" t="str">
        <f t="shared" si="66"/>
        <v>Senior</v>
      </c>
      <c r="T1469" t="str">
        <f t="shared" si="67"/>
        <v>Medium</v>
      </c>
      <c r="U1469" t="str">
        <f t="shared" si="68"/>
        <v>Short Days</v>
      </c>
    </row>
    <row r="1470" spans="1:21">
      <c r="A1470" t="s">
        <v>1486</v>
      </c>
      <c r="B1470" s="5">
        <v>45670</v>
      </c>
      <c r="C1470" t="s">
        <v>4060</v>
      </c>
      <c r="D1470" t="s">
        <v>4762</v>
      </c>
      <c r="E1470" t="s">
        <v>4866</v>
      </c>
      <c r="F1470">
        <v>23</v>
      </c>
      <c r="G1470" t="s">
        <v>4872</v>
      </c>
      <c r="H1470" t="s">
        <v>4887</v>
      </c>
      <c r="I1470" t="s">
        <v>4897</v>
      </c>
      <c r="J1470" t="s">
        <v>4907</v>
      </c>
      <c r="K1470" t="s">
        <v>4933</v>
      </c>
      <c r="L1470" t="s">
        <v>4940</v>
      </c>
      <c r="M1470" t="s">
        <v>4942</v>
      </c>
      <c r="N1470" s="11">
        <v>1094.46</v>
      </c>
      <c r="O1470" t="s">
        <v>4946</v>
      </c>
      <c r="P1470" t="s">
        <v>4951</v>
      </c>
      <c r="S1470" t="str">
        <f t="shared" si="66"/>
        <v>Adult</v>
      </c>
      <c r="T1470" t="str">
        <f t="shared" si="67"/>
        <v>Low</v>
      </c>
      <c r="U1470" t="str">
        <f t="shared" si="68"/>
        <v>Short Days</v>
      </c>
    </row>
    <row r="1471" spans="1:21">
      <c r="A1471" t="s">
        <v>1487</v>
      </c>
      <c r="B1471" s="5">
        <v>45528</v>
      </c>
      <c r="C1471" t="s">
        <v>3668</v>
      </c>
      <c r="D1471" t="s">
        <v>4827</v>
      </c>
      <c r="E1471" t="s">
        <v>4867</v>
      </c>
      <c r="F1471">
        <v>37</v>
      </c>
      <c r="G1471" t="s">
        <v>4875</v>
      </c>
      <c r="H1471" t="s">
        <v>4889</v>
      </c>
      <c r="I1471" t="s">
        <v>4901</v>
      </c>
      <c r="J1471" t="s">
        <v>4914</v>
      </c>
      <c r="K1471" t="s">
        <v>4931</v>
      </c>
      <c r="L1471" t="s">
        <v>4939</v>
      </c>
      <c r="M1471" t="s">
        <v>4942</v>
      </c>
      <c r="N1471" s="11">
        <v>3664.09</v>
      </c>
      <c r="O1471" t="s">
        <v>4949</v>
      </c>
      <c r="P1471" t="s">
        <v>4951</v>
      </c>
      <c r="R1471">
        <v>7</v>
      </c>
      <c r="S1471" t="str">
        <f t="shared" si="66"/>
        <v>Adult</v>
      </c>
      <c r="T1471" t="str">
        <f t="shared" si="67"/>
        <v>Low</v>
      </c>
      <c r="U1471" t="str">
        <f t="shared" si="68"/>
        <v>Short Days</v>
      </c>
    </row>
    <row r="1472" spans="1:21">
      <c r="A1472" t="s">
        <v>1488</v>
      </c>
      <c r="B1472" s="5">
        <v>45771</v>
      </c>
      <c r="C1472" t="s">
        <v>3881</v>
      </c>
      <c r="D1472" t="s">
        <v>4684</v>
      </c>
      <c r="E1472" t="s">
        <v>4866</v>
      </c>
      <c r="F1472">
        <v>54</v>
      </c>
      <c r="G1472" t="s">
        <v>4883</v>
      </c>
      <c r="H1472" t="s">
        <v>4892</v>
      </c>
      <c r="I1472" t="s">
        <v>4895</v>
      </c>
      <c r="J1472" t="s">
        <v>4905</v>
      </c>
      <c r="K1472" t="s">
        <v>4929</v>
      </c>
      <c r="L1472" t="s">
        <v>4938</v>
      </c>
      <c r="M1472" t="s">
        <v>4942</v>
      </c>
      <c r="N1472" s="11">
        <v>1168.23</v>
      </c>
      <c r="O1472" t="s">
        <v>4949</v>
      </c>
      <c r="P1472" t="s">
        <v>4951</v>
      </c>
      <c r="R1472">
        <v>30</v>
      </c>
      <c r="S1472" t="str">
        <f t="shared" si="66"/>
        <v>Middle-Aged</v>
      </c>
      <c r="T1472" t="str">
        <f t="shared" si="67"/>
        <v>Low</v>
      </c>
      <c r="U1472" t="str">
        <f t="shared" si="68"/>
        <v>Short Days</v>
      </c>
    </row>
    <row r="1473" spans="1:21">
      <c r="A1473" t="s">
        <v>1489</v>
      </c>
      <c r="B1473" s="5">
        <v>45861</v>
      </c>
      <c r="C1473" t="s">
        <v>4061</v>
      </c>
      <c r="D1473" t="s">
        <v>4633</v>
      </c>
      <c r="E1473" t="s">
        <v>4867</v>
      </c>
      <c r="F1473">
        <v>24</v>
      </c>
      <c r="G1473" t="s">
        <v>4878</v>
      </c>
      <c r="H1473" t="s">
        <v>4889</v>
      </c>
      <c r="I1473" t="s">
        <v>4901</v>
      </c>
      <c r="J1473" t="s">
        <v>4914</v>
      </c>
      <c r="K1473" t="s">
        <v>4925</v>
      </c>
      <c r="L1473" t="s">
        <v>4934</v>
      </c>
      <c r="M1473" t="s">
        <v>4942</v>
      </c>
      <c r="N1473" s="11">
        <v>4272.62</v>
      </c>
      <c r="O1473" t="s">
        <v>4947</v>
      </c>
      <c r="P1473" t="s">
        <v>4951</v>
      </c>
      <c r="R1473">
        <v>14</v>
      </c>
      <c r="S1473" t="str">
        <f t="shared" si="66"/>
        <v>Adult</v>
      </c>
      <c r="T1473" t="str">
        <f t="shared" si="67"/>
        <v>Low</v>
      </c>
      <c r="U1473" t="str">
        <f t="shared" si="68"/>
        <v>Short Days</v>
      </c>
    </row>
    <row r="1474" spans="1:21">
      <c r="A1474" t="s">
        <v>1490</v>
      </c>
      <c r="B1474" s="5">
        <v>45590</v>
      </c>
      <c r="C1474" t="s">
        <v>3154</v>
      </c>
      <c r="D1474" t="s">
        <v>4627</v>
      </c>
      <c r="E1474" t="s">
        <v>4867</v>
      </c>
      <c r="F1474">
        <v>31</v>
      </c>
      <c r="G1474" t="s">
        <v>4881</v>
      </c>
      <c r="H1474" t="s">
        <v>4881</v>
      </c>
      <c r="I1474" t="s">
        <v>4900</v>
      </c>
      <c r="J1474" t="s">
        <v>4913</v>
      </c>
      <c r="K1474" t="s">
        <v>4926</v>
      </c>
      <c r="L1474" t="s">
        <v>4941</v>
      </c>
      <c r="M1474" t="s">
        <v>4942</v>
      </c>
      <c r="N1474" s="11">
        <v>1030.75</v>
      </c>
      <c r="O1474" t="s">
        <v>4947</v>
      </c>
      <c r="P1474" t="s">
        <v>4951</v>
      </c>
      <c r="S1474" t="str">
        <f t="shared" si="66"/>
        <v>Adult</v>
      </c>
      <c r="T1474" t="str">
        <f t="shared" si="67"/>
        <v>Low</v>
      </c>
      <c r="U1474" t="str">
        <f t="shared" si="68"/>
        <v>Short Days</v>
      </c>
    </row>
    <row r="1475" spans="1:21">
      <c r="A1475" t="s">
        <v>1491</v>
      </c>
      <c r="B1475" s="5">
        <v>45665</v>
      </c>
      <c r="C1475" t="s">
        <v>3692</v>
      </c>
      <c r="D1475" t="s">
        <v>4794</v>
      </c>
      <c r="E1475" t="s">
        <v>4867</v>
      </c>
      <c r="F1475">
        <v>35</v>
      </c>
      <c r="G1475" t="s">
        <v>4882</v>
      </c>
      <c r="H1475" t="s">
        <v>4891</v>
      </c>
      <c r="I1475" t="s">
        <v>4901</v>
      </c>
      <c r="J1475" t="s">
        <v>4914</v>
      </c>
      <c r="K1475" t="s">
        <v>4932</v>
      </c>
      <c r="L1475" t="s">
        <v>4939</v>
      </c>
      <c r="M1475" t="s">
        <v>4943</v>
      </c>
      <c r="N1475" s="11">
        <v>12736.15</v>
      </c>
      <c r="O1475" t="s">
        <v>4948</v>
      </c>
      <c r="P1475" t="s">
        <v>4951</v>
      </c>
      <c r="R1475">
        <v>7</v>
      </c>
      <c r="S1475" t="str">
        <f t="shared" ref="S1475:S1538" si="69">IF(F1475&lt;18,"Child",IF(F1475&lt;=40,"Adult",IF(F1475&lt;=60,"Middle-Aged",IF(F1475,"Senior"))))</f>
        <v>Adult</v>
      </c>
      <c r="T1475" t="str">
        <f t="shared" ref="T1475:T1538" si="70">IF(N1475&lt;=5000,"Low",IF(N1475&lt;=10000,"Medium","High"))</f>
        <v>High</v>
      </c>
      <c r="U1475" t="str">
        <f t="shared" ref="U1475:U1538" si="71">IF(Q1475&lt;=5,"Short Days","Long Days")</f>
        <v>Short Days</v>
      </c>
    </row>
    <row r="1476" spans="1:21">
      <c r="A1476" t="s">
        <v>1492</v>
      </c>
      <c r="B1476" s="5">
        <v>45514</v>
      </c>
      <c r="C1476" t="s">
        <v>4062</v>
      </c>
      <c r="D1476" t="s">
        <v>4849</v>
      </c>
      <c r="E1476" t="s">
        <v>4866</v>
      </c>
      <c r="F1476">
        <v>54</v>
      </c>
      <c r="G1476" t="s">
        <v>4883</v>
      </c>
      <c r="H1476" t="s">
        <v>4892</v>
      </c>
      <c r="I1476" t="s">
        <v>4898</v>
      </c>
      <c r="J1476" t="s">
        <v>4909</v>
      </c>
      <c r="K1476" t="s">
        <v>4924</v>
      </c>
      <c r="L1476" t="s">
        <v>4934</v>
      </c>
      <c r="M1476" t="s">
        <v>4942</v>
      </c>
      <c r="N1476" s="11">
        <v>10937.49</v>
      </c>
      <c r="O1476" t="s">
        <v>4949</v>
      </c>
      <c r="P1476" t="s">
        <v>4951</v>
      </c>
      <c r="R1476">
        <v>7</v>
      </c>
      <c r="S1476" t="str">
        <f t="shared" si="69"/>
        <v>Middle-Aged</v>
      </c>
      <c r="T1476" t="str">
        <f t="shared" si="70"/>
        <v>High</v>
      </c>
      <c r="U1476" t="str">
        <f t="shared" si="71"/>
        <v>Short Days</v>
      </c>
    </row>
    <row r="1477" spans="1:21">
      <c r="A1477" t="s">
        <v>1493</v>
      </c>
      <c r="B1477" s="5">
        <v>45409</v>
      </c>
      <c r="C1477" t="s">
        <v>3415</v>
      </c>
      <c r="D1477" t="s">
        <v>4784</v>
      </c>
      <c r="E1477" t="s">
        <v>4867</v>
      </c>
      <c r="F1477">
        <v>30</v>
      </c>
      <c r="G1477" t="s">
        <v>4880</v>
      </c>
      <c r="H1477" t="s">
        <v>4890</v>
      </c>
      <c r="I1477" t="s">
        <v>4896</v>
      </c>
      <c r="J1477" t="s">
        <v>4906</v>
      </c>
      <c r="K1477" t="s">
        <v>4931</v>
      </c>
      <c r="L1477" t="s">
        <v>4941</v>
      </c>
      <c r="M1477" t="s">
        <v>4944</v>
      </c>
      <c r="N1477" s="11">
        <v>5074.76</v>
      </c>
      <c r="O1477" t="s">
        <v>4946</v>
      </c>
      <c r="P1477" t="s">
        <v>4951</v>
      </c>
      <c r="R1477">
        <v>7</v>
      </c>
      <c r="S1477" t="str">
        <f t="shared" si="69"/>
        <v>Adult</v>
      </c>
      <c r="T1477" t="str">
        <f t="shared" si="70"/>
        <v>Medium</v>
      </c>
      <c r="U1477" t="str">
        <f t="shared" si="71"/>
        <v>Short Days</v>
      </c>
    </row>
    <row r="1478" spans="1:21">
      <c r="A1478" t="s">
        <v>1494</v>
      </c>
      <c r="B1478" s="5">
        <v>45582</v>
      </c>
      <c r="C1478" t="s">
        <v>4063</v>
      </c>
      <c r="D1478" t="s">
        <v>4696</v>
      </c>
      <c r="E1478" t="s">
        <v>4867</v>
      </c>
      <c r="F1478">
        <v>32</v>
      </c>
      <c r="G1478" t="s">
        <v>4870</v>
      </c>
      <c r="H1478" t="s">
        <v>4885</v>
      </c>
      <c r="I1478" t="s">
        <v>4894</v>
      </c>
      <c r="J1478" t="s">
        <v>4910</v>
      </c>
      <c r="K1478" t="s">
        <v>4925</v>
      </c>
      <c r="L1478" t="s">
        <v>4938</v>
      </c>
      <c r="M1478" t="s">
        <v>4942</v>
      </c>
      <c r="N1478" s="11">
        <v>1465.53</v>
      </c>
      <c r="O1478" t="s">
        <v>15</v>
      </c>
      <c r="P1478" t="s">
        <v>4952</v>
      </c>
      <c r="R1478">
        <v>14</v>
      </c>
      <c r="S1478" t="str">
        <f t="shared" si="69"/>
        <v>Adult</v>
      </c>
      <c r="T1478" t="str">
        <f t="shared" si="70"/>
        <v>Low</v>
      </c>
      <c r="U1478" t="str">
        <f t="shared" si="71"/>
        <v>Short Days</v>
      </c>
    </row>
    <row r="1479" spans="1:21">
      <c r="A1479" t="s">
        <v>1495</v>
      </c>
      <c r="B1479" s="5">
        <v>45740</v>
      </c>
      <c r="C1479" t="s">
        <v>3535</v>
      </c>
      <c r="D1479" t="s">
        <v>4763</v>
      </c>
      <c r="E1479" t="s">
        <v>4867</v>
      </c>
      <c r="F1479">
        <v>32</v>
      </c>
      <c r="G1479" t="s">
        <v>4869</v>
      </c>
      <c r="H1479" t="s">
        <v>4884</v>
      </c>
      <c r="I1479" t="s">
        <v>4898</v>
      </c>
      <c r="J1479" t="s">
        <v>4923</v>
      </c>
      <c r="K1479" t="s">
        <v>4933</v>
      </c>
      <c r="L1479" t="s">
        <v>4941</v>
      </c>
      <c r="M1479" t="s">
        <v>4942</v>
      </c>
      <c r="N1479" s="11">
        <v>2260.44</v>
      </c>
      <c r="O1479" t="s">
        <v>4946</v>
      </c>
      <c r="P1479" t="s">
        <v>4951</v>
      </c>
      <c r="R1479">
        <v>14</v>
      </c>
      <c r="S1479" t="str">
        <f t="shared" si="69"/>
        <v>Adult</v>
      </c>
      <c r="T1479" t="str">
        <f t="shared" si="70"/>
        <v>Low</v>
      </c>
      <c r="U1479" t="str">
        <f t="shared" si="71"/>
        <v>Short Days</v>
      </c>
    </row>
    <row r="1480" spans="1:21">
      <c r="A1480" t="s">
        <v>1496</v>
      </c>
      <c r="B1480" s="5">
        <v>45633</v>
      </c>
      <c r="C1480" t="s">
        <v>3392</v>
      </c>
      <c r="D1480" t="s">
        <v>4625</v>
      </c>
      <c r="E1480" t="s">
        <v>4866</v>
      </c>
      <c r="F1480">
        <v>48</v>
      </c>
      <c r="G1480" t="s">
        <v>4881</v>
      </c>
      <c r="H1480" t="s">
        <v>4881</v>
      </c>
      <c r="I1480" t="s">
        <v>4901</v>
      </c>
      <c r="J1480" t="s">
        <v>4914</v>
      </c>
      <c r="K1480" t="s">
        <v>4931</v>
      </c>
      <c r="L1480" t="s">
        <v>4940</v>
      </c>
      <c r="M1480" t="s">
        <v>4944</v>
      </c>
      <c r="N1480" s="11">
        <v>10402.26</v>
      </c>
      <c r="O1480" t="s">
        <v>15</v>
      </c>
      <c r="P1480" t="s">
        <v>4952</v>
      </c>
      <c r="R1480">
        <v>30</v>
      </c>
      <c r="S1480" t="str">
        <f t="shared" si="69"/>
        <v>Middle-Aged</v>
      </c>
      <c r="T1480" t="str">
        <f t="shared" si="70"/>
        <v>High</v>
      </c>
      <c r="U1480" t="str">
        <f t="shared" si="71"/>
        <v>Short Days</v>
      </c>
    </row>
    <row r="1481" spans="1:21">
      <c r="A1481" t="s">
        <v>1497</v>
      </c>
      <c r="B1481" s="5">
        <v>45691</v>
      </c>
      <c r="C1481" t="s">
        <v>4064</v>
      </c>
      <c r="D1481" t="s">
        <v>4667</v>
      </c>
      <c r="E1481" t="s">
        <v>4866</v>
      </c>
      <c r="F1481">
        <v>56</v>
      </c>
      <c r="G1481" t="s">
        <v>4879</v>
      </c>
      <c r="H1481" t="s">
        <v>4888</v>
      </c>
      <c r="I1481" t="s">
        <v>4899</v>
      </c>
      <c r="J1481" t="s">
        <v>4911</v>
      </c>
      <c r="K1481" t="s">
        <v>4931</v>
      </c>
      <c r="L1481" t="s">
        <v>4941</v>
      </c>
      <c r="M1481" t="s">
        <v>4942</v>
      </c>
      <c r="N1481" s="11">
        <v>15911.26</v>
      </c>
      <c r="O1481" t="s">
        <v>4947</v>
      </c>
      <c r="P1481" t="s">
        <v>4951</v>
      </c>
      <c r="R1481">
        <v>30</v>
      </c>
      <c r="S1481" t="str">
        <f t="shared" si="69"/>
        <v>Middle-Aged</v>
      </c>
      <c r="T1481" t="str">
        <f t="shared" si="70"/>
        <v>High</v>
      </c>
      <c r="U1481" t="str">
        <f t="shared" si="71"/>
        <v>Short Days</v>
      </c>
    </row>
    <row r="1482" spans="1:21">
      <c r="A1482" t="s">
        <v>1498</v>
      </c>
      <c r="B1482" s="5">
        <v>45488</v>
      </c>
      <c r="C1482" t="s">
        <v>3022</v>
      </c>
      <c r="D1482" t="s">
        <v>4718</v>
      </c>
      <c r="E1482" t="s">
        <v>4866</v>
      </c>
      <c r="F1482">
        <v>28</v>
      </c>
      <c r="G1482" t="s">
        <v>4882</v>
      </c>
      <c r="H1482" t="s">
        <v>4891</v>
      </c>
      <c r="I1482" t="s">
        <v>4899</v>
      </c>
      <c r="J1482" t="s">
        <v>4912</v>
      </c>
      <c r="K1482" t="s">
        <v>4925</v>
      </c>
      <c r="L1482" t="s">
        <v>4935</v>
      </c>
      <c r="M1482" t="s">
        <v>4944</v>
      </c>
      <c r="N1482" s="11">
        <v>8188.74</v>
      </c>
      <c r="O1482" t="s">
        <v>4947</v>
      </c>
      <c r="P1482" t="s">
        <v>4951</v>
      </c>
      <c r="R1482">
        <v>14</v>
      </c>
      <c r="S1482" t="str">
        <f t="shared" si="69"/>
        <v>Adult</v>
      </c>
      <c r="T1482" t="str">
        <f t="shared" si="70"/>
        <v>Medium</v>
      </c>
      <c r="U1482" t="str">
        <f t="shared" si="71"/>
        <v>Short Days</v>
      </c>
    </row>
    <row r="1483" spans="1:21">
      <c r="A1483" t="s">
        <v>1499</v>
      </c>
      <c r="B1483" s="5">
        <v>45757</v>
      </c>
      <c r="C1483" t="s">
        <v>3191</v>
      </c>
      <c r="D1483" t="s">
        <v>4774</v>
      </c>
      <c r="E1483" t="s">
        <v>4867</v>
      </c>
      <c r="F1483">
        <v>2</v>
      </c>
      <c r="G1483" t="s">
        <v>4881</v>
      </c>
      <c r="H1483" t="s">
        <v>4881</v>
      </c>
      <c r="I1483" t="s">
        <v>4894</v>
      </c>
      <c r="J1483" t="s">
        <v>4910</v>
      </c>
      <c r="K1483" t="s">
        <v>4932</v>
      </c>
      <c r="L1483" t="s">
        <v>4936</v>
      </c>
      <c r="M1483" t="s">
        <v>4942</v>
      </c>
      <c r="N1483" s="11">
        <v>1285.46</v>
      </c>
      <c r="O1483" t="s">
        <v>15</v>
      </c>
      <c r="P1483" t="s">
        <v>4952</v>
      </c>
      <c r="R1483">
        <v>14</v>
      </c>
      <c r="S1483" t="str">
        <f t="shared" si="69"/>
        <v>Child</v>
      </c>
      <c r="T1483" t="str">
        <f t="shared" si="70"/>
        <v>Low</v>
      </c>
      <c r="U1483" t="str">
        <f t="shared" si="71"/>
        <v>Short Days</v>
      </c>
    </row>
    <row r="1484" spans="1:21">
      <c r="A1484" t="s">
        <v>1500</v>
      </c>
      <c r="B1484" s="5">
        <v>45838</v>
      </c>
      <c r="C1484" t="s">
        <v>4065</v>
      </c>
      <c r="D1484" t="s">
        <v>4815</v>
      </c>
      <c r="E1484" t="s">
        <v>4866</v>
      </c>
      <c r="F1484">
        <v>18</v>
      </c>
      <c r="G1484" t="s">
        <v>4882</v>
      </c>
      <c r="H1484" t="s">
        <v>4891</v>
      </c>
      <c r="I1484" t="s">
        <v>4902</v>
      </c>
      <c r="J1484" t="s">
        <v>4916</v>
      </c>
      <c r="K1484" t="s">
        <v>4933</v>
      </c>
      <c r="L1484" t="s">
        <v>4934</v>
      </c>
      <c r="M1484" t="s">
        <v>4944</v>
      </c>
      <c r="N1484" s="11">
        <v>5900.52</v>
      </c>
      <c r="O1484" t="s">
        <v>4949</v>
      </c>
      <c r="P1484" t="s">
        <v>4951</v>
      </c>
      <c r="R1484">
        <v>14</v>
      </c>
      <c r="S1484" t="str">
        <f t="shared" si="69"/>
        <v>Adult</v>
      </c>
      <c r="T1484" t="str">
        <f t="shared" si="70"/>
        <v>Medium</v>
      </c>
      <c r="U1484" t="str">
        <f t="shared" si="71"/>
        <v>Short Days</v>
      </c>
    </row>
    <row r="1485" spans="1:21">
      <c r="A1485" t="s">
        <v>1501</v>
      </c>
      <c r="B1485" s="5">
        <v>45410</v>
      </c>
      <c r="C1485" t="s">
        <v>3789</v>
      </c>
      <c r="D1485" t="s">
        <v>4745</v>
      </c>
      <c r="E1485" t="s">
        <v>4867</v>
      </c>
      <c r="F1485">
        <v>45</v>
      </c>
      <c r="G1485" t="s">
        <v>4879</v>
      </c>
      <c r="H1485" t="s">
        <v>4888</v>
      </c>
      <c r="I1485" t="s">
        <v>4898</v>
      </c>
      <c r="J1485" t="s">
        <v>4923</v>
      </c>
      <c r="K1485" t="s">
        <v>4931</v>
      </c>
      <c r="L1485" t="s">
        <v>4939</v>
      </c>
      <c r="M1485" t="s">
        <v>4942</v>
      </c>
      <c r="N1485" s="11">
        <v>5712.13</v>
      </c>
      <c r="O1485" t="s">
        <v>4946</v>
      </c>
      <c r="P1485" t="s">
        <v>4951</v>
      </c>
      <c r="R1485">
        <v>30</v>
      </c>
      <c r="S1485" t="str">
        <f t="shared" si="69"/>
        <v>Middle-Aged</v>
      </c>
      <c r="T1485" t="str">
        <f t="shared" si="70"/>
        <v>Medium</v>
      </c>
      <c r="U1485" t="str">
        <f t="shared" si="71"/>
        <v>Short Days</v>
      </c>
    </row>
    <row r="1486" spans="1:21">
      <c r="A1486" t="s">
        <v>1502</v>
      </c>
      <c r="B1486" s="5">
        <v>45345</v>
      </c>
      <c r="C1486" t="s">
        <v>3740</v>
      </c>
      <c r="D1486" t="s">
        <v>4745</v>
      </c>
      <c r="E1486" t="s">
        <v>4867</v>
      </c>
      <c r="F1486">
        <v>52</v>
      </c>
      <c r="G1486" t="s">
        <v>4873</v>
      </c>
      <c r="H1486" t="s">
        <v>4888</v>
      </c>
      <c r="I1486" t="s">
        <v>4902</v>
      </c>
      <c r="J1486" t="s">
        <v>4920</v>
      </c>
      <c r="K1486" t="s">
        <v>4924</v>
      </c>
      <c r="L1486" t="s">
        <v>4940</v>
      </c>
      <c r="M1486" t="s">
        <v>4942</v>
      </c>
      <c r="N1486" s="11">
        <v>4136.08</v>
      </c>
      <c r="O1486" t="s">
        <v>4947</v>
      </c>
      <c r="P1486" t="s">
        <v>4951</v>
      </c>
      <c r="S1486" t="str">
        <f t="shared" si="69"/>
        <v>Middle-Aged</v>
      </c>
      <c r="T1486" t="str">
        <f t="shared" si="70"/>
        <v>Low</v>
      </c>
      <c r="U1486" t="str">
        <f t="shared" si="71"/>
        <v>Short Days</v>
      </c>
    </row>
    <row r="1487" spans="1:21">
      <c r="A1487" t="s">
        <v>1503</v>
      </c>
      <c r="B1487" s="5">
        <v>45383</v>
      </c>
      <c r="C1487" t="s">
        <v>3784</v>
      </c>
      <c r="D1487" t="s">
        <v>4654</v>
      </c>
      <c r="E1487" t="s">
        <v>4867</v>
      </c>
      <c r="F1487">
        <v>41</v>
      </c>
      <c r="G1487" t="s">
        <v>4879</v>
      </c>
      <c r="H1487" t="s">
        <v>4888</v>
      </c>
      <c r="I1487" t="s">
        <v>4894</v>
      </c>
      <c r="J1487" t="s">
        <v>4904</v>
      </c>
      <c r="K1487" t="s">
        <v>4925</v>
      </c>
      <c r="L1487" t="s">
        <v>4936</v>
      </c>
      <c r="M1487" t="s">
        <v>4942</v>
      </c>
      <c r="N1487" s="11">
        <v>13371.52</v>
      </c>
      <c r="O1487" t="s">
        <v>4946</v>
      </c>
      <c r="P1487" t="s">
        <v>4951</v>
      </c>
      <c r="R1487">
        <v>30</v>
      </c>
      <c r="S1487" t="str">
        <f t="shared" si="69"/>
        <v>Middle-Aged</v>
      </c>
      <c r="T1487" t="str">
        <f t="shared" si="70"/>
        <v>High</v>
      </c>
      <c r="U1487" t="str">
        <f t="shared" si="71"/>
        <v>Short Days</v>
      </c>
    </row>
    <row r="1488" spans="1:21">
      <c r="A1488" t="s">
        <v>1504</v>
      </c>
      <c r="B1488" s="5">
        <v>45726</v>
      </c>
      <c r="C1488" t="s">
        <v>4066</v>
      </c>
      <c r="D1488" t="s">
        <v>4729</v>
      </c>
      <c r="E1488" t="s">
        <v>4867</v>
      </c>
      <c r="F1488">
        <v>46</v>
      </c>
      <c r="G1488" t="s">
        <v>4873</v>
      </c>
      <c r="H1488" t="s">
        <v>4888</v>
      </c>
      <c r="I1488" t="s">
        <v>4902</v>
      </c>
      <c r="J1488" t="s">
        <v>4916</v>
      </c>
      <c r="K1488" t="s">
        <v>4928</v>
      </c>
      <c r="L1488" t="s">
        <v>4938</v>
      </c>
      <c r="M1488" t="s">
        <v>4942</v>
      </c>
      <c r="N1488" s="11">
        <v>791.61</v>
      </c>
      <c r="O1488" t="s">
        <v>4946</v>
      </c>
      <c r="P1488" t="s">
        <v>4951</v>
      </c>
      <c r="S1488" t="str">
        <f t="shared" si="69"/>
        <v>Middle-Aged</v>
      </c>
      <c r="T1488" t="str">
        <f t="shared" si="70"/>
        <v>Low</v>
      </c>
      <c r="U1488" t="str">
        <f t="shared" si="71"/>
        <v>Short Days</v>
      </c>
    </row>
    <row r="1489" spans="1:21">
      <c r="A1489" t="s">
        <v>1505</v>
      </c>
      <c r="B1489" s="5">
        <v>45488</v>
      </c>
      <c r="C1489" t="s">
        <v>3426</v>
      </c>
      <c r="D1489" t="s">
        <v>4694</v>
      </c>
      <c r="E1489" t="s">
        <v>4866</v>
      </c>
      <c r="F1489">
        <v>46</v>
      </c>
      <c r="G1489" t="s">
        <v>4871</v>
      </c>
      <c r="H1489" t="s">
        <v>4886</v>
      </c>
      <c r="I1489" t="s">
        <v>4893</v>
      </c>
      <c r="J1489" t="s">
        <v>4917</v>
      </c>
      <c r="K1489" t="s">
        <v>4926</v>
      </c>
      <c r="L1489" t="s">
        <v>4941</v>
      </c>
      <c r="M1489" t="s">
        <v>4944</v>
      </c>
      <c r="N1489" s="11">
        <v>5950.1</v>
      </c>
      <c r="O1489" t="s">
        <v>4946</v>
      </c>
      <c r="P1489" t="s">
        <v>4951</v>
      </c>
      <c r="S1489" t="str">
        <f t="shared" si="69"/>
        <v>Middle-Aged</v>
      </c>
      <c r="T1489" t="str">
        <f t="shared" si="70"/>
        <v>Medium</v>
      </c>
      <c r="U1489" t="str">
        <f t="shared" si="71"/>
        <v>Short Days</v>
      </c>
    </row>
    <row r="1490" spans="1:21">
      <c r="A1490" t="s">
        <v>1506</v>
      </c>
      <c r="B1490" s="5">
        <v>45823</v>
      </c>
      <c r="C1490" t="s">
        <v>3515</v>
      </c>
      <c r="D1490" t="s">
        <v>4779</v>
      </c>
      <c r="E1490" t="s">
        <v>4866</v>
      </c>
      <c r="F1490">
        <v>37</v>
      </c>
      <c r="G1490" t="s">
        <v>4880</v>
      </c>
      <c r="H1490" t="s">
        <v>4890</v>
      </c>
      <c r="I1490" t="s">
        <v>4900</v>
      </c>
      <c r="J1490" t="s">
        <v>4913</v>
      </c>
      <c r="K1490" t="s">
        <v>4926</v>
      </c>
      <c r="L1490" t="s">
        <v>4935</v>
      </c>
      <c r="M1490" t="s">
        <v>4942</v>
      </c>
      <c r="N1490" s="11">
        <v>2758.99</v>
      </c>
      <c r="O1490" t="s">
        <v>4947</v>
      </c>
      <c r="P1490" t="s">
        <v>4951</v>
      </c>
      <c r="R1490">
        <v>7</v>
      </c>
      <c r="S1490" t="str">
        <f t="shared" si="69"/>
        <v>Adult</v>
      </c>
      <c r="T1490" t="str">
        <f t="shared" si="70"/>
        <v>Low</v>
      </c>
      <c r="U1490" t="str">
        <f t="shared" si="71"/>
        <v>Short Days</v>
      </c>
    </row>
    <row r="1491" spans="1:21">
      <c r="A1491" t="s">
        <v>1507</v>
      </c>
      <c r="B1491" s="5">
        <v>45516</v>
      </c>
      <c r="C1491" t="s">
        <v>3914</v>
      </c>
      <c r="D1491" t="s">
        <v>4705</v>
      </c>
      <c r="E1491" t="s">
        <v>4866</v>
      </c>
      <c r="F1491">
        <v>36</v>
      </c>
      <c r="G1491" t="s">
        <v>4871</v>
      </c>
      <c r="H1491" t="s">
        <v>4886</v>
      </c>
      <c r="I1491" t="s">
        <v>4902</v>
      </c>
      <c r="J1491" t="s">
        <v>4916</v>
      </c>
      <c r="K1491" t="s">
        <v>4933</v>
      </c>
      <c r="L1491" t="s">
        <v>4937</v>
      </c>
      <c r="M1491" t="s">
        <v>4944</v>
      </c>
      <c r="N1491" s="11">
        <v>5000.41</v>
      </c>
      <c r="O1491" t="s">
        <v>4950</v>
      </c>
      <c r="P1491" t="s">
        <v>4951</v>
      </c>
      <c r="S1491" t="str">
        <f t="shared" si="69"/>
        <v>Adult</v>
      </c>
      <c r="T1491" t="str">
        <f t="shared" si="70"/>
        <v>Medium</v>
      </c>
      <c r="U1491" t="str">
        <f t="shared" si="71"/>
        <v>Short Days</v>
      </c>
    </row>
    <row r="1492" spans="1:21">
      <c r="A1492" t="s">
        <v>1508</v>
      </c>
      <c r="B1492" s="5">
        <v>45576</v>
      </c>
      <c r="C1492" t="s">
        <v>4067</v>
      </c>
      <c r="D1492" t="s">
        <v>4623</v>
      </c>
      <c r="E1492" t="s">
        <v>4866</v>
      </c>
      <c r="F1492">
        <v>33</v>
      </c>
      <c r="G1492" t="s">
        <v>4877</v>
      </c>
      <c r="H1492" t="s">
        <v>4888</v>
      </c>
      <c r="I1492" t="s">
        <v>4897</v>
      </c>
      <c r="J1492" t="s">
        <v>4907</v>
      </c>
      <c r="K1492" t="s">
        <v>4931</v>
      </c>
      <c r="L1492" t="s">
        <v>4934</v>
      </c>
      <c r="M1492" t="s">
        <v>4942</v>
      </c>
      <c r="N1492" s="11">
        <v>1811.29</v>
      </c>
      <c r="O1492" t="s">
        <v>4946</v>
      </c>
      <c r="P1492" t="s">
        <v>4951</v>
      </c>
      <c r="R1492">
        <v>30</v>
      </c>
      <c r="S1492" t="str">
        <f t="shared" si="69"/>
        <v>Adult</v>
      </c>
      <c r="T1492" t="str">
        <f t="shared" si="70"/>
        <v>Low</v>
      </c>
      <c r="U1492" t="str">
        <f t="shared" si="71"/>
        <v>Short Days</v>
      </c>
    </row>
    <row r="1493" spans="1:21">
      <c r="A1493" t="s">
        <v>1509</v>
      </c>
      <c r="B1493" s="5">
        <v>45322</v>
      </c>
      <c r="C1493" t="s">
        <v>4068</v>
      </c>
      <c r="D1493" t="s">
        <v>4783</v>
      </c>
      <c r="E1493" t="s">
        <v>4867</v>
      </c>
      <c r="F1493">
        <v>17</v>
      </c>
      <c r="G1493" t="s">
        <v>4881</v>
      </c>
      <c r="H1493" t="s">
        <v>4881</v>
      </c>
      <c r="I1493" t="s">
        <v>4895</v>
      </c>
      <c r="J1493" t="s">
        <v>4915</v>
      </c>
      <c r="K1493" t="s">
        <v>4924</v>
      </c>
      <c r="L1493" t="s">
        <v>4939</v>
      </c>
      <c r="M1493" t="s">
        <v>4942</v>
      </c>
      <c r="N1493" s="11">
        <v>2049.08</v>
      </c>
      <c r="O1493" t="s">
        <v>4950</v>
      </c>
      <c r="P1493" t="s">
        <v>4951</v>
      </c>
      <c r="S1493" t="str">
        <f t="shared" si="69"/>
        <v>Child</v>
      </c>
      <c r="T1493" t="str">
        <f t="shared" si="70"/>
        <v>Low</v>
      </c>
      <c r="U1493" t="str">
        <f t="shared" si="71"/>
        <v>Short Days</v>
      </c>
    </row>
    <row r="1494" spans="1:21">
      <c r="A1494" t="s">
        <v>1510</v>
      </c>
      <c r="B1494" s="5">
        <v>45838</v>
      </c>
      <c r="C1494" t="s">
        <v>3828</v>
      </c>
      <c r="D1494" t="s">
        <v>4778</v>
      </c>
      <c r="E1494" t="s">
        <v>4867</v>
      </c>
      <c r="F1494">
        <v>0</v>
      </c>
      <c r="G1494" t="s">
        <v>4883</v>
      </c>
      <c r="H1494" t="s">
        <v>4892</v>
      </c>
      <c r="I1494" t="s">
        <v>4899</v>
      </c>
      <c r="J1494" t="s">
        <v>4912</v>
      </c>
      <c r="K1494" t="s">
        <v>4924</v>
      </c>
      <c r="L1494" t="s">
        <v>4940</v>
      </c>
      <c r="M1494" t="s">
        <v>4944</v>
      </c>
      <c r="N1494" s="11">
        <v>14176.08</v>
      </c>
      <c r="O1494" t="s">
        <v>15</v>
      </c>
      <c r="P1494" t="s">
        <v>4952</v>
      </c>
      <c r="R1494">
        <v>7</v>
      </c>
      <c r="S1494" t="str">
        <f t="shared" si="69"/>
        <v>Child</v>
      </c>
      <c r="T1494" t="str">
        <f t="shared" si="70"/>
        <v>High</v>
      </c>
      <c r="U1494" t="str">
        <f t="shared" si="71"/>
        <v>Short Days</v>
      </c>
    </row>
    <row r="1495" spans="1:21">
      <c r="A1495" t="s">
        <v>1511</v>
      </c>
      <c r="B1495" s="5">
        <v>45906</v>
      </c>
      <c r="C1495" t="s">
        <v>3890</v>
      </c>
      <c r="D1495" t="s">
        <v>4649</v>
      </c>
      <c r="E1495" t="s">
        <v>4867</v>
      </c>
      <c r="F1495">
        <v>49</v>
      </c>
      <c r="G1495" t="s">
        <v>4871</v>
      </c>
      <c r="H1495" t="s">
        <v>4886</v>
      </c>
      <c r="I1495" t="s">
        <v>4896</v>
      </c>
      <c r="J1495" t="s">
        <v>4906</v>
      </c>
      <c r="K1495" t="s">
        <v>4930</v>
      </c>
      <c r="L1495" t="s">
        <v>4940</v>
      </c>
      <c r="M1495" t="s">
        <v>4942</v>
      </c>
      <c r="N1495" s="11">
        <v>5912.82</v>
      </c>
      <c r="O1495" t="s">
        <v>4946</v>
      </c>
      <c r="P1495" t="s">
        <v>4951</v>
      </c>
      <c r="R1495">
        <v>14</v>
      </c>
      <c r="S1495" t="str">
        <f t="shared" si="69"/>
        <v>Middle-Aged</v>
      </c>
      <c r="T1495" t="str">
        <f t="shared" si="70"/>
        <v>Medium</v>
      </c>
      <c r="U1495" t="str">
        <f t="shared" si="71"/>
        <v>Short Days</v>
      </c>
    </row>
    <row r="1496" spans="1:21">
      <c r="A1496" t="s">
        <v>1512</v>
      </c>
      <c r="B1496" s="5">
        <v>45574</v>
      </c>
      <c r="C1496" t="s">
        <v>4069</v>
      </c>
      <c r="D1496" t="s">
        <v>4781</v>
      </c>
      <c r="E1496" t="s">
        <v>4867</v>
      </c>
      <c r="F1496">
        <v>63</v>
      </c>
      <c r="G1496" t="s">
        <v>4870</v>
      </c>
      <c r="H1496" t="s">
        <v>4885</v>
      </c>
      <c r="I1496" t="s">
        <v>4902</v>
      </c>
      <c r="J1496" t="s">
        <v>4920</v>
      </c>
      <c r="K1496" t="s">
        <v>4930</v>
      </c>
      <c r="L1496" t="s">
        <v>4941</v>
      </c>
      <c r="M1496" t="s">
        <v>4942</v>
      </c>
      <c r="N1496" s="11">
        <v>5331.19</v>
      </c>
      <c r="O1496" t="s">
        <v>15</v>
      </c>
      <c r="P1496" t="s">
        <v>4952</v>
      </c>
      <c r="R1496">
        <v>14</v>
      </c>
      <c r="S1496" t="str">
        <f t="shared" si="69"/>
        <v>Senior</v>
      </c>
      <c r="T1496" t="str">
        <f t="shared" si="70"/>
        <v>Medium</v>
      </c>
      <c r="U1496" t="str">
        <f t="shared" si="71"/>
        <v>Short Days</v>
      </c>
    </row>
    <row r="1497" spans="1:21">
      <c r="A1497" t="s">
        <v>1513</v>
      </c>
      <c r="B1497" s="5">
        <v>45343</v>
      </c>
      <c r="C1497" t="s">
        <v>4070</v>
      </c>
      <c r="D1497" t="s">
        <v>4684</v>
      </c>
      <c r="E1497" t="s">
        <v>4867</v>
      </c>
      <c r="F1497">
        <v>33</v>
      </c>
      <c r="G1497" t="s">
        <v>4872</v>
      </c>
      <c r="H1497" t="s">
        <v>4887</v>
      </c>
      <c r="I1497" t="s">
        <v>4901</v>
      </c>
      <c r="J1497" t="s">
        <v>4914</v>
      </c>
      <c r="K1497" t="s">
        <v>4930</v>
      </c>
      <c r="L1497" t="s">
        <v>4934</v>
      </c>
      <c r="M1497" t="s">
        <v>4942</v>
      </c>
      <c r="N1497" s="11">
        <v>8124.67</v>
      </c>
      <c r="O1497" t="s">
        <v>4948</v>
      </c>
      <c r="P1497" t="s">
        <v>4951</v>
      </c>
      <c r="S1497" t="str">
        <f t="shared" si="69"/>
        <v>Adult</v>
      </c>
      <c r="T1497" t="str">
        <f t="shared" si="70"/>
        <v>Medium</v>
      </c>
      <c r="U1497" t="str">
        <f t="shared" si="71"/>
        <v>Short Days</v>
      </c>
    </row>
    <row r="1498" spans="1:21">
      <c r="A1498" t="s">
        <v>1514</v>
      </c>
      <c r="B1498" s="5">
        <v>45858</v>
      </c>
      <c r="C1498" t="s">
        <v>3769</v>
      </c>
      <c r="D1498" t="s">
        <v>4734</v>
      </c>
      <c r="E1498" t="s">
        <v>4866</v>
      </c>
      <c r="F1498">
        <v>38</v>
      </c>
      <c r="G1498" t="s">
        <v>4874</v>
      </c>
      <c r="H1498" t="s">
        <v>4886</v>
      </c>
      <c r="I1498" t="s">
        <v>4901</v>
      </c>
      <c r="J1498" t="s">
        <v>4921</v>
      </c>
      <c r="K1498" t="s">
        <v>4924</v>
      </c>
      <c r="L1498" t="s">
        <v>4934</v>
      </c>
      <c r="M1498" t="s">
        <v>4942</v>
      </c>
      <c r="N1498" s="11">
        <v>8486.75</v>
      </c>
      <c r="O1498" t="s">
        <v>4946</v>
      </c>
      <c r="P1498" t="s">
        <v>4951</v>
      </c>
      <c r="S1498" t="str">
        <f t="shared" si="69"/>
        <v>Adult</v>
      </c>
      <c r="T1498" t="str">
        <f t="shared" si="70"/>
        <v>Medium</v>
      </c>
      <c r="U1498" t="str">
        <f t="shared" si="71"/>
        <v>Short Days</v>
      </c>
    </row>
    <row r="1499" spans="1:21">
      <c r="A1499" t="s">
        <v>1515</v>
      </c>
      <c r="B1499" s="5">
        <v>45874</v>
      </c>
      <c r="C1499" t="s">
        <v>4071</v>
      </c>
      <c r="D1499" t="s">
        <v>4610</v>
      </c>
      <c r="E1499" t="s">
        <v>4867</v>
      </c>
      <c r="F1499">
        <v>48</v>
      </c>
      <c r="G1499" t="s">
        <v>4876</v>
      </c>
      <c r="H1499" t="s">
        <v>4888</v>
      </c>
      <c r="I1499" t="s">
        <v>4901</v>
      </c>
      <c r="J1499" t="s">
        <v>4921</v>
      </c>
      <c r="K1499" t="s">
        <v>4924</v>
      </c>
      <c r="L1499" t="s">
        <v>4937</v>
      </c>
      <c r="M1499" t="s">
        <v>4945</v>
      </c>
      <c r="N1499" s="11">
        <v>9595.9699999999993</v>
      </c>
      <c r="O1499" t="s">
        <v>15</v>
      </c>
      <c r="P1499" t="s">
        <v>4952</v>
      </c>
      <c r="Q1499">
        <v>4</v>
      </c>
      <c r="R1499">
        <v>30</v>
      </c>
      <c r="S1499" t="str">
        <f t="shared" si="69"/>
        <v>Middle-Aged</v>
      </c>
      <c r="T1499" t="str">
        <f t="shared" si="70"/>
        <v>Medium</v>
      </c>
      <c r="U1499" t="str">
        <f t="shared" si="71"/>
        <v>Short Days</v>
      </c>
    </row>
    <row r="1500" spans="1:21">
      <c r="A1500" t="s">
        <v>1516</v>
      </c>
      <c r="B1500" s="5">
        <v>45841</v>
      </c>
      <c r="C1500" t="s">
        <v>4072</v>
      </c>
      <c r="D1500" t="s">
        <v>4817</v>
      </c>
      <c r="E1500" t="s">
        <v>4866</v>
      </c>
      <c r="F1500">
        <v>83</v>
      </c>
      <c r="G1500" t="s">
        <v>4877</v>
      </c>
      <c r="H1500" t="s">
        <v>4888</v>
      </c>
      <c r="I1500" t="s">
        <v>4902</v>
      </c>
      <c r="J1500" t="s">
        <v>4916</v>
      </c>
      <c r="K1500" t="s">
        <v>4925</v>
      </c>
      <c r="L1500" t="s">
        <v>4934</v>
      </c>
      <c r="M1500" t="s">
        <v>4942</v>
      </c>
      <c r="N1500" s="11">
        <v>493.21</v>
      </c>
      <c r="O1500" t="s">
        <v>4946</v>
      </c>
      <c r="P1500" t="s">
        <v>4951</v>
      </c>
      <c r="R1500">
        <v>90</v>
      </c>
      <c r="S1500" t="str">
        <f t="shared" si="69"/>
        <v>Senior</v>
      </c>
      <c r="T1500" t="str">
        <f t="shared" si="70"/>
        <v>Low</v>
      </c>
      <c r="U1500" t="str">
        <f t="shared" si="71"/>
        <v>Short Days</v>
      </c>
    </row>
    <row r="1501" spans="1:21">
      <c r="A1501" t="s">
        <v>1517</v>
      </c>
      <c r="B1501" s="5">
        <v>45672</v>
      </c>
      <c r="C1501" t="s">
        <v>3209</v>
      </c>
      <c r="D1501" t="s">
        <v>4730</v>
      </c>
      <c r="E1501" t="s">
        <v>4866</v>
      </c>
      <c r="F1501">
        <v>50</v>
      </c>
      <c r="G1501" t="s">
        <v>4875</v>
      </c>
      <c r="H1501" t="s">
        <v>4889</v>
      </c>
      <c r="I1501" t="s">
        <v>4896</v>
      </c>
      <c r="J1501" t="s">
        <v>4908</v>
      </c>
      <c r="K1501" t="s">
        <v>4924</v>
      </c>
      <c r="L1501" t="s">
        <v>4938</v>
      </c>
      <c r="M1501" t="s">
        <v>4942</v>
      </c>
      <c r="N1501" s="11">
        <v>4549.6499999999996</v>
      </c>
      <c r="O1501" t="s">
        <v>4949</v>
      </c>
      <c r="P1501" t="s">
        <v>4951</v>
      </c>
      <c r="R1501">
        <v>30</v>
      </c>
      <c r="S1501" t="str">
        <f t="shared" si="69"/>
        <v>Middle-Aged</v>
      </c>
      <c r="T1501" t="str">
        <f t="shared" si="70"/>
        <v>Low</v>
      </c>
      <c r="U1501" t="str">
        <f t="shared" si="71"/>
        <v>Short Days</v>
      </c>
    </row>
    <row r="1502" spans="1:21">
      <c r="A1502" t="s">
        <v>1518</v>
      </c>
      <c r="B1502" s="5">
        <v>45685</v>
      </c>
      <c r="C1502" t="s">
        <v>3847</v>
      </c>
      <c r="D1502" t="s">
        <v>4657</v>
      </c>
      <c r="E1502" t="s">
        <v>4867</v>
      </c>
      <c r="F1502">
        <v>86</v>
      </c>
      <c r="G1502" t="s">
        <v>4871</v>
      </c>
      <c r="H1502" t="s">
        <v>4886</v>
      </c>
      <c r="I1502" t="s">
        <v>4894</v>
      </c>
      <c r="J1502" t="s">
        <v>4904</v>
      </c>
      <c r="K1502" t="s">
        <v>4927</v>
      </c>
      <c r="L1502" t="s">
        <v>4938</v>
      </c>
      <c r="M1502" t="s">
        <v>4942</v>
      </c>
      <c r="N1502" s="11">
        <v>22310.28</v>
      </c>
      <c r="O1502" t="s">
        <v>4949</v>
      </c>
      <c r="P1502" t="s">
        <v>4951</v>
      </c>
      <c r="R1502">
        <v>14</v>
      </c>
      <c r="S1502" t="str">
        <f t="shared" si="69"/>
        <v>Senior</v>
      </c>
      <c r="T1502" t="str">
        <f t="shared" si="70"/>
        <v>High</v>
      </c>
      <c r="U1502" t="str">
        <f t="shared" si="71"/>
        <v>Short Days</v>
      </c>
    </row>
    <row r="1503" spans="1:21">
      <c r="A1503" t="s">
        <v>1519</v>
      </c>
      <c r="B1503" s="5">
        <v>45561</v>
      </c>
      <c r="C1503" t="s">
        <v>4073</v>
      </c>
      <c r="D1503" t="s">
        <v>4824</v>
      </c>
      <c r="E1503" t="s">
        <v>4867</v>
      </c>
      <c r="F1503">
        <v>41</v>
      </c>
      <c r="G1503" t="s">
        <v>4881</v>
      </c>
      <c r="H1503" t="s">
        <v>4881</v>
      </c>
      <c r="I1503" t="s">
        <v>4894</v>
      </c>
      <c r="J1503" t="s">
        <v>4910</v>
      </c>
      <c r="K1503" t="s">
        <v>4932</v>
      </c>
      <c r="L1503" t="s">
        <v>4937</v>
      </c>
      <c r="M1503" t="s">
        <v>4944</v>
      </c>
      <c r="N1503" s="11">
        <v>8372.4699999999993</v>
      </c>
      <c r="O1503" t="s">
        <v>4948</v>
      </c>
      <c r="P1503" t="s">
        <v>4951</v>
      </c>
      <c r="S1503" t="str">
        <f t="shared" si="69"/>
        <v>Middle-Aged</v>
      </c>
      <c r="T1503" t="str">
        <f t="shared" si="70"/>
        <v>Medium</v>
      </c>
      <c r="U1503" t="str">
        <f t="shared" si="71"/>
        <v>Short Days</v>
      </c>
    </row>
    <row r="1504" spans="1:21">
      <c r="A1504" t="s">
        <v>1520</v>
      </c>
      <c r="B1504" s="5">
        <v>45835</v>
      </c>
      <c r="C1504" t="s">
        <v>4074</v>
      </c>
      <c r="D1504" t="s">
        <v>4626</v>
      </c>
      <c r="E1504" t="s">
        <v>4866</v>
      </c>
      <c r="F1504">
        <v>45</v>
      </c>
      <c r="G1504" t="s">
        <v>4872</v>
      </c>
      <c r="H1504" t="s">
        <v>4887</v>
      </c>
      <c r="I1504" t="s">
        <v>4897</v>
      </c>
      <c r="J1504" t="s">
        <v>4907</v>
      </c>
      <c r="K1504" t="s">
        <v>4929</v>
      </c>
      <c r="L1504" t="s">
        <v>4941</v>
      </c>
      <c r="M1504" t="s">
        <v>4942</v>
      </c>
      <c r="N1504" s="11">
        <v>7777.23</v>
      </c>
      <c r="O1504" t="s">
        <v>15</v>
      </c>
      <c r="P1504" t="s">
        <v>4952</v>
      </c>
      <c r="R1504">
        <v>90</v>
      </c>
      <c r="S1504" t="str">
        <f t="shared" si="69"/>
        <v>Middle-Aged</v>
      </c>
      <c r="T1504" t="str">
        <f t="shared" si="70"/>
        <v>Medium</v>
      </c>
      <c r="U1504" t="str">
        <f t="shared" si="71"/>
        <v>Short Days</v>
      </c>
    </row>
    <row r="1505" spans="1:21">
      <c r="A1505" t="s">
        <v>1521</v>
      </c>
      <c r="B1505" s="5">
        <v>45713</v>
      </c>
      <c r="C1505" t="s">
        <v>4075</v>
      </c>
      <c r="D1505" t="s">
        <v>4787</v>
      </c>
      <c r="E1505" t="s">
        <v>4867</v>
      </c>
      <c r="F1505">
        <v>47</v>
      </c>
      <c r="G1505" t="s">
        <v>4880</v>
      </c>
      <c r="H1505" t="s">
        <v>4890</v>
      </c>
      <c r="I1505" t="s">
        <v>4898</v>
      </c>
      <c r="J1505" t="s">
        <v>4909</v>
      </c>
      <c r="K1505" t="s">
        <v>4933</v>
      </c>
      <c r="L1505" t="s">
        <v>4935</v>
      </c>
      <c r="M1505" t="s">
        <v>4945</v>
      </c>
      <c r="N1505" s="11">
        <v>16216.85</v>
      </c>
      <c r="O1505" t="s">
        <v>4949</v>
      </c>
      <c r="P1505" t="s">
        <v>4951</v>
      </c>
      <c r="Q1505">
        <v>7</v>
      </c>
      <c r="R1505">
        <v>90</v>
      </c>
      <c r="S1505" t="str">
        <f t="shared" si="69"/>
        <v>Middle-Aged</v>
      </c>
      <c r="T1505" t="str">
        <f t="shared" si="70"/>
        <v>High</v>
      </c>
      <c r="U1505" t="str">
        <f t="shared" si="71"/>
        <v>Long Days</v>
      </c>
    </row>
    <row r="1506" spans="1:21">
      <c r="A1506" t="s">
        <v>1522</v>
      </c>
      <c r="B1506" s="5">
        <v>45792</v>
      </c>
      <c r="C1506" t="s">
        <v>4076</v>
      </c>
      <c r="D1506" t="s">
        <v>4724</v>
      </c>
      <c r="E1506" t="s">
        <v>4866</v>
      </c>
      <c r="F1506">
        <v>0</v>
      </c>
      <c r="G1506" t="s">
        <v>4875</v>
      </c>
      <c r="H1506" t="s">
        <v>4889</v>
      </c>
      <c r="I1506" t="s">
        <v>4900</v>
      </c>
      <c r="J1506" t="s">
        <v>4919</v>
      </c>
      <c r="K1506" t="s">
        <v>4925</v>
      </c>
      <c r="L1506" t="s">
        <v>4939</v>
      </c>
      <c r="M1506" t="s">
        <v>4944</v>
      </c>
      <c r="N1506" s="11">
        <v>8634.2000000000007</v>
      </c>
      <c r="O1506" t="s">
        <v>4946</v>
      </c>
      <c r="P1506" t="s">
        <v>4951</v>
      </c>
      <c r="R1506">
        <v>7</v>
      </c>
      <c r="S1506" t="str">
        <f t="shared" si="69"/>
        <v>Child</v>
      </c>
      <c r="T1506" t="str">
        <f t="shared" si="70"/>
        <v>Medium</v>
      </c>
      <c r="U1506" t="str">
        <f t="shared" si="71"/>
        <v>Short Days</v>
      </c>
    </row>
    <row r="1507" spans="1:21">
      <c r="A1507" t="s">
        <v>1523</v>
      </c>
      <c r="B1507" s="5">
        <v>45704</v>
      </c>
      <c r="C1507" t="s">
        <v>3324</v>
      </c>
      <c r="D1507" t="s">
        <v>4761</v>
      </c>
      <c r="E1507" t="s">
        <v>4866</v>
      </c>
      <c r="F1507">
        <v>28</v>
      </c>
      <c r="G1507" t="s">
        <v>4873</v>
      </c>
      <c r="H1507" t="s">
        <v>4888</v>
      </c>
      <c r="I1507" t="s">
        <v>4898</v>
      </c>
      <c r="J1507" t="s">
        <v>4923</v>
      </c>
      <c r="K1507" t="s">
        <v>4932</v>
      </c>
      <c r="L1507" t="s">
        <v>4940</v>
      </c>
      <c r="M1507" t="s">
        <v>4942</v>
      </c>
      <c r="N1507" s="11">
        <v>4719.55</v>
      </c>
      <c r="O1507" t="s">
        <v>4950</v>
      </c>
      <c r="P1507" t="s">
        <v>4951</v>
      </c>
      <c r="R1507">
        <v>7</v>
      </c>
      <c r="S1507" t="str">
        <f t="shared" si="69"/>
        <v>Adult</v>
      </c>
      <c r="T1507" t="str">
        <f t="shared" si="70"/>
        <v>Low</v>
      </c>
      <c r="U1507" t="str">
        <f t="shared" si="71"/>
        <v>Short Days</v>
      </c>
    </row>
    <row r="1508" spans="1:21">
      <c r="A1508" t="s">
        <v>1524</v>
      </c>
      <c r="B1508" s="5">
        <v>45609</v>
      </c>
      <c r="C1508" t="s">
        <v>3179</v>
      </c>
      <c r="D1508" t="s">
        <v>4819</v>
      </c>
      <c r="E1508" t="s">
        <v>4867</v>
      </c>
      <c r="F1508">
        <v>46</v>
      </c>
      <c r="G1508" t="s">
        <v>4871</v>
      </c>
      <c r="H1508" t="s">
        <v>4886</v>
      </c>
      <c r="I1508" t="s">
        <v>4894</v>
      </c>
      <c r="J1508" t="s">
        <v>4904</v>
      </c>
      <c r="K1508" t="s">
        <v>4928</v>
      </c>
      <c r="L1508" t="s">
        <v>4938</v>
      </c>
      <c r="M1508" t="s">
        <v>4945</v>
      </c>
      <c r="N1508" s="11">
        <v>6221.13</v>
      </c>
      <c r="O1508" t="s">
        <v>15</v>
      </c>
      <c r="P1508" t="s">
        <v>4952</v>
      </c>
      <c r="Q1508">
        <v>4</v>
      </c>
      <c r="S1508" t="str">
        <f t="shared" si="69"/>
        <v>Middle-Aged</v>
      </c>
      <c r="T1508" t="str">
        <f t="shared" si="70"/>
        <v>Medium</v>
      </c>
      <c r="U1508" t="str">
        <f t="shared" si="71"/>
        <v>Short Days</v>
      </c>
    </row>
    <row r="1509" spans="1:21">
      <c r="A1509" t="s">
        <v>1525</v>
      </c>
      <c r="B1509" s="5">
        <v>45645</v>
      </c>
      <c r="C1509" t="s">
        <v>3941</v>
      </c>
      <c r="D1509" t="s">
        <v>4697</v>
      </c>
      <c r="E1509" t="s">
        <v>4867</v>
      </c>
      <c r="F1509">
        <v>43</v>
      </c>
      <c r="G1509" t="s">
        <v>4870</v>
      </c>
      <c r="H1509" t="s">
        <v>4885</v>
      </c>
      <c r="I1509" t="s">
        <v>4899</v>
      </c>
      <c r="J1509" t="s">
        <v>4912</v>
      </c>
      <c r="K1509" t="s">
        <v>4925</v>
      </c>
      <c r="L1509" t="s">
        <v>4937</v>
      </c>
      <c r="M1509" t="s">
        <v>4943</v>
      </c>
      <c r="N1509" s="11">
        <v>5464.01</v>
      </c>
      <c r="O1509" t="s">
        <v>15</v>
      </c>
      <c r="P1509" t="s">
        <v>4952</v>
      </c>
      <c r="S1509" t="str">
        <f t="shared" si="69"/>
        <v>Middle-Aged</v>
      </c>
      <c r="T1509" t="str">
        <f t="shared" si="70"/>
        <v>Medium</v>
      </c>
      <c r="U1509" t="str">
        <f t="shared" si="71"/>
        <v>Short Days</v>
      </c>
    </row>
    <row r="1510" spans="1:21">
      <c r="A1510" t="s">
        <v>1526</v>
      </c>
      <c r="B1510" s="5">
        <v>45744</v>
      </c>
      <c r="C1510" t="s">
        <v>4077</v>
      </c>
      <c r="D1510" t="s">
        <v>4815</v>
      </c>
      <c r="E1510" t="s">
        <v>4867</v>
      </c>
      <c r="F1510">
        <v>54</v>
      </c>
      <c r="G1510" t="s">
        <v>4869</v>
      </c>
      <c r="H1510" t="s">
        <v>4884</v>
      </c>
      <c r="I1510" t="s">
        <v>4901</v>
      </c>
      <c r="J1510" t="s">
        <v>4921</v>
      </c>
      <c r="K1510" t="s">
        <v>4924</v>
      </c>
      <c r="L1510" t="s">
        <v>4935</v>
      </c>
      <c r="M1510" t="s">
        <v>4943</v>
      </c>
      <c r="N1510" s="11">
        <v>8122.9</v>
      </c>
      <c r="O1510" t="s">
        <v>4949</v>
      </c>
      <c r="P1510" t="s">
        <v>4951</v>
      </c>
      <c r="R1510">
        <v>90</v>
      </c>
      <c r="S1510" t="str">
        <f t="shared" si="69"/>
        <v>Middle-Aged</v>
      </c>
      <c r="T1510" t="str">
        <f t="shared" si="70"/>
        <v>Medium</v>
      </c>
      <c r="U1510" t="str">
        <f t="shared" si="71"/>
        <v>Short Days</v>
      </c>
    </row>
    <row r="1511" spans="1:21">
      <c r="A1511" t="s">
        <v>1527</v>
      </c>
      <c r="B1511" s="5">
        <v>45294</v>
      </c>
      <c r="C1511" t="s">
        <v>4078</v>
      </c>
      <c r="D1511" t="s">
        <v>4667</v>
      </c>
      <c r="E1511" t="s">
        <v>4866</v>
      </c>
      <c r="F1511">
        <v>48</v>
      </c>
      <c r="G1511" t="s">
        <v>4869</v>
      </c>
      <c r="H1511" t="s">
        <v>4884</v>
      </c>
      <c r="I1511" t="s">
        <v>4896</v>
      </c>
      <c r="J1511" t="s">
        <v>4908</v>
      </c>
      <c r="K1511" t="s">
        <v>4925</v>
      </c>
      <c r="L1511" t="s">
        <v>4937</v>
      </c>
      <c r="M1511" t="s">
        <v>4944</v>
      </c>
      <c r="N1511" s="11">
        <v>6699.8</v>
      </c>
      <c r="O1511" t="s">
        <v>4946</v>
      </c>
      <c r="P1511" t="s">
        <v>4951</v>
      </c>
      <c r="R1511">
        <v>14</v>
      </c>
      <c r="S1511" t="str">
        <f t="shared" si="69"/>
        <v>Middle-Aged</v>
      </c>
      <c r="T1511" t="str">
        <f t="shared" si="70"/>
        <v>Medium</v>
      </c>
      <c r="U1511" t="str">
        <f t="shared" si="71"/>
        <v>Short Days</v>
      </c>
    </row>
    <row r="1512" spans="1:21">
      <c r="A1512" t="s">
        <v>1528</v>
      </c>
      <c r="B1512" s="5">
        <v>45808</v>
      </c>
      <c r="C1512" t="s">
        <v>4079</v>
      </c>
      <c r="D1512" t="s">
        <v>4634</v>
      </c>
      <c r="E1512" t="s">
        <v>4867</v>
      </c>
      <c r="F1512">
        <v>20</v>
      </c>
      <c r="G1512" t="s">
        <v>4876</v>
      </c>
      <c r="H1512" t="s">
        <v>4888</v>
      </c>
      <c r="I1512" t="s">
        <v>4901</v>
      </c>
      <c r="J1512" t="s">
        <v>4914</v>
      </c>
      <c r="K1512" t="s">
        <v>4926</v>
      </c>
      <c r="L1512" t="s">
        <v>4935</v>
      </c>
      <c r="M1512" t="s">
        <v>4943</v>
      </c>
      <c r="N1512" s="11">
        <v>5051.79</v>
      </c>
      <c r="O1512" t="s">
        <v>4947</v>
      </c>
      <c r="P1512" t="s">
        <v>4951</v>
      </c>
      <c r="R1512">
        <v>90</v>
      </c>
      <c r="S1512" t="str">
        <f t="shared" si="69"/>
        <v>Adult</v>
      </c>
      <c r="T1512" t="str">
        <f t="shared" si="70"/>
        <v>Medium</v>
      </c>
      <c r="U1512" t="str">
        <f t="shared" si="71"/>
        <v>Short Days</v>
      </c>
    </row>
    <row r="1513" spans="1:21">
      <c r="A1513" t="s">
        <v>1529</v>
      </c>
      <c r="B1513" s="5">
        <v>45711</v>
      </c>
      <c r="C1513" t="s">
        <v>3710</v>
      </c>
      <c r="D1513" t="s">
        <v>4648</v>
      </c>
      <c r="E1513" t="s">
        <v>4866</v>
      </c>
      <c r="F1513">
        <v>50</v>
      </c>
      <c r="G1513" t="s">
        <v>4871</v>
      </c>
      <c r="H1513" t="s">
        <v>4886</v>
      </c>
      <c r="I1513" t="s">
        <v>4895</v>
      </c>
      <c r="J1513" t="s">
        <v>4915</v>
      </c>
      <c r="K1513" t="s">
        <v>4931</v>
      </c>
      <c r="L1513" t="s">
        <v>4935</v>
      </c>
      <c r="M1513" t="s">
        <v>4942</v>
      </c>
      <c r="N1513" s="11">
        <v>369</v>
      </c>
      <c r="O1513" t="s">
        <v>15</v>
      </c>
      <c r="P1513" t="s">
        <v>4952</v>
      </c>
      <c r="R1513">
        <v>14</v>
      </c>
      <c r="S1513" t="str">
        <f t="shared" si="69"/>
        <v>Middle-Aged</v>
      </c>
      <c r="T1513" t="str">
        <f t="shared" si="70"/>
        <v>Low</v>
      </c>
      <c r="U1513" t="str">
        <f t="shared" si="71"/>
        <v>Short Days</v>
      </c>
    </row>
    <row r="1514" spans="1:21">
      <c r="A1514" t="s">
        <v>1530</v>
      </c>
      <c r="B1514" s="5">
        <v>45317</v>
      </c>
      <c r="C1514" t="s">
        <v>3233</v>
      </c>
      <c r="D1514" t="s">
        <v>4779</v>
      </c>
      <c r="E1514" t="s">
        <v>4867</v>
      </c>
      <c r="F1514">
        <v>48</v>
      </c>
      <c r="G1514" t="s">
        <v>4879</v>
      </c>
      <c r="H1514" t="s">
        <v>4888</v>
      </c>
      <c r="I1514" t="s">
        <v>4901</v>
      </c>
      <c r="J1514" t="s">
        <v>4921</v>
      </c>
      <c r="K1514" t="s">
        <v>4930</v>
      </c>
      <c r="L1514" t="s">
        <v>4941</v>
      </c>
      <c r="M1514" t="s">
        <v>4944</v>
      </c>
      <c r="N1514" s="11">
        <v>6365.66</v>
      </c>
      <c r="O1514" t="s">
        <v>15</v>
      </c>
      <c r="P1514" t="s">
        <v>4952</v>
      </c>
      <c r="S1514" t="str">
        <f t="shared" si="69"/>
        <v>Middle-Aged</v>
      </c>
      <c r="T1514" t="str">
        <f t="shared" si="70"/>
        <v>Medium</v>
      </c>
      <c r="U1514" t="str">
        <f t="shared" si="71"/>
        <v>Short Days</v>
      </c>
    </row>
    <row r="1515" spans="1:21">
      <c r="A1515" t="s">
        <v>1531</v>
      </c>
      <c r="B1515" s="5">
        <v>45950</v>
      </c>
      <c r="C1515" t="s">
        <v>4080</v>
      </c>
      <c r="D1515" t="s">
        <v>4798</v>
      </c>
      <c r="E1515" t="s">
        <v>4866</v>
      </c>
      <c r="F1515">
        <v>21</v>
      </c>
      <c r="G1515" t="s">
        <v>4876</v>
      </c>
      <c r="H1515" t="s">
        <v>4888</v>
      </c>
      <c r="I1515" t="s">
        <v>4901</v>
      </c>
      <c r="J1515" t="s">
        <v>4921</v>
      </c>
      <c r="K1515" t="s">
        <v>4925</v>
      </c>
      <c r="L1515" t="s">
        <v>4940</v>
      </c>
      <c r="M1515" t="s">
        <v>4942</v>
      </c>
      <c r="N1515" s="11">
        <v>6406.51</v>
      </c>
      <c r="O1515" t="s">
        <v>4949</v>
      </c>
      <c r="P1515" t="s">
        <v>4951</v>
      </c>
      <c r="R1515">
        <v>30</v>
      </c>
      <c r="S1515" t="str">
        <f t="shared" si="69"/>
        <v>Adult</v>
      </c>
      <c r="T1515" t="str">
        <f t="shared" si="70"/>
        <v>Medium</v>
      </c>
      <c r="U1515" t="str">
        <f t="shared" si="71"/>
        <v>Short Days</v>
      </c>
    </row>
    <row r="1516" spans="1:21">
      <c r="A1516" t="s">
        <v>1532</v>
      </c>
      <c r="B1516" s="5">
        <v>45428</v>
      </c>
      <c r="C1516" t="s">
        <v>4015</v>
      </c>
      <c r="D1516" t="s">
        <v>4703</v>
      </c>
      <c r="E1516" t="s">
        <v>4867</v>
      </c>
      <c r="F1516">
        <v>30</v>
      </c>
      <c r="G1516" t="s">
        <v>4880</v>
      </c>
      <c r="H1516" t="s">
        <v>4890</v>
      </c>
      <c r="I1516" t="s">
        <v>4899</v>
      </c>
      <c r="J1516" t="s">
        <v>4912</v>
      </c>
      <c r="K1516" t="s">
        <v>4925</v>
      </c>
      <c r="L1516" t="s">
        <v>4936</v>
      </c>
      <c r="M1516" t="s">
        <v>4944</v>
      </c>
      <c r="N1516" s="11">
        <v>12621.5</v>
      </c>
      <c r="O1516" t="s">
        <v>4949</v>
      </c>
      <c r="P1516" t="s">
        <v>4951</v>
      </c>
      <c r="R1516">
        <v>14</v>
      </c>
      <c r="S1516" t="str">
        <f t="shared" si="69"/>
        <v>Adult</v>
      </c>
      <c r="T1516" t="str">
        <f t="shared" si="70"/>
        <v>High</v>
      </c>
      <c r="U1516" t="str">
        <f t="shared" si="71"/>
        <v>Short Days</v>
      </c>
    </row>
    <row r="1517" spans="1:21">
      <c r="A1517" t="s">
        <v>1533</v>
      </c>
      <c r="B1517" s="5">
        <v>45550</v>
      </c>
      <c r="C1517" t="s">
        <v>3751</v>
      </c>
      <c r="D1517" t="s">
        <v>4854</v>
      </c>
      <c r="E1517" t="s">
        <v>4867</v>
      </c>
      <c r="F1517">
        <v>65</v>
      </c>
      <c r="G1517" t="s">
        <v>4874</v>
      </c>
      <c r="H1517" t="s">
        <v>4886</v>
      </c>
      <c r="I1517" t="s">
        <v>4898</v>
      </c>
      <c r="J1517" t="s">
        <v>4923</v>
      </c>
      <c r="K1517" t="s">
        <v>4928</v>
      </c>
      <c r="L1517" t="s">
        <v>4939</v>
      </c>
      <c r="M1517" t="s">
        <v>4942</v>
      </c>
      <c r="N1517" s="11">
        <v>4156.05</v>
      </c>
      <c r="O1517" t="s">
        <v>4946</v>
      </c>
      <c r="P1517" t="s">
        <v>4951</v>
      </c>
      <c r="S1517" t="str">
        <f t="shared" si="69"/>
        <v>Senior</v>
      </c>
      <c r="T1517" t="str">
        <f t="shared" si="70"/>
        <v>Low</v>
      </c>
      <c r="U1517" t="str">
        <f t="shared" si="71"/>
        <v>Short Days</v>
      </c>
    </row>
    <row r="1518" spans="1:21">
      <c r="A1518" t="s">
        <v>1534</v>
      </c>
      <c r="B1518" s="5">
        <v>45860</v>
      </c>
      <c r="C1518" t="s">
        <v>4081</v>
      </c>
      <c r="D1518" t="s">
        <v>4688</v>
      </c>
      <c r="E1518" t="s">
        <v>4867</v>
      </c>
      <c r="F1518">
        <v>10</v>
      </c>
      <c r="G1518" t="s">
        <v>4876</v>
      </c>
      <c r="H1518" t="s">
        <v>4888</v>
      </c>
      <c r="I1518" t="s">
        <v>4898</v>
      </c>
      <c r="J1518" t="s">
        <v>4909</v>
      </c>
      <c r="K1518" t="s">
        <v>4925</v>
      </c>
      <c r="L1518" t="s">
        <v>4937</v>
      </c>
      <c r="M1518" t="s">
        <v>4944</v>
      </c>
      <c r="N1518" s="11">
        <v>8969.58</v>
      </c>
      <c r="O1518" t="s">
        <v>15</v>
      </c>
      <c r="P1518" t="s">
        <v>4952</v>
      </c>
      <c r="R1518">
        <v>90</v>
      </c>
      <c r="S1518" t="str">
        <f t="shared" si="69"/>
        <v>Child</v>
      </c>
      <c r="T1518" t="str">
        <f t="shared" si="70"/>
        <v>Medium</v>
      </c>
      <c r="U1518" t="str">
        <f t="shared" si="71"/>
        <v>Short Days</v>
      </c>
    </row>
    <row r="1519" spans="1:21">
      <c r="A1519" t="s">
        <v>1535</v>
      </c>
      <c r="B1519" s="5">
        <v>45580</v>
      </c>
      <c r="C1519" t="s">
        <v>3680</v>
      </c>
      <c r="D1519" t="s">
        <v>4660</v>
      </c>
      <c r="E1519" t="s">
        <v>4867</v>
      </c>
      <c r="F1519">
        <v>55</v>
      </c>
      <c r="G1519" t="s">
        <v>4881</v>
      </c>
      <c r="H1519" t="s">
        <v>4881</v>
      </c>
      <c r="I1519" t="s">
        <v>4893</v>
      </c>
      <c r="J1519" t="s">
        <v>4917</v>
      </c>
      <c r="K1519" t="s">
        <v>4928</v>
      </c>
      <c r="L1519" t="s">
        <v>4939</v>
      </c>
      <c r="M1519" t="s">
        <v>4942</v>
      </c>
      <c r="N1519" s="11">
        <v>906.14</v>
      </c>
      <c r="O1519" t="s">
        <v>15</v>
      </c>
      <c r="P1519" t="s">
        <v>4952</v>
      </c>
      <c r="R1519">
        <v>14</v>
      </c>
      <c r="S1519" t="str">
        <f t="shared" si="69"/>
        <v>Middle-Aged</v>
      </c>
      <c r="T1519" t="str">
        <f t="shared" si="70"/>
        <v>Low</v>
      </c>
      <c r="U1519" t="str">
        <f t="shared" si="71"/>
        <v>Short Days</v>
      </c>
    </row>
    <row r="1520" spans="1:21">
      <c r="A1520" t="s">
        <v>1536</v>
      </c>
      <c r="B1520" s="5">
        <v>45338</v>
      </c>
      <c r="C1520" t="s">
        <v>3994</v>
      </c>
      <c r="D1520" t="s">
        <v>4673</v>
      </c>
      <c r="E1520" t="s">
        <v>4867</v>
      </c>
      <c r="F1520">
        <v>36</v>
      </c>
      <c r="G1520" t="s">
        <v>4872</v>
      </c>
      <c r="H1520" t="s">
        <v>4887</v>
      </c>
      <c r="I1520" t="s">
        <v>4893</v>
      </c>
      <c r="J1520" t="s">
        <v>4917</v>
      </c>
      <c r="K1520" t="s">
        <v>4924</v>
      </c>
      <c r="L1520" t="s">
        <v>4937</v>
      </c>
      <c r="M1520" t="s">
        <v>4943</v>
      </c>
      <c r="N1520" s="11">
        <v>6761.83</v>
      </c>
      <c r="O1520" t="s">
        <v>4950</v>
      </c>
      <c r="P1520" t="s">
        <v>4951</v>
      </c>
      <c r="S1520" t="str">
        <f t="shared" si="69"/>
        <v>Adult</v>
      </c>
      <c r="T1520" t="str">
        <f t="shared" si="70"/>
        <v>Medium</v>
      </c>
      <c r="U1520" t="str">
        <f t="shared" si="71"/>
        <v>Short Days</v>
      </c>
    </row>
    <row r="1521" spans="1:21">
      <c r="A1521" t="s">
        <v>1537</v>
      </c>
      <c r="B1521" s="5">
        <v>45862</v>
      </c>
      <c r="C1521" t="s">
        <v>4082</v>
      </c>
      <c r="D1521" t="s">
        <v>4587</v>
      </c>
      <c r="E1521" t="s">
        <v>4866</v>
      </c>
      <c r="F1521">
        <v>48</v>
      </c>
      <c r="G1521" t="s">
        <v>4869</v>
      </c>
      <c r="H1521" t="s">
        <v>4884</v>
      </c>
      <c r="I1521" t="s">
        <v>4901</v>
      </c>
      <c r="J1521" t="s">
        <v>4914</v>
      </c>
      <c r="K1521" t="s">
        <v>4928</v>
      </c>
      <c r="L1521" t="s">
        <v>4941</v>
      </c>
      <c r="M1521" t="s">
        <v>4945</v>
      </c>
      <c r="N1521" s="11">
        <v>10222.94</v>
      </c>
      <c r="O1521" t="s">
        <v>15</v>
      </c>
      <c r="P1521" t="s">
        <v>4952</v>
      </c>
      <c r="Q1521">
        <v>10</v>
      </c>
      <c r="R1521">
        <v>7</v>
      </c>
      <c r="S1521" t="str">
        <f t="shared" si="69"/>
        <v>Middle-Aged</v>
      </c>
      <c r="T1521" t="str">
        <f t="shared" si="70"/>
        <v>High</v>
      </c>
      <c r="U1521" t="str">
        <f t="shared" si="71"/>
        <v>Long Days</v>
      </c>
    </row>
    <row r="1522" spans="1:21">
      <c r="A1522" t="s">
        <v>1538</v>
      </c>
      <c r="B1522" s="5">
        <v>45658</v>
      </c>
      <c r="C1522" t="s">
        <v>4083</v>
      </c>
      <c r="D1522" t="s">
        <v>4686</v>
      </c>
      <c r="E1522" t="s">
        <v>4866</v>
      </c>
      <c r="F1522">
        <v>36</v>
      </c>
      <c r="G1522" t="s">
        <v>4875</v>
      </c>
      <c r="H1522" t="s">
        <v>4889</v>
      </c>
      <c r="I1522" t="s">
        <v>4898</v>
      </c>
      <c r="J1522" t="s">
        <v>4918</v>
      </c>
      <c r="K1522" t="s">
        <v>4924</v>
      </c>
      <c r="L1522" t="s">
        <v>4937</v>
      </c>
      <c r="M1522" t="s">
        <v>4942</v>
      </c>
      <c r="N1522" s="11">
        <v>1168.42</v>
      </c>
      <c r="O1522" t="s">
        <v>15</v>
      </c>
      <c r="P1522" t="s">
        <v>4952</v>
      </c>
      <c r="R1522">
        <v>14</v>
      </c>
      <c r="S1522" t="str">
        <f t="shared" si="69"/>
        <v>Adult</v>
      </c>
      <c r="T1522" t="str">
        <f t="shared" si="70"/>
        <v>Low</v>
      </c>
      <c r="U1522" t="str">
        <f t="shared" si="71"/>
        <v>Short Days</v>
      </c>
    </row>
    <row r="1523" spans="1:21">
      <c r="A1523" t="s">
        <v>1539</v>
      </c>
      <c r="B1523" s="5">
        <v>45614</v>
      </c>
      <c r="C1523" t="s">
        <v>4084</v>
      </c>
      <c r="D1523" t="s">
        <v>4621</v>
      </c>
      <c r="E1523" t="s">
        <v>4867</v>
      </c>
      <c r="F1523">
        <v>46</v>
      </c>
      <c r="G1523" t="s">
        <v>4873</v>
      </c>
      <c r="H1523" t="s">
        <v>4888</v>
      </c>
      <c r="I1523" t="s">
        <v>4900</v>
      </c>
      <c r="J1523" t="s">
        <v>4919</v>
      </c>
      <c r="K1523" t="s">
        <v>4927</v>
      </c>
      <c r="L1523" t="s">
        <v>4938</v>
      </c>
      <c r="M1523" t="s">
        <v>4942</v>
      </c>
      <c r="N1523" s="11">
        <v>715.97</v>
      </c>
      <c r="O1523" t="s">
        <v>15</v>
      </c>
      <c r="P1523" t="s">
        <v>4952</v>
      </c>
      <c r="R1523">
        <v>90</v>
      </c>
      <c r="S1523" t="str">
        <f t="shared" si="69"/>
        <v>Middle-Aged</v>
      </c>
      <c r="T1523" t="str">
        <f t="shared" si="70"/>
        <v>Low</v>
      </c>
      <c r="U1523" t="str">
        <f t="shared" si="71"/>
        <v>Short Days</v>
      </c>
    </row>
    <row r="1524" spans="1:21">
      <c r="A1524" t="s">
        <v>1540</v>
      </c>
      <c r="B1524" s="5">
        <v>45483</v>
      </c>
      <c r="C1524" t="s">
        <v>4085</v>
      </c>
      <c r="D1524" t="s">
        <v>4638</v>
      </c>
      <c r="E1524" t="s">
        <v>4866</v>
      </c>
      <c r="F1524">
        <v>31</v>
      </c>
      <c r="G1524" t="s">
        <v>4871</v>
      </c>
      <c r="H1524" t="s">
        <v>4886</v>
      </c>
      <c r="I1524" t="s">
        <v>4896</v>
      </c>
      <c r="J1524" t="s">
        <v>4908</v>
      </c>
      <c r="K1524" t="s">
        <v>4930</v>
      </c>
      <c r="L1524" t="s">
        <v>4941</v>
      </c>
      <c r="M1524" t="s">
        <v>4942</v>
      </c>
      <c r="N1524" s="11">
        <v>2880.28</v>
      </c>
      <c r="O1524" t="s">
        <v>4946</v>
      </c>
      <c r="P1524" t="s">
        <v>4951</v>
      </c>
      <c r="R1524">
        <v>7</v>
      </c>
      <c r="S1524" t="str">
        <f t="shared" si="69"/>
        <v>Adult</v>
      </c>
      <c r="T1524" t="str">
        <f t="shared" si="70"/>
        <v>Low</v>
      </c>
      <c r="U1524" t="str">
        <f t="shared" si="71"/>
        <v>Short Days</v>
      </c>
    </row>
    <row r="1525" spans="1:21">
      <c r="A1525" t="s">
        <v>1541</v>
      </c>
      <c r="B1525" s="5">
        <v>45300</v>
      </c>
      <c r="C1525" t="s">
        <v>4086</v>
      </c>
      <c r="D1525" t="s">
        <v>4761</v>
      </c>
      <c r="E1525" t="s">
        <v>4866</v>
      </c>
      <c r="F1525">
        <v>69</v>
      </c>
      <c r="G1525" t="s">
        <v>4872</v>
      </c>
      <c r="H1525" t="s">
        <v>4887</v>
      </c>
      <c r="I1525" t="s">
        <v>4899</v>
      </c>
      <c r="J1525" t="s">
        <v>4912</v>
      </c>
      <c r="K1525" t="s">
        <v>4928</v>
      </c>
      <c r="L1525" t="s">
        <v>4934</v>
      </c>
      <c r="M1525" t="s">
        <v>4942</v>
      </c>
      <c r="N1525" s="11">
        <v>1827.39</v>
      </c>
      <c r="O1525" t="s">
        <v>4947</v>
      </c>
      <c r="P1525" t="s">
        <v>4951</v>
      </c>
      <c r="R1525">
        <v>14</v>
      </c>
      <c r="S1525" t="str">
        <f t="shared" si="69"/>
        <v>Senior</v>
      </c>
      <c r="T1525" t="str">
        <f t="shared" si="70"/>
        <v>Low</v>
      </c>
      <c r="U1525" t="str">
        <f t="shared" si="71"/>
        <v>Short Days</v>
      </c>
    </row>
    <row r="1526" spans="1:21">
      <c r="A1526" t="s">
        <v>1542</v>
      </c>
      <c r="B1526" s="5">
        <v>45342</v>
      </c>
      <c r="C1526" t="s">
        <v>3455</v>
      </c>
      <c r="D1526" t="s">
        <v>4810</v>
      </c>
      <c r="E1526" t="s">
        <v>4866</v>
      </c>
      <c r="F1526">
        <v>29</v>
      </c>
      <c r="G1526" t="s">
        <v>4870</v>
      </c>
      <c r="H1526" t="s">
        <v>4885</v>
      </c>
      <c r="I1526" t="s">
        <v>4901</v>
      </c>
      <c r="J1526" t="s">
        <v>4921</v>
      </c>
      <c r="K1526" t="s">
        <v>4932</v>
      </c>
      <c r="L1526" t="s">
        <v>4941</v>
      </c>
      <c r="M1526" t="s">
        <v>4942</v>
      </c>
      <c r="N1526" s="11">
        <v>1275.77</v>
      </c>
      <c r="O1526" t="s">
        <v>4948</v>
      </c>
      <c r="P1526" t="s">
        <v>4951</v>
      </c>
      <c r="R1526">
        <v>7</v>
      </c>
      <c r="S1526" t="str">
        <f t="shared" si="69"/>
        <v>Adult</v>
      </c>
      <c r="T1526" t="str">
        <f t="shared" si="70"/>
        <v>Low</v>
      </c>
      <c r="U1526" t="str">
        <f t="shared" si="71"/>
        <v>Short Days</v>
      </c>
    </row>
    <row r="1527" spans="1:21">
      <c r="A1527" t="s">
        <v>1543</v>
      </c>
      <c r="B1527" s="5">
        <v>45800</v>
      </c>
      <c r="C1527" t="s">
        <v>4087</v>
      </c>
      <c r="D1527" t="s">
        <v>4811</v>
      </c>
      <c r="E1527" t="s">
        <v>4867</v>
      </c>
      <c r="F1527">
        <v>55</v>
      </c>
      <c r="G1527" t="s">
        <v>4883</v>
      </c>
      <c r="H1527" t="s">
        <v>4892</v>
      </c>
      <c r="I1527" t="s">
        <v>4895</v>
      </c>
      <c r="J1527" t="s">
        <v>4915</v>
      </c>
      <c r="K1527" t="s">
        <v>4925</v>
      </c>
      <c r="L1527" t="s">
        <v>4934</v>
      </c>
      <c r="M1527" t="s">
        <v>4942</v>
      </c>
      <c r="N1527" s="11">
        <v>1890.68</v>
      </c>
      <c r="O1527" t="s">
        <v>15</v>
      </c>
      <c r="P1527" t="s">
        <v>4952</v>
      </c>
      <c r="R1527">
        <v>30</v>
      </c>
      <c r="S1527" t="str">
        <f t="shared" si="69"/>
        <v>Middle-Aged</v>
      </c>
      <c r="T1527" t="str">
        <f t="shared" si="70"/>
        <v>Low</v>
      </c>
      <c r="U1527" t="str">
        <f t="shared" si="71"/>
        <v>Short Days</v>
      </c>
    </row>
    <row r="1528" spans="1:21">
      <c r="A1528" t="s">
        <v>1544</v>
      </c>
      <c r="B1528" s="5">
        <v>45373</v>
      </c>
      <c r="C1528" t="s">
        <v>4088</v>
      </c>
      <c r="D1528" t="s">
        <v>4620</v>
      </c>
      <c r="E1528" t="s">
        <v>4866</v>
      </c>
      <c r="F1528">
        <v>14</v>
      </c>
      <c r="G1528" t="s">
        <v>4869</v>
      </c>
      <c r="H1528" t="s">
        <v>4884</v>
      </c>
      <c r="I1528" t="s">
        <v>4895</v>
      </c>
      <c r="J1528" t="s">
        <v>4905</v>
      </c>
      <c r="K1528" t="s">
        <v>4930</v>
      </c>
      <c r="L1528" t="s">
        <v>4937</v>
      </c>
      <c r="M1528" t="s">
        <v>4942</v>
      </c>
      <c r="N1528" s="11">
        <v>9468.16</v>
      </c>
      <c r="O1528" t="s">
        <v>15</v>
      </c>
      <c r="P1528" t="s">
        <v>4952</v>
      </c>
      <c r="S1528" t="str">
        <f t="shared" si="69"/>
        <v>Child</v>
      </c>
      <c r="T1528" t="str">
        <f t="shared" si="70"/>
        <v>Medium</v>
      </c>
      <c r="U1528" t="str">
        <f t="shared" si="71"/>
        <v>Short Days</v>
      </c>
    </row>
    <row r="1529" spans="1:21">
      <c r="A1529" t="s">
        <v>1545</v>
      </c>
      <c r="B1529" s="5">
        <v>45344</v>
      </c>
      <c r="C1529" t="s">
        <v>4089</v>
      </c>
      <c r="D1529" t="s">
        <v>4815</v>
      </c>
      <c r="E1529" t="s">
        <v>4867</v>
      </c>
      <c r="F1529">
        <v>53</v>
      </c>
      <c r="G1529" t="s">
        <v>4879</v>
      </c>
      <c r="H1529" t="s">
        <v>4888</v>
      </c>
      <c r="I1529" t="s">
        <v>4893</v>
      </c>
      <c r="J1529" t="s">
        <v>4917</v>
      </c>
      <c r="K1529" t="s">
        <v>4931</v>
      </c>
      <c r="L1529" t="s">
        <v>4938</v>
      </c>
      <c r="M1529" t="s">
        <v>4942</v>
      </c>
      <c r="N1529" s="11">
        <v>2392.7199999999998</v>
      </c>
      <c r="O1529" t="s">
        <v>15</v>
      </c>
      <c r="P1529" t="s">
        <v>4952</v>
      </c>
      <c r="R1529">
        <v>30</v>
      </c>
      <c r="S1529" t="str">
        <f t="shared" si="69"/>
        <v>Middle-Aged</v>
      </c>
      <c r="T1529" t="str">
        <f t="shared" si="70"/>
        <v>Low</v>
      </c>
      <c r="U1529" t="str">
        <f t="shared" si="71"/>
        <v>Short Days</v>
      </c>
    </row>
    <row r="1530" spans="1:21">
      <c r="A1530" t="s">
        <v>1546</v>
      </c>
      <c r="B1530" s="5">
        <v>45452</v>
      </c>
      <c r="C1530" t="s">
        <v>3354</v>
      </c>
      <c r="D1530" t="s">
        <v>4619</v>
      </c>
      <c r="E1530" t="s">
        <v>4867</v>
      </c>
      <c r="F1530">
        <v>33</v>
      </c>
      <c r="G1530" t="s">
        <v>4883</v>
      </c>
      <c r="H1530" t="s">
        <v>4892</v>
      </c>
      <c r="I1530" t="s">
        <v>4897</v>
      </c>
      <c r="J1530" t="s">
        <v>4922</v>
      </c>
      <c r="K1530" t="s">
        <v>4932</v>
      </c>
      <c r="L1530" t="s">
        <v>4937</v>
      </c>
      <c r="M1530" t="s">
        <v>4942</v>
      </c>
      <c r="N1530" s="11">
        <v>1411.79</v>
      </c>
      <c r="O1530" t="s">
        <v>15</v>
      </c>
      <c r="P1530" t="s">
        <v>4952</v>
      </c>
      <c r="R1530">
        <v>30</v>
      </c>
      <c r="S1530" t="str">
        <f t="shared" si="69"/>
        <v>Adult</v>
      </c>
      <c r="T1530" t="str">
        <f t="shared" si="70"/>
        <v>Low</v>
      </c>
      <c r="U1530" t="str">
        <f t="shared" si="71"/>
        <v>Short Days</v>
      </c>
    </row>
    <row r="1531" spans="1:21">
      <c r="A1531" t="s">
        <v>1547</v>
      </c>
      <c r="B1531" s="5">
        <v>45421</v>
      </c>
      <c r="C1531" t="s">
        <v>4090</v>
      </c>
      <c r="D1531" t="s">
        <v>4795</v>
      </c>
      <c r="E1531" t="s">
        <v>4867</v>
      </c>
      <c r="F1531">
        <v>23</v>
      </c>
      <c r="G1531" t="s">
        <v>4879</v>
      </c>
      <c r="H1531" t="s">
        <v>4888</v>
      </c>
      <c r="I1531" t="s">
        <v>4896</v>
      </c>
      <c r="J1531" t="s">
        <v>4908</v>
      </c>
      <c r="K1531" t="s">
        <v>4928</v>
      </c>
      <c r="L1531" t="s">
        <v>4935</v>
      </c>
      <c r="M1531" t="s">
        <v>4942</v>
      </c>
      <c r="N1531" s="11">
        <v>1884.24</v>
      </c>
      <c r="O1531" t="s">
        <v>15</v>
      </c>
      <c r="P1531" t="s">
        <v>4952</v>
      </c>
      <c r="R1531">
        <v>7</v>
      </c>
      <c r="S1531" t="str">
        <f t="shared" si="69"/>
        <v>Adult</v>
      </c>
      <c r="T1531" t="str">
        <f t="shared" si="70"/>
        <v>Low</v>
      </c>
      <c r="U1531" t="str">
        <f t="shared" si="71"/>
        <v>Short Days</v>
      </c>
    </row>
    <row r="1532" spans="1:21">
      <c r="A1532" t="s">
        <v>1548</v>
      </c>
      <c r="B1532" s="5">
        <v>45862</v>
      </c>
      <c r="C1532" t="s">
        <v>3809</v>
      </c>
      <c r="D1532" t="s">
        <v>4748</v>
      </c>
      <c r="E1532" t="s">
        <v>4866</v>
      </c>
      <c r="F1532">
        <v>67</v>
      </c>
      <c r="G1532" t="s">
        <v>4881</v>
      </c>
      <c r="H1532" t="s">
        <v>4881</v>
      </c>
      <c r="I1532" t="s">
        <v>4901</v>
      </c>
      <c r="J1532" t="s">
        <v>4921</v>
      </c>
      <c r="K1532" t="s">
        <v>4925</v>
      </c>
      <c r="L1532" t="s">
        <v>4935</v>
      </c>
      <c r="M1532" t="s">
        <v>4942</v>
      </c>
      <c r="N1532" s="11">
        <v>593.55999999999995</v>
      </c>
      <c r="O1532" t="s">
        <v>4946</v>
      </c>
      <c r="P1532" t="s">
        <v>4951</v>
      </c>
      <c r="S1532" t="str">
        <f t="shared" si="69"/>
        <v>Senior</v>
      </c>
      <c r="T1532" t="str">
        <f t="shared" si="70"/>
        <v>Low</v>
      </c>
      <c r="U1532" t="str">
        <f t="shared" si="71"/>
        <v>Short Days</v>
      </c>
    </row>
    <row r="1533" spans="1:21">
      <c r="A1533" t="s">
        <v>1549</v>
      </c>
      <c r="B1533" s="5">
        <v>45927</v>
      </c>
      <c r="C1533" t="s">
        <v>4091</v>
      </c>
      <c r="D1533" t="s">
        <v>4835</v>
      </c>
      <c r="E1533" t="s">
        <v>4866</v>
      </c>
      <c r="F1533">
        <v>55</v>
      </c>
      <c r="G1533" t="s">
        <v>4877</v>
      </c>
      <c r="H1533" t="s">
        <v>4888</v>
      </c>
      <c r="I1533" t="s">
        <v>4893</v>
      </c>
      <c r="J1533" t="s">
        <v>4917</v>
      </c>
      <c r="K1533" t="s">
        <v>4933</v>
      </c>
      <c r="L1533" t="s">
        <v>4941</v>
      </c>
      <c r="M1533" t="s">
        <v>4942</v>
      </c>
      <c r="N1533" s="11">
        <v>676.7</v>
      </c>
      <c r="O1533" t="s">
        <v>4950</v>
      </c>
      <c r="P1533" t="s">
        <v>4951</v>
      </c>
      <c r="R1533">
        <v>90</v>
      </c>
      <c r="S1533" t="str">
        <f t="shared" si="69"/>
        <v>Middle-Aged</v>
      </c>
      <c r="T1533" t="str">
        <f t="shared" si="70"/>
        <v>Low</v>
      </c>
      <c r="U1533" t="str">
        <f t="shared" si="71"/>
        <v>Short Days</v>
      </c>
    </row>
    <row r="1534" spans="1:21">
      <c r="A1534" t="s">
        <v>1550</v>
      </c>
      <c r="B1534" s="5">
        <v>45838</v>
      </c>
      <c r="C1534" t="s">
        <v>4092</v>
      </c>
      <c r="D1534" t="s">
        <v>4719</v>
      </c>
      <c r="E1534" t="s">
        <v>4867</v>
      </c>
      <c r="F1534">
        <v>0</v>
      </c>
      <c r="G1534" t="s">
        <v>4871</v>
      </c>
      <c r="H1534" t="s">
        <v>4886</v>
      </c>
      <c r="I1534" t="s">
        <v>4899</v>
      </c>
      <c r="J1534" t="s">
        <v>4912</v>
      </c>
      <c r="K1534" t="s">
        <v>4924</v>
      </c>
      <c r="L1534" t="s">
        <v>4936</v>
      </c>
      <c r="M1534" t="s">
        <v>4942</v>
      </c>
      <c r="N1534" s="11">
        <v>2295.77</v>
      </c>
      <c r="O1534" t="s">
        <v>15</v>
      </c>
      <c r="P1534" t="s">
        <v>4952</v>
      </c>
      <c r="S1534" t="str">
        <f t="shared" si="69"/>
        <v>Child</v>
      </c>
      <c r="T1534" t="str">
        <f t="shared" si="70"/>
        <v>Low</v>
      </c>
      <c r="U1534" t="str">
        <f t="shared" si="71"/>
        <v>Short Days</v>
      </c>
    </row>
    <row r="1535" spans="1:21">
      <c r="A1535" t="s">
        <v>1551</v>
      </c>
      <c r="B1535" s="5">
        <v>45950</v>
      </c>
      <c r="C1535" t="s">
        <v>4093</v>
      </c>
      <c r="D1535" t="s">
        <v>4691</v>
      </c>
      <c r="E1535" t="s">
        <v>4867</v>
      </c>
      <c r="F1535">
        <v>56</v>
      </c>
      <c r="G1535" t="s">
        <v>4873</v>
      </c>
      <c r="H1535" t="s">
        <v>4888</v>
      </c>
      <c r="I1535" t="s">
        <v>4901</v>
      </c>
      <c r="J1535" t="s">
        <v>4914</v>
      </c>
      <c r="K1535" t="s">
        <v>4931</v>
      </c>
      <c r="L1535" t="s">
        <v>4934</v>
      </c>
      <c r="M1535" t="s">
        <v>4942</v>
      </c>
      <c r="N1535" s="11">
        <v>16058.89</v>
      </c>
      <c r="O1535" t="s">
        <v>4949</v>
      </c>
      <c r="P1535" t="s">
        <v>4951</v>
      </c>
      <c r="R1535">
        <v>7</v>
      </c>
      <c r="S1535" t="str">
        <f t="shared" si="69"/>
        <v>Middle-Aged</v>
      </c>
      <c r="T1535" t="str">
        <f t="shared" si="70"/>
        <v>High</v>
      </c>
      <c r="U1535" t="str">
        <f t="shared" si="71"/>
        <v>Short Days</v>
      </c>
    </row>
    <row r="1536" spans="1:21">
      <c r="A1536" t="s">
        <v>1552</v>
      </c>
      <c r="B1536" s="5">
        <v>45951</v>
      </c>
      <c r="C1536" t="s">
        <v>4094</v>
      </c>
      <c r="D1536" t="s">
        <v>4709</v>
      </c>
      <c r="E1536" t="s">
        <v>4867</v>
      </c>
      <c r="F1536">
        <v>46</v>
      </c>
      <c r="G1536" t="s">
        <v>4882</v>
      </c>
      <c r="H1536" t="s">
        <v>4891</v>
      </c>
      <c r="I1536" t="s">
        <v>4893</v>
      </c>
      <c r="J1536" t="s">
        <v>4917</v>
      </c>
      <c r="K1536" t="s">
        <v>4929</v>
      </c>
      <c r="L1536" t="s">
        <v>4937</v>
      </c>
      <c r="M1536" t="s">
        <v>4942</v>
      </c>
      <c r="N1536" s="11">
        <v>3957.91</v>
      </c>
      <c r="O1536" t="s">
        <v>4948</v>
      </c>
      <c r="P1536" t="s">
        <v>4951</v>
      </c>
      <c r="R1536">
        <v>30</v>
      </c>
      <c r="S1536" t="str">
        <f t="shared" si="69"/>
        <v>Middle-Aged</v>
      </c>
      <c r="T1536" t="str">
        <f t="shared" si="70"/>
        <v>Low</v>
      </c>
      <c r="U1536" t="str">
        <f t="shared" si="71"/>
        <v>Short Days</v>
      </c>
    </row>
    <row r="1537" spans="1:21">
      <c r="A1537" t="s">
        <v>1553</v>
      </c>
      <c r="B1537" s="5">
        <v>45845</v>
      </c>
      <c r="C1537" t="s">
        <v>3712</v>
      </c>
      <c r="D1537" t="s">
        <v>4749</v>
      </c>
      <c r="E1537" t="s">
        <v>4867</v>
      </c>
      <c r="F1537">
        <v>54</v>
      </c>
      <c r="G1537" t="s">
        <v>4872</v>
      </c>
      <c r="H1537" t="s">
        <v>4887</v>
      </c>
      <c r="I1537" t="s">
        <v>4898</v>
      </c>
      <c r="J1537" t="s">
        <v>4909</v>
      </c>
      <c r="K1537" t="s">
        <v>4929</v>
      </c>
      <c r="L1537" t="s">
        <v>4939</v>
      </c>
      <c r="M1537" t="s">
        <v>4943</v>
      </c>
      <c r="N1537" s="11">
        <v>6860.9</v>
      </c>
      <c r="O1537" t="s">
        <v>4946</v>
      </c>
      <c r="P1537" t="s">
        <v>4951</v>
      </c>
      <c r="R1537">
        <v>30</v>
      </c>
      <c r="S1537" t="str">
        <f t="shared" si="69"/>
        <v>Middle-Aged</v>
      </c>
      <c r="T1537" t="str">
        <f t="shared" si="70"/>
        <v>Medium</v>
      </c>
      <c r="U1537" t="str">
        <f t="shared" si="71"/>
        <v>Short Days</v>
      </c>
    </row>
    <row r="1538" spans="1:21">
      <c r="A1538" t="s">
        <v>1554</v>
      </c>
      <c r="B1538" s="5">
        <v>45456</v>
      </c>
      <c r="C1538" t="s">
        <v>3118</v>
      </c>
      <c r="D1538" t="s">
        <v>4689</v>
      </c>
      <c r="E1538" t="s">
        <v>4866</v>
      </c>
      <c r="F1538">
        <v>28</v>
      </c>
      <c r="G1538" t="s">
        <v>4880</v>
      </c>
      <c r="H1538" t="s">
        <v>4890</v>
      </c>
      <c r="I1538" t="s">
        <v>4893</v>
      </c>
      <c r="J1538" t="s">
        <v>4903</v>
      </c>
      <c r="K1538" t="s">
        <v>4925</v>
      </c>
      <c r="L1538" t="s">
        <v>4938</v>
      </c>
      <c r="M1538" t="s">
        <v>4942</v>
      </c>
      <c r="N1538" s="11">
        <v>273.35000000000002</v>
      </c>
      <c r="O1538" t="s">
        <v>4947</v>
      </c>
      <c r="P1538" t="s">
        <v>4951</v>
      </c>
      <c r="S1538" t="str">
        <f t="shared" si="69"/>
        <v>Adult</v>
      </c>
      <c r="T1538" t="str">
        <f t="shared" si="70"/>
        <v>Low</v>
      </c>
      <c r="U1538" t="str">
        <f t="shared" si="71"/>
        <v>Short Days</v>
      </c>
    </row>
    <row r="1539" spans="1:21">
      <c r="A1539" t="s">
        <v>1555</v>
      </c>
      <c r="B1539" s="5">
        <v>45875</v>
      </c>
      <c r="C1539" t="s">
        <v>4095</v>
      </c>
      <c r="D1539" t="s">
        <v>4755</v>
      </c>
      <c r="E1539" t="s">
        <v>4866</v>
      </c>
      <c r="F1539">
        <v>71</v>
      </c>
      <c r="G1539" t="s">
        <v>4880</v>
      </c>
      <c r="H1539" t="s">
        <v>4890</v>
      </c>
      <c r="I1539" t="s">
        <v>4895</v>
      </c>
      <c r="J1539" t="s">
        <v>4915</v>
      </c>
      <c r="K1539" t="s">
        <v>4930</v>
      </c>
      <c r="L1539" t="s">
        <v>4938</v>
      </c>
      <c r="M1539" t="s">
        <v>4943</v>
      </c>
      <c r="N1539" s="11">
        <v>10614.87</v>
      </c>
      <c r="O1539" t="s">
        <v>4946</v>
      </c>
      <c r="P1539" t="s">
        <v>4951</v>
      </c>
      <c r="R1539">
        <v>14</v>
      </c>
      <c r="S1539" t="str">
        <f t="shared" ref="S1539:S1602" si="72">IF(F1539&lt;18,"Child",IF(F1539&lt;=40,"Adult",IF(F1539&lt;=60,"Middle-Aged",IF(F1539,"Senior"))))</f>
        <v>Senior</v>
      </c>
      <c r="T1539" t="str">
        <f t="shared" ref="T1539:T1602" si="73">IF(N1539&lt;=5000,"Low",IF(N1539&lt;=10000,"Medium","High"))</f>
        <v>High</v>
      </c>
      <c r="U1539" t="str">
        <f t="shared" ref="U1539:U1602" si="74">IF(Q1539&lt;=5,"Short Days","Long Days")</f>
        <v>Short Days</v>
      </c>
    </row>
    <row r="1540" spans="1:21">
      <c r="A1540" t="s">
        <v>1556</v>
      </c>
      <c r="B1540" s="5">
        <v>45723</v>
      </c>
      <c r="C1540" t="s">
        <v>4096</v>
      </c>
      <c r="D1540" t="s">
        <v>4685</v>
      </c>
      <c r="E1540" t="s">
        <v>4867</v>
      </c>
      <c r="F1540">
        <v>49</v>
      </c>
      <c r="G1540" t="s">
        <v>4882</v>
      </c>
      <c r="H1540" t="s">
        <v>4891</v>
      </c>
      <c r="I1540" t="s">
        <v>4896</v>
      </c>
      <c r="J1540" t="s">
        <v>4906</v>
      </c>
      <c r="K1540" t="s">
        <v>4933</v>
      </c>
      <c r="L1540" t="s">
        <v>4938</v>
      </c>
      <c r="M1540" t="s">
        <v>4944</v>
      </c>
      <c r="N1540" s="11">
        <v>14210.73</v>
      </c>
      <c r="O1540" t="s">
        <v>15</v>
      </c>
      <c r="P1540" t="s">
        <v>4952</v>
      </c>
      <c r="S1540" t="str">
        <f t="shared" si="72"/>
        <v>Middle-Aged</v>
      </c>
      <c r="T1540" t="str">
        <f t="shared" si="73"/>
        <v>High</v>
      </c>
      <c r="U1540" t="str">
        <f t="shared" si="74"/>
        <v>Short Days</v>
      </c>
    </row>
    <row r="1541" spans="1:21">
      <c r="A1541" t="s">
        <v>1557</v>
      </c>
      <c r="B1541" s="5">
        <v>45571</v>
      </c>
      <c r="C1541" t="s">
        <v>3925</v>
      </c>
      <c r="D1541" t="s">
        <v>4695</v>
      </c>
      <c r="E1541" t="s">
        <v>4866</v>
      </c>
      <c r="F1541">
        <v>46</v>
      </c>
      <c r="G1541" t="s">
        <v>4880</v>
      </c>
      <c r="H1541" t="s">
        <v>4890</v>
      </c>
      <c r="I1541" t="s">
        <v>4895</v>
      </c>
      <c r="J1541" t="s">
        <v>4915</v>
      </c>
      <c r="K1541" t="s">
        <v>4927</v>
      </c>
      <c r="L1541" t="s">
        <v>4940</v>
      </c>
      <c r="M1541" t="s">
        <v>4942</v>
      </c>
      <c r="N1541" s="11">
        <v>4436.63</v>
      </c>
      <c r="O1541" t="s">
        <v>4946</v>
      </c>
      <c r="P1541" t="s">
        <v>4951</v>
      </c>
      <c r="S1541" t="str">
        <f t="shared" si="72"/>
        <v>Middle-Aged</v>
      </c>
      <c r="T1541" t="str">
        <f t="shared" si="73"/>
        <v>Low</v>
      </c>
      <c r="U1541" t="str">
        <f t="shared" si="74"/>
        <v>Short Days</v>
      </c>
    </row>
    <row r="1542" spans="1:21">
      <c r="A1542" t="s">
        <v>1558</v>
      </c>
      <c r="B1542" s="5">
        <v>45958</v>
      </c>
      <c r="C1542" t="s">
        <v>4097</v>
      </c>
      <c r="D1542" t="s">
        <v>4817</v>
      </c>
      <c r="E1542" t="s">
        <v>4867</v>
      </c>
      <c r="F1542">
        <v>35</v>
      </c>
      <c r="G1542" t="s">
        <v>4876</v>
      </c>
      <c r="H1542" t="s">
        <v>4888</v>
      </c>
      <c r="I1542" t="s">
        <v>4896</v>
      </c>
      <c r="J1542" t="s">
        <v>4906</v>
      </c>
      <c r="K1542" t="s">
        <v>4928</v>
      </c>
      <c r="L1542" t="s">
        <v>4938</v>
      </c>
      <c r="M1542" t="s">
        <v>4942</v>
      </c>
      <c r="N1542" s="11">
        <v>1116.1500000000001</v>
      </c>
      <c r="O1542" t="s">
        <v>15</v>
      </c>
      <c r="P1542" t="s">
        <v>4952</v>
      </c>
      <c r="R1542">
        <v>30</v>
      </c>
      <c r="S1542" t="str">
        <f t="shared" si="72"/>
        <v>Adult</v>
      </c>
      <c r="T1542" t="str">
        <f t="shared" si="73"/>
        <v>Low</v>
      </c>
      <c r="U1542" t="str">
        <f t="shared" si="74"/>
        <v>Short Days</v>
      </c>
    </row>
    <row r="1543" spans="1:21">
      <c r="A1543" t="s">
        <v>1559</v>
      </c>
      <c r="B1543" s="5">
        <v>45408</v>
      </c>
      <c r="C1543" t="s">
        <v>4098</v>
      </c>
      <c r="D1543" t="s">
        <v>4765</v>
      </c>
      <c r="E1543" t="s">
        <v>4867</v>
      </c>
      <c r="F1543">
        <v>30</v>
      </c>
      <c r="G1543" t="s">
        <v>4872</v>
      </c>
      <c r="H1543" t="s">
        <v>4887</v>
      </c>
      <c r="I1543" t="s">
        <v>4900</v>
      </c>
      <c r="J1543" t="s">
        <v>4919</v>
      </c>
      <c r="K1543" t="s">
        <v>4932</v>
      </c>
      <c r="L1543" t="s">
        <v>4937</v>
      </c>
      <c r="M1543" t="s">
        <v>4942</v>
      </c>
      <c r="N1543" s="11">
        <v>12063.45</v>
      </c>
      <c r="O1543" t="s">
        <v>4946</v>
      </c>
      <c r="P1543" t="s">
        <v>4951</v>
      </c>
      <c r="S1543" t="str">
        <f t="shared" si="72"/>
        <v>Adult</v>
      </c>
      <c r="T1543" t="str">
        <f t="shared" si="73"/>
        <v>High</v>
      </c>
      <c r="U1543" t="str">
        <f t="shared" si="74"/>
        <v>Short Days</v>
      </c>
    </row>
    <row r="1544" spans="1:21">
      <c r="A1544" t="s">
        <v>1560</v>
      </c>
      <c r="B1544" s="5">
        <v>45514</v>
      </c>
      <c r="C1544" t="s">
        <v>4099</v>
      </c>
      <c r="D1544" t="s">
        <v>4727</v>
      </c>
      <c r="E1544" t="s">
        <v>4866</v>
      </c>
      <c r="F1544">
        <v>72</v>
      </c>
      <c r="G1544" t="s">
        <v>4871</v>
      </c>
      <c r="H1544" t="s">
        <v>4886</v>
      </c>
      <c r="I1544" t="s">
        <v>4901</v>
      </c>
      <c r="J1544" t="s">
        <v>4921</v>
      </c>
      <c r="K1544" t="s">
        <v>4933</v>
      </c>
      <c r="L1544" t="s">
        <v>4937</v>
      </c>
      <c r="M1544" t="s">
        <v>4942</v>
      </c>
      <c r="N1544" s="11">
        <v>1973.33</v>
      </c>
      <c r="O1544" t="s">
        <v>4948</v>
      </c>
      <c r="P1544" t="s">
        <v>4951</v>
      </c>
      <c r="S1544" t="str">
        <f t="shared" si="72"/>
        <v>Senior</v>
      </c>
      <c r="T1544" t="str">
        <f t="shared" si="73"/>
        <v>Low</v>
      </c>
      <c r="U1544" t="str">
        <f t="shared" si="74"/>
        <v>Short Days</v>
      </c>
    </row>
    <row r="1545" spans="1:21">
      <c r="A1545" t="s">
        <v>1561</v>
      </c>
      <c r="B1545" s="5">
        <v>45840</v>
      </c>
      <c r="C1545" t="s">
        <v>4100</v>
      </c>
      <c r="D1545" t="s">
        <v>4831</v>
      </c>
      <c r="E1545" t="s">
        <v>4867</v>
      </c>
      <c r="F1545">
        <v>37</v>
      </c>
      <c r="G1545" t="s">
        <v>4875</v>
      </c>
      <c r="H1545" t="s">
        <v>4889</v>
      </c>
      <c r="I1545" t="s">
        <v>4902</v>
      </c>
      <c r="J1545" t="s">
        <v>4920</v>
      </c>
      <c r="K1545" t="s">
        <v>4925</v>
      </c>
      <c r="L1545" t="s">
        <v>4937</v>
      </c>
      <c r="M1545" t="s">
        <v>4942</v>
      </c>
      <c r="N1545" s="11">
        <v>5672.66</v>
      </c>
      <c r="O1545" t="s">
        <v>4950</v>
      </c>
      <c r="P1545" t="s">
        <v>4951</v>
      </c>
      <c r="S1545" t="str">
        <f t="shared" si="72"/>
        <v>Adult</v>
      </c>
      <c r="T1545" t="str">
        <f t="shared" si="73"/>
        <v>Medium</v>
      </c>
      <c r="U1545" t="str">
        <f t="shared" si="74"/>
        <v>Short Days</v>
      </c>
    </row>
    <row r="1546" spans="1:21">
      <c r="A1546" t="s">
        <v>1562</v>
      </c>
      <c r="B1546" s="5">
        <v>45422</v>
      </c>
      <c r="C1546" t="s">
        <v>4101</v>
      </c>
      <c r="D1546" t="s">
        <v>4613</v>
      </c>
      <c r="E1546" t="s">
        <v>4866</v>
      </c>
      <c r="F1546">
        <v>55</v>
      </c>
      <c r="G1546" t="s">
        <v>4870</v>
      </c>
      <c r="H1546" t="s">
        <v>4885</v>
      </c>
      <c r="I1546" t="s">
        <v>4893</v>
      </c>
      <c r="J1546" t="s">
        <v>4903</v>
      </c>
      <c r="K1546" t="s">
        <v>4924</v>
      </c>
      <c r="L1546" t="s">
        <v>4936</v>
      </c>
      <c r="M1546" t="s">
        <v>4945</v>
      </c>
      <c r="N1546" s="11">
        <v>11577.41</v>
      </c>
      <c r="O1546" t="s">
        <v>4949</v>
      </c>
      <c r="P1546" t="s">
        <v>4951</v>
      </c>
      <c r="Q1546">
        <v>9</v>
      </c>
      <c r="S1546" t="str">
        <f t="shared" si="72"/>
        <v>Middle-Aged</v>
      </c>
      <c r="T1546" t="str">
        <f t="shared" si="73"/>
        <v>High</v>
      </c>
      <c r="U1546" t="str">
        <f t="shared" si="74"/>
        <v>Long Days</v>
      </c>
    </row>
    <row r="1547" spans="1:21">
      <c r="A1547" t="s">
        <v>1563</v>
      </c>
      <c r="B1547" s="5">
        <v>45352</v>
      </c>
      <c r="C1547" t="s">
        <v>4102</v>
      </c>
      <c r="D1547" t="s">
        <v>4792</v>
      </c>
      <c r="E1547" t="s">
        <v>4866</v>
      </c>
      <c r="F1547">
        <v>67</v>
      </c>
      <c r="G1547" t="s">
        <v>4877</v>
      </c>
      <c r="H1547" t="s">
        <v>4888</v>
      </c>
      <c r="I1547" t="s">
        <v>4898</v>
      </c>
      <c r="J1547" t="s">
        <v>4918</v>
      </c>
      <c r="K1547" t="s">
        <v>4928</v>
      </c>
      <c r="L1547" t="s">
        <v>4938</v>
      </c>
      <c r="M1547" t="s">
        <v>4942</v>
      </c>
      <c r="N1547" s="11">
        <v>6545.75</v>
      </c>
      <c r="O1547" t="s">
        <v>15</v>
      </c>
      <c r="P1547" t="s">
        <v>4952</v>
      </c>
      <c r="R1547">
        <v>14</v>
      </c>
      <c r="S1547" t="str">
        <f t="shared" si="72"/>
        <v>Senior</v>
      </c>
      <c r="T1547" t="str">
        <f t="shared" si="73"/>
        <v>Medium</v>
      </c>
      <c r="U1547" t="str">
        <f t="shared" si="74"/>
        <v>Short Days</v>
      </c>
    </row>
    <row r="1548" spans="1:21">
      <c r="A1548" t="s">
        <v>1564</v>
      </c>
      <c r="B1548" s="5">
        <v>45444</v>
      </c>
      <c r="C1548" t="s">
        <v>4103</v>
      </c>
      <c r="D1548" t="s">
        <v>4771</v>
      </c>
      <c r="E1548" t="s">
        <v>4867</v>
      </c>
      <c r="F1548">
        <v>36</v>
      </c>
      <c r="G1548" t="s">
        <v>4871</v>
      </c>
      <c r="H1548" t="s">
        <v>4886</v>
      </c>
      <c r="I1548" t="s">
        <v>4896</v>
      </c>
      <c r="J1548" t="s">
        <v>4906</v>
      </c>
      <c r="K1548" t="s">
        <v>4931</v>
      </c>
      <c r="L1548" t="s">
        <v>4935</v>
      </c>
      <c r="M1548" t="s">
        <v>4945</v>
      </c>
      <c r="N1548" s="11">
        <v>6341.75</v>
      </c>
      <c r="O1548" t="s">
        <v>15</v>
      </c>
      <c r="P1548" t="s">
        <v>4952</v>
      </c>
      <c r="Q1548">
        <v>5</v>
      </c>
      <c r="S1548" t="str">
        <f t="shared" si="72"/>
        <v>Adult</v>
      </c>
      <c r="T1548" t="str">
        <f t="shared" si="73"/>
        <v>Medium</v>
      </c>
      <c r="U1548" t="str">
        <f t="shared" si="74"/>
        <v>Short Days</v>
      </c>
    </row>
    <row r="1549" spans="1:21">
      <c r="A1549" t="s">
        <v>1565</v>
      </c>
      <c r="B1549" s="5">
        <v>45402</v>
      </c>
      <c r="C1549" t="s">
        <v>4104</v>
      </c>
      <c r="D1549" t="s">
        <v>4746</v>
      </c>
      <c r="E1549" t="s">
        <v>4866</v>
      </c>
      <c r="F1549">
        <v>75</v>
      </c>
      <c r="G1549" t="s">
        <v>4883</v>
      </c>
      <c r="H1549" t="s">
        <v>4892</v>
      </c>
      <c r="I1549" t="s">
        <v>4895</v>
      </c>
      <c r="J1549" t="s">
        <v>4915</v>
      </c>
      <c r="K1549" t="s">
        <v>4926</v>
      </c>
      <c r="L1549" t="s">
        <v>4938</v>
      </c>
      <c r="M1549" t="s">
        <v>4944</v>
      </c>
      <c r="N1549" s="11">
        <v>6188.14</v>
      </c>
      <c r="O1549" t="s">
        <v>4946</v>
      </c>
      <c r="P1549" t="s">
        <v>4951</v>
      </c>
      <c r="R1549">
        <v>30</v>
      </c>
      <c r="S1549" t="str">
        <f t="shared" si="72"/>
        <v>Senior</v>
      </c>
      <c r="T1549" t="str">
        <f t="shared" si="73"/>
        <v>Medium</v>
      </c>
      <c r="U1549" t="str">
        <f t="shared" si="74"/>
        <v>Short Days</v>
      </c>
    </row>
    <row r="1550" spans="1:21">
      <c r="A1550" t="s">
        <v>1566</v>
      </c>
      <c r="B1550" s="5">
        <v>45370</v>
      </c>
      <c r="C1550" t="s">
        <v>3509</v>
      </c>
      <c r="D1550" t="s">
        <v>4732</v>
      </c>
      <c r="E1550" t="s">
        <v>4866</v>
      </c>
      <c r="F1550">
        <v>19</v>
      </c>
      <c r="G1550" t="s">
        <v>4883</v>
      </c>
      <c r="H1550" t="s">
        <v>4892</v>
      </c>
      <c r="I1550" t="s">
        <v>4897</v>
      </c>
      <c r="J1550" t="s">
        <v>4922</v>
      </c>
      <c r="K1550" t="s">
        <v>4933</v>
      </c>
      <c r="L1550" t="s">
        <v>4937</v>
      </c>
      <c r="M1550" t="s">
        <v>4942</v>
      </c>
      <c r="N1550" s="11">
        <v>6390.77</v>
      </c>
      <c r="O1550" t="s">
        <v>4947</v>
      </c>
      <c r="P1550" t="s">
        <v>4951</v>
      </c>
      <c r="S1550" t="str">
        <f t="shared" si="72"/>
        <v>Adult</v>
      </c>
      <c r="T1550" t="str">
        <f t="shared" si="73"/>
        <v>Medium</v>
      </c>
      <c r="U1550" t="str">
        <f t="shared" si="74"/>
        <v>Short Days</v>
      </c>
    </row>
    <row r="1551" spans="1:21">
      <c r="A1551" t="s">
        <v>1567</v>
      </c>
      <c r="B1551" s="5">
        <v>45957</v>
      </c>
      <c r="C1551" t="s">
        <v>3667</v>
      </c>
      <c r="D1551" t="s">
        <v>4607</v>
      </c>
      <c r="E1551" t="s">
        <v>4866</v>
      </c>
      <c r="F1551">
        <v>41</v>
      </c>
      <c r="G1551" t="s">
        <v>4872</v>
      </c>
      <c r="H1551" t="s">
        <v>4887</v>
      </c>
      <c r="I1551" t="s">
        <v>4894</v>
      </c>
      <c r="J1551" t="s">
        <v>4910</v>
      </c>
      <c r="K1551" t="s">
        <v>4933</v>
      </c>
      <c r="L1551" t="s">
        <v>4940</v>
      </c>
      <c r="M1551" t="s">
        <v>4944</v>
      </c>
      <c r="N1551" s="11">
        <v>5422.39</v>
      </c>
      <c r="O1551" t="s">
        <v>4946</v>
      </c>
      <c r="P1551" t="s">
        <v>4951</v>
      </c>
      <c r="R1551">
        <v>30</v>
      </c>
      <c r="S1551" t="str">
        <f t="shared" si="72"/>
        <v>Middle-Aged</v>
      </c>
      <c r="T1551" t="str">
        <f t="shared" si="73"/>
        <v>Medium</v>
      </c>
      <c r="U1551" t="str">
        <f t="shared" si="74"/>
        <v>Short Days</v>
      </c>
    </row>
    <row r="1552" spans="1:21">
      <c r="A1552" t="s">
        <v>1568</v>
      </c>
      <c r="B1552" s="5">
        <v>45384</v>
      </c>
      <c r="C1552" t="s">
        <v>3421</v>
      </c>
      <c r="D1552" t="s">
        <v>4785</v>
      </c>
      <c r="E1552" t="s">
        <v>4867</v>
      </c>
      <c r="F1552">
        <v>66</v>
      </c>
      <c r="G1552" t="s">
        <v>4883</v>
      </c>
      <c r="H1552" t="s">
        <v>4892</v>
      </c>
      <c r="I1552" t="s">
        <v>4895</v>
      </c>
      <c r="J1552" t="s">
        <v>4905</v>
      </c>
      <c r="K1552" t="s">
        <v>4932</v>
      </c>
      <c r="L1552" t="s">
        <v>4941</v>
      </c>
      <c r="M1552" t="s">
        <v>4942</v>
      </c>
      <c r="N1552" s="11">
        <v>6067.1</v>
      </c>
      <c r="O1552" t="s">
        <v>15</v>
      </c>
      <c r="P1552" t="s">
        <v>4952</v>
      </c>
      <c r="S1552" t="str">
        <f t="shared" si="72"/>
        <v>Senior</v>
      </c>
      <c r="T1552" t="str">
        <f t="shared" si="73"/>
        <v>Medium</v>
      </c>
      <c r="U1552" t="str">
        <f t="shared" si="74"/>
        <v>Short Days</v>
      </c>
    </row>
    <row r="1553" spans="1:21">
      <c r="A1553" t="s">
        <v>1569</v>
      </c>
      <c r="B1553" s="5">
        <v>45677</v>
      </c>
      <c r="C1553" t="s">
        <v>4105</v>
      </c>
      <c r="D1553" t="s">
        <v>4750</v>
      </c>
      <c r="E1553" t="s">
        <v>4868</v>
      </c>
      <c r="F1553">
        <v>41</v>
      </c>
      <c r="G1553" t="s">
        <v>4872</v>
      </c>
      <c r="H1553" t="s">
        <v>4887</v>
      </c>
      <c r="I1553" t="s">
        <v>4902</v>
      </c>
      <c r="J1553" t="s">
        <v>4920</v>
      </c>
      <c r="K1553" t="s">
        <v>4930</v>
      </c>
      <c r="L1553" t="s">
        <v>4941</v>
      </c>
      <c r="M1553" t="s">
        <v>4942</v>
      </c>
      <c r="N1553" s="11">
        <v>1904.64</v>
      </c>
      <c r="O1553" t="s">
        <v>4949</v>
      </c>
      <c r="P1553" t="s">
        <v>4951</v>
      </c>
      <c r="S1553" t="str">
        <f t="shared" si="72"/>
        <v>Middle-Aged</v>
      </c>
      <c r="T1553" t="str">
        <f t="shared" si="73"/>
        <v>Low</v>
      </c>
      <c r="U1553" t="str">
        <f t="shared" si="74"/>
        <v>Short Days</v>
      </c>
    </row>
    <row r="1554" spans="1:21">
      <c r="A1554" t="s">
        <v>1570</v>
      </c>
      <c r="B1554" s="5">
        <v>45949</v>
      </c>
      <c r="C1554" t="s">
        <v>3033</v>
      </c>
      <c r="D1554" t="s">
        <v>4697</v>
      </c>
      <c r="E1554" t="s">
        <v>4867</v>
      </c>
      <c r="F1554">
        <f t="shared" ref="F1554:F1555" si="75">AVERAGE(F1547,F1553)</f>
        <v>54</v>
      </c>
      <c r="G1554" t="s">
        <v>4881</v>
      </c>
      <c r="H1554" t="s">
        <v>4888</v>
      </c>
      <c r="I1554" t="s">
        <v>4902</v>
      </c>
      <c r="J1554" t="s">
        <v>4916</v>
      </c>
      <c r="K1554" t="s">
        <v>4953</v>
      </c>
      <c r="L1554" t="s">
        <v>4934</v>
      </c>
      <c r="M1554" t="s">
        <v>4945</v>
      </c>
      <c r="N1554" s="11">
        <v>10198.14</v>
      </c>
      <c r="O1554" t="s">
        <v>4948</v>
      </c>
      <c r="P1554" t="s">
        <v>4951</v>
      </c>
      <c r="Q1554">
        <v>5</v>
      </c>
      <c r="R1554">
        <v>90</v>
      </c>
      <c r="S1554" t="str">
        <f t="shared" si="72"/>
        <v>Middle-Aged</v>
      </c>
      <c r="T1554" t="str">
        <f t="shared" si="73"/>
        <v>High</v>
      </c>
      <c r="U1554" t="str">
        <f t="shared" si="74"/>
        <v>Short Days</v>
      </c>
    </row>
    <row r="1555" spans="1:21">
      <c r="A1555" t="s">
        <v>1571</v>
      </c>
      <c r="B1555" s="5">
        <v>45438</v>
      </c>
      <c r="C1555" t="s">
        <v>4106</v>
      </c>
      <c r="D1555" t="s">
        <v>4784</v>
      </c>
      <c r="E1555" t="s">
        <v>4867</v>
      </c>
      <c r="F1555">
        <f t="shared" si="75"/>
        <v>45</v>
      </c>
      <c r="G1555" t="s">
        <v>4881</v>
      </c>
      <c r="H1555" t="s">
        <v>4888</v>
      </c>
      <c r="I1555" t="s">
        <v>4895</v>
      </c>
      <c r="J1555" t="s">
        <v>4905</v>
      </c>
      <c r="K1555" t="s">
        <v>4953</v>
      </c>
      <c r="L1555" t="s">
        <v>4935</v>
      </c>
      <c r="M1555" t="s">
        <v>4942</v>
      </c>
      <c r="N1555" s="11">
        <v>15177.72</v>
      </c>
      <c r="O1555" t="s">
        <v>15</v>
      </c>
      <c r="P1555" t="s">
        <v>4952</v>
      </c>
      <c r="R1555">
        <v>14</v>
      </c>
      <c r="S1555" t="str">
        <f t="shared" si="72"/>
        <v>Middle-Aged</v>
      </c>
      <c r="T1555" t="str">
        <f t="shared" si="73"/>
        <v>High</v>
      </c>
      <c r="U1555" t="str">
        <f t="shared" si="74"/>
        <v>Short Days</v>
      </c>
    </row>
    <row r="1556" spans="1:21">
      <c r="A1556" t="s">
        <v>1572</v>
      </c>
      <c r="B1556" s="5">
        <v>45436</v>
      </c>
      <c r="C1556" t="s">
        <v>3133</v>
      </c>
      <c r="D1556" t="s">
        <v>4751</v>
      </c>
      <c r="E1556" t="s">
        <v>4866</v>
      </c>
      <c r="F1556">
        <v>42</v>
      </c>
      <c r="G1556" t="s">
        <v>4869</v>
      </c>
      <c r="H1556" t="s">
        <v>4884</v>
      </c>
      <c r="I1556" t="s">
        <v>4897</v>
      </c>
      <c r="J1556" t="s">
        <v>4907</v>
      </c>
      <c r="K1556" t="s">
        <v>4927</v>
      </c>
      <c r="L1556" t="s">
        <v>4941</v>
      </c>
      <c r="M1556" t="s">
        <v>4944</v>
      </c>
      <c r="N1556" s="11">
        <v>19825.04</v>
      </c>
      <c r="O1556" t="s">
        <v>4950</v>
      </c>
      <c r="P1556" t="s">
        <v>4951</v>
      </c>
      <c r="R1556">
        <v>90</v>
      </c>
      <c r="S1556" t="str">
        <f t="shared" si="72"/>
        <v>Middle-Aged</v>
      </c>
      <c r="T1556" t="str">
        <f t="shared" si="73"/>
        <v>High</v>
      </c>
      <c r="U1556" t="str">
        <f t="shared" si="74"/>
        <v>Short Days</v>
      </c>
    </row>
    <row r="1557" spans="1:21">
      <c r="A1557" t="s">
        <v>1573</v>
      </c>
      <c r="B1557" s="5">
        <v>45611</v>
      </c>
      <c r="C1557" t="s">
        <v>4107</v>
      </c>
      <c r="D1557" t="s">
        <v>4854</v>
      </c>
      <c r="E1557" t="s">
        <v>4867</v>
      </c>
      <c r="F1557">
        <v>48</v>
      </c>
      <c r="G1557" t="s">
        <v>4878</v>
      </c>
      <c r="H1557" t="s">
        <v>4889</v>
      </c>
      <c r="I1557" t="s">
        <v>4895</v>
      </c>
      <c r="J1557" t="s">
        <v>4905</v>
      </c>
      <c r="K1557" t="s">
        <v>4930</v>
      </c>
      <c r="L1557" t="s">
        <v>4937</v>
      </c>
      <c r="M1557" t="s">
        <v>4942</v>
      </c>
      <c r="N1557" s="11">
        <v>2614.73</v>
      </c>
      <c r="O1557" t="s">
        <v>4946</v>
      </c>
      <c r="P1557" t="s">
        <v>4951</v>
      </c>
      <c r="R1557">
        <v>7</v>
      </c>
      <c r="S1557" t="str">
        <f t="shared" si="72"/>
        <v>Middle-Aged</v>
      </c>
      <c r="T1557" t="str">
        <f t="shared" si="73"/>
        <v>Low</v>
      </c>
      <c r="U1557" t="str">
        <f t="shared" si="74"/>
        <v>Short Days</v>
      </c>
    </row>
    <row r="1558" spans="1:21">
      <c r="A1558" t="s">
        <v>1574</v>
      </c>
      <c r="B1558" s="5">
        <v>45337</v>
      </c>
      <c r="C1558" t="s">
        <v>3859</v>
      </c>
      <c r="D1558" t="s">
        <v>4612</v>
      </c>
      <c r="E1558" t="s">
        <v>4867</v>
      </c>
      <c r="F1558">
        <v>33</v>
      </c>
      <c r="G1558" t="s">
        <v>4883</v>
      </c>
      <c r="H1558" t="s">
        <v>4892</v>
      </c>
      <c r="I1558" t="s">
        <v>4901</v>
      </c>
      <c r="J1558" t="s">
        <v>4914</v>
      </c>
      <c r="K1558" t="s">
        <v>4924</v>
      </c>
      <c r="L1558" t="s">
        <v>4940</v>
      </c>
      <c r="M1558" t="s">
        <v>4942</v>
      </c>
      <c r="N1558" s="11">
        <v>711.66</v>
      </c>
      <c r="O1558" t="s">
        <v>4946</v>
      </c>
      <c r="P1558" t="s">
        <v>4951</v>
      </c>
      <c r="R1558">
        <v>7</v>
      </c>
      <c r="S1558" t="str">
        <f t="shared" si="72"/>
        <v>Adult</v>
      </c>
      <c r="T1558" t="str">
        <f t="shared" si="73"/>
        <v>Low</v>
      </c>
      <c r="U1558" t="str">
        <f t="shared" si="74"/>
        <v>Short Days</v>
      </c>
    </row>
    <row r="1559" spans="1:21">
      <c r="A1559" t="s">
        <v>1575</v>
      </c>
      <c r="B1559" s="5">
        <v>45596</v>
      </c>
      <c r="C1559" t="s">
        <v>4108</v>
      </c>
      <c r="D1559" t="s">
        <v>4785</v>
      </c>
      <c r="E1559" t="s">
        <v>4866</v>
      </c>
      <c r="F1559">
        <v>71</v>
      </c>
      <c r="G1559" t="s">
        <v>4881</v>
      </c>
      <c r="H1559" t="s">
        <v>4881</v>
      </c>
      <c r="I1559" t="s">
        <v>4893</v>
      </c>
      <c r="J1559" t="s">
        <v>4903</v>
      </c>
      <c r="K1559" t="s">
        <v>4932</v>
      </c>
      <c r="L1559" t="s">
        <v>4937</v>
      </c>
      <c r="M1559" t="s">
        <v>4942</v>
      </c>
      <c r="N1559" s="11">
        <v>9208.61</v>
      </c>
      <c r="O1559" t="s">
        <v>4946</v>
      </c>
      <c r="P1559" t="s">
        <v>4951</v>
      </c>
      <c r="R1559">
        <v>7</v>
      </c>
      <c r="S1559" t="str">
        <f t="shared" si="72"/>
        <v>Senior</v>
      </c>
      <c r="T1559" t="str">
        <f t="shared" si="73"/>
        <v>Medium</v>
      </c>
      <c r="U1559" t="str">
        <f t="shared" si="74"/>
        <v>Short Days</v>
      </c>
    </row>
    <row r="1560" spans="1:21">
      <c r="A1560" t="s">
        <v>1576</v>
      </c>
      <c r="B1560" s="5">
        <v>45835</v>
      </c>
      <c r="C1560" t="s">
        <v>3595</v>
      </c>
      <c r="D1560" t="s">
        <v>4629</v>
      </c>
      <c r="E1560" t="s">
        <v>4867</v>
      </c>
      <c r="F1560">
        <v>0</v>
      </c>
      <c r="G1560" t="s">
        <v>4872</v>
      </c>
      <c r="H1560" t="s">
        <v>4887</v>
      </c>
      <c r="I1560" t="s">
        <v>4899</v>
      </c>
      <c r="J1560" t="s">
        <v>4911</v>
      </c>
      <c r="K1560" t="s">
        <v>4927</v>
      </c>
      <c r="L1560" t="s">
        <v>4941</v>
      </c>
      <c r="M1560" t="s">
        <v>4944</v>
      </c>
      <c r="N1560" s="11">
        <v>12252.79</v>
      </c>
      <c r="O1560" t="s">
        <v>15</v>
      </c>
      <c r="P1560" t="s">
        <v>4952</v>
      </c>
      <c r="S1560" t="str">
        <f t="shared" si="72"/>
        <v>Child</v>
      </c>
      <c r="T1560" t="str">
        <f t="shared" si="73"/>
        <v>High</v>
      </c>
      <c r="U1560" t="str">
        <f t="shared" si="74"/>
        <v>Short Days</v>
      </c>
    </row>
    <row r="1561" spans="1:21">
      <c r="A1561" t="s">
        <v>1577</v>
      </c>
      <c r="B1561" s="5">
        <v>45378</v>
      </c>
      <c r="C1561" t="s">
        <v>4109</v>
      </c>
      <c r="D1561" t="s">
        <v>4664</v>
      </c>
      <c r="E1561" t="s">
        <v>4867</v>
      </c>
      <c r="F1561">
        <v>33</v>
      </c>
      <c r="G1561" t="s">
        <v>4873</v>
      </c>
      <c r="H1561" t="s">
        <v>4888</v>
      </c>
      <c r="I1561" t="s">
        <v>4894</v>
      </c>
      <c r="J1561" t="s">
        <v>4910</v>
      </c>
      <c r="K1561" t="s">
        <v>4924</v>
      </c>
      <c r="L1561" t="s">
        <v>4939</v>
      </c>
      <c r="M1561" t="s">
        <v>4942</v>
      </c>
      <c r="N1561" s="11">
        <v>6633.01</v>
      </c>
      <c r="O1561" t="s">
        <v>4946</v>
      </c>
      <c r="P1561" t="s">
        <v>4951</v>
      </c>
      <c r="S1561" t="str">
        <f t="shared" si="72"/>
        <v>Adult</v>
      </c>
      <c r="T1561" t="str">
        <f t="shared" si="73"/>
        <v>Medium</v>
      </c>
      <c r="U1561" t="str">
        <f t="shared" si="74"/>
        <v>Short Days</v>
      </c>
    </row>
    <row r="1562" spans="1:21">
      <c r="A1562" t="s">
        <v>1578</v>
      </c>
      <c r="B1562" s="5">
        <v>45756</v>
      </c>
      <c r="C1562" t="s">
        <v>4110</v>
      </c>
      <c r="D1562" t="s">
        <v>4736</v>
      </c>
      <c r="E1562" t="s">
        <v>4867</v>
      </c>
      <c r="F1562">
        <v>48</v>
      </c>
      <c r="G1562" t="s">
        <v>4870</v>
      </c>
      <c r="H1562" t="s">
        <v>4885</v>
      </c>
      <c r="I1562" t="s">
        <v>4897</v>
      </c>
      <c r="J1562" t="s">
        <v>4922</v>
      </c>
      <c r="K1562" t="s">
        <v>4931</v>
      </c>
      <c r="L1562" t="s">
        <v>4938</v>
      </c>
      <c r="M1562" t="s">
        <v>4943</v>
      </c>
      <c r="N1562" s="11">
        <v>17689.52</v>
      </c>
      <c r="O1562" t="s">
        <v>4947</v>
      </c>
      <c r="P1562" t="s">
        <v>4951</v>
      </c>
      <c r="R1562">
        <v>14</v>
      </c>
      <c r="S1562" t="str">
        <f t="shared" si="72"/>
        <v>Middle-Aged</v>
      </c>
      <c r="T1562" t="str">
        <f t="shared" si="73"/>
        <v>High</v>
      </c>
      <c r="U1562" t="str">
        <f t="shared" si="74"/>
        <v>Short Days</v>
      </c>
    </row>
    <row r="1563" spans="1:21">
      <c r="A1563" t="s">
        <v>1579</v>
      </c>
      <c r="B1563" s="5">
        <v>45404</v>
      </c>
      <c r="C1563" t="s">
        <v>3342</v>
      </c>
      <c r="D1563" t="s">
        <v>4830</v>
      </c>
      <c r="E1563" t="s">
        <v>4867</v>
      </c>
      <c r="F1563">
        <v>57</v>
      </c>
      <c r="G1563" t="s">
        <v>4879</v>
      </c>
      <c r="H1563" t="s">
        <v>4888</v>
      </c>
      <c r="I1563" t="s">
        <v>4898</v>
      </c>
      <c r="J1563" t="s">
        <v>4918</v>
      </c>
      <c r="K1563" t="s">
        <v>4928</v>
      </c>
      <c r="L1563" t="s">
        <v>4937</v>
      </c>
      <c r="M1563" t="s">
        <v>4944</v>
      </c>
      <c r="N1563" s="11">
        <v>6651.1</v>
      </c>
      <c r="O1563" t="s">
        <v>4946</v>
      </c>
      <c r="P1563" t="s">
        <v>4951</v>
      </c>
      <c r="R1563">
        <v>30</v>
      </c>
      <c r="S1563" t="str">
        <f t="shared" si="72"/>
        <v>Middle-Aged</v>
      </c>
      <c r="T1563" t="str">
        <f t="shared" si="73"/>
        <v>Medium</v>
      </c>
      <c r="U1563" t="str">
        <f t="shared" si="74"/>
        <v>Short Days</v>
      </c>
    </row>
    <row r="1564" spans="1:21">
      <c r="A1564" t="s">
        <v>1580</v>
      </c>
      <c r="B1564" s="5">
        <v>45489</v>
      </c>
      <c r="C1564" t="s">
        <v>3917</v>
      </c>
      <c r="D1564" t="s">
        <v>4835</v>
      </c>
      <c r="E1564" t="s">
        <v>4866</v>
      </c>
      <c r="F1564">
        <v>32</v>
      </c>
      <c r="G1564" t="s">
        <v>4882</v>
      </c>
      <c r="H1564" t="s">
        <v>4891</v>
      </c>
      <c r="I1564" t="s">
        <v>4894</v>
      </c>
      <c r="J1564" t="s">
        <v>4910</v>
      </c>
      <c r="K1564" t="s">
        <v>4925</v>
      </c>
      <c r="L1564" t="s">
        <v>4939</v>
      </c>
      <c r="M1564" t="s">
        <v>4944</v>
      </c>
      <c r="N1564" s="11">
        <v>6243.94</v>
      </c>
      <c r="O1564" t="s">
        <v>4947</v>
      </c>
      <c r="P1564" t="s">
        <v>4951</v>
      </c>
      <c r="R1564">
        <v>14</v>
      </c>
      <c r="S1564" t="str">
        <f t="shared" si="72"/>
        <v>Adult</v>
      </c>
      <c r="T1564" t="str">
        <f t="shared" si="73"/>
        <v>Medium</v>
      </c>
      <c r="U1564" t="str">
        <f t="shared" si="74"/>
        <v>Short Days</v>
      </c>
    </row>
    <row r="1565" spans="1:21">
      <c r="A1565" t="s">
        <v>1581</v>
      </c>
      <c r="B1565" s="5">
        <v>45570</v>
      </c>
      <c r="C1565" t="s">
        <v>3483</v>
      </c>
      <c r="D1565" t="s">
        <v>4845</v>
      </c>
      <c r="E1565" t="s">
        <v>4866</v>
      </c>
      <c r="F1565">
        <v>37</v>
      </c>
      <c r="G1565" t="s">
        <v>4869</v>
      </c>
      <c r="H1565" t="s">
        <v>4884</v>
      </c>
      <c r="I1565" t="s">
        <v>4893</v>
      </c>
      <c r="J1565" t="s">
        <v>4917</v>
      </c>
      <c r="K1565" t="s">
        <v>4928</v>
      </c>
      <c r="L1565" t="s">
        <v>4939</v>
      </c>
      <c r="M1565" t="s">
        <v>4945</v>
      </c>
      <c r="N1565" s="11">
        <v>5686.08</v>
      </c>
      <c r="O1565" t="s">
        <v>15</v>
      </c>
      <c r="P1565" t="s">
        <v>4952</v>
      </c>
      <c r="Q1565">
        <v>6</v>
      </c>
      <c r="R1565">
        <v>90</v>
      </c>
      <c r="S1565" t="str">
        <f t="shared" si="72"/>
        <v>Adult</v>
      </c>
      <c r="T1565" t="str">
        <f t="shared" si="73"/>
        <v>Medium</v>
      </c>
      <c r="U1565" t="str">
        <f t="shared" si="74"/>
        <v>Long Days</v>
      </c>
    </row>
    <row r="1566" spans="1:21">
      <c r="A1566" t="s">
        <v>1582</v>
      </c>
      <c r="B1566" s="5">
        <v>45914</v>
      </c>
      <c r="C1566" t="s">
        <v>4111</v>
      </c>
      <c r="D1566" t="s">
        <v>4777</v>
      </c>
      <c r="E1566" t="s">
        <v>4867</v>
      </c>
      <c r="F1566">
        <v>54</v>
      </c>
      <c r="G1566" t="s">
        <v>4882</v>
      </c>
      <c r="H1566" t="s">
        <v>4891</v>
      </c>
      <c r="I1566" t="s">
        <v>4897</v>
      </c>
      <c r="J1566" t="s">
        <v>4907</v>
      </c>
      <c r="K1566" t="s">
        <v>4926</v>
      </c>
      <c r="L1566" t="s">
        <v>4940</v>
      </c>
      <c r="M1566" t="s">
        <v>4944</v>
      </c>
      <c r="N1566" s="11">
        <v>5731.98</v>
      </c>
      <c r="O1566" t="s">
        <v>4948</v>
      </c>
      <c r="P1566" t="s">
        <v>4951</v>
      </c>
      <c r="S1566" t="str">
        <f t="shared" si="72"/>
        <v>Middle-Aged</v>
      </c>
      <c r="T1566" t="str">
        <f t="shared" si="73"/>
        <v>Medium</v>
      </c>
      <c r="U1566" t="str">
        <f t="shared" si="74"/>
        <v>Short Days</v>
      </c>
    </row>
    <row r="1567" spans="1:21">
      <c r="A1567" t="s">
        <v>1583</v>
      </c>
      <c r="B1567" s="5">
        <v>45499</v>
      </c>
      <c r="C1567" t="s">
        <v>4112</v>
      </c>
      <c r="D1567" t="s">
        <v>4752</v>
      </c>
      <c r="E1567" t="s">
        <v>4866</v>
      </c>
      <c r="F1567">
        <v>41</v>
      </c>
      <c r="G1567" t="s">
        <v>4873</v>
      </c>
      <c r="H1567" t="s">
        <v>4888</v>
      </c>
      <c r="I1567" t="s">
        <v>4902</v>
      </c>
      <c r="J1567" t="s">
        <v>4920</v>
      </c>
      <c r="K1567" t="s">
        <v>4930</v>
      </c>
      <c r="L1567" t="s">
        <v>4941</v>
      </c>
      <c r="M1567" t="s">
        <v>4942</v>
      </c>
      <c r="N1567" s="11">
        <v>958.3</v>
      </c>
      <c r="O1567" t="s">
        <v>4946</v>
      </c>
      <c r="P1567" t="s">
        <v>4951</v>
      </c>
      <c r="R1567">
        <v>7</v>
      </c>
      <c r="S1567" t="str">
        <f t="shared" si="72"/>
        <v>Middle-Aged</v>
      </c>
      <c r="T1567" t="str">
        <f t="shared" si="73"/>
        <v>Low</v>
      </c>
      <c r="U1567" t="str">
        <f t="shared" si="74"/>
        <v>Short Days</v>
      </c>
    </row>
    <row r="1568" spans="1:21">
      <c r="A1568" t="s">
        <v>1584</v>
      </c>
      <c r="B1568" s="5">
        <v>45853</v>
      </c>
      <c r="C1568" t="s">
        <v>4113</v>
      </c>
      <c r="D1568" t="s">
        <v>4799</v>
      </c>
      <c r="E1568" t="s">
        <v>4867</v>
      </c>
      <c r="F1568">
        <v>23</v>
      </c>
      <c r="G1568" t="s">
        <v>4878</v>
      </c>
      <c r="H1568" t="s">
        <v>4889</v>
      </c>
      <c r="I1568" t="s">
        <v>4895</v>
      </c>
      <c r="J1568" t="s">
        <v>4915</v>
      </c>
      <c r="K1568" t="s">
        <v>4930</v>
      </c>
      <c r="L1568" t="s">
        <v>4935</v>
      </c>
      <c r="M1568" t="s">
        <v>4942</v>
      </c>
      <c r="N1568" s="11">
        <v>7462.2</v>
      </c>
      <c r="O1568" t="s">
        <v>15</v>
      </c>
      <c r="P1568" t="s">
        <v>4952</v>
      </c>
      <c r="R1568">
        <v>30</v>
      </c>
      <c r="S1568" t="str">
        <f t="shared" si="72"/>
        <v>Adult</v>
      </c>
      <c r="T1568" t="str">
        <f t="shared" si="73"/>
        <v>Medium</v>
      </c>
      <c r="U1568" t="str">
        <f t="shared" si="74"/>
        <v>Short Days</v>
      </c>
    </row>
    <row r="1569" spans="1:21">
      <c r="A1569" t="s">
        <v>1585</v>
      </c>
      <c r="B1569" s="5">
        <v>45829</v>
      </c>
      <c r="C1569" t="s">
        <v>4114</v>
      </c>
      <c r="D1569" t="s">
        <v>4648</v>
      </c>
      <c r="E1569" t="s">
        <v>4867</v>
      </c>
      <c r="F1569">
        <v>39</v>
      </c>
      <c r="G1569" t="s">
        <v>4869</v>
      </c>
      <c r="H1569" t="s">
        <v>4884</v>
      </c>
      <c r="I1569" t="s">
        <v>4895</v>
      </c>
      <c r="J1569" t="s">
        <v>4915</v>
      </c>
      <c r="K1569" t="s">
        <v>4925</v>
      </c>
      <c r="L1569" t="s">
        <v>4936</v>
      </c>
      <c r="M1569" t="s">
        <v>4942</v>
      </c>
      <c r="N1569" s="11">
        <v>961.17</v>
      </c>
      <c r="O1569" t="s">
        <v>4949</v>
      </c>
      <c r="P1569" t="s">
        <v>4951</v>
      </c>
      <c r="S1569" t="str">
        <f t="shared" si="72"/>
        <v>Adult</v>
      </c>
      <c r="T1569" t="str">
        <f t="shared" si="73"/>
        <v>Low</v>
      </c>
      <c r="U1569" t="str">
        <f t="shared" si="74"/>
        <v>Short Days</v>
      </c>
    </row>
    <row r="1570" spans="1:21">
      <c r="A1570" t="s">
        <v>1586</v>
      </c>
      <c r="B1570" s="5">
        <v>45589</v>
      </c>
      <c r="C1570" t="s">
        <v>4115</v>
      </c>
      <c r="D1570" t="s">
        <v>4652</v>
      </c>
      <c r="E1570" t="s">
        <v>4866</v>
      </c>
      <c r="F1570">
        <v>49</v>
      </c>
      <c r="G1570" t="s">
        <v>4877</v>
      </c>
      <c r="H1570" t="s">
        <v>4888</v>
      </c>
      <c r="I1570" t="s">
        <v>4896</v>
      </c>
      <c r="J1570" t="s">
        <v>4908</v>
      </c>
      <c r="K1570" t="s">
        <v>4925</v>
      </c>
      <c r="L1570" t="s">
        <v>4941</v>
      </c>
      <c r="M1570" t="s">
        <v>4944</v>
      </c>
      <c r="N1570" s="11">
        <v>7004.69</v>
      </c>
      <c r="O1570" t="s">
        <v>4948</v>
      </c>
      <c r="P1570" t="s">
        <v>4951</v>
      </c>
      <c r="R1570">
        <v>30</v>
      </c>
      <c r="S1570" t="str">
        <f t="shared" si="72"/>
        <v>Middle-Aged</v>
      </c>
      <c r="T1570" t="str">
        <f t="shared" si="73"/>
        <v>Medium</v>
      </c>
      <c r="U1570" t="str">
        <f t="shared" si="74"/>
        <v>Short Days</v>
      </c>
    </row>
    <row r="1571" spans="1:21">
      <c r="A1571" t="s">
        <v>1587</v>
      </c>
      <c r="B1571" s="5">
        <v>45868</v>
      </c>
      <c r="C1571" t="s">
        <v>3961</v>
      </c>
      <c r="D1571" t="s">
        <v>4694</v>
      </c>
      <c r="E1571" t="s">
        <v>4867</v>
      </c>
      <c r="F1571">
        <v>16</v>
      </c>
      <c r="G1571" t="s">
        <v>4878</v>
      </c>
      <c r="H1571" t="s">
        <v>4889</v>
      </c>
      <c r="I1571" t="s">
        <v>4901</v>
      </c>
      <c r="J1571" t="s">
        <v>4921</v>
      </c>
      <c r="K1571" t="s">
        <v>4927</v>
      </c>
      <c r="L1571" t="s">
        <v>4938</v>
      </c>
      <c r="M1571" t="s">
        <v>4942</v>
      </c>
      <c r="N1571" s="11">
        <v>9912.23</v>
      </c>
      <c r="O1571" t="s">
        <v>4947</v>
      </c>
      <c r="P1571" t="s">
        <v>4951</v>
      </c>
      <c r="R1571">
        <v>30</v>
      </c>
      <c r="S1571" t="str">
        <f t="shared" si="72"/>
        <v>Child</v>
      </c>
      <c r="T1571" t="str">
        <f t="shared" si="73"/>
        <v>Medium</v>
      </c>
      <c r="U1571" t="str">
        <f t="shared" si="74"/>
        <v>Short Days</v>
      </c>
    </row>
    <row r="1572" spans="1:21">
      <c r="A1572" t="s">
        <v>1588</v>
      </c>
      <c r="B1572" s="5">
        <v>45364</v>
      </c>
      <c r="C1572" t="s">
        <v>4116</v>
      </c>
      <c r="D1572" t="s">
        <v>4697</v>
      </c>
      <c r="E1572" t="s">
        <v>4867</v>
      </c>
      <c r="F1572">
        <v>27</v>
      </c>
      <c r="G1572" t="s">
        <v>4874</v>
      </c>
      <c r="H1572" t="s">
        <v>4886</v>
      </c>
      <c r="I1572" t="s">
        <v>4893</v>
      </c>
      <c r="J1572" t="s">
        <v>4917</v>
      </c>
      <c r="K1572" t="s">
        <v>4926</v>
      </c>
      <c r="L1572" t="s">
        <v>4938</v>
      </c>
      <c r="M1572" t="s">
        <v>4944</v>
      </c>
      <c r="N1572" s="11">
        <v>5951.72</v>
      </c>
      <c r="O1572" t="s">
        <v>15</v>
      </c>
      <c r="P1572" t="s">
        <v>4952</v>
      </c>
      <c r="R1572">
        <v>90</v>
      </c>
      <c r="S1572" t="str">
        <f t="shared" si="72"/>
        <v>Adult</v>
      </c>
      <c r="T1572" t="str">
        <f t="shared" si="73"/>
        <v>Medium</v>
      </c>
      <c r="U1572" t="str">
        <f t="shared" si="74"/>
        <v>Short Days</v>
      </c>
    </row>
    <row r="1573" spans="1:21">
      <c r="A1573" t="s">
        <v>1589</v>
      </c>
      <c r="B1573" s="5">
        <v>45426</v>
      </c>
      <c r="C1573" t="s">
        <v>3946</v>
      </c>
      <c r="D1573" t="s">
        <v>4655</v>
      </c>
      <c r="E1573" t="s">
        <v>4866</v>
      </c>
      <c r="F1573">
        <v>0</v>
      </c>
      <c r="G1573" t="s">
        <v>4873</v>
      </c>
      <c r="H1573" t="s">
        <v>4888</v>
      </c>
      <c r="I1573" t="s">
        <v>4897</v>
      </c>
      <c r="J1573" t="s">
        <v>4922</v>
      </c>
      <c r="K1573" t="s">
        <v>4926</v>
      </c>
      <c r="L1573" t="s">
        <v>4938</v>
      </c>
      <c r="M1573" t="s">
        <v>4942</v>
      </c>
      <c r="N1573" s="11">
        <v>587.41999999999996</v>
      </c>
      <c r="O1573" t="s">
        <v>4946</v>
      </c>
      <c r="P1573" t="s">
        <v>4951</v>
      </c>
      <c r="S1573" t="str">
        <f t="shared" si="72"/>
        <v>Child</v>
      </c>
      <c r="T1573" t="str">
        <f t="shared" si="73"/>
        <v>Low</v>
      </c>
      <c r="U1573" t="str">
        <f t="shared" si="74"/>
        <v>Short Days</v>
      </c>
    </row>
    <row r="1574" spans="1:21">
      <c r="A1574" t="s">
        <v>1590</v>
      </c>
      <c r="B1574" s="5">
        <v>45602</v>
      </c>
      <c r="C1574" t="s">
        <v>4117</v>
      </c>
      <c r="D1574" t="s">
        <v>4691</v>
      </c>
      <c r="E1574" t="s">
        <v>4867</v>
      </c>
      <c r="F1574">
        <v>44</v>
      </c>
      <c r="G1574" t="s">
        <v>4875</v>
      </c>
      <c r="H1574" t="s">
        <v>4889</v>
      </c>
      <c r="I1574" t="s">
        <v>4896</v>
      </c>
      <c r="J1574" t="s">
        <v>4908</v>
      </c>
      <c r="K1574" t="s">
        <v>4925</v>
      </c>
      <c r="L1574" t="s">
        <v>4934</v>
      </c>
      <c r="M1574" t="s">
        <v>4944</v>
      </c>
      <c r="N1574" s="11">
        <v>21924.58</v>
      </c>
      <c r="O1574" t="s">
        <v>4947</v>
      </c>
      <c r="P1574" t="s">
        <v>4951</v>
      </c>
      <c r="R1574">
        <v>30</v>
      </c>
      <c r="S1574" t="str">
        <f t="shared" si="72"/>
        <v>Middle-Aged</v>
      </c>
      <c r="T1574" t="str">
        <f t="shared" si="73"/>
        <v>High</v>
      </c>
      <c r="U1574" t="str">
        <f t="shared" si="74"/>
        <v>Short Days</v>
      </c>
    </row>
    <row r="1575" spans="1:21">
      <c r="A1575" t="s">
        <v>1591</v>
      </c>
      <c r="B1575" s="5">
        <v>45551</v>
      </c>
      <c r="C1575" t="s">
        <v>3110</v>
      </c>
      <c r="D1575" t="s">
        <v>4635</v>
      </c>
      <c r="E1575" t="s">
        <v>4867</v>
      </c>
      <c r="F1575">
        <v>42</v>
      </c>
      <c r="G1575" t="s">
        <v>4878</v>
      </c>
      <c r="H1575" t="s">
        <v>4889</v>
      </c>
      <c r="I1575" t="s">
        <v>4901</v>
      </c>
      <c r="J1575" t="s">
        <v>4921</v>
      </c>
      <c r="K1575" t="s">
        <v>4931</v>
      </c>
      <c r="L1575" t="s">
        <v>4934</v>
      </c>
      <c r="M1575" t="s">
        <v>4942</v>
      </c>
      <c r="N1575" s="11">
        <v>899.3</v>
      </c>
      <c r="O1575" t="s">
        <v>4948</v>
      </c>
      <c r="P1575" t="s">
        <v>4951</v>
      </c>
      <c r="R1575">
        <v>30</v>
      </c>
      <c r="S1575" t="str">
        <f t="shared" si="72"/>
        <v>Middle-Aged</v>
      </c>
      <c r="T1575" t="str">
        <f t="shared" si="73"/>
        <v>Low</v>
      </c>
      <c r="U1575" t="str">
        <f t="shared" si="74"/>
        <v>Short Days</v>
      </c>
    </row>
    <row r="1576" spans="1:21">
      <c r="A1576" t="s">
        <v>1592</v>
      </c>
      <c r="B1576" s="5">
        <v>45827</v>
      </c>
      <c r="C1576" t="s">
        <v>4118</v>
      </c>
      <c r="D1576" t="s">
        <v>4694</v>
      </c>
      <c r="E1576" t="s">
        <v>4867</v>
      </c>
      <c r="F1576">
        <v>31</v>
      </c>
      <c r="G1576" t="s">
        <v>4882</v>
      </c>
      <c r="H1576" t="s">
        <v>4891</v>
      </c>
      <c r="I1576" t="s">
        <v>4893</v>
      </c>
      <c r="J1576" t="s">
        <v>4917</v>
      </c>
      <c r="K1576" t="s">
        <v>4929</v>
      </c>
      <c r="L1576" t="s">
        <v>4935</v>
      </c>
      <c r="M1576" t="s">
        <v>4944</v>
      </c>
      <c r="N1576" s="11">
        <v>14067.96</v>
      </c>
      <c r="O1576" t="s">
        <v>4949</v>
      </c>
      <c r="P1576" t="s">
        <v>4951</v>
      </c>
      <c r="S1576" t="str">
        <f t="shared" si="72"/>
        <v>Adult</v>
      </c>
      <c r="T1576" t="str">
        <f t="shared" si="73"/>
        <v>High</v>
      </c>
      <c r="U1576" t="str">
        <f t="shared" si="74"/>
        <v>Short Days</v>
      </c>
    </row>
    <row r="1577" spans="1:21">
      <c r="A1577" t="s">
        <v>1593</v>
      </c>
      <c r="B1577" s="5">
        <v>45558</v>
      </c>
      <c r="C1577" t="s">
        <v>3604</v>
      </c>
      <c r="D1577" t="s">
        <v>4712</v>
      </c>
      <c r="E1577" t="s">
        <v>4866</v>
      </c>
      <c r="F1577">
        <v>33</v>
      </c>
      <c r="G1577" t="s">
        <v>4870</v>
      </c>
      <c r="H1577" t="s">
        <v>4885</v>
      </c>
      <c r="I1577" t="s">
        <v>4897</v>
      </c>
      <c r="J1577" t="s">
        <v>4907</v>
      </c>
      <c r="K1577" t="s">
        <v>4928</v>
      </c>
      <c r="L1577" t="s">
        <v>4941</v>
      </c>
      <c r="M1577" t="s">
        <v>4942</v>
      </c>
      <c r="N1577" s="11">
        <v>9251.3700000000008</v>
      </c>
      <c r="O1577" t="s">
        <v>4947</v>
      </c>
      <c r="P1577" t="s">
        <v>4951</v>
      </c>
      <c r="S1577" t="str">
        <f t="shared" si="72"/>
        <v>Adult</v>
      </c>
      <c r="T1577" t="str">
        <f t="shared" si="73"/>
        <v>Medium</v>
      </c>
      <c r="U1577" t="str">
        <f t="shared" si="74"/>
        <v>Short Days</v>
      </c>
    </row>
    <row r="1578" spans="1:21">
      <c r="A1578" t="s">
        <v>1594</v>
      </c>
      <c r="B1578" s="5">
        <v>45293</v>
      </c>
      <c r="C1578" t="s">
        <v>4119</v>
      </c>
      <c r="D1578" t="s">
        <v>4609</v>
      </c>
      <c r="E1578" t="s">
        <v>4867</v>
      </c>
      <c r="F1578">
        <v>46</v>
      </c>
      <c r="G1578" t="s">
        <v>4876</v>
      </c>
      <c r="H1578" t="s">
        <v>4888</v>
      </c>
      <c r="I1578" t="s">
        <v>4893</v>
      </c>
      <c r="J1578" t="s">
        <v>4903</v>
      </c>
      <c r="K1578" t="s">
        <v>4928</v>
      </c>
      <c r="L1578" t="s">
        <v>4934</v>
      </c>
      <c r="M1578" t="s">
        <v>4944</v>
      </c>
      <c r="N1578" s="11">
        <v>23236.5</v>
      </c>
      <c r="O1578" t="s">
        <v>4948</v>
      </c>
      <c r="P1578" t="s">
        <v>4951</v>
      </c>
      <c r="S1578" t="str">
        <f t="shared" si="72"/>
        <v>Middle-Aged</v>
      </c>
      <c r="T1578" t="str">
        <f t="shared" si="73"/>
        <v>High</v>
      </c>
      <c r="U1578" t="str">
        <f t="shared" si="74"/>
        <v>Short Days</v>
      </c>
    </row>
    <row r="1579" spans="1:21">
      <c r="A1579" t="s">
        <v>1595</v>
      </c>
      <c r="B1579" s="5">
        <v>45338</v>
      </c>
      <c r="C1579" t="s">
        <v>3637</v>
      </c>
      <c r="D1579" t="s">
        <v>4622</v>
      </c>
      <c r="E1579" t="s">
        <v>4866</v>
      </c>
      <c r="F1579">
        <v>40</v>
      </c>
      <c r="G1579" t="s">
        <v>4879</v>
      </c>
      <c r="H1579" t="s">
        <v>4888</v>
      </c>
      <c r="I1579" t="s">
        <v>4900</v>
      </c>
      <c r="J1579" t="s">
        <v>4919</v>
      </c>
      <c r="K1579" t="s">
        <v>4929</v>
      </c>
      <c r="L1579" t="s">
        <v>4940</v>
      </c>
      <c r="M1579" t="s">
        <v>4942</v>
      </c>
      <c r="N1579" s="11">
        <v>9300.07</v>
      </c>
      <c r="O1579" t="s">
        <v>15</v>
      </c>
      <c r="P1579" t="s">
        <v>4952</v>
      </c>
      <c r="R1579">
        <v>30</v>
      </c>
      <c r="S1579" t="str">
        <f t="shared" si="72"/>
        <v>Adult</v>
      </c>
      <c r="T1579" t="str">
        <f t="shared" si="73"/>
        <v>Medium</v>
      </c>
      <c r="U1579" t="str">
        <f t="shared" si="74"/>
        <v>Short Days</v>
      </c>
    </row>
    <row r="1580" spans="1:21">
      <c r="A1580" t="s">
        <v>1596</v>
      </c>
      <c r="B1580" s="5">
        <v>45499</v>
      </c>
      <c r="C1580" t="s">
        <v>4094</v>
      </c>
      <c r="D1580" t="s">
        <v>4773</v>
      </c>
      <c r="E1580" t="s">
        <v>4866</v>
      </c>
      <c r="F1580">
        <v>51</v>
      </c>
      <c r="G1580" t="s">
        <v>4876</v>
      </c>
      <c r="H1580" t="s">
        <v>4888</v>
      </c>
      <c r="I1580" t="s">
        <v>4898</v>
      </c>
      <c r="J1580" t="s">
        <v>4918</v>
      </c>
      <c r="K1580" t="s">
        <v>4928</v>
      </c>
      <c r="L1580" t="s">
        <v>4937</v>
      </c>
      <c r="M1580" t="s">
        <v>4944</v>
      </c>
      <c r="N1580" s="11">
        <v>7982.74</v>
      </c>
      <c r="O1580" t="s">
        <v>4949</v>
      </c>
      <c r="P1580" t="s">
        <v>4951</v>
      </c>
      <c r="R1580">
        <v>14</v>
      </c>
      <c r="S1580" t="str">
        <f t="shared" si="72"/>
        <v>Middle-Aged</v>
      </c>
      <c r="T1580" t="str">
        <f t="shared" si="73"/>
        <v>Medium</v>
      </c>
      <c r="U1580" t="str">
        <f t="shared" si="74"/>
        <v>Short Days</v>
      </c>
    </row>
    <row r="1581" spans="1:21">
      <c r="A1581" t="s">
        <v>1597</v>
      </c>
      <c r="B1581" s="5">
        <v>45359</v>
      </c>
      <c r="C1581" t="s">
        <v>3618</v>
      </c>
      <c r="D1581" t="s">
        <v>4699</v>
      </c>
      <c r="E1581" t="s">
        <v>4867</v>
      </c>
      <c r="F1581">
        <v>42</v>
      </c>
      <c r="G1581" t="s">
        <v>4878</v>
      </c>
      <c r="H1581" t="s">
        <v>4889</v>
      </c>
      <c r="I1581" t="s">
        <v>4894</v>
      </c>
      <c r="J1581" t="s">
        <v>4904</v>
      </c>
      <c r="K1581" t="s">
        <v>4928</v>
      </c>
      <c r="L1581" t="s">
        <v>4934</v>
      </c>
      <c r="M1581" t="s">
        <v>4942</v>
      </c>
      <c r="N1581" s="11">
        <v>3487.9</v>
      </c>
      <c r="O1581" t="s">
        <v>4950</v>
      </c>
      <c r="P1581" t="s">
        <v>4951</v>
      </c>
      <c r="R1581">
        <v>30</v>
      </c>
      <c r="S1581" t="str">
        <f t="shared" si="72"/>
        <v>Middle-Aged</v>
      </c>
      <c r="T1581" t="str">
        <f t="shared" si="73"/>
        <v>Low</v>
      </c>
      <c r="U1581" t="str">
        <f t="shared" si="74"/>
        <v>Short Days</v>
      </c>
    </row>
    <row r="1582" spans="1:21">
      <c r="A1582" t="s">
        <v>1598</v>
      </c>
      <c r="B1582" s="5">
        <v>45690</v>
      </c>
      <c r="C1582" t="s">
        <v>4120</v>
      </c>
      <c r="D1582" t="s">
        <v>4749</v>
      </c>
      <c r="E1582" t="s">
        <v>4866</v>
      </c>
      <c r="F1582">
        <v>56</v>
      </c>
      <c r="G1582" t="s">
        <v>4877</v>
      </c>
      <c r="H1582" t="s">
        <v>4888</v>
      </c>
      <c r="I1582" t="s">
        <v>4895</v>
      </c>
      <c r="J1582" t="s">
        <v>4915</v>
      </c>
      <c r="K1582" t="s">
        <v>4933</v>
      </c>
      <c r="L1582" t="s">
        <v>4935</v>
      </c>
      <c r="M1582" t="s">
        <v>4943</v>
      </c>
      <c r="N1582" s="11">
        <v>9662.1200000000008</v>
      </c>
      <c r="O1582" t="s">
        <v>15</v>
      </c>
      <c r="P1582" t="s">
        <v>4952</v>
      </c>
      <c r="S1582" t="str">
        <f t="shared" si="72"/>
        <v>Middle-Aged</v>
      </c>
      <c r="T1582" t="str">
        <f t="shared" si="73"/>
        <v>Medium</v>
      </c>
      <c r="U1582" t="str">
        <f t="shared" si="74"/>
        <v>Short Days</v>
      </c>
    </row>
    <row r="1583" spans="1:21">
      <c r="A1583" t="s">
        <v>1599</v>
      </c>
      <c r="B1583" s="5">
        <v>45670</v>
      </c>
      <c r="C1583" t="s">
        <v>4121</v>
      </c>
      <c r="D1583" t="s">
        <v>4863</v>
      </c>
      <c r="E1583" t="s">
        <v>4866</v>
      </c>
      <c r="F1583">
        <v>16</v>
      </c>
      <c r="G1583" t="s">
        <v>4874</v>
      </c>
      <c r="H1583" t="s">
        <v>4886</v>
      </c>
      <c r="I1583" t="s">
        <v>4897</v>
      </c>
      <c r="J1583" t="s">
        <v>4922</v>
      </c>
      <c r="K1583" t="s">
        <v>4931</v>
      </c>
      <c r="L1583" t="s">
        <v>4941</v>
      </c>
      <c r="M1583" t="s">
        <v>4942</v>
      </c>
      <c r="N1583" s="11">
        <v>6080.78</v>
      </c>
      <c r="O1583" t="s">
        <v>15</v>
      </c>
      <c r="P1583" t="s">
        <v>4952</v>
      </c>
      <c r="S1583" t="str">
        <f t="shared" si="72"/>
        <v>Child</v>
      </c>
      <c r="T1583" t="str">
        <f t="shared" si="73"/>
        <v>Medium</v>
      </c>
      <c r="U1583" t="str">
        <f t="shared" si="74"/>
        <v>Short Days</v>
      </c>
    </row>
    <row r="1584" spans="1:21">
      <c r="A1584" t="s">
        <v>1600</v>
      </c>
      <c r="B1584" s="5">
        <v>45466</v>
      </c>
      <c r="C1584" t="s">
        <v>4122</v>
      </c>
      <c r="D1584" t="s">
        <v>4624</v>
      </c>
      <c r="E1584" t="s">
        <v>4866</v>
      </c>
      <c r="F1584">
        <v>56</v>
      </c>
      <c r="G1584" t="s">
        <v>4869</v>
      </c>
      <c r="H1584" t="s">
        <v>4884</v>
      </c>
      <c r="I1584" t="s">
        <v>4899</v>
      </c>
      <c r="J1584" t="s">
        <v>4912</v>
      </c>
      <c r="K1584" t="s">
        <v>4925</v>
      </c>
      <c r="L1584" t="s">
        <v>4939</v>
      </c>
      <c r="M1584" t="s">
        <v>4942</v>
      </c>
      <c r="N1584" s="11">
        <v>280.43</v>
      </c>
      <c r="O1584" t="s">
        <v>4947</v>
      </c>
      <c r="P1584" t="s">
        <v>4951</v>
      </c>
      <c r="S1584" t="str">
        <f t="shared" si="72"/>
        <v>Middle-Aged</v>
      </c>
      <c r="T1584" t="str">
        <f t="shared" si="73"/>
        <v>Low</v>
      </c>
      <c r="U1584" t="str">
        <f t="shared" si="74"/>
        <v>Short Days</v>
      </c>
    </row>
    <row r="1585" spans="1:21">
      <c r="A1585" t="s">
        <v>1601</v>
      </c>
      <c r="B1585" s="5">
        <v>45439</v>
      </c>
      <c r="C1585" t="s">
        <v>4123</v>
      </c>
      <c r="D1585" t="s">
        <v>4668</v>
      </c>
      <c r="E1585" t="s">
        <v>4866</v>
      </c>
      <c r="F1585">
        <v>36</v>
      </c>
      <c r="G1585" t="s">
        <v>4880</v>
      </c>
      <c r="H1585" t="s">
        <v>4890</v>
      </c>
      <c r="I1585" t="s">
        <v>4894</v>
      </c>
      <c r="J1585" t="s">
        <v>4904</v>
      </c>
      <c r="K1585" t="s">
        <v>4930</v>
      </c>
      <c r="L1585" t="s">
        <v>4937</v>
      </c>
      <c r="M1585" t="s">
        <v>4942</v>
      </c>
      <c r="N1585" s="11">
        <v>5976</v>
      </c>
      <c r="O1585" t="s">
        <v>4949</v>
      </c>
      <c r="P1585" t="s">
        <v>4951</v>
      </c>
      <c r="R1585">
        <v>90</v>
      </c>
      <c r="S1585" t="str">
        <f t="shared" si="72"/>
        <v>Adult</v>
      </c>
      <c r="T1585" t="str">
        <f t="shared" si="73"/>
        <v>Medium</v>
      </c>
      <c r="U1585" t="str">
        <f t="shared" si="74"/>
        <v>Short Days</v>
      </c>
    </row>
    <row r="1586" spans="1:21">
      <c r="A1586" t="s">
        <v>1602</v>
      </c>
      <c r="B1586" s="5">
        <v>45657</v>
      </c>
      <c r="C1586" t="s">
        <v>4035</v>
      </c>
      <c r="D1586" t="s">
        <v>4612</v>
      </c>
      <c r="E1586" t="s">
        <v>4867</v>
      </c>
      <c r="F1586">
        <v>34</v>
      </c>
      <c r="G1586" t="s">
        <v>4869</v>
      </c>
      <c r="H1586" t="s">
        <v>4884</v>
      </c>
      <c r="I1586" t="s">
        <v>4902</v>
      </c>
      <c r="J1586" t="s">
        <v>4916</v>
      </c>
      <c r="K1586" t="s">
        <v>4929</v>
      </c>
      <c r="L1586" t="s">
        <v>4940</v>
      </c>
      <c r="M1586" t="s">
        <v>4942</v>
      </c>
      <c r="N1586" s="11">
        <v>9365.8799999999992</v>
      </c>
      <c r="O1586" t="s">
        <v>4946</v>
      </c>
      <c r="P1586" t="s">
        <v>4951</v>
      </c>
      <c r="S1586" t="str">
        <f t="shared" si="72"/>
        <v>Adult</v>
      </c>
      <c r="T1586" t="str">
        <f t="shared" si="73"/>
        <v>Medium</v>
      </c>
      <c r="U1586" t="str">
        <f t="shared" si="74"/>
        <v>Short Days</v>
      </c>
    </row>
    <row r="1587" spans="1:21">
      <c r="A1587" t="s">
        <v>1603</v>
      </c>
      <c r="B1587" s="5">
        <v>45653</v>
      </c>
      <c r="C1587" t="s">
        <v>3572</v>
      </c>
      <c r="D1587" t="s">
        <v>4835</v>
      </c>
      <c r="E1587" t="s">
        <v>4867</v>
      </c>
      <c r="F1587">
        <v>47</v>
      </c>
      <c r="G1587" t="s">
        <v>4874</v>
      </c>
      <c r="H1587" t="s">
        <v>4886</v>
      </c>
      <c r="I1587" t="s">
        <v>4900</v>
      </c>
      <c r="J1587" t="s">
        <v>4913</v>
      </c>
      <c r="K1587" t="s">
        <v>4927</v>
      </c>
      <c r="L1587" t="s">
        <v>4941</v>
      </c>
      <c r="M1587" t="s">
        <v>4942</v>
      </c>
      <c r="N1587" s="11">
        <v>2113.73</v>
      </c>
      <c r="O1587" t="s">
        <v>4949</v>
      </c>
      <c r="P1587" t="s">
        <v>4951</v>
      </c>
      <c r="R1587">
        <v>14</v>
      </c>
      <c r="S1587" t="str">
        <f t="shared" si="72"/>
        <v>Middle-Aged</v>
      </c>
      <c r="T1587" t="str">
        <f t="shared" si="73"/>
        <v>Low</v>
      </c>
      <c r="U1587" t="str">
        <f t="shared" si="74"/>
        <v>Short Days</v>
      </c>
    </row>
    <row r="1588" spans="1:21">
      <c r="A1588" t="s">
        <v>1604</v>
      </c>
      <c r="B1588" s="5">
        <v>45565</v>
      </c>
      <c r="C1588" t="s">
        <v>3721</v>
      </c>
      <c r="D1588" t="s">
        <v>4787</v>
      </c>
      <c r="E1588" t="s">
        <v>4867</v>
      </c>
      <c r="F1588">
        <v>49</v>
      </c>
      <c r="G1588" t="s">
        <v>4877</v>
      </c>
      <c r="H1588" t="s">
        <v>4888</v>
      </c>
      <c r="I1588" t="s">
        <v>4902</v>
      </c>
      <c r="J1588" t="s">
        <v>4916</v>
      </c>
      <c r="K1588" t="s">
        <v>4928</v>
      </c>
      <c r="L1588" t="s">
        <v>4934</v>
      </c>
      <c r="M1588" t="s">
        <v>4944</v>
      </c>
      <c r="N1588" s="11">
        <v>5656.1</v>
      </c>
      <c r="O1588" t="s">
        <v>4947</v>
      </c>
      <c r="P1588" t="s">
        <v>4951</v>
      </c>
      <c r="R1588">
        <v>7</v>
      </c>
      <c r="S1588" t="str">
        <f t="shared" si="72"/>
        <v>Middle-Aged</v>
      </c>
      <c r="T1588" t="str">
        <f t="shared" si="73"/>
        <v>Medium</v>
      </c>
      <c r="U1588" t="str">
        <f t="shared" si="74"/>
        <v>Short Days</v>
      </c>
    </row>
    <row r="1589" spans="1:21">
      <c r="A1589" t="s">
        <v>1605</v>
      </c>
      <c r="B1589" s="5">
        <v>45712</v>
      </c>
      <c r="C1589" t="s">
        <v>4108</v>
      </c>
      <c r="D1589" t="s">
        <v>4801</v>
      </c>
      <c r="E1589" t="s">
        <v>4867</v>
      </c>
      <c r="F1589">
        <v>31</v>
      </c>
      <c r="G1589" t="s">
        <v>4877</v>
      </c>
      <c r="H1589" t="s">
        <v>4888</v>
      </c>
      <c r="I1589" t="s">
        <v>4898</v>
      </c>
      <c r="J1589" t="s">
        <v>4918</v>
      </c>
      <c r="K1589" t="s">
        <v>4925</v>
      </c>
      <c r="L1589" t="s">
        <v>4936</v>
      </c>
      <c r="M1589" t="s">
        <v>4942</v>
      </c>
      <c r="N1589" s="11">
        <v>3677.81</v>
      </c>
      <c r="O1589" t="s">
        <v>4947</v>
      </c>
      <c r="P1589" t="s">
        <v>4951</v>
      </c>
      <c r="R1589">
        <v>14</v>
      </c>
      <c r="S1589" t="str">
        <f t="shared" si="72"/>
        <v>Adult</v>
      </c>
      <c r="T1589" t="str">
        <f t="shared" si="73"/>
        <v>Low</v>
      </c>
      <c r="U1589" t="str">
        <f t="shared" si="74"/>
        <v>Short Days</v>
      </c>
    </row>
    <row r="1590" spans="1:21">
      <c r="A1590" t="s">
        <v>1606</v>
      </c>
      <c r="B1590" s="5">
        <v>45940</v>
      </c>
      <c r="C1590" t="s">
        <v>3129</v>
      </c>
      <c r="D1590" t="s">
        <v>4851</v>
      </c>
      <c r="E1590" t="s">
        <v>4866</v>
      </c>
      <c r="F1590">
        <v>38</v>
      </c>
      <c r="G1590" t="s">
        <v>4877</v>
      </c>
      <c r="H1590" t="s">
        <v>4888</v>
      </c>
      <c r="I1590" t="s">
        <v>4895</v>
      </c>
      <c r="J1590" t="s">
        <v>4905</v>
      </c>
      <c r="K1590" t="s">
        <v>4928</v>
      </c>
      <c r="L1590" t="s">
        <v>4939</v>
      </c>
      <c r="M1590" t="s">
        <v>4942</v>
      </c>
      <c r="N1590" s="11">
        <v>3049.09</v>
      </c>
      <c r="O1590" t="s">
        <v>4948</v>
      </c>
      <c r="P1590" t="s">
        <v>4951</v>
      </c>
      <c r="S1590" t="str">
        <f t="shared" si="72"/>
        <v>Adult</v>
      </c>
      <c r="T1590" t="str">
        <f t="shared" si="73"/>
        <v>Low</v>
      </c>
      <c r="U1590" t="str">
        <f t="shared" si="74"/>
        <v>Short Days</v>
      </c>
    </row>
    <row r="1591" spans="1:21">
      <c r="A1591" t="s">
        <v>1607</v>
      </c>
      <c r="B1591" s="5">
        <v>45642</v>
      </c>
      <c r="C1591" t="s">
        <v>4124</v>
      </c>
      <c r="D1591" t="s">
        <v>4641</v>
      </c>
      <c r="E1591" t="s">
        <v>4867</v>
      </c>
      <c r="F1591">
        <v>27</v>
      </c>
      <c r="G1591" t="s">
        <v>4878</v>
      </c>
      <c r="H1591" t="s">
        <v>4889</v>
      </c>
      <c r="I1591" t="s">
        <v>4901</v>
      </c>
      <c r="J1591" t="s">
        <v>4914</v>
      </c>
      <c r="K1591" t="s">
        <v>4926</v>
      </c>
      <c r="L1591" t="s">
        <v>4937</v>
      </c>
      <c r="M1591" t="s">
        <v>4942</v>
      </c>
      <c r="N1591" s="11">
        <v>10183.200000000001</v>
      </c>
      <c r="O1591" t="s">
        <v>15</v>
      </c>
      <c r="P1591" t="s">
        <v>4952</v>
      </c>
      <c r="R1591">
        <v>14</v>
      </c>
      <c r="S1591" t="str">
        <f t="shared" si="72"/>
        <v>Adult</v>
      </c>
      <c r="T1591" t="str">
        <f t="shared" si="73"/>
        <v>High</v>
      </c>
      <c r="U1591" t="str">
        <f t="shared" si="74"/>
        <v>Short Days</v>
      </c>
    </row>
    <row r="1592" spans="1:21">
      <c r="A1592" t="s">
        <v>1608</v>
      </c>
      <c r="B1592" s="5">
        <v>45806</v>
      </c>
      <c r="C1592" t="s">
        <v>4125</v>
      </c>
      <c r="D1592" t="s">
        <v>4734</v>
      </c>
      <c r="E1592" t="s">
        <v>4867</v>
      </c>
      <c r="F1592">
        <v>18</v>
      </c>
      <c r="G1592" t="s">
        <v>4880</v>
      </c>
      <c r="H1592" t="s">
        <v>4890</v>
      </c>
      <c r="I1592" t="s">
        <v>4895</v>
      </c>
      <c r="J1592" t="s">
        <v>4905</v>
      </c>
      <c r="K1592" t="s">
        <v>4925</v>
      </c>
      <c r="L1592" t="s">
        <v>4939</v>
      </c>
      <c r="M1592" t="s">
        <v>4943</v>
      </c>
      <c r="N1592" s="11">
        <v>8192.65</v>
      </c>
      <c r="O1592" t="s">
        <v>4947</v>
      </c>
      <c r="P1592" t="s">
        <v>4951</v>
      </c>
      <c r="S1592" t="str">
        <f t="shared" si="72"/>
        <v>Adult</v>
      </c>
      <c r="T1592" t="str">
        <f t="shared" si="73"/>
        <v>Medium</v>
      </c>
      <c r="U1592" t="str">
        <f t="shared" si="74"/>
        <v>Short Days</v>
      </c>
    </row>
    <row r="1593" spans="1:21">
      <c r="A1593" t="s">
        <v>1609</v>
      </c>
      <c r="B1593" s="5">
        <v>45386</v>
      </c>
      <c r="C1593" t="s">
        <v>4017</v>
      </c>
      <c r="D1593" t="s">
        <v>4831</v>
      </c>
      <c r="E1593" t="s">
        <v>4866</v>
      </c>
      <c r="F1593">
        <v>70</v>
      </c>
      <c r="G1593" t="s">
        <v>4874</v>
      </c>
      <c r="H1593" t="s">
        <v>4886</v>
      </c>
      <c r="I1593" t="s">
        <v>4901</v>
      </c>
      <c r="J1593" t="s">
        <v>4921</v>
      </c>
      <c r="K1593" t="s">
        <v>4927</v>
      </c>
      <c r="L1593" t="s">
        <v>4938</v>
      </c>
      <c r="M1593" t="s">
        <v>4942</v>
      </c>
      <c r="N1593" s="11">
        <v>5060.47</v>
      </c>
      <c r="O1593" t="s">
        <v>4949</v>
      </c>
      <c r="P1593" t="s">
        <v>4951</v>
      </c>
      <c r="S1593" t="str">
        <f t="shared" si="72"/>
        <v>Senior</v>
      </c>
      <c r="T1593" t="str">
        <f t="shared" si="73"/>
        <v>Medium</v>
      </c>
      <c r="U1593" t="str">
        <f t="shared" si="74"/>
        <v>Short Days</v>
      </c>
    </row>
    <row r="1594" spans="1:21">
      <c r="A1594" t="s">
        <v>1610</v>
      </c>
      <c r="B1594" s="5">
        <v>45439</v>
      </c>
      <c r="C1594" t="s">
        <v>3110</v>
      </c>
      <c r="D1594" t="s">
        <v>4688</v>
      </c>
      <c r="E1594" t="s">
        <v>4867</v>
      </c>
      <c r="F1594">
        <v>44</v>
      </c>
      <c r="G1594" t="s">
        <v>4879</v>
      </c>
      <c r="H1594" t="s">
        <v>4888</v>
      </c>
      <c r="I1594" t="s">
        <v>4896</v>
      </c>
      <c r="J1594" t="s">
        <v>4908</v>
      </c>
      <c r="K1594" t="s">
        <v>4926</v>
      </c>
      <c r="L1594" t="s">
        <v>4939</v>
      </c>
      <c r="M1594" t="s">
        <v>4942</v>
      </c>
      <c r="N1594" s="11">
        <v>3062.2</v>
      </c>
      <c r="O1594" t="s">
        <v>4946</v>
      </c>
      <c r="P1594" t="s">
        <v>4951</v>
      </c>
      <c r="R1594">
        <v>30</v>
      </c>
      <c r="S1594" t="str">
        <f t="shared" si="72"/>
        <v>Middle-Aged</v>
      </c>
      <c r="T1594" t="str">
        <f t="shared" si="73"/>
        <v>Low</v>
      </c>
      <c r="U1594" t="str">
        <f t="shared" si="74"/>
        <v>Short Days</v>
      </c>
    </row>
    <row r="1595" spans="1:21">
      <c r="A1595" t="s">
        <v>1611</v>
      </c>
      <c r="B1595" s="5">
        <v>45903</v>
      </c>
      <c r="C1595" t="s">
        <v>4126</v>
      </c>
      <c r="D1595" t="s">
        <v>4742</v>
      </c>
      <c r="E1595" t="s">
        <v>4866</v>
      </c>
      <c r="F1595">
        <v>21</v>
      </c>
      <c r="G1595" t="s">
        <v>4877</v>
      </c>
      <c r="H1595" t="s">
        <v>4888</v>
      </c>
      <c r="I1595" t="s">
        <v>4902</v>
      </c>
      <c r="J1595" t="s">
        <v>4916</v>
      </c>
      <c r="K1595" t="s">
        <v>4933</v>
      </c>
      <c r="L1595" t="s">
        <v>4939</v>
      </c>
      <c r="M1595" t="s">
        <v>4942</v>
      </c>
      <c r="N1595" s="11">
        <v>6582.14</v>
      </c>
      <c r="O1595" t="s">
        <v>4947</v>
      </c>
      <c r="P1595" t="s">
        <v>4951</v>
      </c>
      <c r="R1595">
        <v>7</v>
      </c>
      <c r="S1595" t="str">
        <f t="shared" si="72"/>
        <v>Adult</v>
      </c>
      <c r="T1595" t="str">
        <f t="shared" si="73"/>
        <v>Medium</v>
      </c>
      <c r="U1595" t="str">
        <f t="shared" si="74"/>
        <v>Short Days</v>
      </c>
    </row>
    <row r="1596" spans="1:21">
      <c r="A1596" t="s">
        <v>1612</v>
      </c>
      <c r="B1596" s="5">
        <v>45573</v>
      </c>
      <c r="C1596" t="s">
        <v>3517</v>
      </c>
      <c r="D1596" t="s">
        <v>4795</v>
      </c>
      <c r="E1596" t="s">
        <v>4867</v>
      </c>
      <c r="F1596">
        <v>12</v>
      </c>
      <c r="G1596" t="s">
        <v>4874</v>
      </c>
      <c r="H1596" t="s">
        <v>4886</v>
      </c>
      <c r="I1596" t="s">
        <v>4893</v>
      </c>
      <c r="J1596" t="s">
        <v>4917</v>
      </c>
      <c r="K1596" t="s">
        <v>4924</v>
      </c>
      <c r="L1596" t="s">
        <v>4938</v>
      </c>
      <c r="M1596" t="s">
        <v>4942</v>
      </c>
      <c r="N1596" s="11">
        <v>7270.31</v>
      </c>
      <c r="O1596" t="s">
        <v>4947</v>
      </c>
      <c r="P1596" t="s">
        <v>4951</v>
      </c>
      <c r="R1596">
        <v>7</v>
      </c>
      <c r="S1596" t="str">
        <f t="shared" si="72"/>
        <v>Child</v>
      </c>
      <c r="T1596" t="str">
        <f t="shared" si="73"/>
        <v>Medium</v>
      </c>
      <c r="U1596" t="str">
        <f t="shared" si="74"/>
        <v>Short Days</v>
      </c>
    </row>
    <row r="1597" spans="1:21">
      <c r="A1597" t="s">
        <v>1613</v>
      </c>
      <c r="B1597" s="5">
        <v>45580</v>
      </c>
      <c r="C1597" t="s">
        <v>3404</v>
      </c>
      <c r="D1597" t="s">
        <v>4794</v>
      </c>
      <c r="E1597" t="s">
        <v>4866</v>
      </c>
      <c r="F1597">
        <v>5</v>
      </c>
      <c r="G1597" t="s">
        <v>4875</v>
      </c>
      <c r="H1597" t="s">
        <v>4889</v>
      </c>
      <c r="I1597" t="s">
        <v>4893</v>
      </c>
      <c r="J1597" t="s">
        <v>4903</v>
      </c>
      <c r="K1597" t="s">
        <v>4930</v>
      </c>
      <c r="L1597" t="s">
        <v>4938</v>
      </c>
      <c r="M1597" t="s">
        <v>4944</v>
      </c>
      <c r="N1597" s="11">
        <v>10373.1</v>
      </c>
      <c r="O1597" t="s">
        <v>4947</v>
      </c>
      <c r="P1597" t="s">
        <v>4951</v>
      </c>
      <c r="R1597">
        <v>30</v>
      </c>
      <c r="S1597" t="str">
        <f t="shared" si="72"/>
        <v>Child</v>
      </c>
      <c r="T1597" t="str">
        <f t="shared" si="73"/>
        <v>High</v>
      </c>
      <c r="U1597" t="str">
        <f t="shared" si="74"/>
        <v>Short Days</v>
      </c>
    </row>
    <row r="1598" spans="1:21">
      <c r="A1598" t="s">
        <v>1614</v>
      </c>
      <c r="B1598" s="5">
        <v>45871</v>
      </c>
      <c r="C1598" t="s">
        <v>4127</v>
      </c>
      <c r="D1598" t="s">
        <v>4633</v>
      </c>
      <c r="E1598" t="s">
        <v>4867</v>
      </c>
      <c r="F1598">
        <v>52</v>
      </c>
      <c r="G1598" t="s">
        <v>4870</v>
      </c>
      <c r="H1598" t="s">
        <v>4885</v>
      </c>
      <c r="I1598" t="s">
        <v>4898</v>
      </c>
      <c r="J1598" t="s">
        <v>4918</v>
      </c>
      <c r="K1598" t="s">
        <v>4924</v>
      </c>
      <c r="L1598" t="s">
        <v>4938</v>
      </c>
      <c r="M1598" t="s">
        <v>4944</v>
      </c>
      <c r="N1598" s="11">
        <v>6535.17</v>
      </c>
      <c r="O1598" t="s">
        <v>4946</v>
      </c>
      <c r="P1598" t="s">
        <v>4951</v>
      </c>
      <c r="S1598" t="str">
        <f t="shared" si="72"/>
        <v>Middle-Aged</v>
      </c>
      <c r="T1598" t="str">
        <f t="shared" si="73"/>
        <v>Medium</v>
      </c>
      <c r="U1598" t="str">
        <f t="shared" si="74"/>
        <v>Short Days</v>
      </c>
    </row>
    <row r="1599" spans="1:21">
      <c r="A1599" t="s">
        <v>1615</v>
      </c>
      <c r="B1599" s="5">
        <v>45435</v>
      </c>
      <c r="C1599" t="s">
        <v>3297</v>
      </c>
      <c r="D1599" t="s">
        <v>4841</v>
      </c>
      <c r="E1599" t="s">
        <v>4866</v>
      </c>
      <c r="F1599">
        <v>24</v>
      </c>
      <c r="G1599" t="s">
        <v>4871</v>
      </c>
      <c r="H1599" t="s">
        <v>4886</v>
      </c>
      <c r="I1599" t="s">
        <v>4894</v>
      </c>
      <c r="J1599" t="s">
        <v>4904</v>
      </c>
      <c r="K1599" t="s">
        <v>4925</v>
      </c>
      <c r="L1599" t="s">
        <v>4939</v>
      </c>
      <c r="M1599" t="s">
        <v>4942</v>
      </c>
      <c r="N1599" s="11">
        <v>8732.66</v>
      </c>
      <c r="O1599" t="s">
        <v>4946</v>
      </c>
      <c r="P1599" t="s">
        <v>4951</v>
      </c>
      <c r="R1599">
        <v>30</v>
      </c>
      <c r="S1599" t="str">
        <f t="shared" si="72"/>
        <v>Adult</v>
      </c>
      <c r="T1599" t="str">
        <f t="shared" si="73"/>
        <v>Medium</v>
      </c>
      <c r="U1599" t="str">
        <f t="shared" si="74"/>
        <v>Short Days</v>
      </c>
    </row>
    <row r="1600" spans="1:21">
      <c r="A1600" t="s">
        <v>1616</v>
      </c>
      <c r="B1600" s="5">
        <v>45739</v>
      </c>
      <c r="C1600" t="s">
        <v>4034</v>
      </c>
      <c r="D1600" t="s">
        <v>4766</v>
      </c>
      <c r="E1600" t="s">
        <v>4866</v>
      </c>
      <c r="F1600">
        <v>54</v>
      </c>
      <c r="G1600" t="s">
        <v>4883</v>
      </c>
      <c r="H1600" t="s">
        <v>4892</v>
      </c>
      <c r="I1600" t="s">
        <v>4900</v>
      </c>
      <c r="J1600" t="s">
        <v>4913</v>
      </c>
      <c r="K1600" t="s">
        <v>4926</v>
      </c>
      <c r="L1600" t="s">
        <v>4934</v>
      </c>
      <c r="M1600" t="s">
        <v>4942</v>
      </c>
      <c r="N1600" s="11">
        <v>6950.27</v>
      </c>
      <c r="O1600" t="s">
        <v>4946</v>
      </c>
      <c r="P1600" t="s">
        <v>4951</v>
      </c>
      <c r="R1600">
        <v>7</v>
      </c>
      <c r="S1600" t="str">
        <f t="shared" si="72"/>
        <v>Middle-Aged</v>
      </c>
      <c r="T1600" t="str">
        <f t="shared" si="73"/>
        <v>Medium</v>
      </c>
      <c r="U1600" t="str">
        <f t="shared" si="74"/>
        <v>Short Days</v>
      </c>
    </row>
    <row r="1601" spans="1:21">
      <c r="A1601" t="s">
        <v>1617</v>
      </c>
      <c r="B1601" s="5">
        <v>45747</v>
      </c>
      <c r="C1601" t="s">
        <v>4128</v>
      </c>
      <c r="D1601" t="s">
        <v>4714</v>
      </c>
      <c r="E1601" t="s">
        <v>4866</v>
      </c>
      <c r="F1601">
        <v>24</v>
      </c>
      <c r="G1601" t="s">
        <v>4869</v>
      </c>
      <c r="H1601" t="s">
        <v>4884</v>
      </c>
      <c r="I1601" t="s">
        <v>4900</v>
      </c>
      <c r="J1601" t="s">
        <v>4913</v>
      </c>
      <c r="K1601" t="s">
        <v>4933</v>
      </c>
      <c r="L1601" t="s">
        <v>4941</v>
      </c>
      <c r="M1601" t="s">
        <v>4944</v>
      </c>
      <c r="N1601" s="11">
        <v>6934.04</v>
      </c>
      <c r="O1601" t="s">
        <v>4950</v>
      </c>
      <c r="P1601" t="s">
        <v>4951</v>
      </c>
      <c r="S1601" t="str">
        <f t="shared" si="72"/>
        <v>Adult</v>
      </c>
      <c r="T1601" t="str">
        <f t="shared" si="73"/>
        <v>Medium</v>
      </c>
      <c r="U1601" t="str">
        <f t="shared" si="74"/>
        <v>Short Days</v>
      </c>
    </row>
    <row r="1602" spans="1:21">
      <c r="A1602" t="s">
        <v>1618</v>
      </c>
      <c r="B1602" s="5">
        <v>45468</v>
      </c>
      <c r="C1602" t="s">
        <v>3419</v>
      </c>
      <c r="D1602" t="s">
        <v>4695</v>
      </c>
      <c r="E1602" t="s">
        <v>4866</v>
      </c>
      <c r="F1602">
        <v>38</v>
      </c>
      <c r="G1602" t="s">
        <v>4877</v>
      </c>
      <c r="H1602" t="s">
        <v>4888</v>
      </c>
      <c r="I1602" t="s">
        <v>4900</v>
      </c>
      <c r="J1602" t="s">
        <v>4919</v>
      </c>
      <c r="K1602" t="s">
        <v>4931</v>
      </c>
      <c r="L1602" t="s">
        <v>4935</v>
      </c>
      <c r="M1602" t="s">
        <v>4943</v>
      </c>
      <c r="N1602" s="11">
        <v>6833.36</v>
      </c>
      <c r="O1602" t="s">
        <v>4949</v>
      </c>
      <c r="P1602" t="s">
        <v>4951</v>
      </c>
      <c r="R1602">
        <v>14</v>
      </c>
      <c r="S1602" t="str">
        <f t="shared" si="72"/>
        <v>Adult</v>
      </c>
      <c r="T1602" t="str">
        <f t="shared" si="73"/>
        <v>Medium</v>
      </c>
      <c r="U1602" t="str">
        <f t="shared" si="74"/>
        <v>Short Days</v>
      </c>
    </row>
    <row r="1603" spans="1:21">
      <c r="A1603" t="s">
        <v>1619</v>
      </c>
      <c r="B1603" s="5">
        <v>45874</v>
      </c>
      <c r="C1603" t="s">
        <v>3632</v>
      </c>
      <c r="D1603" t="s">
        <v>4807</v>
      </c>
      <c r="E1603" t="s">
        <v>4866</v>
      </c>
      <c r="F1603">
        <v>59</v>
      </c>
      <c r="G1603" t="s">
        <v>4877</v>
      </c>
      <c r="H1603" t="s">
        <v>4888</v>
      </c>
      <c r="I1603" t="s">
        <v>4896</v>
      </c>
      <c r="J1603" t="s">
        <v>4906</v>
      </c>
      <c r="K1603" t="s">
        <v>4925</v>
      </c>
      <c r="L1603" t="s">
        <v>4939</v>
      </c>
      <c r="M1603" t="s">
        <v>4944</v>
      </c>
      <c r="N1603" s="11">
        <v>14321.52</v>
      </c>
      <c r="O1603" t="s">
        <v>15</v>
      </c>
      <c r="P1603" t="s">
        <v>4952</v>
      </c>
      <c r="R1603">
        <v>7</v>
      </c>
      <c r="S1603" t="str">
        <f t="shared" ref="S1603:S1666" si="76">IF(F1603&lt;18,"Child",IF(F1603&lt;=40,"Adult",IF(F1603&lt;=60,"Middle-Aged",IF(F1603,"Senior"))))</f>
        <v>Middle-Aged</v>
      </c>
      <c r="T1603" t="str">
        <f t="shared" ref="T1603:T1666" si="77">IF(N1603&lt;=5000,"Low",IF(N1603&lt;=10000,"Medium","High"))</f>
        <v>High</v>
      </c>
      <c r="U1603" t="str">
        <f t="shared" ref="U1603:U1666" si="78">IF(Q1603&lt;=5,"Short Days","Long Days")</f>
        <v>Short Days</v>
      </c>
    </row>
    <row r="1604" spans="1:21">
      <c r="A1604" t="s">
        <v>1620</v>
      </c>
      <c r="B1604" s="5">
        <v>45522</v>
      </c>
      <c r="C1604" t="s">
        <v>3391</v>
      </c>
      <c r="D1604" t="s">
        <v>4633</v>
      </c>
      <c r="E1604" t="s">
        <v>4867</v>
      </c>
      <c r="F1604">
        <v>30</v>
      </c>
      <c r="G1604" t="s">
        <v>4876</v>
      </c>
      <c r="H1604" t="s">
        <v>4888</v>
      </c>
      <c r="I1604" t="s">
        <v>4893</v>
      </c>
      <c r="J1604" t="s">
        <v>4917</v>
      </c>
      <c r="K1604" t="s">
        <v>4924</v>
      </c>
      <c r="L1604" t="s">
        <v>4938</v>
      </c>
      <c r="M1604" t="s">
        <v>4942</v>
      </c>
      <c r="N1604" s="11">
        <v>602.57000000000005</v>
      </c>
      <c r="O1604" t="s">
        <v>4946</v>
      </c>
      <c r="P1604" t="s">
        <v>4951</v>
      </c>
      <c r="R1604">
        <v>14</v>
      </c>
      <c r="S1604" t="str">
        <f t="shared" si="76"/>
        <v>Adult</v>
      </c>
      <c r="T1604" t="str">
        <f t="shared" si="77"/>
        <v>Low</v>
      </c>
      <c r="U1604" t="str">
        <f t="shared" si="78"/>
        <v>Short Days</v>
      </c>
    </row>
    <row r="1605" spans="1:21">
      <c r="A1605" t="s">
        <v>1621</v>
      </c>
      <c r="B1605" s="5">
        <v>45738</v>
      </c>
      <c r="C1605" t="s">
        <v>4129</v>
      </c>
      <c r="D1605" t="s">
        <v>4765</v>
      </c>
      <c r="E1605" t="s">
        <v>4866</v>
      </c>
      <c r="F1605">
        <v>16</v>
      </c>
      <c r="G1605" t="s">
        <v>4875</v>
      </c>
      <c r="H1605" t="s">
        <v>4889</v>
      </c>
      <c r="I1605" t="s">
        <v>4894</v>
      </c>
      <c r="J1605" t="s">
        <v>4904</v>
      </c>
      <c r="K1605" t="s">
        <v>4929</v>
      </c>
      <c r="L1605" t="s">
        <v>4940</v>
      </c>
      <c r="M1605" t="s">
        <v>4944</v>
      </c>
      <c r="N1605" s="11">
        <v>5452.49</v>
      </c>
      <c r="O1605" t="s">
        <v>15</v>
      </c>
      <c r="P1605" t="s">
        <v>4952</v>
      </c>
      <c r="R1605">
        <v>30</v>
      </c>
      <c r="S1605" t="str">
        <f t="shared" si="76"/>
        <v>Child</v>
      </c>
      <c r="T1605" t="str">
        <f t="shared" si="77"/>
        <v>Medium</v>
      </c>
      <c r="U1605" t="str">
        <f t="shared" si="78"/>
        <v>Short Days</v>
      </c>
    </row>
    <row r="1606" spans="1:21">
      <c r="A1606" t="s">
        <v>1622</v>
      </c>
      <c r="B1606" s="5">
        <v>45396</v>
      </c>
      <c r="C1606" t="s">
        <v>4070</v>
      </c>
      <c r="D1606" t="s">
        <v>4655</v>
      </c>
      <c r="E1606" t="s">
        <v>4867</v>
      </c>
      <c r="F1606">
        <v>26</v>
      </c>
      <c r="G1606" t="s">
        <v>4872</v>
      </c>
      <c r="H1606" t="s">
        <v>4887</v>
      </c>
      <c r="I1606" t="s">
        <v>4895</v>
      </c>
      <c r="J1606" t="s">
        <v>4915</v>
      </c>
      <c r="K1606" t="s">
        <v>4928</v>
      </c>
      <c r="L1606" t="s">
        <v>4941</v>
      </c>
      <c r="M1606" t="s">
        <v>4942</v>
      </c>
      <c r="N1606" s="11">
        <v>6008.76</v>
      </c>
      <c r="O1606" t="s">
        <v>4947</v>
      </c>
      <c r="P1606" t="s">
        <v>4951</v>
      </c>
      <c r="S1606" t="str">
        <f t="shared" si="76"/>
        <v>Adult</v>
      </c>
      <c r="T1606" t="str">
        <f t="shared" si="77"/>
        <v>Medium</v>
      </c>
      <c r="U1606" t="str">
        <f t="shared" si="78"/>
        <v>Short Days</v>
      </c>
    </row>
    <row r="1607" spans="1:21">
      <c r="A1607" t="s">
        <v>1623</v>
      </c>
      <c r="B1607" s="5">
        <v>45511</v>
      </c>
      <c r="C1607" t="s">
        <v>3056</v>
      </c>
      <c r="D1607" t="s">
        <v>4815</v>
      </c>
      <c r="E1607" t="s">
        <v>4866</v>
      </c>
      <c r="F1607">
        <v>42</v>
      </c>
      <c r="G1607" t="s">
        <v>4873</v>
      </c>
      <c r="H1607" t="s">
        <v>4888</v>
      </c>
      <c r="I1607" t="s">
        <v>4896</v>
      </c>
      <c r="J1607" t="s">
        <v>4908</v>
      </c>
      <c r="K1607" t="s">
        <v>4929</v>
      </c>
      <c r="L1607" t="s">
        <v>4938</v>
      </c>
      <c r="M1607" t="s">
        <v>4942</v>
      </c>
      <c r="N1607" s="11">
        <v>8857.5</v>
      </c>
      <c r="O1607" t="s">
        <v>4947</v>
      </c>
      <c r="P1607" t="s">
        <v>4951</v>
      </c>
      <c r="R1607">
        <v>14</v>
      </c>
      <c r="S1607" t="str">
        <f t="shared" si="76"/>
        <v>Middle-Aged</v>
      </c>
      <c r="T1607" t="str">
        <f t="shared" si="77"/>
        <v>Medium</v>
      </c>
      <c r="U1607" t="str">
        <f t="shared" si="78"/>
        <v>Short Days</v>
      </c>
    </row>
    <row r="1608" spans="1:21">
      <c r="A1608" t="s">
        <v>1624</v>
      </c>
      <c r="B1608" s="5">
        <v>45639</v>
      </c>
      <c r="C1608" t="s">
        <v>4130</v>
      </c>
      <c r="D1608" t="s">
        <v>4613</v>
      </c>
      <c r="E1608" t="s">
        <v>4866</v>
      </c>
      <c r="F1608">
        <v>34</v>
      </c>
      <c r="G1608" t="s">
        <v>4873</v>
      </c>
      <c r="H1608" t="s">
        <v>4888</v>
      </c>
      <c r="I1608" t="s">
        <v>4897</v>
      </c>
      <c r="J1608" t="s">
        <v>4907</v>
      </c>
      <c r="K1608" t="s">
        <v>4929</v>
      </c>
      <c r="L1608" t="s">
        <v>4938</v>
      </c>
      <c r="M1608" t="s">
        <v>4943</v>
      </c>
      <c r="N1608" s="11">
        <v>13160.13</v>
      </c>
      <c r="O1608" t="s">
        <v>4947</v>
      </c>
      <c r="P1608" t="s">
        <v>4951</v>
      </c>
      <c r="S1608" t="str">
        <f t="shared" si="76"/>
        <v>Adult</v>
      </c>
      <c r="T1608" t="str">
        <f t="shared" si="77"/>
        <v>High</v>
      </c>
      <c r="U1608" t="str">
        <f t="shared" si="78"/>
        <v>Short Days</v>
      </c>
    </row>
    <row r="1609" spans="1:21">
      <c r="A1609" t="s">
        <v>1625</v>
      </c>
      <c r="B1609" s="5">
        <v>45791</v>
      </c>
      <c r="C1609" t="s">
        <v>3274</v>
      </c>
      <c r="D1609" t="s">
        <v>4700</v>
      </c>
      <c r="E1609" t="s">
        <v>4867</v>
      </c>
      <c r="F1609">
        <v>43</v>
      </c>
      <c r="G1609" t="s">
        <v>4872</v>
      </c>
      <c r="H1609" t="s">
        <v>4887</v>
      </c>
      <c r="I1609" t="s">
        <v>4893</v>
      </c>
      <c r="J1609" t="s">
        <v>4903</v>
      </c>
      <c r="K1609" t="s">
        <v>4928</v>
      </c>
      <c r="L1609" t="s">
        <v>4938</v>
      </c>
      <c r="M1609" t="s">
        <v>4942</v>
      </c>
      <c r="N1609" s="11">
        <v>874.03</v>
      </c>
      <c r="O1609" t="s">
        <v>15</v>
      </c>
      <c r="P1609" t="s">
        <v>4952</v>
      </c>
      <c r="R1609">
        <v>30</v>
      </c>
      <c r="S1609" t="str">
        <f t="shared" si="76"/>
        <v>Middle-Aged</v>
      </c>
      <c r="T1609" t="str">
        <f t="shared" si="77"/>
        <v>Low</v>
      </c>
      <c r="U1609" t="str">
        <f t="shared" si="78"/>
        <v>Short Days</v>
      </c>
    </row>
    <row r="1610" spans="1:21">
      <c r="A1610" t="s">
        <v>1626</v>
      </c>
      <c r="B1610" s="5">
        <v>45755</v>
      </c>
      <c r="C1610" t="s">
        <v>4131</v>
      </c>
      <c r="D1610" t="s">
        <v>4808</v>
      </c>
      <c r="E1610" t="s">
        <v>4867</v>
      </c>
      <c r="F1610">
        <v>33</v>
      </c>
      <c r="G1610" t="s">
        <v>4869</v>
      </c>
      <c r="H1610" t="s">
        <v>4884</v>
      </c>
      <c r="I1610" t="s">
        <v>4897</v>
      </c>
      <c r="J1610" t="s">
        <v>4922</v>
      </c>
      <c r="K1610" t="s">
        <v>4926</v>
      </c>
      <c r="L1610" t="s">
        <v>4934</v>
      </c>
      <c r="M1610" t="s">
        <v>4944</v>
      </c>
      <c r="N1610" s="11">
        <v>11531.6</v>
      </c>
      <c r="O1610" t="s">
        <v>4946</v>
      </c>
      <c r="P1610" t="s">
        <v>4951</v>
      </c>
      <c r="R1610">
        <v>7</v>
      </c>
      <c r="S1610" t="str">
        <f t="shared" si="76"/>
        <v>Adult</v>
      </c>
      <c r="T1610" t="str">
        <f t="shared" si="77"/>
        <v>High</v>
      </c>
      <c r="U1610" t="str">
        <f t="shared" si="78"/>
        <v>Short Days</v>
      </c>
    </row>
    <row r="1611" spans="1:21">
      <c r="A1611" t="s">
        <v>1627</v>
      </c>
      <c r="B1611" s="5">
        <v>45924</v>
      </c>
      <c r="C1611" t="s">
        <v>4132</v>
      </c>
      <c r="D1611" t="s">
        <v>4836</v>
      </c>
      <c r="E1611" t="s">
        <v>4867</v>
      </c>
      <c r="F1611">
        <v>41</v>
      </c>
      <c r="G1611" t="s">
        <v>4875</v>
      </c>
      <c r="H1611" t="s">
        <v>4889</v>
      </c>
      <c r="I1611" t="s">
        <v>4900</v>
      </c>
      <c r="J1611" t="s">
        <v>4919</v>
      </c>
      <c r="K1611" t="s">
        <v>4926</v>
      </c>
      <c r="L1611" t="s">
        <v>4939</v>
      </c>
      <c r="M1611" t="s">
        <v>4942</v>
      </c>
      <c r="N1611" s="11">
        <v>668.3</v>
      </c>
      <c r="O1611" t="s">
        <v>4946</v>
      </c>
      <c r="P1611" t="s">
        <v>4951</v>
      </c>
      <c r="S1611" t="str">
        <f t="shared" si="76"/>
        <v>Middle-Aged</v>
      </c>
      <c r="T1611" t="str">
        <f t="shared" si="77"/>
        <v>Low</v>
      </c>
      <c r="U1611" t="str">
        <f t="shared" si="78"/>
        <v>Short Days</v>
      </c>
    </row>
    <row r="1612" spans="1:21">
      <c r="A1612" t="s">
        <v>1628</v>
      </c>
      <c r="B1612" s="5">
        <v>45718</v>
      </c>
      <c r="C1612" t="s">
        <v>3646</v>
      </c>
      <c r="D1612" t="s">
        <v>4627</v>
      </c>
      <c r="E1612" t="s">
        <v>4866</v>
      </c>
      <c r="F1612">
        <v>55</v>
      </c>
      <c r="G1612" t="s">
        <v>4874</v>
      </c>
      <c r="H1612" t="s">
        <v>4886</v>
      </c>
      <c r="I1612" t="s">
        <v>4900</v>
      </c>
      <c r="J1612" t="s">
        <v>4913</v>
      </c>
      <c r="K1612" t="s">
        <v>4929</v>
      </c>
      <c r="L1612" t="s">
        <v>4937</v>
      </c>
      <c r="M1612" t="s">
        <v>4942</v>
      </c>
      <c r="N1612" s="11">
        <v>3002.92</v>
      </c>
      <c r="O1612" t="s">
        <v>4947</v>
      </c>
      <c r="P1612" t="s">
        <v>4951</v>
      </c>
      <c r="R1612">
        <v>14</v>
      </c>
      <c r="S1612" t="str">
        <f t="shared" si="76"/>
        <v>Middle-Aged</v>
      </c>
      <c r="T1612" t="str">
        <f t="shared" si="77"/>
        <v>Low</v>
      </c>
      <c r="U1612" t="str">
        <f t="shared" si="78"/>
        <v>Short Days</v>
      </c>
    </row>
    <row r="1613" spans="1:21">
      <c r="A1613" t="s">
        <v>1629</v>
      </c>
      <c r="B1613" s="5">
        <v>45813</v>
      </c>
      <c r="C1613" t="s">
        <v>4133</v>
      </c>
      <c r="D1613" t="s">
        <v>4646</v>
      </c>
      <c r="E1613" t="s">
        <v>4868</v>
      </c>
      <c r="F1613">
        <v>21</v>
      </c>
      <c r="G1613" t="s">
        <v>4873</v>
      </c>
      <c r="H1613" t="s">
        <v>4888</v>
      </c>
      <c r="I1613" t="s">
        <v>4894</v>
      </c>
      <c r="J1613" t="s">
        <v>4910</v>
      </c>
      <c r="K1613" t="s">
        <v>4925</v>
      </c>
      <c r="L1613" t="s">
        <v>4941</v>
      </c>
      <c r="M1613" t="s">
        <v>4942</v>
      </c>
      <c r="N1613" s="11">
        <v>713.48</v>
      </c>
      <c r="O1613" t="s">
        <v>4947</v>
      </c>
      <c r="P1613" t="s">
        <v>4951</v>
      </c>
      <c r="R1613">
        <v>90</v>
      </c>
      <c r="S1613" t="str">
        <f t="shared" si="76"/>
        <v>Adult</v>
      </c>
      <c r="T1613" t="str">
        <f t="shared" si="77"/>
        <v>Low</v>
      </c>
      <c r="U1613" t="str">
        <f t="shared" si="78"/>
        <v>Short Days</v>
      </c>
    </row>
    <row r="1614" spans="1:21">
      <c r="A1614" t="s">
        <v>1630</v>
      </c>
      <c r="B1614" s="5">
        <v>45541</v>
      </c>
      <c r="C1614" t="s">
        <v>3608</v>
      </c>
      <c r="D1614" t="s">
        <v>4617</v>
      </c>
      <c r="E1614" t="s">
        <v>4866</v>
      </c>
      <c r="F1614">
        <v>19</v>
      </c>
      <c r="G1614" t="s">
        <v>4882</v>
      </c>
      <c r="H1614" t="s">
        <v>4891</v>
      </c>
      <c r="I1614" t="s">
        <v>4902</v>
      </c>
      <c r="J1614" t="s">
        <v>4916</v>
      </c>
      <c r="K1614" t="s">
        <v>4924</v>
      </c>
      <c r="L1614" t="s">
        <v>4941</v>
      </c>
      <c r="M1614" t="s">
        <v>4942</v>
      </c>
      <c r="N1614" s="11">
        <v>21249.07</v>
      </c>
      <c r="O1614" t="s">
        <v>4947</v>
      </c>
      <c r="P1614" t="s">
        <v>4951</v>
      </c>
      <c r="R1614">
        <v>30</v>
      </c>
      <c r="S1614" t="str">
        <f t="shared" si="76"/>
        <v>Adult</v>
      </c>
      <c r="T1614" t="str">
        <f t="shared" si="77"/>
        <v>High</v>
      </c>
      <c r="U1614" t="str">
        <f t="shared" si="78"/>
        <v>Short Days</v>
      </c>
    </row>
    <row r="1615" spans="1:21">
      <c r="A1615" t="s">
        <v>1631</v>
      </c>
      <c r="B1615" s="5">
        <v>45819</v>
      </c>
      <c r="C1615" t="s">
        <v>3893</v>
      </c>
      <c r="D1615" t="s">
        <v>4836</v>
      </c>
      <c r="E1615" t="s">
        <v>4866</v>
      </c>
      <c r="F1615">
        <v>49</v>
      </c>
      <c r="G1615" t="s">
        <v>4878</v>
      </c>
      <c r="H1615" t="s">
        <v>4889</v>
      </c>
      <c r="I1615" t="s">
        <v>4900</v>
      </c>
      <c r="J1615" t="s">
        <v>4919</v>
      </c>
      <c r="K1615" t="s">
        <v>4928</v>
      </c>
      <c r="L1615" t="s">
        <v>4940</v>
      </c>
      <c r="M1615" t="s">
        <v>4942</v>
      </c>
      <c r="N1615" s="11">
        <v>2934.04</v>
      </c>
      <c r="O1615" t="s">
        <v>4950</v>
      </c>
      <c r="P1615" t="s">
        <v>4951</v>
      </c>
      <c r="R1615">
        <v>30</v>
      </c>
      <c r="S1615" t="str">
        <f t="shared" si="76"/>
        <v>Middle-Aged</v>
      </c>
      <c r="T1615" t="str">
        <f t="shared" si="77"/>
        <v>Low</v>
      </c>
      <c r="U1615" t="str">
        <f t="shared" si="78"/>
        <v>Short Days</v>
      </c>
    </row>
    <row r="1616" spans="1:21">
      <c r="A1616" t="s">
        <v>1632</v>
      </c>
      <c r="B1616" s="5">
        <v>45488</v>
      </c>
      <c r="C1616" t="s">
        <v>3221</v>
      </c>
      <c r="D1616" t="s">
        <v>4816</v>
      </c>
      <c r="E1616" t="s">
        <v>4866</v>
      </c>
      <c r="F1616">
        <v>12</v>
      </c>
      <c r="G1616" t="s">
        <v>4882</v>
      </c>
      <c r="H1616" t="s">
        <v>4891</v>
      </c>
      <c r="I1616" t="s">
        <v>4902</v>
      </c>
      <c r="J1616" t="s">
        <v>4916</v>
      </c>
      <c r="K1616" t="s">
        <v>4933</v>
      </c>
      <c r="L1616" t="s">
        <v>4939</v>
      </c>
      <c r="M1616" t="s">
        <v>4942</v>
      </c>
      <c r="N1616" s="11">
        <v>121.22</v>
      </c>
      <c r="O1616" t="s">
        <v>4950</v>
      </c>
      <c r="P1616" t="s">
        <v>4951</v>
      </c>
      <c r="S1616" t="str">
        <f t="shared" si="76"/>
        <v>Child</v>
      </c>
      <c r="T1616" t="str">
        <f t="shared" si="77"/>
        <v>Low</v>
      </c>
      <c r="U1616" t="str">
        <f t="shared" si="78"/>
        <v>Short Days</v>
      </c>
    </row>
    <row r="1617" spans="1:21">
      <c r="A1617" t="s">
        <v>1633</v>
      </c>
      <c r="B1617" s="5">
        <v>45673</v>
      </c>
      <c r="C1617" t="s">
        <v>3668</v>
      </c>
      <c r="D1617" t="s">
        <v>4616</v>
      </c>
      <c r="E1617" t="s">
        <v>4866</v>
      </c>
      <c r="F1617">
        <v>36</v>
      </c>
      <c r="G1617" t="s">
        <v>4874</v>
      </c>
      <c r="H1617" t="s">
        <v>4886</v>
      </c>
      <c r="I1617" t="s">
        <v>4898</v>
      </c>
      <c r="J1617" t="s">
        <v>4909</v>
      </c>
      <c r="K1617" t="s">
        <v>4931</v>
      </c>
      <c r="L1617" t="s">
        <v>4937</v>
      </c>
      <c r="M1617" t="s">
        <v>4945</v>
      </c>
      <c r="N1617" s="11">
        <v>5573.57</v>
      </c>
      <c r="O1617" t="s">
        <v>4947</v>
      </c>
      <c r="P1617" t="s">
        <v>4951</v>
      </c>
      <c r="Q1617">
        <v>2</v>
      </c>
      <c r="S1617" t="str">
        <f t="shared" si="76"/>
        <v>Adult</v>
      </c>
      <c r="T1617" t="str">
        <f t="shared" si="77"/>
        <v>Medium</v>
      </c>
      <c r="U1617" t="str">
        <f t="shared" si="78"/>
        <v>Short Days</v>
      </c>
    </row>
    <row r="1618" spans="1:21">
      <c r="A1618" t="s">
        <v>1634</v>
      </c>
      <c r="B1618" s="5">
        <v>45342</v>
      </c>
      <c r="C1618" t="s">
        <v>3377</v>
      </c>
      <c r="D1618" t="s">
        <v>4632</v>
      </c>
      <c r="E1618" t="s">
        <v>4867</v>
      </c>
      <c r="F1618">
        <v>62</v>
      </c>
      <c r="G1618" t="s">
        <v>4883</v>
      </c>
      <c r="H1618" t="s">
        <v>4892</v>
      </c>
      <c r="I1618" t="s">
        <v>4897</v>
      </c>
      <c r="J1618" t="s">
        <v>4907</v>
      </c>
      <c r="K1618" t="s">
        <v>4932</v>
      </c>
      <c r="L1618" t="s">
        <v>4935</v>
      </c>
      <c r="M1618" t="s">
        <v>4942</v>
      </c>
      <c r="N1618" s="11">
        <v>155.72999999999999</v>
      </c>
      <c r="O1618" t="s">
        <v>4947</v>
      </c>
      <c r="P1618" t="s">
        <v>4951</v>
      </c>
      <c r="S1618" t="str">
        <f t="shared" si="76"/>
        <v>Senior</v>
      </c>
      <c r="T1618" t="str">
        <f t="shared" si="77"/>
        <v>Low</v>
      </c>
      <c r="U1618" t="str">
        <f t="shared" si="78"/>
        <v>Short Days</v>
      </c>
    </row>
    <row r="1619" spans="1:21">
      <c r="A1619" t="s">
        <v>1635</v>
      </c>
      <c r="B1619" s="5">
        <v>45411</v>
      </c>
      <c r="C1619" t="s">
        <v>4134</v>
      </c>
      <c r="D1619" t="s">
        <v>4599</v>
      </c>
      <c r="E1619" t="s">
        <v>4866</v>
      </c>
      <c r="F1619">
        <v>45</v>
      </c>
      <c r="G1619" t="s">
        <v>4872</v>
      </c>
      <c r="H1619" t="s">
        <v>4887</v>
      </c>
      <c r="I1619" t="s">
        <v>4894</v>
      </c>
      <c r="J1619" t="s">
        <v>4904</v>
      </c>
      <c r="K1619" t="s">
        <v>4929</v>
      </c>
      <c r="L1619" t="s">
        <v>4935</v>
      </c>
      <c r="M1619" t="s">
        <v>4944</v>
      </c>
      <c r="N1619" s="11">
        <v>6266.6</v>
      </c>
      <c r="O1619" t="s">
        <v>4948</v>
      </c>
      <c r="P1619" t="s">
        <v>4951</v>
      </c>
      <c r="S1619" t="str">
        <f t="shared" si="76"/>
        <v>Middle-Aged</v>
      </c>
      <c r="T1619" t="str">
        <f t="shared" si="77"/>
        <v>Medium</v>
      </c>
      <c r="U1619" t="str">
        <f t="shared" si="78"/>
        <v>Short Days</v>
      </c>
    </row>
    <row r="1620" spans="1:21">
      <c r="A1620" t="s">
        <v>1636</v>
      </c>
      <c r="B1620" s="5">
        <v>45424</v>
      </c>
      <c r="C1620" t="s">
        <v>4135</v>
      </c>
      <c r="D1620" t="s">
        <v>4613</v>
      </c>
      <c r="E1620" t="s">
        <v>4866</v>
      </c>
      <c r="F1620">
        <v>34</v>
      </c>
      <c r="G1620" t="s">
        <v>4877</v>
      </c>
      <c r="H1620" t="s">
        <v>4888</v>
      </c>
      <c r="I1620" t="s">
        <v>4902</v>
      </c>
      <c r="J1620" t="s">
        <v>4916</v>
      </c>
      <c r="K1620" t="s">
        <v>4929</v>
      </c>
      <c r="L1620" t="s">
        <v>4939</v>
      </c>
      <c r="M1620" t="s">
        <v>4944</v>
      </c>
      <c r="N1620" s="11">
        <v>5837.3</v>
      </c>
      <c r="O1620" t="s">
        <v>4949</v>
      </c>
      <c r="P1620" t="s">
        <v>4951</v>
      </c>
      <c r="R1620">
        <v>30</v>
      </c>
      <c r="S1620" t="str">
        <f t="shared" si="76"/>
        <v>Adult</v>
      </c>
      <c r="T1620" t="str">
        <f t="shared" si="77"/>
        <v>Medium</v>
      </c>
      <c r="U1620" t="str">
        <f t="shared" si="78"/>
        <v>Short Days</v>
      </c>
    </row>
    <row r="1621" spans="1:21">
      <c r="A1621" t="s">
        <v>1637</v>
      </c>
      <c r="B1621" s="5">
        <v>45813</v>
      </c>
      <c r="C1621" t="s">
        <v>4118</v>
      </c>
      <c r="D1621" t="s">
        <v>4695</v>
      </c>
      <c r="E1621" t="s">
        <v>4866</v>
      </c>
      <c r="F1621">
        <v>28</v>
      </c>
      <c r="G1621" t="s">
        <v>4873</v>
      </c>
      <c r="H1621" t="s">
        <v>4888</v>
      </c>
      <c r="I1621" t="s">
        <v>4898</v>
      </c>
      <c r="J1621" t="s">
        <v>4918</v>
      </c>
      <c r="K1621" t="s">
        <v>4932</v>
      </c>
      <c r="L1621" t="s">
        <v>4938</v>
      </c>
      <c r="M1621" t="s">
        <v>4942</v>
      </c>
      <c r="N1621" s="11">
        <v>13714.8</v>
      </c>
      <c r="O1621" t="s">
        <v>4946</v>
      </c>
      <c r="P1621" t="s">
        <v>4951</v>
      </c>
      <c r="S1621" t="str">
        <f t="shared" si="76"/>
        <v>Adult</v>
      </c>
      <c r="T1621" t="str">
        <f t="shared" si="77"/>
        <v>High</v>
      </c>
      <c r="U1621" t="str">
        <f t="shared" si="78"/>
        <v>Short Days</v>
      </c>
    </row>
    <row r="1622" spans="1:21">
      <c r="A1622" t="s">
        <v>1638</v>
      </c>
      <c r="B1622" s="5">
        <v>45750</v>
      </c>
      <c r="C1622" t="s">
        <v>4136</v>
      </c>
      <c r="D1622" t="s">
        <v>4772</v>
      </c>
      <c r="E1622" t="s">
        <v>4866</v>
      </c>
      <c r="F1622">
        <v>70</v>
      </c>
      <c r="G1622" t="s">
        <v>4881</v>
      </c>
      <c r="H1622" t="s">
        <v>4881</v>
      </c>
      <c r="I1622" t="s">
        <v>4895</v>
      </c>
      <c r="J1622" t="s">
        <v>4915</v>
      </c>
      <c r="K1622" t="s">
        <v>4924</v>
      </c>
      <c r="L1622" t="s">
        <v>4936</v>
      </c>
      <c r="M1622" t="s">
        <v>4942</v>
      </c>
      <c r="N1622" s="11">
        <v>614.79999999999995</v>
      </c>
      <c r="O1622" t="s">
        <v>15</v>
      </c>
      <c r="P1622" t="s">
        <v>4952</v>
      </c>
      <c r="R1622">
        <v>30</v>
      </c>
      <c r="S1622" t="str">
        <f t="shared" si="76"/>
        <v>Senior</v>
      </c>
      <c r="T1622" t="str">
        <f t="shared" si="77"/>
        <v>Low</v>
      </c>
      <c r="U1622" t="str">
        <f t="shared" si="78"/>
        <v>Short Days</v>
      </c>
    </row>
    <row r="1623" spans="1:21">
      <c r="A1623" t="s">
        <v>1639</v>
      </c>
      <c r="B1623" s="5">
        <v>45340</v>
      </c>
      <c r="C1623" t="s">
        <v>4137</v>
      </c>
      <c r="D1623" t="s">
        <v>4764</v>
      </c>
      <c r="E1623" t="s">
        <v>4867</v>
      </c>
      <c r="F1623">
        <v>36</v>
      </c>
      <c r="G1623" t="s">
        <v>4875</v>
      </c>
      <c r="H1623" t="s">
        <v>4889</v>
      </c>
      <c r="I1623" t="s">
        <v>4902</v>
      </c>
      <c r="J1623" t="s">
        <v>4920</v>
      </c>
      <c r="K1623" t="s">
        <v>4927</v>
      </c>
      <c r="L1623" t="s">
        <v>4938</v>
      </c>
      <c r="M1623" t="s">
        <v>4942</v>
      </c>
      <c r="N1623" s="11">
        <v>2102.9699999999998</v>
      </c>
      <c r="O1623" t="s">
        <v>4947</v>
      </c>
      <c r="P1623" t="s">
        <v>4951</v>
      </c>
      <c r="R1623">
        <v>90</v>
      </c>
      <c r="S1623" t="str">
        <f t="shared" si="76"/>
        <v>Adult</v>
      </c>
      <c r="T1623" t="str">
        <f t="shared" si="77"/>
        <v>Low</v>
      </c>
      <c r="U1623" t="str">
        <f t="shared" si="78"/>
        <v>Short Days</v>
      </c>
    </row>
    <row r="1624" spans="1:21">
      <c r="A1624" t="s">
        <v>1640</v>
      </c>
      <c r="B1624" s="5">
        <v>45853</v>
      </c>
      <c r="C1624" t="s">
        <v>3885</v>
      </c>
      <c r="D1624" t="s">
        <v>4606</v>
      </c>
      <c r="E1624" t="s">
        <v>4867</v>
      </c>
      <c r="F1624">
        <v>42</v>
      </c>
      <c r="G1624" t="s">
        <v>4877</v>
      </c>
      <c r="H1624" t="s">
        <v>4888</v>
      </c>
      <c r="I1624" t="s">
        <v>4894</v>
      </c>
      <c r="J1624" t="s">
        <v>4904</v>
      </c>
      <c r="K1624" t="s">
        <v>4929</v>
      </c>
      <c r="L1624" t="s">
        <v>4940</v>
      </c>
      <c r="M1624" t="s">
        <v>4945</v>
      </c>
      <c r="N1624" s="11">
        <v>8471.35</v>
      </c>
      <c r="O1624" t="s">
        <v>4949</v>
      </c>
      <c r="P1624" t="s">
        <v>4951</v>
      </c>
      <c r="Q1624">
        <v>1</v>
      </c>
      <c r="S1624" t="str">
        <f t="shared" si="76"/>
        <v>Middle-Aged</v>
      </c>
      <c r="T1624" t="str">
        <f t="shared" si="77"/>
        <v>Medium</v>
      </c>
      <c r="U1624" t="str">
        <f t="shared" si="78"/>
        <v>Short Days</v>
      </c>
    </row>
    <row r="1625" spans="1:21">
      <c r="A1625" t="s">
        <v>1641</v>
      </c>
      <c r="B1625" s="5">
        <v>45376</v>
      </c>
      <c r="C1625" t="s">
        <v>4138</v>
      </c>
      <c r="D1625" t="s">
        <v>4772</v>
      </c>
      <c r="E1625" t="s">
        <v>4867</v>
      </c>
      <c r="F1625">
        <v>49</v>
      </c>
      <c r="G1625" t="s">
        <v>4881</v>
      </c>
      <c r="H1625" t="s">
        <v>4881</v>
      </c>
      <c r="I1625" t="s">
        <v>4896</v>
      </c>
      <c r="J1625" t="s">
        <v>4908</v>
      </c>
      <c r="K1625" t="s">
        <v>4926</v>
      </c>
      <c r="L1625" t="s">
        <v>4940</v>
      </c>
      <c r="M1625" t="s">
        <v>4944</v>
      </c>
      <c r="N1625" s="11">
        <v>31390.01</v>
      </c>
      <c r="O1625" t="s">
        <v>4947</v>
      </c>
      <c r="P1625" t="s">
        <v>4951</v>
      </c>
      <c r="S1625" t="str">
        <f t="shared" si="76"/>
        <v>Middle-Aged</v>
      </c>
      <c r="T1625" t="str">
        <f t="shared" si="77"/>
        <v>High</v>
      </c>
      <c r="U1625" t="str">
        <f t="shared" si="78"/>
        <v>Short Days</v>
      </c>
    </row>
    <row r="1626" spans="1:21">
      <c r="A1626" t="s">
        <v>1642</v>
      </c>
      <c r="B1626" s="5">
        <v>45651</v>
      </c>
      <c r="C1626" t="s">
        <v>4139</v>
      </c>
      <c r="D1626" t="s">
        <v>4751</v>
      </c>
      <c r="E1626" t="s">
        <v>4867</v>
      </c>
      <c r="F1626">
        <v>50</v>
      </c>
      <c r="G1626" t="s">
        <v>4874</v>
      </c>
      <c r="H1626" t="s">
        <v>4886</v>
      </c>
      <c r="I1626" t="s">
        <v>4896</v>
      </c>
      <c r="J1626" t="s">
        <v>4906</v>
      </c>
      <c r="K1626" t="s">
        <v>4927</v>
      </c>
      <c r="L1626" t="s">
        <v>4934</v>
      </c>
      <c r="M1626" t="s">
        <v>4944</v>
      </c>
      <c r="N1626" s="11">
        <v>11034.41</v>
      </c>
      <c r="O1626" t="s">
        <v>15</v>
      </c>
      <c r="P1626" t="s">
        <v>4952</v>
      </c>
      <c r="S1626" t="str">
        <f t="shared" si="76"/>
        <v>Middle-Aged</v>
      </c>
      <c r="T1626" t="str">
        <f t="shared" si="77"/>
        <v>High</v>
      </c>
      <c r="U1626" t="str">
        <f t="shared" si="78"/>
        <v>Short Days</v>
      </c>
    </row>
    <row r="1627" spans="1:21">
      <c r="A1627" t="s">
        <v>1643</v>
      </c>
      <c r="B1627" s="5">
        <v>45492</v>
      </c>
      <c r="C1627" t="s">
        <v>4140</v>
      </c>
      <c r="D1627" t="s">
        <v>4789</v>
      </c>
      <c r="E1627" t="s">
        <v>4867</v>
      </c>
      <c r="F1627">
        <f>AVERAGE(F1620,F1626)</f>
        <v>42</v>
      </c>
      <c r="G1627" t="s">
        <v>4881</v>
      </c>
      <c r="H1627" t="s">
        <v>4890</v>
      </c>
      <c r="I1627" t="s">
        <v>4894</v>
      </c>
      <c r="J1627" t="s">
        <v>4904</v>
      </c>
      <c r="K1627" t="s">
        <v>4953</v>
      </c>
      <c r="L1627" t="s">
        <v>4938</v>
      </c>
      <c r="M1627" t="s">
        <v>4942</v>
      </c>
      <c r="N1627" s="11">
        <v>1358.4</v>
      </c>
      <c r="O1627" t="s">
        <v>4947</v>
      </c>
      <c r="P1627" t="s">
        <v>4951</v>
      </c>
      <c r="R1627">
        <v>14</v>
      </c>
      <c r="S1627" t="str">
        <f t="shared" si="76"/>
        <v>Middle-Aged</v>
      </c>
      <c r="T1627" t="str">
        <f t="shared" si="77"/>
        <v>Low</v>
      </c>
      <c r="U1627" t="str">
        <f t="shared" si="78"/>
        <v>Short Days</v>
      </c>
    </row>
    <row r="1628" spans="1:21">
      <c r="A1628" t="s">
        <v>1644</v>
      </c>
      <c r="B1628" s="5">
        <v>45452</v>
      </c>
      <c r="C1628" t="s">
        <v>4101</v>
      </c>
      <c r="D1628" t="s">
        <v>4672</v>
      </c>
      <c r="E1628" t="s">
        <v>4867</v>
      </c>
      <c r="F1628">
        <v>19</v>
      </c>
      <c r="G1628" t="s">
        <v>4880</v>
      </c>
      <c r="H1628" t="s">
        <v>4890</v>
      </c>
      <c r="I1628" t="s">
        <v>4896</v>
      </c>
      <c r="J1628" t="s">
        <v>4908</v>
      </c>
      <c r="K1628" t="s">
        <v>4930</v>
      </c>
      <c r="L1628" t="s">
        <v>4939</v>
      </c>
      <c r="M1628" t="s">
        <v>4942</v>
      </c>
      <c r="N1628" s="11">
        <v>12440.13</v>
      </c>
      <c r="O1628" t="s">
        <v>4946</v>
      </c>
      <c r="P1628" t="s">
        <v>4951</v>
      </c>
      <c r="R1628">
        <v>7</v>
      </c>
      <c r="S1628" t="str">
        <f t="shared" si="76"/>
        <v>Adult</v>
      </c>
      <c r="T1628" t="str">
        <f t="shared" si="77"/>
        <v>High</v>
      </c>
      <c r="U1628" t="str">
        <f t="shared" si="78"/>
        <v>Short Days</v>
      </c>
    </row>
    <row r="1629" spans="1:21">
      <c r="A1629" t="s">
        <v>1645</v>
      </c>
      <c r="B1629" s="5">
        <v>45536</v>
      </c>
      <c r="C1629" t="s">
        <v>3935</v>
      </c>
      <c r="D1629" t="s">
        <v>4648</v>
      </c>
      <c r="E1629" t="s">
        <v>4867</v>
      </c>
      <c r="F1629">
        <v>42</v>
      </c>
      <c r="G1629" t="s">
        <v>4872</v>
      </c>
      <c r="H1629" t="s">
        <v>4887</v>
      </c>
      <c r="I1629" t="s">
        <v>4897</v>
      </c>
      <c r="J1629" t="s">
        <v>4922</v>
      </c>
      <c r="K1629" t="s">
        <v>4926</v>
      </c>
      <c r="L1629" t="s">
        <v>4936</v>
      </c>
      <c r="M1629" t="s">
        <v>4942</v>
      </c>
      <c r="N1629" s="11">
        <v>1933.11</v>
      </c>
      <c r="O1629" t="s">
        <v>4946</v>
      </c>
      <c r="P1629" t="s">
        <v>4951</v>
      </c>
      <c r="R1629">
        <v>7</v>
      </c>
      <c r="S1629" t="str">
        <f t="shared" si="76"/>
        <v>Middle-Aged</v>
      </c>
      <c r="T1629" t="str">
        <f t="shared" si="77"/>
        <v>Low</v>
      </c>
      <c r="U1629" t="str">
        <f t="shared" si="78"/>
        <v>Short Days</v>
      </c>
    </row>
    <row r="1630" spans="1:21">
      <c r="A1630" t="s">
        <v>1646</v>
      </c>
      <c r="B1630" s="5">
        <v>45322</v>
      </c>
      <c r="C1630" t="s">
        <v>3814</v>
      </c>
      <c r="D1630" t="s">
        <v>4676</v>
      </c>
      <c r="E1630" t="s">
        <v>4867</v>
      </c>
      <c r="F1630">
        <v>47</v>
      </c>
      <c r="G1630" t="s">
        <v>4872</v>
      </c>
      <c r="H1630" t="s">
        <v>4887</v>
      </c>
      <c r="I1630" t="s">
        <v>4899</v>
      </c>
      <c r="J1630" t="s">
        <v>4911</v>
      </c>
      <c r="K1630" t="s">
        <v>4930</v>
      </c>
      <c r="L1630" t="s">
        <v>4937</v>
      </c>
      <c r="M1630" t="s">
        <v>4942</v>
      </c>
      <c r="N1630" s="11">
        <v>8274.51</v>
      </c>
      <c r="O1630" t="s">
        <v>4946</v>
      </c>
      <c r="P1630" t="s">
        <v>4951</v>
      </c>
      <c r="R1630">
        <v>7</v>
      </c>
      <c r="S1630" t="str">
        <f t="shared" si="76"/>
        <v>Middle-Aged</v>
      </c>
      <c r="T1630" t="str">
        <f t="shared" si="77"/>
        <v>Medium</v>
      </c>
      <c r="U1630" t="str">
        <f t="shared" si="78"/>
        <v>Short Days</v>
      </c>
    </row>
    <row r="1631" spans="1:21">
      <c r="A1631" t="s">
        <v>1647</v>
      </c>
      <c r="B1631" s="5">
        <v>45407</v>
      </c>
      <c r="C1631" t="s">
        <v>3997</v>
      </c>
      <c r="D1631" t="s">
        <v>4802</v>
      </c>
      <c r="E1631" t="s">
        <v>4866</v>
      </c>
      <c r="F1631">
        <v>44</v>
      </c>
      <c r="G1631" t="s">
        <v>4873</v>
      </c>
      <c r="H1631" t="s">
        <v>4888</v>
      </c>
      <c r="I1631" t="s">
        <v>4902</v>
      </c>
      <c r="J1631" t="s">
        <v>4916</v>
      </c>
      <c r="K1631" t="s">
        <v>4933</v>
      </c>
      <c r="L1631" t="s">
        <v>4935</v>
      </c>
      <c r="M1631" t="s">
        <v>4942</v>
      </c>
      <c r="N1631" s="11">
        <v>175.26</v>
      </c>
      <c r="O1631" t="s">
        <v>4948</v>
      </c>
      <c r="P1631" t="s">
        <v>4951</v>
      </c>
      <c r="S1631" t="str">
        <f t="shared" si="76"/>
        <v>Middle-Aged</v>
      </c>
      <c r="T1631" t="str">
        <f t="shared" si="77"/>
        <v>Low</v>
      </c>
      <c r="U1631" t="str">
        <f t="shared" si="78"/>
        <v>Short Days</v>
      </c>
    </row>
    <row r="1632" spans="1:21">
      <c r="A1632" t="s">
        <v>1648</v>
      </c>
      <c r="B1632" s="5">
        <v>45765</v>
      </c>
      <c r="C1632" t="s">
        <v>4141</v>
      </c>
      <c r="D1632" t="s">
        <v>4602</v>
      </c>
      <c r="E1632" t="s">
        <v>4866</v>
      </c>
      <c r="F1632">
        <v>50</v>
      </c>
      <c r="G1632" t="s">
        <v>4873</v>
      </c>
      <c r="H1632" t="s">
        <v>4888</v>
      </c>
      <c r="I1632" t="s">
        <v>4901</v>
      </c>
      <c r="J1632" t="s">
        <v>4921</v>
      </c>
      <c r="K1632" t="s">
        <v>4928</v>
      </c>
      <c r="L1632" t="s">
        <v>4937</v>
      </c>
      <c r="M1632" t="s">
        <v>4942</v>
      </c>
      <c r="N1632" s="11">
        <v>3075.72</v>
      </c>
      <c r="O1632" t="s">
        <v>4948</v>
      </c>
      <c r="P1632" t="s">
        <v>4951</v>
      </c>
      <c r="S1632" t="str">
        <f t="shared" si="76"/>
        <v>Middle-Aged</v>
      </c>
      <c r="T1632" t="str">
        <f t="shared" si="77"/>
        <v>Low</v>
      </c>
      <c r="U1632" t="str">
        <f t="shared" si="78"/>
        <v>Short Days</v>
      </c>
    </row>
    <row r="1633" spans="1:21">
      <c r="A1633" t="s">
        <v>1649</v>
      </c>
      <c r="B1633" s="5">
        <v>45423</v>
      </c>
      <c r="C1633" t="s">
        <v>3716</v>
      </c>
      <c r="D1633" t="s">
        <v>4793</v>
      </c>
      <c r="E1633" t="s">
        <v>4866</v>
      </c>
      <c r="F1633">
        <v>66</v>
      </c>
      <c r="G1633" t="s">
        <v>4877</v>
      </c>
      <c r="H1633" t="s">
        <v>4888</v>
      </c>
      <c r="I1633" t="s">
        <v>4899</v>
      </c>
      <c r="J1633" t="s">
        <v>4911</v>
      </c>
      <c r="K1633" t="s">
        <v>4931</v>
      </c>
      <c r="L1633" t="s">
        <v>4939</v>
      </c>
      <c r="M1633" t="s">
        <v>4942</v>
      </c>
      <c r="N1633" s="11">
        <v>3790.59</v>
      </c>
      <c r="O1633" t="s">
        <v>4946</v>
      </c>
      <c r="P1633" t="s">
        <v>4951</v>
      </c>
      <c r="R1633">
        <v>90</v>
      </c>
      <c r="S1633" t="str">
        <f t="shared" si="76"/>
        <v>Senior</v>
      </c>
      <c r="T1633" t="str">
        <f t="shared" si="77"/>
        <v>Low</v>
      </c>
      <c r="U1633" t="str">
        <f t="shared" si="78"/>
        <v>Short Days</v>
      </c>
    </row>
    <row r="1634" spans="1:21">
      <c r="A1634" t="s">
        <v>1650</v>
      </c>
      <c r="B1634" s="5">
        <v>45499</v>
      </c>
      <c r="C1634" t="s">
        <v>4142</v>
      </c>
      <c r="D1634" t="s">
        <v>4756</v>
      </c>
      <c r="E1634" t="s">
        <v>4867</v>
      </c>
      <c r="F1634">
        <v>35</v>
      </c>
      <c r="G1634" t="s">
        <v>4883</v>
      </c>
      <c r="H1634" t="s">
        <v>4892</v>
      </c>
      <c r="I1634" t="s">
        <v>4895</v>
      </c>
      <c r="J1634" t="s">
        <v>4905</v>
      </c>
      <c r="K1634" t="s">
        <v>4930</v>
      </c>
      <c r="L1634" t="s">
        <v>4940</v>
      </c>
      <c r="M1634" t="s">
        <v>4942</v>
      </c>
      <c r="N1634" s="11">
        <v>1441.69</v>
      </c>
      <c r="O1634" t="s">
        <v>4949</v>
      </c>
      <c r="P1634" t="s">
        <v>4951</v>
      </c>
      <c r="R1634">
        <v>7</v>
      </c>
      <c r="S1634" t="str">
        <f t="shared" si="76"/>
        <v>Adult</v>
      </c>
      <c r="T1634" t="str">
        <f t="shared" si="77"/>
        <v>Low</v>
      </c>
      <c r="U1634" t="str">
        <f t="shared" si="78"/>
        <v>Short Days</v>
      </c>
    </row>
    <row r="1635" spans="1:21">
      <c r="A1635" t="s">
        <v>1651</v>
      </c>
      <c r="B1635" s="5">
        <v>45505</v>
      </c>
      <c r="C1635" t="s">
        <v>3641</v>
      </c>
      <c r="D1635" t="s">
        <v>4742</v>
      </c>
      <c r="E1635" t="s">
        <v>4866</v>
      </c>
      <c r="F1635">
        <v>42</v>
      </c>
      <c r="G1635" t="s">
        <v>4873</v>
      </c>
      <c r="H1635" t="s">
        <v>4888</v>
      </c>
      <c r="I1635" t="s">
        <v>4900</v>
      </c>
      <c r="J1635" t="s">
        <v>4913</v>
      </c>
      <c r="K1635" t="s">
        <v>4927</v>
      </c>
      <c r="L1635" t="s">
        <v>4937</v>
      </c>
      <c r="M1635" t="s">
        <v>4943</v>
      </c>
      <c r="N1635" s="11">
        <v>11696.8</v>
      </c>
      <c r="O1635" t="s">
        <v>4947</v>
      </c>
      <c r="P1635" t="s">
        <v>4951</v>
      </c>
      <c r="R1635">
        <v>14</v>
      </c>
      <c r="S1635" t="str">
        <f t="shared" si="76"/>
        <v>Middle-Aged</v>
      </c>
      <c r="T1635" t="str">
        <f t="shared" si="77"/>
        <v>High</v>
      </c>
      <c r="U1635" t="str">
        <f t="shared" si="78"/>
        <v>Short Days</v>
      </c>
    </row>
    <row r="1636" spans="1:21">
      <c r="A1636" t="s">
        <v>1652</v>
      </c>
      <c r="B1636" s="5">
        <v>45852</v>
      </c>
      <c r="C1636" t="s">
        <v>4143</v>
      </c>
      <c r="D1636" t="s">
        <v>4756</v>
      </c>
      <c r="E1636" t="s">
        <v>4867</v>
      </c>
      <c r="F1636">
        <v>42</v>
      </c>
      <c r="G1636" t="s">
        <v>4877</v>
      </c>
      <c r="H1636" t="s">
        <v>4888</v>
      </c>
      <c r="I1636" t="s">
        <v>4893</v>
      </c>
      <c r="J1636" t="s">
        <v>4917</v>
      </c>
      <c r="K1636" t="s">
        <v>4924</v>
      </c>
      <c r="L1636" t="s">
        <v>4940</v>
      </c>
      <c r="M1636" t="s">
        <v>4942</v>
      </c>
      <c r="N1636" s="11">
        <v>2707.85</v>
      </c>
      <c r="O1636" t="s">
        <v>4948</v>
      </c>
      <c r="P1636" t="s">
        <v>4951</v>
      </c>
      <c r="R1636">
        <v>14</v>
      </c>
      <c r="S1636" t="str">
        <f t="shared" si="76"/>
        <v>Middle-Aged</v>
      </c>
      <c r="T1636" t="str">
        <f t="shared" si="77"/>
        <v>Low</v>
      </c>
      <c r="U1636" t="str">
        <f t="shared" si="78"/>
        <v>Short Days</v>
      </c>
    </row>
    <row r="1637" spans="1:21">
      <c r="A1637" t="s">
        <v>1653</v>
      </c>
      <c r="B1637" s="5">
        <v>45883</v>
      </c>
      <c r="C1637" t="s">
        <v>3655</v>
      </c>
      <c r="D1637" t="s">
        <v>4732</v>
      </c>
      <c r="E1637" t="s">
        <v>4866</v>
      </c>
      <c r="F1637">
        <v>49</v>
      </c>
      <c r="G1637" t="s">
        <v>4870</v>
      </c>
      <c r="H1637" t="s">
        <v>4885</v>
      </c>
      <c r="I1637" t="s">
        <v>4898</v>
      </c>
      <c r="J1637" t="s">
        <v>4923</v>
      </c>
      <c r="K1637" t="s">
        <v>4925</v>
      </c>
      <c r="L1637" t="s">
        <v>4935</v>
      </c>
      <c r="M1637" t="s">
        <v>4942</v>
      </c>
      <c r="N1637" s="11">
        <v>5182.8999999999996</v>
      </c>
      <c r="O1637" t="s">
        <v>4949</v>
      </c>
      <c r="P1637" t="s">
        <v>4951</v>
      </c>
      <c r="R1637">
        <v>7</v>
      </c>
      <c r="S1637" t="str">
        <f t="shared" si="76"/>
        <v>Middle-Aged</v>
      </c>
      <c r="T1637" t="str">
        <f t="shared" si="77"/>
        <v>Medium</v>
      </c>
      <c r="U1637" t="str">
        <f t="shared" si="78"/>
        <v>Short Days</v>
      </c>
    </row>
    <row r="1638" spans="1:21">
      <c r="A1638" t="s">
        <v>1654</v>
      </c>
      <c r="B1638" s="5">
        <v>45620</v>
      </c>
      <c r="C1638" t="s">
        <v>3385</v>
      </c>
      <c r="D1638" t="s">
        <v>4863</v>
      </c>
      <c r="E1638" t="s">
        <v>4866</v>
      </c>
      <c r="F1638">
        <v>51</v>
      </c>
      <c r="G1638" t="s">
        <v>4879</v>
      </c>
      <c r="H1638" t="s">
        <v>4888</v>
      </c>
      <c r="I1638" t="s">
        <v>4902</v>
      </c>
      <c r="J1638" t="s">
        <v>4920</v>
      </c>
      <c r="K1638" t="s">
        <v>4929</v>
      </c>
      <c r="L1638" t="s">
        <v>4941</v>
      </c>
      <c r="M1638" t="s">
        <v>4942</v>
      </c>
      <c r="N1638" s="11">
        <v>15782.07</v>
      </c>
      <c r="O1638" t="s">
        <v>4948</v>
      </c>
      <c r="P1638" t="s">
        <v>4951</v>
      </c>
      <c r="R1638">
        <v>7</v>
      </c>
      <c r="S1638" t="str">
        <f t="shared" si="76"/>
        <v>Middle-Aged</v>
      </c>
      <c r="T1638" t="str">
        <f t="shared" si="77"/>
        <v>High</v>
      </c>
      <c r="U1638" t="str">
        <f t="shared" si="78"/>
        <v>Short Days</v>
      </c>
    </row>
    <row r="1639" spans="1:21">
      <c r="A1639" t="s">
        <v>1655</v>
      </c>
      <c r="B1639" s="5">
        <v>45572</v>
      </c>
      <c r="C1639" t="s">
        <v>4114</v>
      </c>
      <c r="D1639" t="s">
        <v>4587</v>
      </c>
      <c r="E1639" t="s">
        <v>4866</v>
      </c>
      <c r="F1639">
        <v>66</v>
      </c>
      <c r="G1639" t="s">
        <v>4879</v>
      </c>
      <c r="H1639" t="s">
        <v>4888</v>
      </c>
      <c r="I1639" t="s">
        <v>4895</v>
      </c>
      <c r="J1639" t="s">
        <v>4905</v>
      </c>
      <c r="K1639" t="s">
        <v>4927</v>
      </c>
      <c r="L1639" t="s">
        <v>4934</v>
      </c>
      <c r="M1639" t="s">
        <v>4942</v>
      </c>
      <c r="N1639" s="11">
        <v>4290.93</v>
      </c>
      <c r="O1639" t="s">
        <v>4946</v>
      </c>
      <c r="P1639" t="s">
        <v>4951</v>
      </c>
      <c r="R1639">
        <v>14</v>
      </c>
      <c r="S1639" t="str">
        <f t="shared" si="76"/>
        <v>Senior</v>
      </c>
      <c r="T1639" t="str">
        <f t="shared" si="77"/>
        <v>Low</v>
      </c>
      <c r="U1639" t="str">
        <f t="shared" si="78"/>
        <v>Short Days</v>
      </c>
    </row>
    <row r="1640" spans="1:21">
      <c r="A1640" t="s">
        <v>1656</v>
      </c>
      <c r="B1640" s="5">
        <v>45476</v>
      </c>
      <c r="C1640" t="s">
        <v>4144</v>
      </c>
      <c r="D1640" t="s">
        <v>4809</v>
      </c>
      <c r="E1640" t="s">
        <v>4867</v>
      </c>
      <c r="F1640">
        <v>43</v>
      </c>
      <c r="G1640" t="s">
        <v>4879</v>
      </c>
      <c r="H1640" t="s">
        <v>4888</v>
      </c>
      <c r="I1640" t="s">
        <v>4898</v>
      </c>
      <c r="J1640" t="s">
        <v>4923</v>
      </c>
      <c r="K1640" t="s">
        <v>4933</v>
      </c>
      <c r="L1640" t="s">
        <v>4934</v>
      </c>
      <c r="M1640" t="s">
        <v>4942</v>
      </c>
      <c r="N1640" s="11">
        <v>2048.66</v>
      </c>
      <c r="O1640" t="s">
        <v>4947</v>
      </c>
      <c r="P1640" t="s">
        <v>4951</v>
      </c>
      <c r="R1640">
        <v>7</v>
      </c>
      <c r="S1640" t="str">
        <f t="shared" si="76"/>
        <v>Middle-Aged</v>
      </c>
      <c r="T1640" t="str">
        <f t="shared" si="77"/>
        <v>Low</v>
      </c>
      <c r="U1640" t="str">
        <f t="shared" si="78"/>
        <v>Short Days</v>
      </c>
    </row>
    <row r="1641" spans="1:21">
      <c r="A1641" t="s">
        <v>1657</v>
      </c>
      <c r="B1641" s="5">
        <v>45294</v>
      </c>
      <c r="C1641" t="s">
        <v>4145</v>
      </c>
      <c r="D1641" t="s">
        <v>4750</v>
      </c>
      <c r="E1641" t="s">
        <v>4867</v>
      </c>
      <c r="F1641">
        <v>69</v>
      </c>
      <c r="G1641" t="s">
        <v>4877</v>
      </c>
      <c r="H1641" t="s">
        <v>4888</v>
      </c>
      <c r="I1641" t="s">
        <v>4902</v>
      </c>
      <c r="J1641" t="s">
        <v>4920</v>
      </c>
      <c r="K1641" t="s">
        <v>4925</v>
      </c>
      <c r="L1641" t="s">
        <v>4936</v>
      </c>
      <c r="M1641" t="s">
        <v>4942</v>
      </c>
      <c r="N1641" s="11">
        <v>5079.51</v>
      </c>
      <c r="O1641" t="s">
        <v>4948</v>
      </c>
      <c r="P1641" t="s">
        <v>4951</v>
      </c>
      <c r="S1641" t="str">
        <f t="shared" si="76"/>
        <v>Senior</v>
      </c>
      <c r="T1641" t="str">
        <f t="shared" si="77"/>
        <v>Medium</v>
      </c>
      <c r="U1641" t="str">
        <f t="shared" si="78"/>
        <v>Short Days</v>
      </c>
    </row>
    <row r="1642" spans="1:21">
      <c r="A1642" t="s">
        <v>1658</v>
      </c>
      <c r="B1642" s="5">
        <v>45545</v>
      </c>
      <c r="C1642" t="s">
        <v>3635</v>
      </c>
      <c r="D1642" t="s">
        <v>4818</v>
      </c>
      <c r="E1642" t="s">
        <v>4867</v>
      </c>
      <c r="F1642">
        <v>18</v>
      </c>
      <c r="G1642" t="s">
        <v>4876</v>
      </c>
      <c r="H1642" t="s">
        <v>4888</v>
      </c>
      <c r="I1642" t="s">
        <v>4897</v>
      </c>
      <c r="J1642" t="s">
        <v>4907</v>
      </c>
      <c r="K1642" t="s">
        <v>4927</v>
      </c>
      <c r="L1642" t="s">
        <v>4939</v>
      </c>
      <c r="M1642" t="s">
        <v>4942</v>
      </c>
      <c r="N1642" s="11">
        <v>14634.3</v>
      </c>
      <c r="O1642" t="s">
        <v>4946</v>
      </c>
      <c r="P1642" t="s">
        <v>4951</v>
      </c>
      <c r="R1642">
        <v>7</v>
      </c>
      <c r="S1642" t="str">
        <f t="shared" si="76"/>
        <v>Adult</v>
      </c>
      <c r="T1642" t="str">
        <f t="shared" si="77"/>
        <v>High</v>
      </c>
      <c r="U1642" t="str">
        <f t="shared" si="78"/>
        <v>Short Days</v>
      </c>
    </row>
    <row r="1643" spans="1:21">
      <c r="A1643" t="s">
        <v>1659</v>
      </c>
      <c r="B1643" s="5">
        <v>45598</v>
      </c>
      <c r="C1643" t="s">
        <v>3252</v>
      </c>
      <c r="D1643" t="s">
        <v>4768</v>
      </c>
      <c r="E1643" t="s">
        <v>4866</v>
      </c>
      <c r="F1643">
        <v>31</v>
      </c>
      <c r="G1643" t="s">
        <v>4874</v>
      </c>
      <c r="H1643" t="s">
        <v>4886</v>
      </c>
      <c r="I1643" t="s">
        <v>4902</v>
      </c>
      <c r="J1643" t="s">
        <v>4916</v>
      </c>
      <c r="K1643" t="s">
        <v>4927</v>
      </c>
      <c r="L1643" t="s">
        <v>4936</v>
      </c>
      <c r="M1643" t="s">
        <v>4942</v>
      </c>
      <c r="N1643" s="11">
        <v>599.25</v>
      </c>
      <c r="O1643" t="s">
        <v>4947</v>
      </c>
      <c r="P1643" t="s">
        <v>4951</v>
      </c>
      <c r="S1643" t="str">
        <f t="shared" si="76"/>
        <v>Adult</v>
      </c>
      <c r="T1643" t="str">
        <f t="shared" si="77"/>
        <v>Low</v>
      </c>
      <c r="U1643" t="str">
        <f t="shared" si="78"/>
        <v>Short Days</v>
      </c>
    </row>
    <row r="1644" spans="1:21">
      <c r="A1644" t="s">
        <v>1660</v>
      </c>
      <c r="B1644" s="5">
        <v>45814</v>
      </c>
      <c r="C1644" t="s">
        <v>3856</v>
      </c>
      <c r="D1644" t="s">
        <v>4728</v>
      </c>
      <c r="E1644" t="s">
        <v>4867</v>
      </c>
      <c r="F1644">
        <v>45</v>
      </c>
      <c r="G1644" t="s">
        <v>4871</v>
      </c>
      <c r="H1644" t="s">
        <v>4886</v>
      </c>
      <c r="I1644" t="s">
        <v>4898</v>
      </c>
      <c r="J1644" t="s">
        <v>4923</v>
      </c>
      <c r="K1644" t="s">
        <v>4929</v>
      </c>
      <c r="L1644" t="s">
        <v>4939</v>
      </c>
      <c r="M1644" t="s">
        <v>4944</v>
      </c>
      <c r="N1644" s="11">
        <v>5149.83</v>
      </c>
      <c r="O1644" t="s">
        <v>15</v>
      </c>
      <c r="P1644" t="s">
        <v>4952</v>
      </c>
      <c r="R1644">
        <v>14</v>
      </c>
      <c r="S1644" t="str">
        <f t="shared" si="76"/>
        <v>Middle-Aged</v>
      </c>
      <c r="T1644" t="str">
        <f t="shared" si="77"/>
        <v>Medium</v>
      </c>
      <c r="U1644" t="str">
        <f t="shared" si="78"/>
        <v>Short Days</v>
      </c>
    </row>
    <row r="1645" spans="1:21">
      <c r="A1645" t="s">
        <v>1661</v>
      </c>
      <c r="B1645" s="5">
        <v>45882</v>
      </c>
      <c r="C1645" t="s">
        <v>4146</v>
      </c>
      <c r="D1645" t="s">
        <v>4630</v>
      </c>
      <c r="E1645" t="s">
        <v>4866</v>
      </c>
      <c r="F1645">
        <v>44</v>
      </c>
      <c r="G1645" t="s">
        <v>4876</v>
      </c>
      <c r="H1645" t="s">
        <v>4888</v>
      </c>
      <c r="I1645" t="s">
        <v>4896</v>
      </c>
      <c r="J1645" t="s">
        <v>4906</v>
      </c>
      <c r="K1645" t="s">
        <v>4928</v>
      </c>
      <c r="L1645" t="s">
        <v>4934</v>
      </c>
      <c r="M1645" t="s">
        <v>4942</v>
      </c>
      <c r="N1645" s="11">
        <v>1485.49</v>
      </c>
      <c r="O1645" t="s">
        <v>4949</v>
      </c>
      <c r="P1645" t="s">
        <v>4951</v>
      </c>
      <c r="R1645">
        <v>14</v>
      </c>
      <c r="S1645" t="str">
        <f t="shared" si="76"/>
        <v>Middle-Aged</v>
      </c>
      <c r="T1645" t="str">
        <f t="shared" si="77"/>
        <v>Low</v>
      </c>
      <c r="U1645" t="str">
        <f t="shared" si="78"/>
        <v>Short Days</v>
      </c>
    </row>
    <row r="1646" spans="1:21">
      <c r="A1646" t="s">
        <v>1662</v>
      </c>
      <c r="B1646" s="5">
        <v>45531</v>
      </c>
      <c r="C1646" t="s">
        <v>3636</v>
      </c>
      <c r="D1646" t="s">
        <v>4609</v>
      </c>
      <c r="E1646" t="s">
        <v>4867</v>
      </c>
      <c r="F1646">
        <v>60</v>
      </c>
      <c r="G1646" t="s">
        <v>4883</v>
      </c>
      <c r="H1646" t="s">
        <v>4892</v>
      </c>
      <c r="I1646" t="s">
        <v>4897</v>
      </c>
      <c r="J1646" t="s">
        <v>4922</v>
      </c>
      <c r="K1646" t="s">
        <v>4932</v>
      </c>
      <c r="L1646" t="s">
        <v>4940</v>
      </c>
      <c r="M1646" t="s">
        <v>4942</v>
      </c>
      <c r="N1646" s="11">
        <v>1846.11</v>
      </c>
      <c r="O1646" t="s">
        <v>4948</v>
      </c>
      <c r="P1646" t="s">
        <v>4951</v>
      </c>
      <c r="R1646">
        <v>90</v>
      </c>
      <c r="S1646" t="str">
        <f t="shared" si="76"/>
        <v>Middle-Aged</v>
      </c>
      <c r="T1646" t="str">
        <f t="shared" si="77"/>
        <v>Low</v>
      </c>
      <c r="U1646" t="str">
        <f t="shared" si="78"/>
        <v>Short Days</v>
      </c>
    </row>
    <row r="1647" spans="1:21">
      <c r="A1647" t="s">
        <v>1663</v>
      </c>
      <c r="B1647" s="5">
        <v>45397</v>
      </c>
      <c r="C1647" t="s">
        <v>4013</v>
      </c>
      <c r="D1647" t="s">
        <v>4623</v>
      </c>
      <c r="E1647" t="s">
        <v>4867</v>
      </c>
      <c r="F1647">
        <v>45</v>
      </c>
      <c r="G1647" t="s">
        <v>4870</v>
      </c>
      <c r="H1647" t="s">
        <v>4885</v>
      </c>
      <c r="I1647" t="s">
        <v>4895</v>
      </c>
      <c r="J1647" t="s">
        <v>4915</v>
      </c>
      <c r="K1647" t="s">
        <v>4928</v>
      </c>
      <c r="L1647" t="s">
        <v>4941</v>
      </c>
      <c r="M1647" t="s">
        <v>4942</v>
      </c>
      <c r="N1647" s="11">
        <v>6961.19</v>
      </c>
      <c r="O1647" t="s">
        <v>15</v>
      </c>
      <c r="P1647" t="s">
        <v>4952</v>
      </c>
      <c r="S1647" t="str">
        <f t="shared" si="76"/>
        <v>Middle-Aged</v>
      </c>
      <c r="T1647" t="str">
        <f t="shared" si="77"/>
        <v>Medium</v>
      </c>
      <c r="U1647" t="str">
        <f t="shared" si="78"/>
        <v>Short Days</v>
      </c>
    </row>
    <row r="1648" spans="1:21">
      <c r="A1648" t="s">
        <v>1664</v>
      </c>
      <c r="B1648" s="5">
        <v>45304</v>
      </c>
      <c r="C1648" t="s">
        <v>3180</v>
      </c>
      <c r="D1648" t="s">
        <v>4648</v>
      </c>
      <c r="E1648" t="s">
        <v>4866</v>
      </c>
      <c r="F1648">
        <v>27</v>
      </c>
      <c r="G1648" t="s">
        <v>4869</v>
      </c>
      <c r="H1648" t="s">
        <v>4884</v>
      </c>
      <c r="I1648" t="s">
        <v>4898</v>
      </c>
      <c r="J1648" t="s">
        <v>4923</v>
      </c>
      <c r="K1648" t="s">
        <v>4932</v>
      </c>
      <c r="L1648" t="s">
        <v>4934</v>
      </c>
      <c r="M1648" t="s">
        <v>4942</v>
      </c>
      <c r="N1648" s="11">
        <v>6263.44</v>
      </c>
      <c r="O1648" t="s">
        <v>4946</v>
      </c>
      <c r="P1648" t="s">
        <v>4951</v>
      </c>
      <c r="R1648">
        <v>7</v>
      </c>
      <c r="S1648" t="str">
        <f t="shared" si="76"/>
        <v>Adult</v>
      </c>
      <c r="T1648" t="str">
        <f t="shared" si="77"/>
        <v>Medium</v>
      </c>
      <c r="U1648" t="str">
        <f t="shared" si="78"/>
        <v>Short Days</v>
      </c>
    </row>
    <row r="1649" spans="1:21">
      <c r="A1649" t="s">
        <v>1665</v>
      </c>
      <c r="B1649" s="5">
        <v>45338</v>
      </c>
      <c r="C1649" t="s">
        <v>4147</v>
      </c>
      <c r="D1649" t="s">
        <v>4759</v>
      </c>
      <c r="E1649" t="s">
        <v>4866</v>
      </c>
      <c r="F1649">
        <v>15</v>
      </c>
      <c r="G1649" t="s">
        <v>4876</v>
      </c>
      <c r="H1649" t="s">
        <v>4888</v>
      </c>
      <c r="I1649" t="s">
        <v>4895</v>
      </c>
      <c r="J1649" t="s">
        <v>4905</v>
      </c>
      <c r="K1649" t="s">
        <v>4924</v>
      </c>
      <c r="L1649" t="s">
        <v>4934</v>
      </c>
      <c r="M1649" t="s">
        <v>4942</v>
      </c>
      <c r="N1649" s="11">
        <v>2278.12</v>
      </c>
      <c r="O1649" t="s">
        <v>4949</v>
      </c>
      <c r="P1649" t="s">
        <v>4951</v>
      </c>
      <c r="S1649" t="str">
        <f t="shared" si="76"/>
        <v>Child</v>
      </c>
      <c r="T1649" t="str">
        <f t="shared" si="77"/>
        <v>Low</v>
      </c>
      <c r="U1649" t="str">
        <f t="shared" si="78"/>
        <v>Short Days</v>
      </c>
    </row>
    <row r="1650" spans="1:21">
      <c r="A1650" t="s">
        <v>1666</v>
      </c>
      <c r="B1650" s="5">
        <v>45544</v>
      </c>
      <c r="C1650" t="s">
        <v>3826</v>
      </c>
      <c r="D1650" t="s">
        <v>4598</v>
      </c>
      <c r="E1650" t="s">
        <v>4867</v>
      </c>
      <c r="F1650">
        <v>47</v>
      </c>
      <c r="G1650" t="s">
        <v>4877</v>
      </c>
      <c r="H1650" t="s">
        <v>4888</v>
      </c>
      <c r="I1650" t="s">
        <v>4899</v>
      </c>
      <c r="J1650" t="s">
        <v>4912</v>
      </c>
      <c r="K1650" t="s">
        <v>4924</v>
      </c>
      <c r="L1650" t="s">
        <v>4935</v>
      </c>
      <c r="M1650" t="s">
        <v>4943</v>
      </c>
      <c r="N1650" s="11">
        <v>6557.92</v>
      </c>
      <c r="O1650" t="s">
        <v>15</v>
      </c>
      <c r="P1650" t="s">
        <v>4952</v>
      </c>
      <c r="R1650">
        <v>90</v>
      </c>
      <c r="S1650" t="str">
        <f t="shared" si="76"/>
        <v>Middle-Aged</v>
      </c>
      <c r="T1650" t="str">
        <f t="shared" si="77"/>
        <v>Medium</v>
      </c>
      <c r="U1650" t="str">
        <f t="shared" si="78"/>
        <v>Short Days</v>
      </c>
    </row>
    <row r="1651" spans="1:21">
      <c r="A1651" t="s">
        <v>1667</v>
      </c>
      <c r="B1651" s="5">
        <v>45653</v>
      </c>
      <c r="C1651" t="s">
        <v>4148</v>
      </c>
      <c r="D1651" t="s">
        <v>4669</v>
      </c>
      <c r="E1651" t="s">
        <v>4867</v>
      </c>
      <c r="F1651">
        <v>56</v>
      </c>
      <c r="G1651" t="s">
        <v>4870</v>
      </c>
      <c r="H1651" t="s">
        <v>4885</v>
      </c>
      <c r="I1651" t="s">
        <v>4896</v>
      </c>
      <c r="J1651" t="s">
        <v>4908</v>
      </c>
      <c r="K1651" t="s">
        <v>4926</v>
      </c>
      <c r="L1651" t="s">
        <v>4941</v>
      </c>
      <c r="M1651" t="s">
        <v>4942</v>
      </c>
      <c r="N1651" s="11">
        <v>440.73</v>
      </c>
      <c r="O1651" t="s">
        <v>4949</v>
      </c>
      <c r="P1651" t="s">
        <v>4951</v>
      </c>
      <c r="R1651">
        <v>7</v>
      </c>
      <c r="S1651" t="str">
        <f t="shared" si="76"/>
        <v>Middle-Aged</v>
      </c>
      <c r="T1651" t="str">
        <f t="shared" si="77"/>
        <v>Low</v>
      </c>
      <c r="U1651" t="str">
        <f t="shared" si="78"/>
        <v>Short Days</v>
      </c>
    </row>
    <row r="1652" spans="1:21">
      <c r="A1652" t="s">
        <v>1668</v>
      </c>
      <c r="B1652" s="5">
        <v>45651</v>
      </c>
      <c r="C1652" t="s">
        <v>3616</v>
      </c>
      <c r="D1652" t="s">
        <v>4863</v>
      </c>
      <c r="E1652" t="s">
        <v>4867</v>
      </c>
      <c r="F1652">
        <v>71</v>
      </c>
      <c r="G1652" t="s">
        <v>4873</v>
      </c>
      <c r="H1652" t="s">
        <v>4888</v>
      </c>
      <c r="I1652" t="s">
        <v>4893</v>
      </c>
      <c r="J1652" t="s">
        <v>4917</v>
      </c>
      <c r="K1652" t="s">
        <v>4929</v>
      </c>
      <c r="L1652" t="s">
        <v>4936</v>
      </c>
      <c r="M1652" t="s">
        <v>4943</v>
      </c>
      <c r="N1652" s="11">
        <v>17052.09</v>
      </c>
      <c r="O1652" t="s">
        <v>4947</v>
      </c>
      <c r="P1652" t="s">
        <v>4951</v>
      </c>
      <c r="R1652">
        <v>30</v>
      </c>
      <c r="S1652" t="str">
        <f t="shared" si="76"/>
        <v>Senior</v>
      </c>
      <c r="T1652" t="str">
        <f t="shared" si="77"/>
        <v>High</v>
      </c>
      <c r="U1652" t="str">
        <f t="shared" si="78"/>
        <v>Short Days</v>
      </c>
    </row>
    <row r="1653" spans="1:21">
      <c r="A1653" t="s">
        <v>1669</v>
      </c>
      <c r="B1653" s="5">
        <v>45904</v>
      </c>
      <c r="C1653" t="s">
        <v>4149</v>
      </c>
      <c r="D1653" t="s">
        <v>4780</v>
      </c>
      <c r="E1653" t="s">
        <v>4866</v>
      </c>
      <c r="F1653">
        <v>31</v>
      </c>
      <c r="G1653" t="s">
        <v>4877</v>
      </c>
      <c r="H1653" t="s">
        <v>4888</v>
      </c>
      <c r="I1653" t="s">
        <v>4901</v>
      </c>
      <c r="J1653" t="s">
        <v>4921</v>
      </c>
      <c r="K1653" t="s">
        <v>4927</v>
      </c>
      <c r="L1653" t="s">
        <v>4938</v>
      </c>
      <c r="M1653" t="s">
        <v>4942</v>
      </c>
      <c r="N1653" s="11">
        <v>119.4</v>
      </c>
      <c r="O1653" t="s">
        <v>15</v>
      </c>
      <c r="P1653" t="s">
        <v>4952</v>
      </c>
      <c r="S1653" t="str">
        <f t="shared" si="76"/>
        <v>Adult</v>
      </c>
      <c r="T1653" t="str">
        <f t="shared" si="77"/>
        <v>Low</v>
      </c>
      <c r="U1653" t="str">
        <f t="shared" si="78"/>
        <v>Short Days</v>
      </c>
    </row>
    <row r="1654" spans="1:21">
      <c r="A1654" t="s">
        <v>1670</v>
      </c>
      <c r="B1654" s="5">
        <v>45528</v>
      </c>
      <c r="C1654" t="s">
        <v>4115</v>
      </c>
      <c r="D1654" t="s">
        <v>4746</v>
      </c>
      <c r="E1654" t="s">
        <v>4867</v>
      </c>
      <c r="F1654">
        <v>68</v>
      </c>
      <c r="G1654" t="s">
        <v>4883</v>
      </c>
      <c r="H1654" t="s">
        <v>4892</v>
      </c>
      <c r="I1654" t="s">
        <v>4896</v>
      </c>
      <c r="J1654" t="s">
        <v>4906</v>
      </c>
      <c r="K1654" t="s">
        <v>4926</v>
      </c>
      <c r="L1654" t="s">
        <v>4940</v>
      </c>
      <c r="M1654" t="s">
        <v>4942</v>
      </c>
      <c r="N1654" s="11">
        <v>466.94</v>
      </c>
      <c r="O1654" t="s">
        <v>4948</v>
      </c>
      <c r="P1654" t="s">
        <v>4951</v>
      </c>
      <c r="R1654">
        <v>30</v>
      </c>
      <c r="S1654" t="str">
        <f t="shared" si="76"/>
        <v>Senior</v>
      </c>
      <c r="T1654" t="str">
        <f t="shared" si="77"/>
        <v>Low</v>
      </c>
      <c r="U1654" t="str">
        <f t="shared" si="78"/>
        <v>Short Days</v>
      </c>
    </row>
    <row r="1655" spans="1:21">
      <c r="A1655" t="s">
        <v>1671</v>
      </c>
      <c r="B1655" s="5">
        <v>45442</v>
      </c>
      <c r="C1655" t="s">
        <v>3134</v>
      </c>
      <c r="D1655" t="s">
        <v>4594</v>
      </c>
      <c r="E1655" t="s">
        <v>4867</v>
      </c>
      <c r="F1655">
        <v>51</v>
      </c>
      <c r="G1655" t="s">
        <v>4870</v>
      </c>
      <c r="H1655" t="s">
        <v>4885</v>
      </c>
      <c r="I1655" t="s">
        <v>4902</v>
      </c>
      <c r="J1655" t="s">
        <v>4920</v>
      </c>
      <c r="K1655" t="s">
        <v>4926</v>
      </c>
      <c r="L1655" t="s">
        <v>4934</v>
      </c>
      <c r="M1655" t="s">
        <v>4944</v>
      </c>
      <c r="N1655" s="11">
        <v>7197.67</v>
      </c>
      <c r="O1655" t="s">
        <v>4946</v>
      </c>
      <c r="P1655" t="s">
        <v>4951</v>
      </c>
      <c r="R1655">
        <v>14</v>
      </c>
      <c r="S1655" t="str">
        <f t="shared" si="76"/>
        <v>Middle-Aged</v>
      </c>
      <c r="T1655" t="str">
        <f t="shared" si="77"/>
        <v>Medium</v>
      </c>
      <c r="U1655" t="str">
        <f t="shared" si="78"/>
        <v>Short Days</v>
      </c>
    </row>
    <row r="1656" spans="1:21">
      <c r="A1656" t="s">
        <v>1672</v>
      </c>
      <c r="B1656" s="5">
        <v>45880</v>
      </c>
      <c r="C1656" t="s">
        <v>3520</v>
      </c>
      <c r="D1656" t="s">
        <v>4768</v>
      </c>
      <c r="E1656" t="s">
        <v>4867</v>
      </c>
      <c r="F1656">
        <v>34</v>
      </c>
      <c r="G1656" t="s">
        <v>4882</v>
      </c>
      <c r="H1656" t="s">
        <v>4891</v>
      </c>
      <c r="I1656" t="s">
        <v>4902</v>
      </c>
      <c r="J1656" t="s">
        <v>4920</v>
      </c>
      <c r="K1656" t="s">
        <v>4926</v>
      </c>
      <c r="L1656" t="s">
        <v>4937</v>
      </c>
      <c r="M1656" t="s">
        <v>4944</v>
      </c>
      <c r="N1656" s="11">
        <v>5517.57</v>
      </c>
      <c r="O1656" t="s">
        <v>4946</v>
      </c>
      <c r="P1656" t="s">
        <v>4951</v>
      </c>
      <c r="S1656" t="str">
        <f t="shared" si="76"/>
        <v>Adult</v>
      </c>
      <c r="T1656" t="str">
        <f t="shared" si="77"/>
        <v>Medium</v>
      </c>
      <c r="U1656" t="str">
        <f t="shared" si="78"/>
        <v>Short Days</v>
      </c>
    </row>
    <row r="1657" spans="1:21">
      <c r="A1657" t="s">
        <v>1673</v>
      </c>
      <c r="B1657" s="5">
        <v>45772</v>
      </c>
      <c r="C1657" t="s">
        <v>3081</v>
      </c>
      <c r="D1657" t="s">
        <v>4673</v>
      </c>
      <c r="E1657" t="s">
        <v>4866</v>
      </c>
      <c r="F1657">
        <v>70</v>
      </c>
      <c r="G1657" t="s">
        <v>4876</v>
      </c>
      <c r="H1657" t="s">
        <v>4888</v>
      </c>
      <c r="I1657" t="s">
        <v>4898</v>
      </c>
      <c r="J1657" t="s">
        <v>4909</v>
      </c>
      <c r="K1657" t="s">
        <v>4930</v>
      </c>
      <c r="L1657" t="s">
        <v>4941</v>
      </c>
      <c r="M1657" t="s">
        <v>4942</v>
      </c>
      <c r="N1657" s="11">
        <v>2358.0100000000002</v>
      </c>
      <c r="O1657" t="s">
        <v>4946</v>
      </c>
      <c r="P1657" t="s">
        <v>4951</v>
      </c>
      <c r="R1657">
        <v>90</v>
      </c>
      <c r="S1657" t="str">
        <f t="shared" si="76"/>
        <v>Senior</v>
      </c>
      <c r="T1657" t="str">
        <f t="shared" si="77"/>
        <v>Low</v>
      </c>
      <c r="U1657" t="str">
        <f t="shared" si="78"/>
        <v>Short Days</v>
      </c>
    </row>
    <row r="1658" spans="1:21">
      <c r="A1658" t="s">
        <v>1674</v>
      </c>
      <c r="B1658" s="5">
        <v>45309</v>
      </c>
      <c r="C1658" t="s">
        <v>3049</v>
      </c>
      <c r="D1658" t="s">
        <v>4776</v>
      </c>
      <c r="E1658" t="s">
        <v>4866</v>
      </c>
      <c r="F1658">
        <v>55</v>
      </c>
      <c r="G1658" t="s">
        <v>4875</v>
      </c>
      <c r="H1658" t="s">
        <v>4889</v>
      </c>
      <c r="I1658" t="s">
        <v>4894</v>
      </c>
      <c r="J1658" t="s">
        <v>4910</v>
      </c>
      <c r="K1658" t="s">
        <v>4925</v>
      </c>
      <c r="L1658" t="s">
        <v>4935</v>
      </c>
      <c r="M1658" t="s">
        <v>4942</v>
      </c>
      <c r="N1658" s="11">
        <v>1116.71</v>
      </c>
      <c r="O1658" t="s">
        <v>15</v>
      </c>
      <c r="P1658" t="s">
        <v>4952</v>
      </c>
      <c r="R1658">
        <v>30</v>
      </c>
      <c r="S1658" t="str">
        <f t="shared" si="76"/>
        <v>Middle-Aged</v>
      </c>
      <c r="T1658" t="str">
        <f t="shared" si="77"/>
        <v>Low</v>
      </c>
      <c r="U1658" t="str">
        <f t="shared" si="78"/>
        <v>Short Days</v>
      </c>
    </row>
    <row r="1659" spans="1:21">
      <c r="A1659" t="s">
        <v>1675</v>
      </c>
      <c r="B1659" s="5">
        <v>45533</v>
      </c>
      <c r="C1659" t="s">
        <v>4150</v>
      </c>
      <c r="D1659" t="s">
        <v>4809</v>
      </c>
      <c r="E1659" t="s">
        <v>4867</v>
      </c>
      <c r="F1659">
        <v>77</v>
      </c>
      <c r="G1659" t="s">
        <v>4876</v>
      </c>
      <c r="H1659" t="s">
        <v>4888</v>
      </c>
      <c r="I1659" t="s">
        <v>4896</v>
      </c>
      <c r="J1659" t="s">
        <v>4906</v>
      </c>
      <c r="K1659" t="s">
        <v>4926</v>
      </c>
      <c r="L1659" t="s">
        <v>4938</v>
      </c>
      <c r="M1659" t="s">
        <v>4944</v>
      </c>
      <c r="N1659" s="11">
        <v>10204.5</v>
      </c>
      <c r="O1659" t="s">
        <v>4947</v>
      </c>
      <c r="P1659" t="s">
        <v>4951</v>
      </c>
      <c r="S1659" t="str">
        <f t="shared" si="76"/>
        <v>Senior</v>
      </c>
      <c r="T1659" t="str">
        <f t="shared" si="77"/>
        <v>High</v>
      </c>
      <c r="U1659" t="str">
        <f t="shared" si="78"/>
        <v>Short Days</v>
      </c>
    </row>
    <row r="1660" spans="1:21">
      <c r="A1660" t="s">
        <v>1676</v>
      </c>
      <c r="B1660" s="5">
        <v>45748</v>
      </c>
      <c r="C1660" t="s">
        <v>3427</v>
      </c>
      <c r="D1660" t="s">
        <v>4693</v>
      </c>
      <c r="E1660" t="s">
        <v>4866</v>
      </c>
      <c r="F1660">
        <v>54</v>
      </c>
      <c r="G1660" t="s">
        <v>4870</v>
      </c>
      <c r="H1660" t="s">
        <v>4885</v>
      </c>
      <c r="I1660" t="s">
        <v>4898</v>
      </c>
      <c r="J1660" t="s">
        <v>4923</v>
      </c>
      <c r="K1660" t="s">
        <v>4928</v>
      </c>
      <c r="L1660" t="s">
        <v>4935</v>
      </c>
      <c r="M1660" t="s">
        <v>4942</v>
      </c>
      <c r="N1660" s="11">
        <v>5531.02</v>
      </c>
      <c r="O1660" t="s">
        <v>4949</v>
      </c>
      <c r="P1660" t="s">
        <v>4951</v>
      </c>
      <c r="R1660">
        <v>30</v>
      </c>
      <c r="S1660" t="str">
        <f t="shared" si="76"/>
        <v>Middle-Aged</v>
      </c>
      <c r="T1660" t="str">
        <f t="shared" si="77"/>
        <v>Medium</v>
      </c>
      <c r="U1660" t="str">
        <f t="shared" si="78"/>
        <v>Short Days</v>
      </c>
    </row>
    <row r="1661" spans="1:21">
      <c r="A1661" t="s">
        <v>1677</v>
      </c>
      <c r="B1661" s="5">
        <v>45759</v>
      </c>
      <c r="C1661" t="s">
        <v>3204</v>
      </c>
      <c r="D1661" t="s">
        <v>4782</v>
      </c>
      <c r="E1661" t="s">
        <v>4867</v>
      </c>
      <c r="F1661">
        <v>62</v>
      </c>
      <c r="G1661" t="s">
        <v>4872</v>
      </c>
      <c r="H1661" t="s">
        <v>4887</v>
      </c>
      <c r="I1661" t="s">
        <v>4896</v>
      </c>
      <c r="J1661" t="s">
        <v>4908</v>
      </c>
      <c r="K1661" t="s">
        <v>4927</v>
      </c>
      <c r="L1661" t="s">
        <v>4937</v>
      </c>
      <c r="M1661" t="s">
        <v>4943</v>
      </c>
      <c r="N1661" s="11">
        <v>5620.96</v>
      </c>
      <c r="O1661" t="s">
        <v>15</v>
      </c>
      <c r="P1661" t="s">
        <v>4952</v>
      </c>
      <c r="S1661" t="str">
        <f t="shared" si="76"/>
        <v>Senior</v>
      </c>
      <c r="T1661" t="str">
        <f t="shared" si="77"/>
        <v>Medium</v>
      </c>
      <c r="U1661" t="str">
        <f t="shared" si="78"/>
        <v>Short Days</v>
      </c>
    </row>
    <row r="1662" spans="1:21">
      <c r="A1662" t="s">
        <v>1678</v>
      </c>
      <c r="B1662" s="5">
        <v>45550</v>
      </c>
      <c r="C1662" t="s">
        <v>3471</v>
      </c>
      <c r="D1662" t="s">
        <v>4675</v>
      </c>
      <c r="E1662" t="s">
        <v>4868</v>
      </c>
      <c r="F1662">
        <v>42</v>
      </c>
      <c r="G1662" t="s">
        <v>4880</v>
      </c>
      <c r="H1662" t="s">
        <v>4890</v>
      </c>
      <c r="I1662" t="s">
        <v>4898</v>
      </c>
      <c r="J1662" t="s">
        <v>4923</v>
      </c>
      <c r="K1662" t="s">
        <v>4931</v>
      </c>
      <c r="L1662" t="s">
        <v>4941</v>
      </c>
      <c r="M1662" t="s">
        <v>4942</v>
      </c>
      <c r="N1662" s="11">
        <v>7622.98</v>
      </c>
      <c r="O1662" t="s">
        <v>4946</v>
      </c>
      <c r="P1662" t="s">
        <v>4951</v>
      </c>
      <c r="R1662">
        <v>90</v>
      </c>
      <c r="S1662" t="str">
        <f t="shared" si="76"/>
        <v>Middle-Aged</v>
      </c>
      <c r="T1662" t="str">
        <f t="shared" si="77"/>
        <v>Medium</v>
      </c>
      <c r="U1662" t="str">
        <f t="shared" si="78"/>
        <v>Short Days</v>
      </c>
    </row>
    <row r="1663" spans="1:21">
      <c r="A1663" t="s">
        <v>1679</v>
      </c>
      <c r="B1663" s="5">
        <v>45416</v>
      </c>
      <c r="C1663" t="s">
        <v>4151</v>
      </c>
      <c r="D1663" t="s">
        <v>4782</v>
      </c>
      <c r="E1663" t="s">
        <v>4866</v>
      </c>
      <c r="F1663">
        <v>48</v>
      </c>
      <c r="G1663" t="s">
        <v>4872</v>
      </c>
      <c r="H1663" t="s">
        <v>4887</v>
      </c>
      <c r="I1663" t="s">
        <v>4896</v>
      </c>
      <c r="J1663" t="s">
        <v>4908</v>
      </c>
      <c r="K1663" t="s">
        <v>4930</v>
      </c>
      <c r="L1663" t="s">
        <v>4937</v>
      </c>
      <c r="M1663" t="s">
        <v>4942</v>
      </c>
      <c r="N1663" s="11">
        <v>338.54</v>
      </c>
      <c r="O1663" t="s">
        <v>4946</v>
      </c>
      <c r="P1663" t="s">
        <v>4951</v>
      </c>
      <c r="R1663">
        <v>7</v>
      </c>
      <c r="S1663" t="str">
        <f t="shared" si="76"/>
        <v>Middle-Aged</v>
      </c>
      <c r="T1663" t="str">
        <f t="shared" si="77"/>
        <v>Low</v>
      </c>
      <c r="U1663" t="str">
        <f t="shared" si="78"/>
        <v>Short Days</v>
      </c>
    </row>
    <row r="1664" spans="1:21">
      <c r="A1664" t="s">
        <v>1680</v>
      </c>
      <c r="B1664" s="5">
        <v>45623</v>
      </c>
      <c r="C1664" t="s">
        <v>4091</v>
      </c>
      <c r="D1664" t="s">
        <v>4762</v>
      </c>
      <c r="E1664" t="s">
        <v>4866</v>
      </c>
      <c r="F1664">
        <v>34</v>
      </c>
      <c r="G1664" t="s">
        <v>4869</v>
      </c>
      <c r="H1664" t="s">
        <v>4884</v>
      </c>
      <c r="I1664" t="s">
        <v>4897</v>
      </c>
      <c r="J1664" t="s">
        <v>4922</v>
      </c>
      <c r="K1664" t="s">
        <v>4928</v>
      </c>
      <c r="L1664" t="s">
        <v>4940</v>
      </c>
      <c r="M1664" t="s">
        <v>4944</v>
      </c>
      <c r="N1664" s="11">
        <v>6525.26</v>
      </c>
      <c r="O1664" t="s">
        <v>15</v>
      </c>
      <c r="P1664" t="s">
        <v>4952</v>
      </c>
      <c r="R1664">
        <v>7</v>
      </c>
      <c r="S1664" t="str">
        <f t="shared" si="76"/>
        <v>Adult</v>
      </c>
      <c r="T1664" t="str">
        <f t="shared" si="77"/>
        <v>Medium</v>
      </c>
      <c r="U1664" t="str">
        <f t="shared" si="78"/>
        <v>Short Days</v>
      </c>
    </row>
    <row r="1665" spans="1:21">
      <c r="A1665" t="s">
        <v>1681</v>
      </c>
      <c r="B1665" s="5">
        <v>45918</v>
      </c>
      <c r="C1665" t="s">
        <v>4152</v>
      </c>
      <c r="D1665" t="s">
        <v>4729</v>
      </c>
      <c r="E1665" t="s">
        <v>4866</v>
      </c>
      <c r="F1665">
        <v>27</v>
      </c>
      <c r="G1665" t="s">
        <v>4882</v>
      </c>
      <c r="H1665" t="s">
        <v>4891</v>
      </c>
      <c r="I1665" t="s">
        <v>4899</v>
      </c>
      <c r="J1665" t="s">
        <v>4912</v>
      </c>
      <c r="K1665" t="s">
        <v>4929</v>
      </c>
      <c r="L1665" t="s">
        <v>4935</v>
      </c>
      <c r="M1665" t="s">
        <v>4942</v>
      </c>
      <c r="N1665" s="11">
        <v>25849.72</v>
      </c>
      <c r="O1665" t="s">
        <v>4946</v>
      </c>
      <c r="P1665" t="s">
        <v>4951</v>
      </c>
      <c r="S1665" t="str">
        <f t="shared" si="76"/>
        <v>Adult</v>
      </c>
      <c r="T1665" t="str">
        <f t="shared" si="77"/>
        <v>High</v>
      </c>
      <c r="U1665" t="str">
        <f t="shared" si="78"/>
        <v>Short Days</v>
      </c>
    </row>
    <row r="1666" spans="1:21">
      <c r="A1666" t="s">
        <v>1682</v>
      </c>
      <c r="B1666" s="5">
        <v>45310</v>
      </c>
      <c r="C1666" t="s">
        <v>4153</v>
      </c>
      <c r="D1666" t="s">
        <v>4815</v>
      </c>
      <c r="E1666" t="s">
        <v>4866</v>
      </c>
      <c r="F1666">
        <v>17</v>
      </c>
      <c r="G1666" t="s">
        <v>4879</v>
      </c>
      <c r="H1666" t="s">
        <v>4888</v>
      </c>
      <c r="I1666" t="s">
        <v>4902</v>
      </c>
      <c r="J1666" t="s">
        <v>4920</v>
      </c>
      <c r="K1666" t="s">
        <v>4933</v>
      </c>
      <c r="L1666" t="s">
        <v>4936</v>
      </c>
      <c r="M1666" t="s">
        <v>4942</v>
      </c>
      <c r="N1666" s="11">
        <v>17832.29</v>
      </c>
      <c r="O1666" t="s">
        <v>4950</v>
      </c>
      <c r="P1666" t="s">
        <v>4951</v>
      </c>
      <c r="S1666" t="str">
        <f t="shared" si="76"/>
        <v>Child</v>
      </c>
      <c r="T1666" t="str">
        <f t="shared" si="77"/>
        <v>High</v>
      </c>
      <c r="U1666" t="str">
        <f t="shared" si="78"/>
        <v>Short Days</v>
      </c>
    </row>
    <row r="1667" spans="1:21">
      <c r="A1667" t="s">
        <v>1683</v>
      </c>
      <c r="B1667" s="5">
        <v>45673</v>
      </c>
      <c r="C1667" t="s">
        <v>4019</v>
      </c>
      <c r="D1667" t="s">
        <v>4855</v>
      </c>
      <c r="E1667" t="s">
        <v>4866</v>
      </c>
      <c r="F1667">
        <v>54</v>
      </c>
      <c r="G1667" t="s">
        <v>4875</v>
      </c>
      <c r="H1667" t="s">
        <v>4889</v>
      </c>
      <c r="I1667" t="s">
        <v>4897</v>
      </c>
      <c r="J1667" t="s">
        <v>4922</v>
      </c>
      <c r="K1667" t="s">
        <v>4933</v>
      </c>
      <c r="L1667" t="s">
        <v>4937</v>
      </c>
      <c r="M1667" t="s">
        <v>4942</v>
      </c>
      <c r="N1667" s="11">
        <v>647.9</v>
      </c>
      <c r="O1667" t="s">
        <v>15</v>
      </c>
      <c r="P1667" t="s">
        <v>4952</v>
      </c>
      <c r="S1667" t="str">
        <f t="shared" ref="S1667:S1730" si="79">IF(F1667&lt;18,"Child",IF(F1667&lt;=40,"Adult",IF(F1667&lt;=60,"Middle-Aged",IF(F1667,"Senior"))))</f>
        <v>Middle-Aged</v>
      </c>
      <c r="T1667" t="str">
        <f t="shared" ref="T1667:T1730" si="80">IF(N1667&lt;=5000,"Low",IF(N1667&lt;=10000,"Medium","High"))</f>
        <v>Low</v>
      </c>
      <c r="U1667" t="str">
        <f t="shared" ref="U1667:U1730" si="81">IF(Q1667&lt;=5,"Short Days","Long Days")</f>
        <v>Short Days</v>
      </c>
    </row>
    <row r="1668" spans="1:21">
      <c r="A1668" t="s">
        <v>1684</v>
      </c>
      <c r="B1668" s="5">
        <v>45570</v>
      </c>
      <c r="C1668" t="s">
        <v>3104</v>
      </c>
      <c r="D1668" t="s">
        <v>4671</v>
      </c>
      <c r="E1668" t="s">
        <v>4867</v>
      </c>
      <c r="F1668">
        <v>59</v>
      </c>
      <c r="G1668" t="s">
        <v>4878</v>
      </c>
      <c r="H1668" t="s">
        <v>4889</v>
      </c>
      <c r="I1668" t="s">
        <v>4896</v>
      </c>
      <c r="J1668" t="s">
        <v>4906</v>
      </c>
      <c r="K1668" t="s">
        <v>4924</v>
      </c>
      <c r="L1668" t="s">
        <v>4935</v>
      </c>
      <c r="M1668" t="s">
        <v>4942</v>
      </c>
      <c r="N1668" s="11">
        <v>6984.87</v>
      </c>
      <c r="O1668" t="s">
        <v>4948</v>
      </c>
      <c r="P1668" t="s">
        <v>4951</v>
      </c>
      <c r="R1668">
        <v>30</v>
      </c>
      <c r="S1668" t="str">
        <f t="shared" si="79"/>
        <v>Middle-Aged</v>
      </c>
      <c r="T1668" t="str">
        <f t="shared" si="80"/>
        <v>Medium</v>
      </c>
      <c r="U1668" t="str">
        <f t="shared" si="81"/>
        <v>Short Days</v>
      </c>
    </row>
    <row r="1669" spans="1:21">
      <c r="A1669" t="s">
        <v>1685</v>
      </c>
      <c r="B1669" s="5">
        <v>45662</v>
      </c>
      <c r="C1669" t="s">
        <v>4154</v>
      </c>
      <c r="D1669" t="s">
        <v>4606</v>
      </c>
      <c r="E1669" t="s">
        <v>4867</v>
      </c>
      <c r="F1669">
        <v>32</v>
      </c>
      <c r="G1669" t="s">
        <v>4873</v>
      </c>
      <c r="H1669" t="s">
        <v>4888</v>
      </c>
      <c r="I1669" t="s">
        <v>4893</v>
      </c>
      <c r="J1669" t="s">
        <v>4917</v>
      </c>
      <c r="K1669" t="s">
        <v>4929</v>
      </c>
      <c r="L1669" t="s">
        <v>4935</v>
      </c>
      <c r="M1669" t="s">
        <v>4942</v>
      </c>
      <c r="N1669" s="11">
        <v>2653.66</v>
      </c>
      <c r="O1669" t="s">
        <v>4946</v>
      </c>
      <c r="P1669" t="s">
        <v>4951</v>
      </c>
      <c r="R1669">
        <v>90</v>
      </c>
      <c r="S1669" t="str">
        <f t="shared" si="79"/>
        <v>Adult</v>
      </c>
      <c r="T1669" t="str">
        <f t="shared" si="80"/>
        <v>Low</v>
      </c>
      <c r="U1669" t="str">
        <f t="shared" si="81"/>
        <v>Short Days</v>
      </c>
    </row>
    <row r="1670" spans="1:21">
      <c r="A1670" t="s">
        <v>1686</v>
      </c>
      <c r="B1670" s="5">
        <v>45694</v>
      </c>
      <c r="C1670" t="s">
        <v>3173</v>
      </c>
      <c r="D1670" t="s">
        <v>4740</v>
      </c>
      <c r="E1670" t="s">
        <v>4867</v>
      </c>
      <c r="F1670">
        <v>57</v>
      </c>
      <c r="G1670" t="s">
        <v>4883</v>
      </c>
      <c r="H1670" t="s">
        <v>4892</v>
      </c>
      <c r="I1670" t="s">
        <v>4896</v>
      </c>
      <c r="J1670" t="s">
        <v>4908</v>
      </c>
      <c r="K1670" t="s">
        <v>4929</v>
      </c>
      <c r="L1670" t="s">
        <v>4941</v>
      </c>
      <c r="M1670" t="s">
        <v>4944</v>
      </c>
      <c r="N1670" s="11">
        <v>13235.14</v>
      </c>
      <c r="O1670" t="s">
        <v>4949</v>
      </c>
      <c r="P1670" t="s">
        <v>4951</v>
      </c>
      <c r="R1670">
        <v>90</v>
      </c>
      <c r="S1670" t="str">
        <f t="shared" si="79"/>
        <v>Middle-Aged</v>
      </c>
      <c r="T1670" t="str">
        <f t="shared" si="80"/>
        <v>High</v>
      </c>
      <c r="U1670" t="str">
        <f t="shared" si="81"/>
        <v>Short Days</v>
      </c>
    </row>
    <row r="1671" spans="1:21">
      <c r="A1671" t="s">
        <v>1687</v>
      </c>
      <c r="B1671" s="5">
        <v>45361</v>
      </c>
      <c r="C1671" t="s">
        <v>4080</v>
      </c>
      <c r="D1671" t="s">
        <v>4708</v>
      </c>
      <c r="E1671" t="s">
        <v>4867</v>
      </c>
      <c r="F1671">
        <v>51</v>
      </c>
      <c r="G1671" t="s">
        <v>4880</v>
      </c>
      <c r="H1671" t="s">
        <v>4890</v>
      </c>
      <c r="I1671" t="s">
        <v>4897</v>
      </c>
      <c r="J1671" t="s">
        <v>4907</v>
      </c>
      <c r="K1671" t="s">
        <v>4928</v>
      </c>
      <c r="L1671" t="s">
        <v>4937</v>
      </c>
      <c r="M1671" t="s">
        <v>4944</v>
      </c>
      <c r="N1671" s="11">
        <v>5329.09</v>
      </c>
      <c r="O1671" t="s">
        <v>4950</v>
      </c>
      <c r="P1671" t="s">
        <v>4951</v>
      </c>
      <c r="S1671" t="str">
        <f t="shared" si="79"/>
        <v>Middle-Aged</v>
      </c>
      <c r="T1671" t="str">
        <f t="shared" si="80"/>
        <v>Medium</v>
      </c>
      <c r="U1671" t="str">
        <f t="shared" si="81"/>
        <v>Short Days</v>
      </c>
    </row>
    <row r="1672" spans="1:21">
      <c r="A1672" t="s">
        <v>1688</v>
      </c>
      <c r="B1672" s="5">
        <v>45381</v>
      </c>
      <c r="C1672" t="s">
        <v>3804</v>
      </c>
      <c r="D1672" t="s">
        <v>4843</v>
      </c>
      <c r="E1672" t="s">
        <v>4866</v>
      </c>
      <c r="F1672">
        <v>28</v>
      </c>
      <c r="G1672" t="s">
        <v>4875</v>
      </c>
      <c r="H1672" t="s">
        <v>4889</v>
      </c>
      <c r="I1672" t="s">
        <v>4898</v>
      </c>
      <c r="J1672" t="s">
        <v>4918</v>
      </c>
      <c r="K1672" t="s">
        <v>4924</v>
      </c>
      <c r="L1672" t="s">
        <v>4941</v>
      </c>
      <c r="M1672" t="s">
        <v>4942</v>
      </c>
      <c r="N1672" s="11">
        <v>2030.79</v>
      </c>
      <c r="O1672" t="s">
        <v>4948</v>
      </c>
      <c r="P1672" t="s">
        <v>4951</v>
      </c>
      <c r="S1672" t="str">
        <f t="shared" si="79"/>
        <v>Adult</v>
      </c>
      <c r="T1672" t="str">
        <f t="shared" si="80"/>
        <v>Low</v>
      </c>
      <c r="U1672" t="str">
        <f t="shared" si="81"/>
        <v>Short Days</v>
      </c>
    </row>
    <row r="1673" spans="1:21">
      <c r="A1673" t="s">
        <v>1689</v>
      </c>
      <c r="B1673" s="5">
        <v>45686</v>
      </c>
      <c r="C1673" t="s">
        <v>4155</v>
      </c>
      <c r="D1673" t="s">
        <v>4668</v>
      </c>
      <c r="E1673" t="s">
        <v>4866</v>
      </c>
      <c r="F1673">
        <v>41</v>
      </c>
      <c r="G1673" t="s">
        <v>4879</v>
      </c>
      <c r="H1673" t="s">
        <v>4888</v>
      </c>
      <c r="I1673" t="s">
        <v>4894</v>
      </c>
      <c r="J1673" t="s">
        <v>4910</v>
      </c>
      <c r="K1673" t="s">
        <v>4926</v>
      </c>
      <c r="L1673" t="s">
        <v>4939</v>
      </c>
      <c r="M1673" t="s">
        <v>4942</v>
      </c>
      <c r="N1673" s="11">
        <v>706.88</v>
      </c>
      <c r="O1673" t="s">
        <v>4946</v>
      </c>
      <c r="P1673" t="s">
        <v>4951</v>
      </c>
      <c r="R1673">
        <v>14</v>
      </c>
      <c r="S1673" t="str">
        <f t="shared" si="79"/>
        <v>Middle-Aged</v>
      </c>
      <c r="T1673" t="str">
        <f t="shared" si="80"/>
        <v>Low</v>
      </c>
      <c r="U1673" t="str">
        <f t="shared" si="81"/>
        <v>Short Days</v>
      </c>
    </row>
    <row r="1674" spans="1:21">
      <c r="A1674" t="s">
        <v>1690</v>
      </c>
      <c r="B1674" s="5">
        <v>45729</v>
      </c>
      <c r="C1674" t="s">
        <v>3664</v>
      </c>
      <c r="D1674" t="s">
        <v>4830</v>
      </c>
      <c r="E1674" t="s">
        <v>4866</v>
      </c>
      <c r="F1674">
        <v>46</v>
      </c>
      <c r="G1674" t="s">
        <v>4875</v>
      </c>
      <c r="H1674" t="s">
        <v>4889</v>
      </c>
      <c r="I1674" t="s">
        <v>4895</v>
      </c>
      <c r="J1674" t="s">
        <v>4915</v>
      </c>
      <c r="K1674" t="s">
        <v>4927</v>
      </c>
      <c r="L1674" t="s">
        <v>4938</v>
      </c>
      <c r="M1674" t="s">
        <v>4944</v>
      </c>
      <c r="N1674" s="11">
        <v>7067.52</v>
      </c>
      <c r="O1674" t="s">
        <v>4946</v>
      </c>
      <c r="P1674" t="s">
        <v>4951</v>
      </c>
      <c r="S1674" t="str">
        <f t="shared" si="79"/>
        <v>Middle-Aged</v>
      </c>
      <c r="T1674" t="str">
        <f t="shared" si="80"/>
        <v>Medium</v>
      </c>
      <c r="U1674" t="str">
        <f t="shared" si="81"/>
        <v>Short Days</v>
      </c>
    </row>
    <row r="1675" spans="1:21">
      <c r="A1675" t="s">
        <v>1691</v>
      </c>
      <c r="B1675" s="5">
        <v>45646</v>
      </c>
      <c r="C1675" t="s">
        <v>4156</v>
      </c>
      <c r="D1675" t="s">
        <v>4658</v>
      </c>
      <c r="E1675" t="s">
        <v>4867</v>
      </c>
      <c r="F1675">
        <v>25</v>
      </c>
      <c r="G1675" t="s">
        <v>4875</v>
      </c>
      <c r="H1675" t="s">
        <v>4889</v>
      </c>
      <c r="I1675" t="s">
        <v>4899</v>
      </c>
      <c r="J1675" t="s">
        <v>4912</v>
      </c>
      <c r="K1675" t="s">
        <v>4928</v>
      </c>
      <c r="L1675" t="s">
        <v>4936</v>
      </c>
      <c r="M1675" t="s">
        <v>4942</v>
      </c>
      <c r="N1675" s="11">
        <v>1866.05</v>
      </c>
      <c r="O1675" t="s">
        <v>4946</v>
      </c>
      <c r="P1675" t="s">
        <v>4951</v>
      </c>
      <c r="R1675">
        <v>14</v>
      </c>
      <c r="S1675" t="str">
        <f t="shared" si="79"/>
        <v>Adult</v>
      </c>
      <c r="T1675" t="str">
        <f t="shared" si="80"/>
        <v>Low</v>
      </c>
      <c r="U1675" t="str">
        <f t="shared" si="81"/>
        <v>Short Days</v>
      </c>
    </row>
    <row r="1676" spans="1:21">
      <c r="A1676" t="s">
        <v>1692</v>
      </c>
      <c r="B1676" s="5">
        <v>45569</v>
      </c>
      <c r="C1676" t="s">
        <v>3782</v>
      </c>
      <c r="D1676" t="s">
        <v>4777</v>
      </c>
      <c r="E1676" t="s">
        <v>4866</v>
      </c>
      <c r="F1676">
        <v>46</v>
      </c>
      <c r="G1676" t="s">
        <v>4880</v>
      </c>
      <c r="H1676" t="s">
        <v>4890</v>
      </c>
      <c r="I1676" t="s">
        <v>4896</v>
      </c>
      <c r="J1676" t="s">
        <v>4906</v>
      </c>
      <c r="K1676" t="s">
        <v>4930</v>
      </c>
      <c r="L1676" t="s">
        <v>4940</v>
      </c>
      <c r="M1676" t="s">
        <v>4944</v>
      </c>
      <c r="N1676" s="11">
        <v>17696.88</v>
      </c>
      <c r="O1676" t="s">
        <v>4946</v>
      </c>
      <c r="P1676" t="s">
        <v>4951</v>
      </c>
      <c r="S1676" t="str">
        <f t="shared" si="79"/>
        <v>Middle-Aged</v>
      </c>
      <c r="T1676" t="str">
        <f t="shared" si="80"/>
        <v>High</v>
      </c>
      <c r="U1676" t="str">
        <f t="shared" si="81"/>
        <v>Short Days</v>
      </c>
    </row>
    <row r="1677" spans="1:21">
      <c r="A1677" t="s">
        <v>1693</v>
      </c>
      <c r="B1677" s="5">
        <v>45844</v>
      </c>
      <c r="C1677" t="s">
        <v>3522</v>
      </c>
      <c r="D1677" t="s">
        <v>4684</v>
      </c>
      <c r="E1677" t="s">
        <v>4867</v>
      </c>
      <c r="F1677">
        <v>41</v>
      </c>
      <c r="G1677" t="s">
        <v>4872</v>
      </c>
      <c r="H1677" t="s">
        <v>4887</v>
      </c>
      <c r="I1677" t="s">
        <v>4898</v>
      </c>
      <c r="J1677" t="s">
        <v>4923</v>
      </c>
      <c r="K1677" t="s">
        <v>4931</v>
      </c>
      <c r="L1677" t="s">
        <v>4940</v>
      </c>
      <c r="M1677" t="s">
        <v>4944</v>
      </c>
      <c r="N1677" s="11">
        <v>5062.54</v>
      </c>
      <c r="O1677" t="s">
        <v>4946</v>
      </c>
      <c r="P1677" t="s">
        <v>4951</v>
      </c>
      <c r="R1677">
        <v>90</v>
      </c>
      <c r="S1677" t="str">
        <f t="shared" si="79"/>
        <v>Middle-Aged</v>
      </c>
      <c r="T1677" t="str">
        <f t="shared" si="80"/>
        <v>Medium</v>
      </c>
      <c r="U1677" t="str">
        <f t="shared" si="81"/>
        <v>Short Days</v>
      </c>
    </row>
    <row r="1678" spans="1:21">
      <c r="A1678" t="s">
        <v>1694</v>
      </c>
      <c r="B1678" s="5">
        <v>45764</v>
      </c>
      <c r="C1678" t="s">
        <v>4121</v>
      </c>
      <c r="D1678" t="s">
        <v>4753</v>
      </c>
      <c r="E1678" t="s">
        <v>4867</v>
      </c>
      <c r="F1678">
        <v>37</v>
      </c>
      <c r="G1678" t="s">
        <v>4882</v>
      </c>
      <c r="H1678" t="s">
        <v>4891</v>
      </c>
      <c r="I1678" t="s">
        <v>4895</v>
      </c>
      <c r="J1678" t="s">
        <v>4915</v>
      </c>
      <c r="K1678" t="s">
        <v>4933</v>
      </c>
      <c r="L1678" t="s">
        <v>4941</v>
      </c>
      <c r="M1678" t="s">
        <v>4942</v>
      </c>
      <c r="N1678" s="11">
        <v>7079.69</v>
      </c>
      <c r="O1678" t="s">
        <v>4946</v>
      </c>
      <c r="P1678" t="s">
        <v>4951</v>
      </c>
      <c r="S1678" t="str">
        <f t="shared" si="79"/>
        <v>Adult</v>
      </c>
      <c r="T1678" t="str">
        <f t="shared" si="80"/>
        <v>Medium</v>
      </c>
      <c r="U1678" t="str">
        <f t="shared" si="81"/>
        <v>Short Days</v>
      </c>
    </row>
    <row r="1679" spans="1:21">
      <c r="A1679" t="s">
        <v>1695</v>
      </c>
      <c r="B1679" s="5">
        <v>45741</v>
      </c>
      <c r="C1679" t="s">
        <v>4157</v>
      </c>
      <c r="D1679" t="s">
        <v>4645</v>
      </c>
      <c r="E1679" t="s">
        <v>4867</v>
      </c>
      <c r="F1679">
        <v>51</v>
      </c>
      <c r="G1679" t="s">
        <v>4883</v>
      </c>
      <c r="H1679" t="s">
        <v>4892</v>
      </c>
      <c r="I1679" t="s">
        <v>4895</v>
      </c>
      <c r="J1679" t="s">
        <v>4905</v>
      </c>
      <c r="K1679" t="s">
        <v>4929</v>
      </c>
      <c r="L1679" t="s">
        <v>4941</v>
      </c>
      <c r="M1679" t="s">
        <v>4942</v>
      </c>
      <c r="N1679" s="11">
        <v>10852.5</v>
      </c>
      <c r="O1679" t="s">
        <v>15</v>
      </c>
      <c r="P1679" t="s">
        <v>4952</v>
      </c>
      <c r="S1679" t="str">
        <f t="shared" si="79"/>
        <v>Middle-Aged</v>
      </c>
      <c r="T1679" t="str">
        <f t="shared" si="80"/>
        <v>High</v>
      </c>
      <c r="U1679" t="str">
        <f t="shared" si="81"/>
        <v>Short Days</v>
      </c>
    </row>
    <row r="1680" spans="1:21">
      <c r="A1680" t="s">
        <v>1696</v>
      </c>
      <c r="B1680" s="5">
        <v>45830</v>
      </c>
      <c r="C1680" t="s">
        <v>4004</v>
      </c>
      <c r="D1680" t="s">
        <v>4619</v>
      </c>
      <c r="E1680" t="s">
        <v>4867</v>
      </c>
      <c r="F1680">
        <v>49</v>
      </c>
      <c r="G1680" t="s">
        <v>4876</v>
      </c>
      <c r="H1680" t="s">
        <v>4888</v>
      </c>
      <c r="I1680" t="s">
        <v>4902</v>
      </c>
      <c r="J1680" t="s">
        <v>4920</v>
      </c>
      <c r="K1680" t="s">
        <v>4925</v>
      </c>
      <c r="L1680" t="s">
        <v>4939</v>
      </c>
      <c r="M1680" t="s">
        <v>4942</v>
      </c>
      <c r="N1680" s="11">
        <v>2061.5500000000002</v>
      </c>
      <c r="O1680" t="s">
        <v>4947</v>
      </c>
      <c r="P1680" t="s">
        <v>4951</v>
      </c>
      <c r="R1680">
        <v>30</v>
      </c>
      <c r="S1680" t="str">
        <f t="shared" si="79"/>
        <v>Middle-Aged</v>
      </c>
      <c r="T1680" t="str">
        <f t="shared" si="80"/>
        <v>Low</v>
      </c>
      <c r="U1680" t="str">
        <f t="shared" si="81"/>
        <v>Short Days</v>
      </c>
    </row>
    <row r="1681" spans="1:21">
      <c r="A1681" t="s">
        <v>1697</v>
      </c>
      <c r="B1681" s="5">
        <v>45763</v>
      </c>
      <c r="C1681" t="s">
        <v>4158</v>
      </c>
      <c r="D1681" t="s">
        <v>4651</v>
      </c>
      <c r="E1681" t="s">
        <v>4867</v>
      </c>
      <c r="F1681">
        <v>29</v>
      </c>
      <c r="G1681" t="s">
        <v>4881</v>
      </c>
      <c r="H1681" t="s">
        <v>4881</v>
      </c>
      <c r="I1681" t="s">
        <v>4900</v>
      </c>
      <c r="J1681" t="s">
        <v>4913</v>
      </c>
      <c r="K1681" t="s">
        <v>4926</v>
      </c>
      <c r="L1681" t="s">
        <v>4939</v>
      </c>
      <c r="M1681" t="s">
        <v>4942</v>
      </c>
      <c r="N1681" s="11">
        <v>10681.58</v>
      </c>
      <c r="O1681" t="s">
        <v>4950</v>
      </c>
      <c r="P1681" t="s">
        <v>4951</v>
      </c>
      <c r="S1681" t="str">
        <f t="shared" si="79"/>
        <v>Adult</v>
      </c>
      <c r="T1681" t="str">
        <f t="shared" si="80"/>
        <v>High</v>
      </c>
      <c r="U1681" t="str">
        <f t="shared" si="81"/>
        <v>Short Days</v>
      </c>
    </row>
    <row r="1682" spans="1:21">
      <c r="A1682" t="s">
        <v>1698</v>
      </c>
      <c r="B1682" s="5">
        <v>45367</v>
      </c>
      <c r="C1682" t="s">
        <v>3179</v>
      </c>
      <c r="D1682" t="s">
        <v>4662</v>
      </c>
      <c r="E1682" t="s">
        <v>4866</v>
      </c>
      <c r="F1682">
        <v>53</v>
      </c>
      <c r="G1682" t="s">
        <v>4869</v>
      </c>
      <c r="H1682" t="s">
        <v>4884</v>
      </c>
      <c r="I1682" t="s">
        <v>4894</v>
      </c>
      <c r="J1682" t="s">
        <v>4904</v>
      </c>
      <c r="K1682" t="s">
        <v>4927</v>
      </c>
      <c r="L1682" t="s">
        <v>4936</v>
      </c>
      <c r="M1682" t="s">
        <v>4942</v>
      </c>
      <c r="N1682" s="11">
        <v>2022.01</v>
      </c>
      <c r="O1682" t="s">
        <v>4949</v>
      </c>
      <c r="P1682" t="s">
        <v>4951</v>
      </c>
      <c r="R1682">
        <v>90</v>
      </c>
      <c r="S1682" t="str">
        <f t="shared" si="79"/>
        <v>Middle-Aged</v>
      </c>
      <c r="T1682" t="str">
        <f t="shared" si="80"/>
        <v>Low</v>
      </c>
      <c r="U1682" t="str">
        <f t="shared" si="81"/>
        <v>Short Days</v>
      </c>
    </row>
    <row r="1683" spans="1:21">
      <c r="A1683" t="s">
        <v>1699</v>
      </c>
      <c r="B1683" s="5">
        <v>45404</v>
      </c>
      <c r="C1683" t="s">
        <v>4159</v>
      </c>
      <c r="D1683" t="s">
        <v>4826</v>
      </c>
      <c r="E1683" t="s">
        <v>4866</v>
      </c>
      <c r="F1683">
        <v>20</v>
      </c>
      <c r="G1683" t="s">
        <v>4881</v>
      </c>
      <c r="H1683" t="s">
        <v>4881</v>
      </c>
      <c r="I1683" t="s">
        <v>4893</v>
      </c>
      <c r="J1683" t="s">
        <v>4903</v>
      </c>
      <c r="K1683" t="s">
        <v>4929</v>
      </c>
      <c r="L1683" t="s">
        <v>4935</v>
      </c>
      <c r="M1683" t="s">
        <v>4942</v>
      </c>
      <c r="N1683" s="11">
        <v>12097.01</v>
      </c>
      <c r="O1683" t="s">
        <v>15</v>
      </c>
      <c r="P1683" t="s">
        <v>4952</v>
      </c>
      <c r="R1683">
        <v>90</v>
      </c>
      <c r="S1683" t="str">
        <f t="shared" si="79"/>
        <v>Adult</v>
      </c>
      <c r="T1683" t="str">
        <f t="shared" si="80"/>
        <v>High</v>
      </c>
      <c r="U1683" t="str">
        <f t="shared" si="81"/>
        <v>Short Days</v>
      </c>
    </row>
    <row r="1684" spans="1:21">
      <c r="A1684" t="s">
        <v>1700</v>
      </c>
      <c r="B1684" s="5">
        <v>45938</v>
      </c>
      <c r="C1684" t="s">
        <v>3692</v>
      </c>
      <c r="D1684" t="s">
        <v>4599</v>
      </c>
      <c r="E1684" t="s">
        <v>4867</v>
      </c>
      <c r="F1684">
        <v>30</v>
      </c>
      <c r="G1684" t="s">
        <v>4875</v>
      </c>
      <c r="H1684" t="s">
        <v>4889</v>
      </c>
      <c r="I1684" t="s">
        <v>4899</v>
      </c>
      <c r="J1684" t="s">
        <v>4912</v>
      </c>
      <c r="K1684" t="s">
        <v>4930</v>
      </c>
      <c r="L1684" t="s">
        <v>4941</v>
      </c>
      <c r="M1684" t="s">
        <v>4942</v>
      </c>
      <c r="N1684" s="11">
        <v>2239.67</v>
      </c>
      <c r="O1684" t="s">
        <v>4947</v>
      </c>
      <c r="P1684" t="s">
        <v>4951</v>
      </c>
      <c r="R1684">
        <v>14</v>
      </c>
      <c r="S1684" t="str">
        <f t="shared" si="79"/>
        <v>Adult</v>
      </c>
      <c r="T1684" t="str">
        <f t="shared" si="80"/>
        <v>Low</v>
      </c>
      <c r="U1684" t="str">
        <f t="shared" si="81"/>
        <v>Short Days</v>
      </c>
    </row>
    <row r="1685" spans="1:21">
      <c r="A1685" t="s">
        <v>1701</v>
      </c>
      <c r="B1685" s="5">
        <v>45631</v>
      </c>
      <c r="C1685" t="s">
        <v>4160</v>
      </c>
      <c r="D1685" t="s">
        <v>4653</v>
      </c>
      <c r="E1685" t="s">
        <v>4867</v>
      </c>
      <c r="F1685">
        <v>37</v>
      </c>
      <c r="G1685" t="s">
        <v>4880</v>
      </c>
      <c r="H1685" t="s">
        <v>4890</v>
      </c>
      <c r="I1685" t="s">
        <v>4894</v>
      </c>
      <c r="J1685" t="s">
        <v>4910</v>
      </c>
      <c r="K1685" t="s">
        <v>4932</v>
      </c>
      <c r="L1685" t="s">
        <v>4941</v>
      </c>
      <c r="M1685" t="s">
        <v>4942</v>
      </c>
      <c r="N1685" s="11">
        <v>1653.17</v>
      </c>
      <c r="O1685" t="s">
        <v>15</v>
      </c>
      <c r="P1685" t="s">
        <v>4952</v>
      </c>
      <c r="R1685">
        <v>30</v>
      </c>
      <c r="S1685" t="str">
        <f t="shared" si="79"/>
        <v>Adult</v>
      </c>
      <c r="T1685" t="str">
        <f t="shared" si="80"/>
        <v>Low</v>
      </c>
      <c r="U1685" t="str">
        <f t="shared" si="81"/>
        <v>Short Days</v>
      </c>
    </row>
    <row r="1686" spans="1:21">
      <c r="A1686" t="s">
        <v>1702</v>
      </c>
      <c r="B1686" s="5">
        <v>45422</v>
      </c>
      <c r="C1686" t="s">
        <v>3787</v>
      </c>
      <c r="D1686" t="s">
        <v>4820</v>
      </c>
      <c r="E1686" t="s">
        <v>4867</v>
      </c>
      <c r="F1686">
        <v>39</v>
      </c>
      <c r="G1686" t="s">
        <v>4880</v>
      </c>
      <c r="H1686" t="s">
        <v>4890</v>
      </c>
      <c r="I1686" t="s">
        <v>4895</v>
      </c>
      <c r="J1686" t="s">
        <v>4905</v>
      </c>
      <c r="K1686" t="s">
        <v>4953</v>
      </c>
      <c r="L1686" t="s">
        <v>4935</v>
      </c>
      <c r="M1686" t="s">
        <v>4942</v>
      </c>
      <c r="N1686" s="11">
        <v>3706.69</v>
      </c>
      <c r="O1686" t="s">
        <v>15</v>
      </c>
      <c r="P1686" t="s">
        <v>4952</v>
      </c>
      <c r="S1686" t="str">
        <f t="shared" si="79"/>
        <v>Adult</v>
      </c>
      <c r="T1686" t="str">
        <f t="shared" si="80"/>
        <v>Low</v>
      </c>
      <c r="U1686" t="str">
        <f t="shared" si="81"/>
        <v>Short Days</v>
      </c>
    </row>
    <row r="1687" spans="1:21">
      <c r="A1687" t="s">
        <v>1703</v>
      </c>
      <c r="B1687" s="5">
        <v>45821</v>
      </c>
      <c r="C1687" t="s">
        <v>3162</v>
      </c>
      <c r="D1687" t="s">
        <v>4784</v>
      </c>
      <c r="E1687" t="s">
        <v>4867</v>
      </c>
      <c r="F1687">
        <v>23</v>
      </c>
      <c r="G1687" t="s">
        <v>4881</v>
      </c>
      <c r="H1687" t="s">
        <v>4881</v>
      </c>
      <c r="I1687" t="s">
        <v>4897</v>
      </c>
      <c r="J1687" t="s">
        <v>4907</v>
      </c>
      <c r="K1687" t="s">
        <v>4924</v>
      </c>
      <c r="L1687" t="s">
        <v>4935</v>
      </c>
      <c r="M1687" t="s">
        <v>4942</v>
      </c>
      <c r="N1687" s="11">
        <v>2141.46</v>
      </c>
      <c r="O1687" t="s">
        <v>4946</v>
      </c>
      <c r="P1687" t="s">
        <v>4951</v>
      </c>
      <c r="R1687">
        <v>7</v>
      </c>
      <c r="S1687" t="str">
        <f t="shared" si="79"/>
        <v>Adult</v>
      </c>
      <c r="T1687" t="str">
        <f t="shared" si="80"/>
        <v>Low</v>
      </c>
      <c r="U1687" t="str">
        <f t="shared" si="81"/>
        <v>Short Days</v>
      </c>
    </row>
    <row r="1688" spans="1:21">
      <c r="A1688" t="s">
        <v>1704</v>
      </c>
      <c r="B1688" s="5">
        <v>45644</v>
      </c>
      <c r="C1688" t="s">
        <v>3712</v>
      </c>
      <c r="D1688" t="s">
        <v>4705</v>
      </c>
      <c r="E1688" t="s">
        <v>4867</v>
      </c>
      <c r="F1688">
        <v>48</v>
      </c>
      <c r="G1688" t="s">
        <v>4877</v>
      </c>
      <c r="H1688" t="s">
        <v>4888</v>
      </c>
      <c r="I1688" t="s">
        <v>4901</v>
      </c>
      <c r="J1688" t="s">
        <v>4914</v>
      </c>
      <c r="K1688" t="s">
        <v>4932</v>
      </c>
      <c r="L1688" t="s">
        <v>4941</v>
      </c>
      <c r="M1688" t="s">
        <v>4944</v>
      </c>
      <c r="N1688" s="11">
        <v>6558.33</v>
      </c>
      <c r="O1688" t="s">
        <v>4947</v>
      </c>
      <c r="P1688" t="s">
        <v>4951</v>
      </c>
      <c r="S1688" t="str">
        <f t="shared" si="79"/>
        <v>Middle-Aged</v>
      </c>
      <c r="T1688" t="str">
        <f t="shared" si="80"/>
        <v>Medium</v>
      </c>
      <c r="U1688" t="str">
        <f t="shared" si="81"/>
        <v>Short Days</v>
      </c>
    </row>
    <row r="1689" spans="1:21">
      <c r="A1689" t="s">
        <v>1705</v>
      </c>
      <c r="B1689" s="5">
        <v>45874</v>
      </c>
      <c r="C1689" t="s">
        <v>3745</v>
      </c>
      <c r="D1689" t="s">
        <v>4655</v>
      </c>
      <c r="E1689" t="s">
        <v>4867</v>
      </c>
      <c r="F1689">
        <v>11</v>
      </c>
      <c r="G1689" t="s">
        <v>4881</v>
      </c>
      <c r="H1689" t="s">
        <v>4881</v>
      </c>
      <c r="I1689" t="s">
        <v>4895</v>
      </c>
      <c r="J1689" t="s">
        <v>4915</v>
      </c>
      <c r="K1689" t="s">
        <v>4924</v>
      </c>
      <c r="L1689" t="s">
        <v>4941</v>
      </c>
      <c r="M1689" t="s">
        <v>4942</v>
      </c>
      <c r="N1689" s="11">
        <v>1343.6</v>
      </c>
      <c r="O1689" t="s">
        <v>4948</v>
      </c>
      <c r="P1689" t="s">
        <v>4951</v>
      </c>
      <c r="S1689" t="str">
        <f t="shared" si="79"/>
        <v>Child</v>
      </c>
      <c r="T1689" t="str">
        <f t="shared" si="80"/>
        <v>Low</v>
      </c>
      <c r="U1689" t="str">
        <f t="shared" si="81"/>
        <v>Short Days</v>
      </c>
    </row>
    <row r="1690" spans="1:21">
      <c r="A1690" t="s">
        <v>1706</v>
      </c>
      <c r="B1690" s="5">
        <v>45563</v>
      </c>
      <c r="C1690" t="s">
        <v>3538</v>
      </c>
      <c r="D1690" t="s">
        <v>4627</v>
      </c>
      <c r="E1690" t="s">
        <v>4866</v>
      </c>
      <c r="F1690">
        <v>25</v>
      </c>
      <c r="G1690" t="s">
        <v>4883</v>
      </c>
      <c r="H1690" t="s">
        <v>4892</v>
      </c>
      <c r="I1690" t="s">
        <v>4893</v>
      </c>
      <c r="J1690" t="s">
        <v>4917</v>
      </c>
      <c r="K1690" t="s">
        <v>4930</v>
      </c>
      <c r="L1690" t="s">
        <v>4937</v>
      </c>
      <c r="M1690" t="s">
        <v>4942</v>
      </c>
      <c r="N1690" s="11">
        <v>359.6</v>
      </c>
      <c r="O1690" t="s">
        <v>4949</v>
      </c>
      <c r="P1690" t="s">
        <v>4951</v>
      </c>
      <c r="R1690">
        <v>30</v>
      </c>
      <c r="S1690" t="str">
        <f t="shared" si="79"/>
        <v>Adult</v>
      </c>
      <c r="T1690" t="str">
        <f t="shared" si="80"/>
        <v>Low</v>
      </c>
      <c r="U1690" t="str">
        <f t="shared" si="81"/>
        <v>Short Days</v>
      </c>
    </row>
    <row r="1691" spans="1:21">
      <c r="A1691" t="s">
        <v>1707</v>
      </c>
      <c r="B1691" s="5">
        <v>45767</v>
      </c>
      <c r="C1691" t="s">
        <v>4161</v>
      </c>
      <c r="D1691" t="s">
        <v>4807</v>
      </c>
      <c r="E1691" t="s">
        <v>4866</v>
      </c>
      <c r="F1691">
        <v>19</v>
      </c>
      <c r="G1691" t="s">
        <v>4870</v>
      </c>
      <c r="H1691" t="s">
        <v>4885</v>
      </c>
      <c r="I1691" t="s">
        <v>4894</v>
      </c>
      <c r="J1691" t="s">
        <v>4904</v>
      </c>
      <c r="K1691" t="s">
        <v>4927</v>
      </c>
      <c r="L1691" t="s">
        <v>4938</v>
      </c>
      <c r="M1691" t="s">
        <v>4942</v>
      </c>
      <c r="N1691" s="11">
        <v>3119.29</v>
      </c>
      <c r="O1691" t="s">
        <v>15</v>
      </c>
      <c r="P1691" t="s">
        <v>4952</v>
      </c>
      <c r="R1691">
        <v>90</v>
      </c>
      <c r="S1691" t="str">
        <f t="shared" si="79"/>
        <v>Adult</v>
      </c>
      <c r="T1691" t="str">
        <f t="shared" si="80"/>
        <v>Low</v>
      </c>
      <c r="U1691" t="str">
        <f t="shared" si="81"/>
        <v>Short Days</v>
      </c>
    </row>
    <row r="1692" spans="1:21">
      <c r="A1692" t="s">
        <v>1708</v>
      </c>
      <c r="B1692" s="5">
        <v>45933</v>
      </c>
      <c r="C1692" t="s">
        <v>3125</v>
      </c>
      <c r="D1692" t="s">
        <v>4706</v>
      </c>
      <c r="E1692" t="s">
        <v>4867</v>
      </c>
      <c r="F1692">
        <v>65</v>
      </c>
      <c r="G1692" t="s">
        <v>4873</v>
      </c>
      <c r="H1692" t="s">
        <v>4888</v>
      </c>
      <c r="I1692" t="s">
        <v>4896</v>
      </c>
      <c r="J1692" t="s">
        <v>4906</v>
      </c>
      <c r="K1692" t="s">
        <v>4932</v>
      </c>
      <c r="L1692" t="s">
        <v>4936</v>
      </c>
      <c r="M1692" t="s">
        <v>4942</v>
      </c>
      <c r="N1692" s="11">
        <v>2017.74</v>
      </c>
      <c r="O1692" t="s">
        <v>4947</v>
      </c>
      <c r="P1692" t="s">
        <v>4951</v>
      </c>
      <c r="R1692">
        <v>90</v>
      </c>
      <c r="S1692" t="str">
        <f t="shared" si="79"/>
        <v>Senior</v>
      </c>
      <c r="T1692" t="str">
        <f t="shared" si="80"/>
        <v>Low</v>
      </c>
      <c r="U1692" t="str">
        <f t="shared" si="81"/>
        <v>Short Days</v>
      </c>
    </row>
    <row r="1693" spans="1:21">
      <c r="A1693" t="s">
        <v>1709</v>
      </c>
      <c r="B1693" s="5">
        <v>45897</v>
      </c>
      <c r="C1693" t="s">
        <v>3402</v>
      </c>
      <c r="D1693" t="s">
        <v>4854</v>
      </c>
      <c r="E1693" t="s">
        <v>4867</v>
      </c>
      <c r="F1693">
        <v>31</v>
      </c>
      <c r="G1693" t="s">
        <v>4881</v>
      </c>
      <c r="H1693" t="s">
        <v>4881</v>
      </c>
      <c r="I1693" t="s">
        <v>4894</v>
      </c>
      <c r="J1693" t="s">
        <v>4910</v>
      </c>
      <c r="K1693" t="s">
        <v>4931</v>
      </c>
      <c r="L1693" t="s">
        <v>4936</v>
      </c>
      <c r="M1693" t="s">
        <v>4942</v>
      </c>
      <c r="N1693" s="11">
        <v>2005.35</v>
      </c>
      <c r="O1693" t="s">
        <v>4948</v>
      </c>
      <c r="P1693" t="s">
        <v>4951</v>
      </c>
      <c r="S1693" t="str">
        <f t="shared" si="79"/>
        <v>Adult</v>
      </c>
      <c r="T1693" t="str">
        <f t="shared" si="80"/>
        <v>Low</v>
      </c>
      <c r="U1693" t="str">
        <f t="shared" si="81"/>
        <v>Short Days</v>
      </c>
    </row>
    <row r="1694" spans="1:21">
      <c r="A1694" t="s">
        <v>1710</v>
      </c>
      <c r="B1694" s="5">
        <v>45562</v>
      </c>
      <c r="C1694" t="s">
        <v>3149</v>
      </c>
      <c r="D1694" t="s">
        <v>4811</v>
      </c>
      <c r="E1694" t="s">
        <v>4867</v>
      </c>
      <c r="F1694">
        <v>40</v>
      </c>
      <c r="G1694" t="s">
        <v>4879</v>
      </c>
      <c r="H1694" t="s">
        <v>4888</v>
      </c>
      <c r="I1694" t="s">
        <v>4894</v>
      </c>
      <c r="J1694" t="s">
        <v>4904</v>
      </c>
      <c r="K1694" t="s">
        <v>4931</v>
      </c>
      <c r="L1694" t="s">
        <v>4940</v>
      </c>
      <c r="M1694" t="s">
        <v>4943</v>
      </c>
      <c r="N1694" s="11">
        <v>11945.17</v>
      </c>
      <c r="O1694" t="s">
        <v>4947</v>
      </c>
      <c r="P1694" t="s">
        <v>4951</v>
      </c>
      <c r="R1694">
        <v>14</v>
      </c>
      <c r="S1694" t="str">
        <f t="shared" si="79"/>
        <v>Adult</v>
      </c>
      <c r="T1694" t="str">
        <f t="shared" si="80"/>
        <v>High</v>
      </c>
      <c r="U1694" t="str">
        <f t="shared" si="81"/>
        <v>Short Days</v>
      </c>
    </row>
    <row r="1695" spans="1:21">
      <c r="A1695" t="s">
        <v>1711</v>
      </c>
      <c r="B1695" s="5">
        <v>45866</v>
      </c>
      <c r="C1695" t="s">
        <v>3250</v>
      </c>
      <c r="D1695" t="s">
        <v>4841</v>
      </c>
      <c r="E1695" t="s">
        <v>4866</v>
      </c>
      <c r="F1695">
        <v>43</v>
      </c>
      <c r="G1695" t="s">
        <v>4873</v>
      </c>
      <c r="H1695" t="s">
        <v>4888</v>
      </c>
      <c r="I1695" t="s">
        <v>4897</v>
      </c>
      <c r="J1695" t="s">
        <v>4922</v>
      </c>
      <c r="K1695" t="s">
        <v>4930</v>
      </c>
      <c r="L1695" t="s">
        <v>4940</v>
      </c>
      <c r="M1695" t="s">
        <v>4944</v>
      </c>
      <c r="N1695" s="11">
        <v>7261.97</v>
      </c>
      <c r="O1695" t="s">
        <v>15</v>
      </c>
      <c r="P1695" t="s">
        <v>4952</v>
      </c>
      <c r="R1695">
        <v>7</v>
      </c>
      <c r="S1695" t="str">
        <f t="shared" si="79"/>
        <v>Middle-Aged</v>
      </c>
      <c r="T1695" t="str">
        <f t="shared" si="80"/>
        <v>Medium</v>
      </c>
      <c r="U1695" t="str">
        <f t="shared" si="81"/>
        <v>Short Days</v>
      </c>
    </row>
    <row r="1696" spans="1:21">
      <c r="A1696" t="s">
        <v>1712</v>
      </c>
      <c r="B1696" s="5">
        <v>45741</v>
      </c>
      <c r="C1696" t="s">
        <v>3908</v>
      </c>
      <c r="D1696" t="s">
        <v>4676</v>
      </c>
      <c r="E1696" t="s">
        <v>4867</v>
      </c>
      <c r="F1696">
        <v>42</v>
      </c>
      <c r="G1696" t="s">
        <v>4870</v>
      </c>
      <c r="H1696" t="s">
        <v>4885</v>
      </c>
      <c r="I1696" t="s">
        <v>4893</v>
      </c>
      <c r="J1696" t="s">
        <v>4903</v>
      </c>
      <c r="K1696" t="s">
        <v>4930</v>
      </c>
      <c r="L1696" t="s">
        <v>4939</v>
      </c>
      <c r="M1696" t="s">
        <v>4942</v>
      </c>
      <c r="N1696" s="11">
        <v>3133.07</v>
      </c>
      <c r="O1696" t="s">
        <v>15</v>
      </c>
      <c r="P1696" t="s">
        <v>4952</v>
      </c>
      <c r="S1696" t="str">
        <f t="shared" si="79"/>
        <v>Middle-Aged</v>
      </c>
      <c r="T1696" t="str">
        <f t="shared" si="80"/>
        <v>Low</v>
      </c>
      <c r="U1696" t="str">
        <f t="shared" si="81"/>
        <v>Short Days</v>
      </c>
    </row>
    <row r="1697" spans="1:21">
      <c r="A1697" t="s">
        <v>1713</v>
      </c>
      <c r="B1697" s="5">
        <v>45699</v>
      </c>
      <c r="C1697" t="s">
        <v>4061</v>
      </c>
      <c r="D1697" t="s">
        <v>4739</v>
      </c>
      <c r="E1697" t="s">
        <v>4867</v>
      </c>
      <c r="F1697">
        <f>AVERAGE(F1690,F1696)</f>
        <v>33.5</v>
      </c>
      <c r="G1697" t="s">
        <v>4881</v>
      </c>
      <c r="H1697" t="s">
        <v>4884</v>
      </c>
      <c r="I1697" t="s">
        <v>4896</v>
      </c>
      <c r="J1697" t="s">
        <v>4908</v>
      </c>
      <c r="K1697" t="s">
        <v>4953</v>
      </c>
      <c r="L1697" t="s">
        <v>4939</v>
      </c>
      <c r="M1697" t="s">
        <v>4942</v>
      </c>
      <c r="N1697" s="11">
        <v>2399.38</v>
      </c>
      <c r="O1697" t="s">
        <v>4946</v>
      </c>
      <c r="P1697" t="s">
        <v>4951</v>
      </c>
      <c r="R1697">
        <v>7</v>
      </c>
      <c r="S1697" t="str">
        <f t="shared" si="79"/>
        <v>Adult</v>
      </c>
      <c r="T1697" t="str">
        <f t="shared" si="80"/>
        <v>Low</v>
      </c>
      <c r="U1697" t="str">
        <f t="shared" si="81"/>
        <v>Short Days</v>
      </c>
    </row>
    <row r="1698" spans="1:21">
      <c r="A1698" t="s">
        <v>1714</v>
      </c>
      <c r="B1698" s="5">
        <v>45828</v>
      </c>
      <c r="C1698" t="s">
        <v>4162</v>
      </c>
      <c r="D1698" t="s">
        <v>4681</v>
      </c>
      <c r="E1698" t="s">
        <v>4867</v>
      </c>
      <c r="F1698">
        <v>69</v>
      </c>
      <c r="G1698" t="s">
        <v>4869</v>
      </c>
      <c r="H1698" t="s">
        <v>4884</v>
      </c>
      <c r="I1698" t="s">
        <v>4895</v>
      </c>
      <c r="J1698" t="s">
        <v>4915</v>
      </c>
      <c r="K1698" t="s">
        <v>4924</v>
      </c>
      <c r="L1698" t="s">
        <v>4940</v>
      </c>
      <c r="M1698" t="s">
        <v>4942</v>
      </c>
      <c r="N1698" s="11">
        <v>633.26</v>
      </c>
      <c r="O1698" t="s">
        <v>4949</v>
      </c>
      <c r="P1698" t="s">
        <v>4951</v>
      </c>
      <c r="R1698">
        <v>7</v>
      </c>
      <c r="S1698" t="str">
        <f t="shared" si="79"/>
        <v>Senior</v>
      </c>
      <c r="T1698" t="str">
        <f t="shared" si="80"/>
        <v>Low</v>
      </c>
      <c r="U1698" t="str">
        <f t="shared" si="81"/>
        <v>Short Days</v>
      </c>
    </row>
    <row r="1699" spans="1:21">
      <c r="A1699" t="s">
        <v>1715</v>
      </c>
      <c r="B1699" s="5">
        <v>45363</v>
      </c>
      <c r="C1699" t="s">
        <v>4149</v>
      </c>
      <c r="D1699" t="s">
        <v>4755</v>
      </c>
      <c r="E1699" t="s">
        <v>4866</v>
      </c>
      <c r="F1699">
        <v>54</v>
      </c>
      <c r="G1699" t="s">
        <v>4882</v>
      </c>
      <c r="H1699" t="s">
        <v>4891</v>
      </c>
      <c r="I1699" t="s">
        <v>4902</v>
      </c>
      <c r="J1699" t="s">
        <v>4920</v>
      </c>
      <c r="K1699" t="s">
        <v>4924</v>
      </c>
      <c r="L1699" t="s">
        <v>4941</v>
      </c>
      <c r="M1699" t="s">
        <v>4942</v>
      </c>
      <c r="N1699" s="11">
        <v>8894.02</v>
      </c>
      <c r="O1699" t="s">
        <v>15</v>
      </c>
      <c r="P1699" t="s">
        <v>4952</v>
      </c>
      <c r="R1699">
        <v>14</v>
      </c>
      <c r="S1699" t="str">
        <f t="shared" si="79"/>
        <v>Middle-Aged</v>
      </c>
      <c r="T1699" t="str">
        <f t="shared" si="80"/>
        <v>Medium</v>
      </c>
      <c r="U1699" t="str">
        <f t="shared" si="81"/>
        <v>Short Days</v>
      </c>
    </row>
    <row r="1700" spans="1:21">
      <c r="A1700" t="s">
        <v>1716</v>
      </c>
      <c r="B1700" s="5">
        <v>45586</v>
      </c>
      <c r="C1700" t="s">
        <v>4163</v>
      </c>
      <c r="D1700" t="s">
        <v>4811</v>
      </c>
      <c r="E1700" t="s">
        <v>4866</v>
      </c>
      <c r="F1700">
        <v>54</v>
      </c>
      <c r="G1700" t="s">
        <v>4875</v>
      </c>
      <c r="H1700" t="s">
        <v>4889</v>
      </c>
      <c r="I1700" t="s">
        <v>4899</v>
      </c>
      <c r="J1700" t="s">
        <v>4911</v>
      </c>
      <c r="K1700" t="s">
        <v>4933</v>
      </c>
      <c r="L1700" t="s">
        <v>4934</v>
      </c>
      <c r="M1700" t="s">
        <v>4942</v>
      </c>
      <c r="N1700" s="11">
        <v>10154.209999999999</v>
      </c>
      <c r="O1700" t="s">
        <v>4946</v>
      </c>
      <c r="P1700" t="s">
        <v>4951</v>
      </c>
      <c r="S1700" t="str">
        <f t="shared" si="79"/>
        <v>Middle-Aged</v>
      </c>
      <c r="T1700" t="str">
        <f t="shared" si="80"/>
        <v>High</v>
      </c>
      <c r="U1700" t="str">
        <f t="shared" si="81"/>
        <v>Short Days</v>
      </c>
    </row>
    <row r="1701" spans="1:21">
      <c r="A1701" t="s">
        <v>1717</v>
      </c>
      <c r="B1701" s="5">
        <v>45933</v>
      </c>
      <c r="C1701" t="s">
        <v>4164</v>
      </c>
      <c r="D1701" t="s">
        <v>4665</v>
      </c>
      <c r="E1701" t="s">
        <v>4867</v>
      </c>
      <c r="F1701">
        <v>38</v>
      </c>
      <c r="G1701" t="s">
        <v>4872</v>
      </c>
      <c r="H1701" t="s">
        <v>4887</v>
      </c>
      <c r="I1701" t="s">
        <v>4901</v>
      </c>
      <c r="J1701" t="s">
        <v>4914</v>
      </c>
      <c r="K1701" t="s">
        <v>4925</v>
      </c>
      <c r="L1701" t="s">
        <v>4938</v>
      </c>
      <c r="M1701" t="s">
        <v>4944</v>
      </c>
      <c r="N1701" s="11">
        <v>21484.79</v>
      </c>
      <c r="O1701" t="s">
        <v>4946</v>
      </c>
      <c r="P1701" t="s">
        <v>4951</v>
      </c>
      <c r="R1701">
        <v>90</v>
      </c>
      <c r="S1701" t="str">
        <f t="shared" si="79"/>
        <v>Adult</v>
      </c>
      <c r="T1701" t="str">
        <f t="shared" si="80"/>
        <v>High</v>
      </c>
      <c r="U1701" t="str">
        <f t="shared" si="81"/>
        <v>Short Days</v>
      </c>
    </row>
    <row r="1702" spans="1:21">
      <c r="A1702" t="s">
        <v>1718</v>
      </c>
      <c r="B1702" s="5">
        <v>45773</v>
      </c>
      <c r="C1702" t="s">
        <v>4165</v>
      </c>
      <c r="D1702" t="s">
        <v>4770</v>
      </c>
      <c r="E1702" t="s">
        <v>4866</v>
      </c>
      <c r="F1702">
        <v>49</v>
      </c>
      <c r="G1702" t="s">
        <v>4873</v>
      </c>
      <c r="H1702" t="s">
        <v>4888</v>
      </c>
      <c r="I1702" t="s">
        <v>4901</v>
      </c>
      <c r="J1702" t="s">
        <v>4914</v>
      </c>
      <c r="K1702" t="s">
        <v>4926</v>
      </c>
      <c r="L1702" t="s">
        <v>4934</v>
      </c>
      <c r="M1702" t="s">
        <v>4942</v>
      </c>
      <c r="N1702" s="11">
        <v>6423.83</v>
      </c>
      <c r="O1702" t="s">
        <v>15</v>
      </c>
      <c r="P1702" t="s">
        <v>4952</v>
      </c>
      <c r="R1702">
        <v>30</v>
      </c>
      <c r="S1702" t="str">
        <f t="shared" si="79"/>
        <v>Middle-Aged</v>
      </c>
      <c r="T1702" t="str">
        <f t="shared" si="80"/>
        <v>Medium</v>
      </c>
      <c r="U1702" t="str">
        <f t="shared" si="81"/>
        <v>Short Days</v>
      </c>
    </row>
    <row r="1703" spans="1:21">
      <c r="A1703" t="s">
        <v>1719</v>
      </c>
      <c r="B1703" s="5">
        <v>45332</v>
      </c>
      <c r="C1703" t="s">
        <v>4166</v>
      </c>
      <c r="D1703" t="s">
        <v>4794</v>
      </c>
      <c r="E1703" t="s">
        <v>4866</v>
      </c>
      <c r="F1703">
        <v>37</v>
      </c>
      <c r="G1703" t="s">
        <v>4877</v>
      </c>
      <c r="H1703" t="s">
        <v>4888</v>
      </c>
      <c r="I1703" t="s">
        <v>4902</v>
      </c>
      <c r="J1703" t="s">
        <v>4920</v>
      </c>
      <c r="K1703" t="s">
        <v>4930</v>
      </c>
      <c r="L1703" t="s">
        <v>4938</v>
      </c>
      <c r="M1703" t="s">
        <v>4942</v>
      </c>
      <c r="N1703" s="11">
        <v>8508.61</v>
      </c>
      <c r="O1703" t="s">
        <v>15</v>
      </c>
      <c r="P1703" t="s">
        <v>4952</v>
      </c>
      <c r="S1703" t="str">
        <f t="shared" si="79"/>
        <v>Adult</v>
      </c>
      <c r="T1703" t="str">
        <f t="shared" si="80"/>
        <v>Medium</v>
      </c>
      <c r="U1703" t="str">
        <f t="shared" si="81"/>
        <v>Short Days</v>
      </c>
    </row>
    <row r="1704" spans="1:21">
      <c r="A1704" t="s">
        <v>1720</v>
      </c>
      <c r="B1704" s="5">
        <v>45772</v>
      </c>
      <c r="C1704" t="s">
        <v>4167</v>
      </c>
      <c r="D1704" t="s">
        <v>4643</v>
      </c>
      <c r="E1704" t="s">
        <v>4867</v>
      </c>
      <c r="F1704">
        <v>66</v>
      </c>
      <c r="G1704" t="s">
        <v>4880</v>
      </c>
      <c r="H1704" t="s">
        <v>4890</v>
      </c>
      <c r="I1704" t="s">
        <v>4902</v>
      </c>
      <c r="J1704" t="s">
        <v>4920</v>
      </c>
      <c r="K1704" t="s">
        <v>4933</v>
      </c>
      <c r="L1704" t="s">
        <v>4935</v>
      </c>
      <c r="M1704" t="s">
        <v>4942</v>
      </c>
      <c r="N1704" s="11">
        <v>1677.96</v>
      </c>
      <c r="O1704" t="s">
        <v>4949</v>
      </c>
      <c r="P1704" t="s">
        <v>4951</v>
      </c>
      <c r="R1704">
        <v>90</v>
      </c>
      <c r="S1704" t="str">
        <f t="shared" si="79"/>
        <v>Senior</v>
      </c>
      <c r="T1704" t="str">
        <f t="shared" si="80"/>
        <v>Low</v>
      </c>
      <c r="U1704" t="str">
        <f t="shared" si="81"/>
        <v>Short Days</v>
      </c>
    </row>
    <row r="1705" spans="1:21">
      <c r="A1705" t="s">
        <v>1721</v>
      </c>
      <c r="B1705" s="5">
        <v>45660</v>
      </c>
      <c r="C1705" t="s">
        <v>3516</v>
      </c>
      <c r="D1705" t="s">
        <v>4726</v>
      </c>
      <c r="E1705" t="s">
        <v>4866</v>
      </c>
      <c r="F1705">
        <f>AVERAGE(F1698,F1704)</f>
        <v>67.5</v>
      </c>
      <c r="G1705" t="s">
        <v>4881</v>
      </c>
      <c r="H1705" t="s">
        <v>4888</v>
      </c>
      <c r="I1705" t="s">
        <v>4898</v>
      </c>
      <c r="J1705" t="s">
        <v>4909</v>
      </c>
      <c r="K1705" t="s">
        <v>4953</v>
      </c>
      <c r="L1705" t="s">
        <v>4934</v>
      </c>
      <c r="M1705" t="s">
        <v>4945</v>
      </c>
      <c r="N1705" s="11">
        <v>5365.2</v>
      </c>
      <c r="O1705" t="s">
        <v>15</v>
      </c>
      <c r="P1705" t="s">
        <v>4952</v>
      </c>
      <c r="Q1705">
        <v>6</v>
      </c>
      <c r="R1705">
        <v>7</v>
      </c>
      <c r="S1705" t="str">
        <f t="shared" si="79"/>
        <v>Senior</v>
      </c>
      <c r="T1705" t="str">
        <f t="shared" si="80"/>
        <v>Medium</v>
      </c>
      <c r="U1705" t="str">
        <f t="shared" si="81"/>
        <v>Long Days</v>
      </c>
    </row>
    <row r="1706" spans="1:21">
      <c r="A1706" t="s">
        <v>1722</v>
      </c>
      <c r="B1706" s="5">
        <v>45302</v>
      </c>
      <c r="C1706" t="s">
        <v>3303</v>
      </c>
      <c r="D1706" t="s">
        <v>4676</v>
      </c>
      <c r="E1706" t="s">
        <v>4866</v>
      </c>
      <c r="F1706">
        <v>18</v>
      </c>
      <c r="G1706" t="s">
        <v>4872</v>
      </c>
      <c r="H1706" t="s">
        <v>4887</v>
      </c>
      <c r="I1706" t="s">
        <v>4896</v>
      </c>
      <c r="J1706" t="s">
        <v>4906</v>
      </c>
      <c r="K1706" t="s">
        <v>4930</v>
      </c>
      <c r="L1706" t="s">
        <v>4934</v>
      </c>
      <c r="M1706" t="s">
        <v>4942</v>
      </c>
      <c r="N1706" s="11">
        <v>420.94</v>
      </c>
      <c r="O1706" t="s">
        <v>15</v>
      </c>
      <c r="P1706" t="s">
        <v>4952</v>
      </c>
      <c r="R1706">
        <v>7</v>
      </c>
      <c r="S1706" t="str">
        <f t="shared" si="79"/>
        <v>Adult</v>
      </c>
      <c r="T1706" t="str">
        <f t="shared" si="80"/>
        <v>Low</v>
      </c>
      <c r="U1706" t="str">
        <f t="shared" si="81"/>
        <v>Short Days</v>
      </c>
    </row>
    <row r="1707" spans="1:21">
      <c r="A1707" t="s">
        <v>1723</v>
      </c>
      <c r="B1707" s="5">
        <v>45614</v>
      </c>
      <c r="C1707" t="s">
        <v>4168</v>
      </c>
      <c r="D1707" t="s">
        <v>4600</v>
      </c>
      <c r="E1707" t="s">
        <v>4867</v>
      </c>
      <c r="F1707">
        <v>38</v>
      </c>
      <c r="G1707" t="s">
        <v>4881</v>
      </c>
      <c r="H1707" t="s">
        <v>4881</v>
      </c>
      <c r="I1707" t="s">
        <v>4901</v>
      </c>
      <c r="J1707" t="s">
        <v>4914</v>
      </c>
      <c r="K1707" t="s">
        <v>4927</v>
      </c>
      <c r="L1707" t="s">
        <v>4935</v>
      </c>
      <c r="M1707" t="s">
        <v>4942</v>
      </c>
      <c r="N1707" s="11">
        <v>4612.34</v>
      </c>
      <c r="O1707" t="s">
        <v>4947</v>
      </c>
      <c r="P1707" t="s">
        <v>4951</v>
      </c>
      <c r="R1707">
        <v>7</v>
      </c>
      <c r="S1707" t="str">
        <f t="shared" si="79"/>
        <v>Adult</v>
      </c>
      <c r="T1707" t="str">
        <f t="shared" si="80"/>
        <v>Low</v>
      </c>
      <c r="U1707" t="str">
        <f t="shared" si="81"/>
        <v>Short Days</v>
      </c>
    </row>
    <row r="1708" spans="1:21">
      <c r="A1708" t="s">
        <v>1724</v>
      </c>
      <c r="B1708" s="5">
        <v>45554</v>
      </c>
      <c r="C1708" t="s">
        <v>4169</v>
      </c>
      <c r="D1708" t="s">
        <v>4742</v>
      </c>
      <c r="E1708" t="s">
        <v>4867</v>
      </c>
      <c r="F1708">
        <v>10</v>
      </c>
      <c r="G1708" t="s">
        <v>4881</v>
      </c>
      <c r="H1708" t="s">
        <v>4881</v>
      </c>
      <c r="I1708" t="s">
        <v>4895</v>
      </c>
      <c r="J1708" t="s">
        <v>4915</v>
      </c>
      <c r="K1708" t="s">
        <v>4929</v>
      </c>
      <c r="L1708" t="s">
        <v>4940</v>
      </c>
      <c r="M1708" t="s">
        <v>4942</v>
      </c>
      <c r="N1708" s="11">
        <v>8972.65</v>
      </c>
      <c r="O1708" t="s">
        <v>4946</v>
      </c>
      <c r="P1708" t="s">
        <v>4951</v>
      </c>
      <c r="S1708" t="str">
        <f t="shared" si="79"/>
        <v>Child</v>
      </c>
      <c r="T1708" t="str">
        <f t="shared" si="80"/>
        <v>Medium</v>
      </c>
      <c r="U1708" t="str">
        <f t="shared" si="81"/>
        <v>Short Days</v>
      </c>
    </row>
    <row r="1709" spans="1:21">
      <c r="A1709" t="s">
        <v>1725</v>
      </c>
      <c r="B1709" s="5">
        <v>45963</v>
      </c>
      <c r="C1709" t="s">
        <v>4170</v>
      </c>
      <c r="D1709" t="s">
        <v>4770</v>
      </c>
      <c r="E1709" t="s">
        <v>4867</v>
      </c>
      <c r="F1709">
        <v>55</v>
      </c>
      <c r="G1709" t="s">
        <v>4876</v>
      </c>
      <c r="H1709" t="s">
        <v>4888</v>
      </c>
      <c r="I1709" t="s">
        <v>4902</v>
      </c>
      <c r="J1709" t="s">
        <v>4916</v>
      </c>
      <c r="K1709" t="s">
        <v>4932</v>
      </c>
      <c r="L1709" t="s">
        <v>4939</v>
      </c>
      <c r="M1709" t="s">
        <v>4943</v>
      </c>
      <c r="N1709" s="11">
        <v>10603.31</v>
      </c>
      <c r="O1709" t="s">
        <v>4948</v>
      </c>
      <c r="P1709" t="s">
        <v>4951</v>
      </c>
      <c r="R1709">
        <v>14</v>
      </c>
      <c r="S1709" t="str">
        <f t="shared" si="79"/>
        <v>Middle-Aged</v>
      </c>
      <c r="T1709" t="str">
        <f t="shared" si="80"/>
        <v>High</v>
      </c>
      <c r="U1709" t="str">
        <f t="shared" si="81"/>
        <v>Short Days</v>
      </c>
    </row>
    <row r="1710" spans="1:21">
      <c r="A1710" t="s">
        <v>1726</v>
      </c>
      <c r="B1710" s="5">
        <v>45717</v>
      </c>
      <c r="C1710" t="s">
        <v>3063</v>
      </c>
      <c r="D1710" t="s">
        <v>4699</v>
      </c>
      <c r="E1710" t="s">
        <v>4866</v>
      </c>
      <c r="F1710">
        <v>16</v>
      </c>
      <c r="G1710" t="s">
        <v>4882</v>
      </c>
      <c r="H1710" t="s">
        <v>4891</v>
      </c>
      <c r="I1710" t="s">
        <v>4901</v>
      </c>
      <c r="J1710" t="s">
        <v>4921</v>
      </c>
      <c r="K1710" t="s">
        <v>4925</v>
      </c>
      <c r="L1710" t="s">
        <v>4935</v>
      </c>
      <c r="M1710" t="s">
        <v>4944</v>
      </c>
      <c r="N1710" s="11">
        <v>7282.54</v>
      </c>
      <c r="O1710" t="s">
        <v>4950</v>
      </c>
      <c r="P1710" t="s">
        <v>4951</v>
      </c>
      <c r="S1710" t="str">
        <f t="shared" si="79"/>
        <v>Child</v>
      </c>
      <c r="T1710" t="str">
        <f t="shared" si="80"/>
        <v>Medium</v>
      </c>
      <c r="U1710" t="str">
        <f t="shared" si="81"/>
        <v>Short Days</v>
      </c>
    </row>
    <row r="1711" spans="1:21">
      <c r="A1711" t="s">
        <v>1727</v>
      </c>
      <c r="B1711" s="5">
        <v>45392</v>
      </c>
      <c r="C1711" t="s">
        <v>3593</v>
      </c>
      <c r="D1711" t="s">
        <v>4749</v>
      </c>
      <c r="E1711" t="s">
        <v>4867</v>
      </c>
      <c r="F1711">
        <v>48</v>
      </c>
      <c r="G1711" t="s">
        <v>4880</v>
      </c>
      <c r="H1711" t="s">
        <v>4890</v>
      </c>
      <c r="I1711" t="s">
        <v>4895</v>
      </c>
      <c r="J1711" t="s">
        <v>4915</v>
      </c>
      <c r="K1711" t="s">
        <v>4929</v>
      </c>
      <c r="L1711" t="s">
        <v>4940</v>
      </c>
      <c r="M1711" t="s">
        <v>4943</v>
      </c>
      <c r="N1711" s="11">
        <v>11810.46</v>
      </c>
      <c r="O1711" t="s">
        <v>15</v>
      </c>
      <c r="P1711" t="s">
        <v>4952</v>
      </c>
      <c r="R1711">
        <v>90</v>
      </c>
      <c r="S1711" t="str">
        <f t="shared" si="79"/>
        <v>Middle-Aged</v>
      </c>
      <c r="T1711" t="str">
        <f t="shared" si="80"/>
        <v>High</v>
      </c>
      <c r="U1711" t="str">
        <f t="shared" si="81"/>
        <v>Short Days</v>
      </c>
    </row>
    <row r="1712" spans="1:21">
      <c r="A1712" t="s">
        <v>1728</v>
      </c>
      <c r="B1712" s="5">
        <v>45570</v>
      </c>
      <c r="C1712" t="s">
        <v>4171</v>
      </c>
      <c r="D1712" t="s">
        <v>4859</v>
      </c>
      <c r="E1712" t="s">
        <v>4867</v>
      </c>
      <c r="F1712">
        <v>51</v>
      </c>
      <c r="G1712" t="s">
        <v>4871</v>
      </c>
      <c r="H1712" t="s">
        <v>4886</v>
      </c>
      <c r="I1712" t="s">
        <v>4894</v>
      </c>
      <c r="J1712" t="s">
        <v>4910</v>
      </c>
      <c r="K1712" t="s">
        <v>4926</v>
      </c>
      <c r="L1712" t="s">
        <v>4941</v>
      </c>
      <c r="M1712" t="s">
        <v>4943</v>
      </c>
      <c r="N1712" s="11">
        <v>17632.05</v>
      </c>
      <c r="O1712" t="s">
        <v>15</v>
      </c>
      <c r="P1712" t="s">
        <v>4952</v>
      </c>
      <c r="R1712">
        <v>90</v>
      </c>
      <c r="S1712" t="str">
        <f t="shared" si="79"/>
        <v>Middle-Aged</v>
      </c>
      <c r="T1712" t="str">
        <f t="shared" si="80"/>
        <v>High</v>
      </c>
      <c r="U1712" t="str">
        <f t="shared" si="81"/>
        <v>Short Days</v>
      </c>
    </row>
    <row r="1713" spans="1:21">
      <c r="A1713" t="s">
        <v>1729</v>
      </c>
      <c r="B1713" s="5">
        <v>45761</v>
      </c>
      <c r="C1713" t="s">
        <v>3638</v>
      </c>
      <c r="D1713" t="s">
        <v>4622</v>
      </c>
      <c r="E1713" t="s">
        <v>4866</v>
      </c>
      <c r="F1713">
        <v>23</v>
      </c>
      <c r="G1713" t="s">
        <v>4879</v>
      </c>
      <c r="H1713" t="s">
        <v>4888</v>
      </c>
      <c r="I1713" t="s">
        <v>4895</v>
      </c>
      <c r="J1713" t="s">
        <v>4905</v>
      </c>
      <c r="K1713" t="s">
        <v>4924</v>
      </c>
      <c r="L1713" t="s">
        <v>4934</v>
      </c>
      <c r="M1713" t="s">
        <v>4942</v>
      </c>
      <c r="N1713" s="11">
        <v>2530.4699999999998</v>
      </c>
      <c r="O1713" t="s">
        <v>4948</v>
      </c>
      <c r="P1713" t="s">
        <v>4951</v>
      </c>
      <c r="R1713">
        <v>7</v>
      </c>
      <c r="S1713" t="str">
        <f t="shared" si="79"/>
        <v>Adult</v>
      </c>
      <c r="T1713" t="str">
        <f t="shared" si="80"/>
        <v>Low</v>
      </c>
      <c r="U1713" t="str">
        <f t="shared" si="81"/>
        <v>Short Days</v>
      </c>
    </row>
    <row r="1714" spans="1:21">
      <c r="A1714" t="s">
        <v>1730</v>
      </c>
      <c r="B1714" s="5">
        <v>45487</v>
      </c>
      <c r="C1714" t="s">
        <v>3382</v>
      </c>
      <c r="D1714" t="s">
        <v>4677</v>
      </c>
      <c r="E1714" t="s">
        <v>4866</v>
      </c>
      <c r="F1714">
        <v>59</v>
      </c>
      <c r="G1714" t="s">
        <v>4874</v>
      </c>
      <c r="H1714" t="s">
        <v>4886</v>
      </c>
      <c r="I1714" t="s">
        <v>4897</v>
      </c>
      <c r="J1714" t="s">
        <v>4907</v>
      </c>
      <c r="K1714" t="s">
        <v>4924</v>
      </c>
      <c r="L1714" t="s">
        <v>4941</v>
      </c>
      <c r="M1714" t="s">
        <v>4942</v>
      </c>
      <c r="N1714" s="11">
        <v>962.57</v>
      </c>
      <c r="O1714" t="s">
        <v>15</v>
      </c>
      <c r="P1714" t="s">
        <v>4952</v>
      </c>
      <c r="S1714" t="str">
        <f t="shared" si="79"/>
        <v>Middle-Aged</v>
      </c>
      <c r="T1714" t="str">
        <f t="shared" si="80"/>
        <v>Low</v>
      </c>
      <c r="U1714" t="str">
        <f t="shared" si="81"/>
        <v>Short Days</v>
      </c>
    </row>
    <row r="1715" spans="1:21">
      <c r="A1715" t="s">
        <v>1731</v>
      </c>
      <c r="B1715" s="5">
        <v>45961</v>
      </c>
      <c r="C1715" t="s">
        <v>4172</v>
      </c>
      <c r="D1715" t="s">
        <v>4593</v>
      </c>
      <c r="E1715" t="s">
        <v>4867</v>
      </c>
      <c r="F1715">
        <v>27</v>
      </c>
      <c r="G1715" t="s">
        <v>4880</v>
      </c>
      <c r="H1715" t="s">
        <v>4890</v>
      </c>
      <c r="I1715" t="s">
        <v>4901</v>
      </c>
      <c r="J1715" t="s">
        <v>4914</v>
      </c>
      <c r="K1715" t="s">
        <v>4932</v>
      </c>
      <c r="L1715" t="s">
        <v>4937</v>
      </c>
      <c r="M1715" t="s">
        <v>4942</v>
      </c>
      <c r="N1715" s="11">
        <v>1879.8</v>
      </c>
      <c r="O1715" t="s">
        <v>4949</v>
      </c>
      <c r="P1715" t="s">
        <v>4951</v>
      </c>
      <c r="S1715" t="str">
        <f t="shared" si="79"/>
        <v>Adult</v>
      </c>
      <c r="T1715" t="str">
        <f t="shared" si="80"/>
        <v>Low</v>
      </c>
      <c r="U1715" t="str">
        <f t="shared" si="81"/>
        <v>Short Days</v>
      </c>
    </row>
    <row r="1716" spans="1:21">
      <c r="A1716" t="s">
        <v>1732</v>
      </c>
      <c r="B1716" s="5">
        <v>45822</v>
      </c>
      <c r="C1716" t="s">
        <v>3802</v>
      </c>
      <c r="D1716" t="s">
        <v>4734</v>
      </c>
      <c r="E1716" t="s">
        <v>4866</v>
      </c>
      <c r="F1716">
        <v>46</v>
      </c>
      <c r="G1716" t="s">
        <v>4878</v>
      </c>
      <c r="H1716" t="s">
        <v>4889</v>
      </c>
      <c r="I1716" t="s">
        <v>4893</v>
      </c>
      <c r="J1716" t="s">
        <v>4917</v>
      </c>
      <c r="K1716" t="s">
        <v>4930</v>
      </c>
      <c r="L1716" t="s">
        <v>4936</v>
      </c>
      <c r="M1716" t="s">
        <v>4942</v>
      </c>
      <c r="N1716" s="11">
        <v>4374.4399999999996</v>
      </c>
      <c r="O1716" t="s">
        <v>4948</v>
      </c>
      <c r="P1716" t="s">
        <v>4951</v>
      </c>
      <c r="S1716" t="str">
        <f t="shared" si="79"/>
        <v>Middle-Aged</v>
      </c>
      <c r="T1716" t="str">
        <f t="shared" si="80"/>
        <v>Low</v>
      </c>
      <c r="U1716" t="str">
        <f t="shared" si="81"/>
        <v>Short Days</v>
      </c>
    </row>
    <row r="1717" spans="1:21">
      <c r="A1717" t="s">
        <v>1733</v>
      </c>
      <c r="B1717" s="5">
        <v>45736</v>
      </c>
      <c r="C1717" t="s">
        <v>4173</v>
      </c>
      <c r="D1717" t="s">
        <v>4729</v>
      </c>
      <c r="E1717" t="s">
        <v>4867</v>
      </c>
      <c r="F1717">
        <v>74</v>
      </c>
      <c r="G1717" t="s">
        <v>4879</v>
      </c>
      <c r="H1717" t="s">
        <v>4888</v>
      </c>
      <c r="I1717" t="s">
        <v>4899</v>
      </c>
      <c r="J1717" t="s">
        <v>4912</v>
      </c>
      <c r="K1717" t="s">
        <v>4929</v>
      </c>
      <c r="L1717" t="s">
        <v>4938</v>
      </c>
      <c r="M1717" t="s">
        <v>4942</v>
      </c>
      <c r="N1717" s="11">
        <v>5558.64</v>
      </c>
      <c r="O1717" t="s">
        <v>4946</v>
      </c>
      <c r="P1717" t="s">
        <v>4951</v>
      </c>
      <c r="R1717">
        <v>7</v>
      </c>
      <c r="S1717" t="str">
        <f t="shared" si="79"/>
        <v>Senior</v>
      </c>
      <c r="T1717" t="str">
        <f t="shared" si="80"/>
        <v>Medium</v>
      </c>
      <c r="U1717" t="str">
        <f t="shared" si="81"/>
        <v>Short Days</v>
      </c>
    </row>
    <row r="1718" spans="1:21">
      <c r="A1718" t="s">
        <v>1734</v>
      </c>
      <c r="B1718" s="5">
        <v>45945</v>
      </c>
      <c r="C1718" t="s">
        <v>3301</v>
      </c>
      <c r="D1718" t="s">
        <v>4766</v>
      </c>
      <c r="E1718" t="s">
        <v>4867</v>
      </c>
      <c r="F1718">
        <f>AVERAGE(F1711,F1717)</f>
        <v>61</v>
      </c>
      <c r="G1718" t="s">
        <v>4881</v>
      </c>
      <c r="H1718" t="s">
        <v>4885</v>
      </c>
      <c r="I1718" t="s">
        <v>4898</v>
      </c>
      <c r="J1718" t="s">
        <v>4909</v>
      </c>
      <c r="K1718" t="s">
        <v>4953</v>
      </c>
      <c r="L1718" t="s">
        <v>4940</v>
      </c>
      <c r="M1718" t="s">
        <v>4942</v>
      </c>
      <c r="N1718" s="11">
        <v>1107.2</v>
      </c>
      <c r="O1718" t="s">
        <v>4948</v>
      </c>
      <c r="P1718" t="s">
        <v>4951</v>
      </c>
      <c r="R1718">
        <v>7</v>
      </c>
      <c r="S1718" t="str">
        <f t="shared" si="79"/>
        <v>Senior</v>
      </c>
      <c r="T1718" t="str">
        <f t="shared" si="80"/>
        <v>Low</v>
      </c>
      <c r="U1718" t="str">
        <f t="shared" si="81"/>
        <v>Short Days</v>
      </c>
    </row>
    <row r="1719" spans="1:21">
      <c r="A1719" t="s">
        <v>1735</v>
      </c>
      <c r="B1719" s="5">
        <v>45562</v>
      </c>
      <c r="C1719" t="s">
        <v>3157</v>
      </c>
      <c r="D1719" t="s">
        <v>4795</v>
      </c>
      <c r="E1719" t="s">
        <v>4866</v>
      </c>
      <c r="F1719">
        <v>54</v>
      </c>
      <c r="G1719" t="s">
        <v>4872</v>
      </c>
      <c r="H1719" t="s">
        <v>4887</v>
      </c>
      <c r="I1719" t="s">
        <v>4895</v>
      </c>
      <c r="J1719" t="s">
        <v>4915</v>
      </c>
      <c r="K1719" t="s">
        <v>4932</v>
      </c>
      <c r="L1719" t="s">
        <v>4935</v>
      </c>
      <c r="M1719" t="s">
        <v>4942</v>
      </c>
      <c r="N1719" s="11">
        <v>5913.22</v>
      </c>
      <c r="O1719" t="s">
        <v>4949</v>
      </c>
      <c r="P1719" t="s">
        <v>4951</v>
      </c>
      <c r="R1719">
        <v>90</v>
      </c>
      <c r="S1719" t="str">
        <f t="shared" si="79"/>
        <v>Middle-Aged</v>
      </c>
      <c r="T1719" t="str">
        <f t="shared" si="80"/>
        <v>Medium</v>
      </c>
      <c r="U1719" t="str">
        <f t="shared" si="81"/>
        <v>Short Days</v>
      </c>
    </row>
    <row r="1720" spans="1:21">
      <c r="A1720" t="s">
        <v>1736</v>
      </c>
      <c r="B1720" s="5">
        <v>45354</v>
      </c>
      <c r="C1720" t="s">
        <v>4174</v>
      </c>
      <c r="D1720" t="s">
        <v>4772</v>
      </c>
      <c r="E1720" t="s">
        <v>4866</v>
      </c>
      <c r="F1720">
        <v>34</v>
      </c>
      <c r="G1720" t="s">
        <v>4877</v>
      </c>
      <c r="H1720" t="s">
        <v>4888</v>
      </c>
      <c r="I1720" t="s">
        <v>4894</v>
      </c>
      <c r="J1720" t="s">
        <v>4904</v>
      </c>
      <c r="K1720" t="s">
        <v>4924</v>
      </c>
      <c r="L1720" t="s">
        <v>4935</v>
      </c>
      <c r="M1720" t="s">
        <v>4944</v>
      </c>
      <c r="N1720" s="11">
        <v>9736.06</v>
      </c>
      <c r="O1720" t="s">
        <v>4949</v>
      </c>
      <c r="P1720" t="s">
        <v>4951</v>
      </c>
      <c r="S1720" t="str">
        <f t="shared" si="79"/>
        <v>Adult</v>
      </c>
      <c r="T1720" t="str">
        <f t="shared" si="80"/>
        <v>Medium</v>
      </c>
      <c r="U1720" t="str">
        <f t="shared" si="81"/>
        <v>Short Days</v>
      </c>
    </row>
    <row r="1721" spans="1:21">
      <c r="A1721" t="s">
        <v>1737</v>
      </c>
      <c r="B1721" s="5">
        <v>45918</v>
      </c>
      <c r="C1721" t="s">
        <v>4175</v>
      </c>
      <c r="D1721" t="s">
        <v>4861</v>
      </c>
      <c r="E1721" t="s">
        <v>4867</v>
      </c>
      <c r="F1721">
        <v>24</v>
      </c>
      <c r="G1721" t="s">
        <v>4882</v>
      </c>
      <c r="H1721" t="s">
        <v>4891</v>
      </c>
      <c r="I1721" t="s">
        <v>4894</v>
      </c>
      <c r="J1721" t="s">
        <v>4910</v>
      </c>
      <c r="K1721" t="s">
        <v>4932</v>
      </c>
      <c r="L1721" t="s">
        <v>4935</v>
      </c>
      <c r="M1721" t="s">
        <v>4943</v>
      </c>
      <c r="N1721" s="11">
        <v>22132.74</v>
      </c>
      <c r="O1721" t="s">
        <v>4949</v>
      </c>
      <c r="P1721" t="s">
        <v>4951</v>
      </c>
      <c r="R1721">
        <v>14</v>
      </c>
      <c r="S1721" t="str">
        <f t="shared" si="79"/>
        <v>Adult</v>
      </c>
      <c r="T1721" t="str">
        <f t="shared" si="80"/>
        <v>High</v>
      </c>
      <c r="U1721" t="str">
        <f t="shared" si="81"/>
        <v>Short Days</v>
      </c>
    </row>
    <row r="1722" spans="1:21">
      <c r="A1722" t="s">
        <v>1738</v>
      </c>
      <c r="B1722" s="5">
        <v>45297</v>
      </c>
      <c r="C1722" t="s">
        <v>3887</v>
      </c>
      <c r="D1722" t="s">
        <v>4794</v>
      </c>
      <c r="E1722" t="s">
        <v>4866</v>
      </c>
      <c r="F1722">
        <v>34</v>
      </c>
      <c r="G1722" t="s">
        <v>4873</v>
      </c>
      <c r="H1722" t="s">
        <v>4888</v>
      </c>
      <c r="I1722" t="s">
        <v>4900</v>
      </c>
      <c r="J1722" t="s">
        <v>4913</v>
      </c>
      <c r="K1722" t="s">
        <v>4930</v>
      </c>
      <c r="L1722" t="s">
        <v>4941</v>
      </c>
      <c r="M1722" t="s">
        <v>4942</v>
      </c>
      <c r="N1722" s="11">
        <v>4017.75</v>
      </c>
      <c r="O1722" t="s">
        <v>4949</v>
      </c>
      <c r="P1722" t="s">
        <v>4951</v>
      </c>
      <c r="S1722" t="str">
        <f t="shared" si="79"/>
        <v>Adult</v>
      </c>
      <c r="T1722" t="str">
        <f t="shared" si="80"/>
        <v>Low</v>
      </c>
      <c r="U1722" t="str">
        <f t="shared" si="81"/>
        <v>Short Days</v>
      </c>
    </row>
    <row r="1723" spans="1:21">
      <c r="A1723" t="s">
        <v>1739</v>
      </c>
      <c r="B1723" s="5">
        <v>45729</v>
      </c>
      <c r="C1723" t="s">
        <v>3766</v>
      </c>
      <c r="D1723" t="s">
        <v>4630</v>
      </c>
      <c r="E1723" t="s">
        <v>4866</v>
      </c>
      <c r="F1723">
        <v>21</v>
      </c>
      <c r="G1723" t="s">
        <v>4873</v>
      </c>
      <c r="H1723" t="s">
        <v>4888</v>
      </c>
      <c r="I1723" t="s">
        <v>4898</v>
      </c>
      <c r="J1723" t="s">
        <v>4923</v>
      </c>
      <c r="K1723" t="s">
        <v>4928</v>
      </c>
      <c r="L1723" t="s">
        <v>4938</v>
      </c>
      <c r="M1723" t="s">
        <v>4942</v>
      </c>
      <c r="N1723" s="11">
        <v>10416.65</v>
      </c>
      <c r="O1723" t="s">
        <v>4950</v>
      </c>
      <c r="P1723" t="s">
        <v>4951</v>
      </c>
      <c r="S1723" t="str">
        <f t="shared" si="79"/>
        <v>Adult</v>
      </c>
      <c r="T1723" t="str">
        <f t="shared" si="80"/>
        <v>High</v>
      </c>
      <c r="U1723" t="str">
        <f t="shared" si="81"/>
        <v>Short Days</v>
      </c>
    </row>
    <row r="1724" spans="1:21">
      <c r="A1724" t="s">
        <v>1740</v>
      </c>
      <c r="B1724" s="5">
        <v>45376</v>
      </c>
      <c r="C1724" t="s">
        <v>3376</v>
      </c>
      <c r="D1724" t="s">
        <v>4810</v>
      </c>
      <c r="E1724" t="s">
        <v>4866</v>
      </c>
      <c r="F1724">
        <v>20</v>
      </c>
      <c r="G1724" t="s">
        <v>4872</v>
      </c>
      <c r="H1724" t="s">
        <v>4887</v>
      </c>
      <c r="I1724" t="s">
        <v>4894</v>
      </c>
      <c r="J1724" t="s">
        <v>4910</v>
      </c>
      <c r="K1724" t="s">
        <v>4929</v>
      </c>
      <c r="L1724" t="s">
        <v>4939</v>
      </c>
      <c r="M1724" t="s">
        <v>4942</v>
      </c>
      <c r="N1724" s="11">
        <v>3282.05</v>
      </c>
      <c r="O1724" t="s">
        <v>4946</v>
      </c>
      <c r="P1724" t="s">
        <v>4951</v>
      </c>
      <c r="R1724">
        <v>7</v>
      </c>
      <c r="S1724" t="str">
        <f t="shared" si="79"/>
        <v>Adult</v>
      </c>
      <c r="T1724" t="str">
        <f t="shared" si="80"/>
        <v>Low</v>
      </c>
      <c r="U1724" t="str">
        <f t="shared" si="81"/>
        <v>Short Days</v>
      </c>
    </row>
    <row r="1725" spans="1:21">
      <c r="A1725" t="s">
        <v>1741</v>
      </c>
      <c r="B1725" s="5">
        <v>45415</v>
      </c>
      <c r="C1725" t="s">
        <v>3498</v>
      </c>
      <c r="D1725" t="s">
        <v>4628</v>
      </c>
      <c r="E1725" t="s">
        <v>4866</v>
      </c>
      <c r="F1725">
        <v>33</v>
      </c>
      <c r="G1725" t="s">
        <v>4874</v>
      </c>
      <c r="H1725" t="s">
        <v>4886</v>
      </c>
      <c r="I1725" t="s">
        <v>4897</v>
      </c>
      <c r="J1725" t="s">
        <v>4922</v>
      </c>
      <c r="K1725" t="s">
        <v>4926</v>
      </c>
      <c r="L1725" t="s">
        <v>4938</v>
      </c>
      <c r="M1725" t="s">
        <v>4942</v>
      </c>
      <c r="N1725" s="11">
        <v>1075.96</v>
      </c>
      <c r="O1725" t="s">
        <v>4946</v>
      </c>
      <c r="P1725" t="s">
        <v>4951</v>
      </c>
      <c r="R1725">
        <v>30</v>
      </c>
      <c r="S1725" t="str">
        <f t="shared" si="79"/>
        <v>Adult</v>
      </c>
      <c r="T1725" t="str">
        <f t="shared" si="80"/>
        <v>Low</v>
      </c>
      <c r="U1725" t="str">
        <f t="shared" si="81"/>
        <v>Short Days</v>
      </c>
    </row>
    <row r="1726" spans="1:21">
      <c r="A1726" t="s">
        <v>1742</v>
      </c>
      <c r="B1726" s="5">
        <v>45515</v>
      </c>
      <c r="C1726" t="s">
        <v>3941</v>
      </c>
      <c r="D1726" t="s">
        <v>4609</v>
      </c>
      <c r="E1726" t="s">
        <v>4867</v>
      </c>
      <c r="F1726">
        <v>49</v>
      </c>
      <c r="G1726" t="s">
        <v>4875</v>
      </c>
      <c r="H1726" t="s">
        <v>4889</v>
      </c>
      <c r="I1726" t="s">
        <v>4894</v>
      </c>
      <c r="J1726" t="s">
        <v>4904</v>
      </c>
      <c r="K1726" t="s">
        <v>4928</v>
      </c>
      <c r="L1726" t="s">
        <v>4936</v>
      </c>
      <c r="M1726" t="s">
        <v>4942</v>
      </c>
      <c r="N1726" s="11">
        <v>7443.6</v>
      </c>
      <c r="O1726" t="s">
        <v>4946</v>
      </c>
      <c r="P1726" t="s">
        <v>4951</v>
      </c>
      <c r="R1726">
        <v>30</v>
      </c>
      <c r="S1726" t="str">
        <f t="shared" si="79"/>
        <v>Middle-Aged</v>
      </c>
      <c r="T1726" t="str">
        <f t="shared" si="80"/>
        <v>Medium</v>
      </c>
      <c r="U1726" t="str">
        <f t="shared" si="81"/>
        <v>Short Days</v>
      </c>
    </row>
    <row r="1727" spans="1:21">
      <c r="A1727" t="s">
        <v>1743</v>
      </c>
      <c r="B1727" s="5">
        <v>45655</v>
      </c>
      <c r="C1727" t="s">
        <v>4176</v>
      </c>
      <c r="D1727" t="s">
        <v>4864</v>
      </c>
      <c r="E1727" t="s">
        <v>4867</v>
      </c>
      <c r="F1727">
        <v>23</v>
      </c>
      <c r="G1727" t="s">
        <v>4881</v>
      </c>
      <c r="H1727" t="s">
        <v>4881</v>
      </c>
      <c r="I1727" t="s">
        <v>4894</v>
      </c>
      <c r="J1727" t="s">
        <v>4910</v>
      </c>
      <c r="K1727" t="s">
        <v>4925</v>
      </c>
      <c r="L1727" t="s">
        <v>4938</v>
      </c>
      <c r="M1727" t="s">
        <v>4944</v>
      </c>
      <c r="N1727" s="11">
        <v>10895.13</v>
      </c>
      <c r="O1727" t="s">
        <v>4946</v>
      </c>
      <c r="P1727" t="s">
        <v>4951</v>
      </c>
      <c r="S1727" t="str">
        <f t="shared" si="79"/>
        <v>Adult</v>
      </c>
      <c r="T1727" t="str">
        <f t="shared" si="80"/>
        <v>High</v>
      </c>
      <c r="U1727" t="str">
        <f t="shared" si="81"/>
        <v>Short Days</v>
      </c>
    </row>
    <row r="1728" spans="1:21">
      <c r="A1728" t="s">
        <v>1744</v>
      </c>
      <c r="B1728" s="5">
        <v>45649</v>
      </c>
      <c r="C1728" t="s">
        <v>4177</v>
      </c>
      <c r="D1728" t="s">
        <v>4833</v>
      </c>
      <c r="E1728" t="s">
        <v>4866</v>
      </c>
      <c r="F1728">
        <v>38</v>
      </c>
      <c r="G1728" t="s">
        <v>4883</v>
      </c>
      <c r="H1728" t="s">
        <v>4892</v>
      </c>
      <c r="I1728" t="s">
        <v>4898</v>
      </c>
      <c r="J1728" t="s">
        <v>4923</v>
      </c>
      <c r="K1728" t="s">
        <v>4928</v>
      </c>
      <c r="L1728" t="s">
        <v>4941</v>
      </c>
      <c r="M1728" t="s">
        <v>4942</v>
      </c>
      <c r="N1728" s="11">
        <v>3382.92</v>
      </c>
      <c r="O1728" t="s">
        <v>4949</v>
      </c>
      <c r="P1728" t="s">
        <v>4951</v>
      </c>
      <c r="R1728">
        <v>14</v>
      </c>
      <c r="S1728" t="str">
        <f t="shared" si="79"/>
        <v>Adult</v>
      </c>
      <c r="T1728" t="str">
        <f t="shared" si="80"/>
        <v>Low</v>
      </c>
      <c r="U1728" t="str">
        <f t="shared" si="81"/>
        <v>Short Days</v>
      </c>
    </row>
    <row r="1729" spans="1:21">
      <c r="A1729" t="s">
        <v>1745</v>
      </c>
      <c r="B1729" s="5">
        <v>45862</v>
      </c>
      <c r="C1729" t="s">
        <v>3301</v>
      </c>
      <c r="D1729" t="s">
        <v>4856</v>
      </c>
      <c r="E1729" t="s">
        <v>4866</v>
      </c>
      <c r="F1729">
        <v>46</v>
      </c>
      <c r="G1729" t="s">
        <v>4873</v>
      </c>
      <c r="H1729" t="s">
        <v>4888</v>
      </c>
      <c r="I1729" t="s">
        <v>4901</v>
      </c>
      <c r="J1729" t="s">
        <v>4921</v>
      </c>
      <c r="K1729" t="s">
        <v>4929</v>
      </c>
      <c r="L1729" t="s">
        <v>4939</v>
      </c>
      <c r="M1729" t="s">
        <v>4942</v>
      </c>
      <c r="N1729" s="11">
        <v>17599.240000000002</v>
      </c>
      <c r="O1729" t="s">
        <v>15</v>
      </c>
      <c r="P1729" t="s">
        <v>4952</v>
      </c>
      <c r="S1729" t="str">
        <f t="shared" si="79"/>
        <v>Middle-Aged</v>
      </c>
      <c r="T1729" t="str">
        <f t="shared" si="80"/>
        <v>High</v>
      </c>
      <c r="U1729" t="str">
        <f t="shared" si="81"/>
        <v>Short Days</v>
      </c>
    </row>
    <row r="1730" spans="1:21">
      <c r="A1730" t="s">
        <v>1746</v>
      </c>
      <c r="B1730" s="5">
        <v>45346</v>
      </c>
      <c r="C1730" t="s">
        <v>4178</v>
      </c>
      <c r="D1730" t="s">
        <v>4711</v>
      </c>
      <c r="E1730" t="s">
        <v>4866</v>
      </c>
      <c r="F1730">
        <v>63</v>
      </c>
      <c r="G1730" t="s">
        <v>4877</v>
      </c>
      <c r="H1730" t="s">
        <v>4888</v>
      </c>
      <c r="I1730" t="s">
        <v>4902</v>
      </c>
      <c r="J1730" t="s">
        <v>4920</v>
      </c>
      <c r="K1730" t="s">
        <v>4932</v>
      </c>
      <c r="L1730" t="s">
        <v>4941</v>
      </c>
      <c r="M1730" t="s">
        <v>4944</v>
      </c>
      <c r="N1730" s="11">
        <v>7095.2</v>
      </c>
      <c r="O1730" t="s">
        <v>4946</v>
      </c>
      <c r="P1730" t="s">
        <v>4951</v>
      </c>
      <c r="R1730">
        <v>30</v>
      </c>
      <c r="S1730" t="str">
        <f t="shared" si="79"/>
        <v>Senior</v>
      </c>
      <c r="T1730" t="str">
        <f t="shared" si="80"/>
        <v>Medium</v>
      </c>
      <c r="U1730" t="str">
        <f t="shared" si="81"/>
        <v>Short Days</v>
      </c>
    </row>
    <row r="1731" spans="1:21">
      <c r="A1731" t="s">
        <v>1747</v>
      </c>
      <c r="B1731" s="5">
        <v>45633</v>
      </c>
      <c r="C1731" t="s">
        <v>4033</v>
      </c>
      <c r="D1731" t="s">
        <v>4789</v>
      </c>
      <c r="E1731" t="s">
        <v>4866</v>
      </c>
      <c r="F1731">
        <v>45</v>
      </c>
      <c r="G1731" t="s">
        <v>4875</v>
      </c>
      <c r="H1731" t="s">
        <v>4889</v>
      </c>
      <c r="I1731" t="s">
        <v>4902</v>
      </c>
      <c r="J1731" t="s">
        <v>4920</v>
      </c>
      <c r="K1731" t="s">
        <v>4924</v>
      </c>
      <c r="L1731" t="s">
        <v>4935</v>
      </c>
      <c r="M1731" t="s">
        <v>4942</v>
      </c>
      <c r="N1731" s="11">
        <v>4811.82</v>
      </c>
      <c r="O1731" t="s">
        <v>15</v>
      </c>
      <c r="P1731" t="s">
        <v>4952</v>
      </c>
      <c r="R1731">
        <v>90</v>
      </c>
      <c r="S1731" t="str">
        <f t="shared" ref="S1731:S1794" si="82">IF(F1731&lt;18,"Child",IF(F1731&lt;=40,"Adult",IF(F1731&lt;=60,"Middle-Aged",IF(F1731,"Senior"))))</f>
        <v>Middle-Aged</v>
      </c>
      <c r="T1731" t="str">
        <f t="shared" ref="T1731:T1794" si="83">IF(N1731&lt;=5000,"Low",IF(N1731&lt;=10000,"Medium","High"))</f>
        <v>Low</v>
      </c>
      <c r="U1731" t="str">
        <f t="shared" ref="U1731:U1794" si="84">IF(Q1731&lt;=5,"Short Days","Long Days")</f>
        <v>Short Days</v>
      </c>
    </row>
    <row r="1732" spans="1:21">
      <c r="A1732" t="s">
        <v>1748</v>
      </c>
      <c r="B1732" s="5">
        <v>45369</v>
      </c>
      <c r="C1732" t="s">
        <v>4179</v>
      </c>
      <c r="D1732" t="s">
        <v>4766</v>
      </c>
      <c r="E1732" t="s">
        <v>4866</v>
      </c>
      <c r="F1732">
        <v>40</v>
      </c>
      <c r="G1732" t="s">
        <v>4877</v>
      </c>
      <c r="H1732" t="s">
        <v>4888</v>
      </c>
      <c r="I1732" t="s">
        <v>4893</v>
      </c>
      <c r="J1732" t="s">
        <v>4903</v>
      </c>
      <c r="K1732" t="s">
        <v>4928</v>
      </c>
      <c r="L1732" t="s">
        <v>4939</v>
      </c>
      <c r="M1732" t="s">
        <v>4943</v>
      </c>
      <c r="N1732" s="11">
        <v>13148.88</v>
      </c>
      <c r="O1732" t="s">
        <v>4948</v>
      </c>
      <c r="P1732" t="s">
        <v>4951</v>
      </c>
      <c r="R1732">
        <v>30</v>
      </c>
      <c r="S1732" t="str">
        <f t="shared" si="82"/>
        <v>Adult</v>
      </c>
      <c r="T1732" t="str">
        <f t="shared" si="83"/>
        <v>High</v>
      </c>
      <c r="U1732" t="str">
        <f t="shared" si="84"/>
        <v>Short Days</v>
      </c>
    </row>
    <row r="1733" spans="1:21">
      <c r="A1733" t="s">
        <v>1749</v>
      </c>
      <c r="B1733" s="5">
        <v>45773</v>
      </c>
      <c r="C1733" t="s">
        <v>3085</v>
      </c>
      <c r="D1733" t="s">
        <v>4697</v>
      </c>
      <c r="E1733" t="s">
        <v>4867</v>
      </c>
      <c r="F1733">
        <v>41</v>
      </c>
      <c r="G1733" t="s">
        <v>4882</v>
      </c>
      <c r="H1733" t="s">
        <v>4891</v>
      </c>
      <c r="I1733" t="s">
        <v>4897</v>
      </c>
      <c r="J1733" t="s">
        <v>4922</v>
      </c>
      <c r="K1733" t="s">
        <v>4930</v>
      </c>
      <c r="L1733" t="s">
        <v>4940</v>
      </c>
      <c r="M1733" t="s">
        <v>4942</v>
      </c>
      <c r="N1733" s="11">
        <v>19469.439999999999</v>
      </c>
      <c r="O1733" t="s">
        <v>4948</v>
      </c>
      <c r="P1733" t="s">
        <v>4951</v>
      </c>
      <c r="R1733">
        <v>90</v>
      </c>
      <c r="S1733" t="str">
        <f t="shared" si="82"/>
        <v>Middle-Aged</v>
      </c>
      <c r="T1733" t="str">
        <f t="shared" si="83"/>
        <v>High</v>
      </c>
      <c r="U1733" t="str">
        <f t="shared" si="84"/>
        <v>Short Days</v>
      </c>
    </row>
    <row r="1734" spans="1:21">
      <c r="A1734" t="s">
        <v>1750</v>
      </c>
      <c r="B1734" s="5">
        <v>45625</v>
      </c>
      <c r="C1734" t="s">
        <v>3753</v>
      </c>
      <c r="D1734" t="s">
        <v>4663</v>
      </c>
      <c r="E1734" t="s">
        <v>4866</v>
      </c>
      <c r="F1734">
        <v>17</v>
      </c>
      <c r="G1734" t="s">
        <v>4879</v>
      </c>
      <c r="H1734" t="s">
        <v>4888</v>
      </c>
      <c r="I1734" t="s">
        <v>4898</v>
      </c>
      <c r="J1734" t="s">
        <v>4909</v>
      </c>
      <c r="K1734" t="s">
        <v>4926</v>
      </c>
      <c r="L1734" t="s">
        <v>4940</v>
      </c>
      <c r="M1734" t="s">
        <v>4943</v>
      </c>
      <c r="N1734" s="11">
        <v>5134.8599999999997</v>
      </c>
      <c r="O1734" t="s">
        <v>4948</v>
      </c>
      <c r="P1734" t="s">
        <v>4951</v>
      </c>
      <c r="R1734">
        <v>7</v>
      </c>
      <c r="S1734" t="str">
        <f t="shared" si="82"/>
        <v>Child</v>
      </c>
      <c r="T1734" t="str">
        <f t="shared" si="83"/>
        <v>Medium</v>
      </c>
      <c r="U1734" t="str">
        <f t="shared" si="84"/>
        <v>Short Days</v>
      </c>
    </row>
    <row r="1735" spans="1:21">
      <c r="A1735" t="s">
        <v>1751</v>
      </c>
      <c r="B1735" s="5">
        <v>45893</v>
      </c>
      <c r="C1735" t="s">
        <v>3254</v>
      </c>
      <c r="D1735" t="s">
        <v>4641</v>
      </c>
      <c r="E1735" t="s">
        <v>4866</v>
      </c>
      <c r="F1735">
        <v>39</v>
      </c>
      <c r="G1735" t="s">
        <v>4876</v>
      </c>
      <c r="H1735" t="s">
        <v>4888</v>
      </c>
      <c r="I1735" t="s">
        <v>4893</v>
      </c>
      <c r="J1735" t="s">
        <v>4917</v>
      </c>
      <c r="K1735" t="s">
        <v>4929</v>
      </c>
      <c r="L1735" t="s">
        <v>4939</v>
      </c>
      <c r="M1735" t="s">
        <v>4944</v>
      </c>
      <c r="N1735" s="11">
        <v>10815.11</v>
      </c>
      <c r="O1735" t="s">
        <v>4950</v>
      </c>
      <c r="P1735" t="s">
        <v>4951</v>
      </c>
      <c r="R1735">
        <v>7</v>
      </c>
      <c r="S1735" t="str">
        <f t="shared" si="82"/>
        <v>Adult</v>
      </c>
      <c r="T1735" t="str">
        <f t="shared" si="83"/>
        <v>High</v>
      </c>
      <c r="U1735" t="str">
        <f t="shared" si="84"/>
        <v>Short Days</v>
      </c>
    </row>
    <row r="1736" spans="1:21">
      <c r="A1736" t="s">
        <v>1752</v>
      </c>
      <c r="B1736" s="5">
        <v>45422</v>
      </c>
      <c r="C1736" t="s">
        <v>4180</v>
      </c>
      <c r="D1736" t="s">
        <v>4736</v>
      </c>
      <c r="E1736" t="s">
        <v>4866</v>
      </c>
      <c r="F1736">
        <v>68</v>
      </c>
      <c r="G1736" t="s">
        <v>4870</v>
      </c>
      <c r="H1736" t="s">
        <v>4885</v>
      </c>
      <c r="I1736" t="s">
        <v>4893</v>
      </c>
      <c r="J1736" t="s">
        <v>4903</v>
      </c>
      <c r="K1736" t="s">
        <v>4925</v>
      </c>
      <c r="L1736" t="s">
        <v>4936</v>
      </c>
      <c r="M1736" t="s">
        <v>4945</v>
      </c>
      <c r="N1736" s="11">
        <v>7783.06</v>
      </c>
      <c r="O1736" t="s">
        <v>4948</v>
      </c>
      <c r="P1736" t="s">
        <v>4951</v>
      </c>
      <c r="Q1736">
        <v>5</v>
      </c>
      <c r="R1736">
        <v>7</v>
      </c>
      <c r="S1736" t="str">
        <f t="shared" si="82"/>
        <v>Senior</v>
      </c>
      <c r="T1736" t="str">
        <f t="shared" si="83"/>
        <v>Medium</v>
      </c>
      <c r="U1736" t="str">
        <f t="shared" si="84"/>
        <v>Short Days</v>
      </c>
    </row>
    <row r="1737" spans="1:21">
      <c r="A1737" t="s">
        <v>1753</v>
      </c>
      <c r="B1737" s="5">
        <v>45702</v>
      </c>
      <c r="C1737" t="s">
        <v>4181</v>
      </c>
      <c r="D1737" t="s">
        <v>4724</v>
      </c>
      <c r="E1737" t="s">
        <v>4867</v>
      </c>
      <c r="F1737">
        <v>27</v>
      </c>
      <c r="G1737" t="s">
        <v>4878</v>
      </c>
      <c r="H1737" t="s">
        <v>4889</v>
      </c>
      <c r="I1737" t="s">
        <v>4896</v>
      </c>
      <c r="J1737" t="s">
        <v>4906</v>
      </c>
      <c r="K1737" t="s">
        <v>4925</v>
      </c>
      <c r="L1737" t="s">
        <v>4941</v>
      </c>
      <c r="M1737" t="s">
        <v>4943</v>
      </c>
      <c r="N1737" s="11">
        <v>6262.46</v>
      </c>
      <c r="O1737" t="s">
        <v>15</v>
      </c>
      <c r="P1737" t="s">
        <v>4952</v>
      </c>
      <c r="R1737">
        <v>90</v>
      </c>
      <c r="S1737" t="str">
        <f t="shared" si="82"/>
        <v>Adult</v>
      </c>
      <c r="T1737" t="str">
        <f t="shared" si="83"/>
        <v>Medium</v>
      </c>
      <c r="U1737" t="str">
        <f t="shared" si="84"/>
        <v>Short Days</v>
      </c>
    </row>
    <row r="1738" spans="1:21">
      <c r="A1738" t="s">
        <v>1754</v>
      </c>
      <c r="B1738" s="5">
        <v>45859</v>
      </c>
      <c r="C1738" t="s">
        <v>4182</v>
      </c>
      <c r="D1738" t="s">
        <v>4766</v>
      </c>
      <c r="E1738" t="s">
        <v>4867</v>
      </c>
      <c r="F1738">
        <v>83</v>
      </c>
      <c r="G1738" t="s">
        <v>4870</v>
      </c>
      <c r="H1738" t="s">
        <v>4885</v>
      </c>
      <c r="I1738" t="s">
        <v>4897</v>
      </c>
      <c r="J1738" t="s">
        <v>4922</v>
      </c>
      <c r="K1738" t="s">
        <v>4931</v>
      </c>
      <c r="L1738" t="s">
        <v>4937</v>
      </c>
      <c r="M1738" t="s">
        <v>4942</v>
      </c>
      <c r="N1738" s="11">
        <v>1174.58</v>
      </c>
      <c r="O1738" t="s">
        <v>15</v>
      </c>
      <c r="P1738" t="s">
        <v>4952</v>
      </c>
      <c r="R1738">
        <v>90</v>
      </c>
      <c r="S1738" t="str">
        <f t="shared" si="82"/>
        <v>Senior</v>
      </c>
      <c r="T1738" t="str">
        <f t="shared" si="83"/>
        <v>Low</v>
      </c>
      <c r="U1738" t="str">
        <f t="shared" si="84"/>
        <v>Short Days</v>
      </c>
    </row>
    <row r="1739" spans="1:21">
      <c r="A1739" t="s">
        <v>1755</v>
      </c>
      <c r="B1739" s="5">
        <v>45507</v>
      </c>
      <c r="C1739" t="s">
        <v>3854</v>
      </c>
      <c r="D1739" t="s">
        <v>4655</v>
      </c>
      <c r="E1739" t="s">
        <v>4867</v>
      </c>
      <c r="F1739">
        <v>57</v>
      </c>
      <c r="G1739" t="s">
        <v>4876</v>
      </c>
      <c r="H1739" t="s">
        <v>4888</v>
      </c>
      <c r="I1739" t="s">
        <v>4897</v>
      </c>
      <c r="J1739" t="s">
        <v>4907</v>
      </c>
      <c r="K1739" t="s">
        <v>4926</v>
      </c>
      <c r="L1739" t="s">
        <v>4938</v>
      </c>
      <c r="M1739" t="s">
        <v>4942</v>
      </c>
      <c r="N1739" s="11">
        <v>12713.89</v>
      </c>
      <c r="O1739" t="s">
        <v>4946</v>
      </c>
      <c r="P1739" t="s">
        <v>4951</v>
      </c>
      <c r="S1739" t="str">
        <f t="shared" si="82"/>
        <v>Middle-Aged</v>
      </c>
      <c r="T1739" t="str">
        <f t="shared" si="83"/>
        <v>High</v>
      </c>
      <c r="U1739" t="str">
        <f t="shared" si="84"/>
        <v>Short Days</v>
      </c>
    </row>
    <row r="1740" spans="1:21">
      <c r="A1740" t="s">
        <v>1756</v>
      </c>
      <c r="B1740" s="5">
        <v>45537</v>
      </c>
      <c r="C1740" t="s">
        <v>3064</v>
      </c>
      <c r="D1740" t="s">
        <v>4672</v>
      </c>
      <c r="E1740" t="s">
        <v>4866</v>
      </c>
      <c r="F1740">
        <v>41</v>
      </c>
      <c r="G1740" t="s">
        <v>4879</v>
      </c>
      <c r="H1740" t="s">
        <v>4888</v>
      </c>
      <c r="I1740" t="s">
        <v>4893</v>
      </c>
      <c r="J1740" t="s">
        <v>4917</v>
      </c>
      <c r="K1740" t="s">
        <v>4924</v>
      </c>
      <c r="L1740" t="s">
        <v>4941</v>
      </c>
      <c r="M1740" t="s">
        <v>4942</v>
      </c>
      <c r="N1740" s="11">
        <v>17277.740000000002</v>
      </c>
      <c r="O1740" t="s">
        <v>4948</v>
      </c>
      <c r="P1740" t="s">
        <v>4951</v>
      </c>
      <c r="R1740">
        <v>14</v>
      </c>
      <c r="S1740" t="str">
        <f t="shared" si="82"/>
        <v>Middle-Aged</v>
      </c>
      <c r="T1740" t="str">
        <f t="shared" si="83"/>
        <v>High</v>
      </c>
      <c r="U1740" t="str">
        <f t="shared" si="84"/>
        <v>Short Days</v>
      </c>
    </row>
    <row r="1741" spans="1:21">
      <c r="A1741" t="s">
        <v>1757</v>
      </c>
      <c r="B1741" s="5">
        <v>45673</v>
      </c>
      <c r="C1741" t="s">
        <v>4183</v>
      </c>
      <c r="D1741" t="s">
        <v>4698</v>
      </c>
      <c r="E1741" t="s">
        <v>4866</v>
      </c>
      <c r="F1741">
        <v>36</v>
      </c>
      <c r="G1741" t="s">
        <v>4869</v>
      </c>
      <c r="H1741" t="s">
        <v>4884</v>
      </c>
      <c r="I1741" t="s">
        <v>4900</v>
      </c>
      <c r="J1741" t="s">
        <v>4919</v>
      </c>
      <c r="K1741" t="s">
        <v>4932</v>
      </c>
      <c r="L1741" t="s">
        <v>4936</v>
      </c>
      <c r="M1741" t="s">
        <v>4944</v>
      </c>
      <c r="N1741" s="11">
        <v>6041.12</v>
      </c>
      <c r="O1741" t="s">
        <v>4948</v>
      </c>
      <c r="P1741" t="s">
        <v>4951</v>
      </c>
      <c r="R1741">
        <v>14</v>
      </c>
      <c r="S1741" t="str">
        <f t="shared" si="82"/>
        <v>Adult</v>
      </c>
      <c r="T1741" t="str">
        <f t="shared" si="83"/>
        <v>Medium</v>
      </c>
      <c r="U1741" t="str">
        <f t="shared" si="84"/>
        <v>Short Days</v>
      </c>
    </row>
    <row r="1742" spans="1:21">
      <c r="A1742" t="s">
        <v>1758</v>
      </c>
      <c r="B1742" s="5">
        <v>45787</v>
      </c>
      <c r="C1742" t="s">
        <v>3061</v>
      </c>
      <c r="D1742" t="s">
        <v>4656</v>
      </c>
      <c r="E1742" t="s">
        <v>4866</v>
      </c>
      <c r="F1742">
        <v>56</v>
      </c>
      <c r="G1742" t="s">
        <v>4871</v>
      </c>
      <c r="H1742" t="s">
        <v>4886</v>
      </c>
      <c r="I1742" t="s">
        <v>4895</v>
      </c>
      <c r="J1742" t="s">
        <v>4905</v>
      </c>
      <c r="K1742" t="s">
        <v>4931</v>
      </c>
      <c r="L1742" t="s">
        <v>4936</v>
      </c>
      <c r="M1742" t="s">
        <v>4942</v>
      </c>
      <c r="N1742" s="11">
        <v>59.73</v>
      </c>
      <c r="O1742" t="s">
        <v>4947</v>
      </c>
      <c r="P1742" t="s">
        <v>4951</v>
      </c>
      <c r="S1742" t="str">
        <f t="shared" si="82"/>
        <v>Middle-Aged</v>
      </c>
      <c r="T1742" t="str">
        <f t="shared" si="83"/>
        <v>Low</v>
      </c>
      <c r="U1742" t="str">
        <f t="shared" si="84"/>
        <v>Short Days</v>
      </c>
    </row>
    <row r="1743" spans="1:21">
      <c r="A1743" t="s">
        <v>1759</v>
      </c>
      <c r="B1743" s="5">
        <v>45491</v>
      </c>
      <c r="C1743" t="s">
        <v>4184</v>
      </c>
      <c r="D1743" t="s">
        <v>4635</v>
      </c>
      <c r="E1743" t="s">
        <v>4867</v>
      </c>
      <c r="F1743">
        <v>23</v>
      </c>
      <c r="G1743" t="s">
        <v>4881</v>
      </c>
      <c r="H1743" t="s">
        <v>4881</v>
      </c>
      <c r="I1743" t="s">
        <v>4893</v>
      </c>
      <c r="J1743" t="s">
        <v>4917</v>
      </c>
      <c r="K1743" t="s">
        <v>4929</v>
      </c>
      <c r="L1743" t="s">
        <v>4938</v>
      </c>
      <c r="M1743" t="s">
        <v>4942</v>
      </c>
      <c r="N1743" s="11">
        <v>5592.58</v>
      </c>
      <c r="O1743" t="s">
        <v>4947</v>
      </c>
      <c r="P1743" t="s">
        <v>4951</v>
      </c>
      <c r="S1743" t="str">
        <f t="shared" si="82"/>
        <v>Adult</v>
      </c>
      <c r="T1743" t="str">
        <f t="shared" si="83"/>
        <v>Medium</v>
      </c>
      <c r="U1743" t="str">
        <f t="shared" si="84"/>
        <v>Short Days</v>
      </c>
    </row>
    <row r="1744" spans="1:21">
      <c r="A1744" t="s">
        <v>1760</v>
      </c>
      <c r="B1744" s="5">
        <v>45476</v>
      </c>
      <c r="C1744" t="s">
        <v>4185</v>
      </c>
      <c r="D1744" t="s">
        <v>4597</v>
      </c>
      <c r="E1744" t="s">
        <v>4867</v>
      </c>
      <c r="F1744">
        <v>17</v>
      </c>
      <c r="G1744" t="s">
        <v>4882</v>
      </c>
      <c r="H1744" t="s">
        <v>4891</v>
      </c>
      <c r="I1744" t="s">
        <v>4895</v>
      </c>
      <c r="J1744" t="s">
        <v>4905</v>
      </c>
      <c r="K1744" t="s">
        <v>4926</v>
      </c>
      <c r="L1744" t="s">
        <v>4935</v>
      </c>
      <c r="M1744" t="s">
        <v>4942</v>
      </c>
      <c r="N1744" s="11">
        <v>1066.97</v>
      </c>
      <c r="O1744" t="s">
        <v>4946</v>
      </c>
      <c r="P1744" t="s">
        <v>4951</v>
      </c>
      <c r="R1744">
        <v>14</v>
      </c>
      <c r="S1744" t="str">
        <f t="shared" si="82"/>
        <v>Child</v>
      </c>
      <c r="T1744" t="str">
        <f t="shared" si="83"/>
        <v>Low</v>
      </c>
      <c r="U1744" t="str">
        <f t="shared" si="84"/>
        <v>Short Days</v>
      </c>
    </row>
    <row r="1745" spans="1:21">
      <c r="A1745" t="s">
        <v>1761</v>
      </c>
      <c r="B1745" s="5">
        <v>45672</v>
      </c>
      <c r="C1745" t="s">
        <v>4186</v>
      </c>
      <c r="D1745" t="s">
        <v>4696</v>
      </c>
      <c r="E1745" t="s">
        <v>4866</v>
      </c>
      <c r="F1745">
        <v>32</v>
      </c>
      <c r="G1745" t="s">
        <v>4871</v>
      </c>
      <c r="H1745" t="s">
        <v>4886</v>
      </c>
      <c r="I1745" t="s">
        <v>4901</v>
      </c>
      <c r="J1745" t="s">
        <v>4914</v>
      </c>
      <c r="K1745" t="s">
        <v>4930</v>
      </c>
      <c r="L1745" t="s">
        <v>4935</v>
      </c>
      <c r="M1745" t="s">
        <v>4942</v>
      </c>
      <c r="N1745" s="11">
        <v>5774.45</v>
      </c>
      <c r="O1745" t="s">
        <v>4949</v>
      </c>
      <c r="P1745" t="s">
        <v>4951</v>
      </c>
      <c r="R1745">
        <v>7</v>
      </c>
      <c r="S1745" t="str">
        <f t="shared" si="82"/>
        <v>Adult</v>
      </c>
      <c r="T1745" t="str">
        <f t="shared" si="83"/>
        <v>Medium</v>
      </c>
      <c r="U1745" t="str">
        <f t="shared" si="84"/>
        <v>Short Days</v>
      </c>
    </row>
    <row r="1746" spans="1:21">
      <c r="A1746" t="s">
        <v>1762</v>
      </c>
      <c r="B1746" s="5">
        <v>45306</v>
      </c>
      <c r="C1746" t="s">
        <v>4142</v>
      </c>
      <c r="D1746" t="s">
        <v>4761</v>
      </c>
      <c r="E1746" t="s">
        <v>4867</v>
      </c>
      <c r="F1746">
        <v>45</v>
      </c>
      <c r="G1746" t="s">
        <v>4882</v>
      </c>
      <c r="H1746" t="s">
        <v>4891</v>
      </c>
      <c r="I1746" t="s">
        <v>4899</v>
      </c>
      <c r="J1746" t="s">
        <v>4911</v>
      </c>
      <c r="K1746" t="s">
        <v>4925</v>
      </c>
      <c r="L1746" t="s">
        <v>4940</v>
      </c>
      <c r="M1746" t="s">
        <v>4942</v>
      </c>
      <c r="N1746" s="11">
        <v>4470.17</v>
      </c>
      <c r="O1746" t="s">
        <v>4947</v>
      </c>
      <c r="P1746" t="s">
        <v>4951</v>
      </c>
      <c r="R1746">
        <v>7</v>
      </c>
      <c r="S1746" t="str">
        <f t="shared" si="82"/>
        <v>Middle-Aged</v>
      </c>
      <c r="T1746" t="str">
        <f t="shared" si="83"/>
        <v>Low</v>
      </c>
      <c r="U1746" t="str">
        <f t="shared" si="84"/>
        <v>Short Days</v>
      </c>
    </row>
    <row r="1747" spans="1:21">
      <c r="A1747" t="s">
        <v>1763</v>
      </c>
      <c r="B1747" s="5">
        <v>45940</v>
      </c>
      <c r="C1747" t="s">
        <v>4187</v>
      </c>
      <c r="D1747" t="s">
        <v>4645</v>
      </c>
      <c r="E1747" t="s">
        <v>4867</v>
      </c>
      <c r="F1747">
        <v>33</v>
      </c>
      <c r="G1747" t="s">
        <v>4876</v>
      </c>
      <c r="H1747" t="s">
        <v>4888</v>
      </c>
      <c r="I1747" t="s">
        <v>4893</v>
      </c>
      <c r="J1747" t="s">
        <v>4917</v>
      </c>
      <c r="K1747" t="s">
        <v>4933</v>
      </c>
      <c r="L1747" t="s">
        <v>4936</v>
      </c>
      <c r="M1747" t="s">
        <v>4943</v>
      </c>
      <c r="N1747" s="11">
        <v>6162.88</v>
      </c>
      <c r="O1747" t="s">
        <v>4948</v>
      </c>
      <c r="P1747" t="s">
        <v>4951</v>
      </c>
      <c r="S1747" t="str">
        <f t="shared" si="82"/>
        <v>Adult</v>
      </c>
      <c r="T1747" t="str">
        <f t="shared" si="83"/>
        <v>Medium</v>
      </c>
      <c r="U1747" t="str">
        <f t="shared" si="84"/>
        <v>Short Days</v>
      </c>
    </row>
    <row r="1748" spans="1:21">
      <c r="A1748" t="s">
        <v>1764</v>
      </c>
      <c r="B1748" s="5">
        <v>45684</v>
      </c>
      <c r="C1748" t="s">
        <v>4188</v>
      </c>
      <c r="D1748" t="s">
        <v>4767</v>
      </c>
      <c r="E1748" t="s">
        <v>4866</v>
      </c>
      <c r="F1748">
        <v>41</v>
      </c>
      <c r="G1748" t="s">
        <v>4883</v>
      </c>
      <c r="H1748" t="s">
        <v>4892</v>
      </c>
      <c r="I1748" t="s">
        <v>4898</v>
      </c>
      <c r="J1748" t="s">
        <v>4918</v>
      </c>
      <c r="K1748" t="s">
        <v>4930</v>
      </c>
      <c r="L1748" t="s">
        <v>4937</v>
      </c>
      <c r="M1748" t="s">
        <v>4942</v>
      </c>
      <c r="N1748" s="11">
        <v>14602.49</v>
      </c>
      <c r="O1748" t="s">
        <v>4947</v>
      </c>
      <c r="P1748" t="s">
        <v>4951</v>
      </c>
      <c r="S1748" t="str">
        <f t="shared" si="82"/>
        <v>Middle-Aged</v>
      </c>
      <c r="T1748" t="str">
        <f t="shared" si="83"/>
        <v>High</v>
      </c>
      <c r="U1748" t="str">
        <f t="shared" si="84"/>
        <v>Short Days</v>
      </c>
    </row>
    <row r="1749" spans="1:21">
      <c r="A1749" t="s">
        <v>1765</v>
      </c>
      <c r="B1749" s="5">
        <v>45634</v>
      </c>
      <c r="C1749" t="s">
        <v>4189</v>
      </c>
      <c r="D1749" t="s">
        <v>4855</v>
      </c>
      <c r="E1749" t="s">
        <v>4867</v>
      </c>
      <c r="F1749">
        <v>58</v>
      </c>
      <c r="G1749" t="s">
        <v>4882</v>
      </c>
      <c r="H1749" t="s">
        <v>4891</v>
      </c>
      <c r="I1749" t="s">
        <v>4901</v>
      </c>
      <c r="J1749" t="s">
        <v>4914</v>
      </c>
      <c r="K1749" t="s">
        <v>4924</v>
      </c>
      <c r="L1749" t="s">
        <v>4936</v>
      </c>
      <c r="M1749" t="s">
        <v>4945</v>
      </c>
      <c r="N1749" s="11">
        <v>11445.03</v>
      </c>
      <c r="O1749" t="s">
        <v>4948</v>
      </c>
      <c r="P1749" t="s">
        <v>4951</v>
      </c>
      <c r="Q1749">
        <v>6</v>
      </c>
      <c r="R1749">
        <v>90</v>
      </c>
      <c r="S1749" t="str">
        <f t="shared" si="82"/>
        <v>Middle-Aged</v>
      </c>
      <c r="T1749" t="str">
        <f t="shared" si="83"/>
        <v>High</v>
      </c>
      <c r="U1749" t="str">
        <f t="shared" si="84"/>
        <v>Long Days</v>
      </c>
    </row>
    <row r="1750" spans="1:21">
      <c r="A1750" t="s">
        <v>1766</v>
      </c>
      <c r="B1750" s="5">
        <v>45753</v>
      </c>
      <c r="C1750" t="s">
        <v>4135</v>
      </c>
      <c r="D1750" t="s">
        <v>4818</v>
      </c>
      <c r="E1750" t="s">
        <v>4867</v>
      </c>
      <c r="F1750">
        <v>24</v>
      </c>
      <c r="G1750" t="s">
        <v>4882</v>
      </c>
      <c r="H1750" t="s">
        <v>4891</v>
      </c>
      <c r="I1750" t="s">
        <v>4900</v>
      </c>
      <c r="J1750" t="s">
        <v>4913</v>
      </c>
      <c r="K1750" t="s">
        <v>4925</v>
      </c>
      <c r="L1750" t="s">
        <v>4937</v>
      </c>
      <c r="M1750" t="s">
        <v>4942</v>
      </c>
      <c r="N1750" s="11">
        <v>3452.98</v>
      </c>
      <c r="O1750" t="s">
        <v>4946</v>
      </c>
      <c r="P1750" t="s">
        <v>4951</v>
      </c>
      <c r="R1750">
        <v>90</v>
      </c>
      <c r="S1750" t="str">
        <f t="shared" si="82"/>
        <v>Adult</v>
      </c>
      <c r="T1750" t="str">
        <f t="shared" si="83"/>
        <v>Low</v>
      </c>
      <c r="U1750" t="str">
        <f t="shared" si="84"/>
        <v>Short Days</v>
      </c>
    </row>
    <row r="1751" spans="1:21">
      <c r="A1751" t="s">
        <v>1767</v>
      </c>
      <c r="B1751" s="5">
        <v>45332</v>
      </c>
      <c r="C1751" t="s">
        <v>4080</v>
      </c>
      <c r="D1751" t="s">
        <v>4622</v>
      </c>
      <c r="E1751" t="s">
        <v>4867</v>
      </c>
      <c r="F1751">
        <v>33</v>
      </c>
      <c r="G1751" t="s">
        <v>4873</v>
      </c>
      <c r="H1751" t="s">
        <v>4888</v>
      </c>
      <c r="I1751" t="s">
        <v>4894</v>
      </c>
      <c r="J1751" t="s">
        <v>4910</v>
      </c>
      <c r="K1751" t="s">
        <v>4932</v>
      </c>
      <c r="L1751" t="s">
        <v>4937</v>
      </c>
      <c r="M1751" t="s">
        <v>4942</v>
      </c>
      <c r="N1751" s="11">
        <v>1991.02</v>
      </c>
      <c r="O1751" t="s">
        <v>4949</v>
      </c>
      <c r="P1751" t="s">
        <v>4951</v>
      </c>
      <c r="R1751">
        <v>30</v>
      </c>
      <c r="S1751" t="str">
        <f t="shared" si="82"/>
        <v>Adult</v>
      </c>
      <c r="T1751" t="str">
        <f t="shared" si="83"/>
        <v>Low</v>
      </c>
      <c r="U1751" t="str">
        <f t="shared" si="84"/>
        <v>Short Days</v>
      </c>
    </row>
    <row r="1752" spans="1:21">
      <c r="A1752" t="s">
        <v>1768</v>
      </c>
      <c r="B1752" s="5">
        <v>45617</v>
      </c>
      <c r="C1752" t="s">
        <v>3281</v>
      </c>
      <c r="D1752" t="s">
        <v>4600</v>
      </c>
      <c r="E1752" t="s">
        <v>4866</v>
      </c>
      <c r="F1752">
        <v>30</v>
      </c>
      <c r="G1752" t="s">
        <v>4871</v>
      </c>
      <c r="H1752" t="s">
        <v>4886</v>
      </c>
      <c r="I1752" t="s">
        <v>4900</v>
      </c>
      <c r="J1752" t="s">
        <v>4913</v>
      </c>
      <c r="K1752" t="s">
        <v>4933</v>
      </c>
      <c r="L1752" t="s">
        <v>4937</v>
      </c>
      <c r="M1752" t="s">
        <v>4942</v>
      </c>
      <c r="N1752" s="11">
        <v>9564.7999999999993</v>
      </c>
      <c r="O1752" t="s">
        <v>4949</v>
      </c>
      <c r="P1752" t="s">
        <v>4951</v>
      </c>
      <c r="S1752" t="str">
        <f t="shared" si="82"/>
        <v>Adult</v>
      </c>
      <c r="T1752" t="str">
        <f t="shared" si="83"/>
        <v>Medium</v>
      </c>
      <c r="U1752" t="str">
        <f t="shared" si="84"/>
        <v>Short Days</v>
      </c>
    </row>
    <row r="1753" spans="1:21">
      <c r="A1753" t="s">
        <v>1769</v>
      </c>
      <c r="B1753" s="5">
        <v>45739</v>
      </c>
      <c r="C1753" t="s">
        <v>4190</v>
      </c>
      <c r="D1753" t="s">
        <v>4710</v>
      </c>
      <c r="E1753" t="s">
        <v>4867</v>
      </c>
      <c r="F1753">
        <v>5</v>
      </c>
      <c r="G1753" t="s">
        <v>4869</v>
      </c>
      <c r="H1753" t="s">
        <v>4884</v>
      </c>
      <c r="I1753" t="s">
        <v>4899</v>
      </c>
      <c r="J1753" t="s">
        <v>4912</v>
      </c>
      <c r="K1753" t="s">
        <v>4932</v>
      </c>
      <c r="L1753" t="s">
        <v>4940</v>
      </c>
      <c r="M1753" t="s">
        <v>4944</v>
      </c>
      <c r="N1753" s="11">
        <v>9941.1299999999992</v>
      </c>
      <c r="O1753" t="s">
        <v>15</v>
      </c>
      <c r="P1753" t="s">
        <v>4952</v>
      </c>
      <c r="R1753">
        <v>90</v>
      </c>
      <c r="S1753" t="str">
        <f t="shared" si="82"/>
        <v>Child</v>
      </c>
      <c r="T1753" t="str">
        <f t="shared" si="83"/>
        <v>Medium</v>
      </c>
      <c r="U1753" t="str">
        <f t="shared" si="84"/>
        <v>Short Days</v>
      </c>
    </row>
    <row r="1754" spans="1:21">
      <c r="A1754" t="s">
        <v>1770</v>
      </c>
      <c r="B1754" s="5">
        <v>45591</v>
      </c>
      <c r="C1754" t="s">
        <v>4191</v>
      </c>
      <c r="D1754" t="s">
        <v>4847</v>
      </c>
      <c r="E1754" t="s">
        <v>4867</v>
      </c>
      <c r="F1754">
        <v>32</v>
      </c>
      <c r="G1754" t="s">
        <v>4871</v>
      </c>
      <c r="H1754" t="s">
        <v>4886</v>
      </c>
      <c r="I1754" t="s">
        <v>4897</v>
      </c>
      <c r="J1754" t="s">
        <v>4907</v>
      </c>
      <c r="K1754" t="s">
        <v>4933</v>
      </c>
      <c r="L1754" t="s">
        <v>4940</v>
      </c>
      <c r="M1754" t="s">
        <v>4943</v>
      </c>
      <c r="N1754" s="11">
        <v>8706.31</v>
      </c>
      <c r="O1754" t="s">
        <v>15</v>
      </c>
      <c r="P1754" t="s">
        <v>4952</v>
      </c>
      <c r="R1754">
        <v>90</v>
      </c>
      <c r="S1754" t="str">
        <f t="shared" si="82"/>
        <v>Adult</v>
      </c>
      <c r="T1754" t="str">
        <f t="shared" si="83"/>
        <v>Medium</v>
      </c>
      <c r="U1754" t="str">
        <f t="shared" si="84"/>
        <v>Short Days</v>
      </c>
    </row>
    <row r="1755" spans="1:21">
      <c r="A1755" t="s">
        <v>1771</v>
      </c>
      <c r="B1755" s="5">
        <v>45797</v>
      </c>
      <c r="C1755" t="s">
        <v>3082</v>
      </c>
      <c r="D1755" t="s">
        <v>4635</v>
      </c>
      <c r="E1755" t="s">
        <v>4866</v>
      </c>
      <c r="F1755">
        <v>47</v>
      </c>
      <c r="G1755" t="s">
        <v>4875</v>
      </c>
      <c r="H1755" t="s">
        <v>4889</v>
      </c>
      <c r="I1755" t="s">
        <v>4896</v>
      </c>
      <c r="J1755" t="s">
        <v>4908</v>
      </c>
      <c r="K1755" t="s">
        <v>4926</v>
      </c>
      <c r="L1755" t="s">
        <v>4939</v>
      </c>
      <c r="M1755" t="s">
        <v>4944</v>
      </c>
      <c r="N1755" s="11">
        <v>5156.66</v>
      </c>
      <c r="O1755" t="s">
        <v>15</v>
      </c>
      <c r="P1755" t="s">
        <v>4952</v>
      </c>
      <c r="S1755" t="str">
        <f t="shared" si="82"/>
        <v>Middle-Aged</v>
      </c>
      <c r="T1755" t="str">
        <f t="shared" si="83"/>
        <v>Medium</v>
      </c>
      <c r="U1755" t="str">
        <f t="shared" si="84"/>
        <v>Short Days</v>
      </c>
    </row>
    <row r="1756" spans="1:21">
      <c r="A1756" t="s">
        <v>1772</v>
      </c>
      <c r="B1756" s="5">
        <v>45431</v>
      </c>
      <c r="C1756" t="s">
        <v>3580</v>
      </c>
      <c r="D1756" t="s">
        <v>4840</v>
      </c>
      <c r="E1756" t="s">
        <v>4868</v>
      </c>
      <c r="F1756">
        <v>26</v>
      </c>
      <c r="G1756" t="s">
        <v>4883</v>
      </c>
      <c r="H1756" t="s">
        <v>4892</v>
      </c>
      <c r="I1756" t="s">
        <v>4893</v>
      </c>
      <c r="J1756" t="s">
        <v>4903</v>
      </c>
      <c r="K1756" t="s">
        <v>4928</v>
      </c>
      <c r="L1756" t="s">
        <v>4938</v>
      </c>
      <c r="M1756" t="s">
        <v>4942</v>
      </c>
      <c r="N1756" s="11">
        <v>5647.95</v>
      </c>
      <c r="O1756" t="s">
        <v>15</v>
      </c>
      <c r="P1756" t="s">
        <v>4952</v>
      </c>
      <c r="S1756" t="str">
        <f t="shared" si="82"/>
        <v>Adult</v>
      </c>
      <c r="T1756" t="str">
        <f t="shared" si="83"/>
        <v>Medium</v>
      </c>
      <c r="U1756" t="str">
        <f t="shared" si="84"/>
        <v>Short Days</v>
      </c>
    </row>
    <row r="1757" spans="1:21">
      <c r="A1757" t="s">
        <v>1773</v>
      </c>
      <c r="B1757" s="5">
        <v>45709</v>
      </c>
      <c r="C1757" t="s">
        <v>4192</v>
      </c>
      <c r="D1757" t="s">
        <v>4623</v>
      </c>
      <c r="E1757" t="s">
        <v>4866</v>
      </c>
      <c r="F1757">
        <v>22</v>
      </c>
      <c r="G1757" t="s">
        <v>4881</v>
      </c>
      <c r="H1757" t="s">
        <v>4881</v>
      </c>
      <c r="I1757" t="s">
        <v>4900</v>
      </c>
      <c r="J1757" t="s">
        <v>4919</v>
      </c>
      <c r="K1757" t="s">
        <v>4930</v>
      </c>
      <c r="L1757" t="s">
        <v>4938</v>
      </c>
      <c r="M1757" t="s">
        <v>4942</v>
      </c>
      <c r="N1757" s="11">
        <v>11498.97</v>
      </c>
      <c r="O1757" t="s">
        <v>4947</v>
      </c>
      <c r="P1757" t="s">
        <v>4951</v>
      </c>
      <c r="R1757">
        <v>30</v>
      </c>
      <c r="S1757" t="str">
        <f t="shared" si="82"/>
        <v>Adult</v>
      </c>
      <c r="T1757" t="str">
        <f t="shared" si="83"/>
        <v>High</v>
      </c>
      <c r="U1757" t="str">
        <f t="shared" si="84"/>
        <v>Short Days</v>
      </c>
    </row>
    <row r="1758" spans="1:21">
      <c r="A1758" t="s">
        <v>1774</v>
      </c>
      <c r="B1758" s="5">
        <v>45802</v>
      </c>
      <c r="C1758" t="s">
        <v>3368</v>
      </c>
      <c r="D1758" t="s">
        <v>4604</v>
      </c>
      <c r="E1758" t="s">
        <v>4866</v>
      </c>
      <c r="F1758">
        <v>74</v>
      </c>
      <c r="G1758" t="s">
        <v>4883</v>
      </c>
      <c r="H1758" t="s">
        <v>4892</v>
      </c>
      <c r="I1758" t="s">
        <v>4893</v>
      </c>
      <c r="J1758" t="s">
        <v>4917</v>
      </c>
      <c r="K1758" t="s">
        <v>4927</v>
      </c>
      <c r="L1758" t="s">
        <v>4935</v>
      </c>
      <c r="M1758" t="s">
        <v>4944</v>
      </c>
      <c r="N1758" s="11">
        <v>14386.71</v>
      </c>
      <c r="O1758" t="s">
        <v>4946</v>
      </c>
      <c r="P1758" t="s">
        <v>4951</v>
      </c>
      <c r="S1758" t="str">
        <f t="shared" si="82"/>
        <v>Senior</v>
      </c>
      <c r="T1758" t="str">
        <f t="shared" si="83"/>
        <v>High</v>
      </c>
      <c r="U1758" t="str">
        <f t="shared" si="84"/>
        <v>Short Days</v>
      </c>
    </row>
    <row r="1759" spans="1:21">
      <c r="A1759" t="s">
        <v>1775</v>
      </c>
      <c r="B1759" s="5">
        <v>45801</v>
      </c>
      <c r="C1759" t="s">
        <v>4193</v>
      </c>
      <c r="D1759" t="s">
        <v>4782</v>
      </c>
      <c r="E1759" t="s">
        <v>4866</v>
      </c>
      <c r="F1759">
        <v>39</v>
      </c>
      <c r="G1759" t="s">
        <v>4874</v>
      </c>
      <c r="H1759" t="s">
        <v>4886</v>
      </c>
      <c r="I1759" t="s">
        <v>4895</v>
      </c>
      <c r="J1759" t="s">
        <v>4915</v>
      </c>
      <c r="K1759" t="s">
        <v>4929</v>
      </c>
      <c r="L1759" t="s">
        <v>4934</v>
      </c>
      <c r="M1759" t="s">
        <v>4942</v>
      </c>
      <c r="N1759" s="11">
        <v>4659.0600000000004</v>
      </c>
      <c r="O1759" t="s">
        <v>4947</v>
      </c>
      <c r="P1759" t="s">
        <v>4951</v>
      </c>
      <c r="R1759">
        <v>7</v>
      </c>
      <c r="S1759" t="str">
        <f t="shared" si="82"/>
        <v>Adult</v>
      </c>
      <c r="T1759" t="str">
        <f t="shared" si="83"/>
        <v>Low</v>
      </c>
      <c r="U1759" t="str">
        <f t="shared" si="84"/>
        <v>Short Days</v>
      </c>
    </row>
    <row r="1760" spans="1:21">
      <c r="A1760" t="s">
        <v>1776</v>
      </c>
      <c r="B1760" s="5">
        <v>45333</v>
      </c>
      <c r="C1760" t="s">
        <v>3428</v>
      </c>
      <c r="D1760" t="s">
        <v>4681</v>
      </c>
      <c r="E1760" t="s">
        <v>4866</v>
      </c>
      <c r="F1760">
        <v>57</v>
      </c>
      <c r="G1760" t="s">
        <v>4879</v>
      </c>
      <c r="H1760" t="s">
        <v>4888</v>
      </c>
      <c r="I1760" t="s">
        <v>4893</v>
      </c>
      <c r="J1760" t="s">
        <v>4917</v>
      </c>
      <c r="K1760" t="s">
        <v>4929</v>
      </c>
      <c r="L1760" t="s">
        <v>4936</v>
      </c>
      <c r="M1760" t="s">
        <v>4942</v>
      </c>
      <c r="N1760" s="11">
        <v>136.26</v>
      </c>
      <c r="O1760" t="s">
        <v>4946</v>
      </c>
      <c r="P1760" t="s">
        <v>4951</v>
      </c>
      <c r="S1760" t="str">
        <f t="shared" si="82"/>
        <v>Middle-Aged</v>
      </c>
      <c r="T1760" t="str">
        <f t="shared" si="83"/>
        <v>Low</v>
      </c>
      <c r="U1760" t="str">
        <f t="shared" si="84"/>
        <v>Short Days</v>
      </c>
    </row>
    <row r="1761" spans="1:21">
      <c r="A1761" t="s">
        <v>1777</v>
      </c>
      <c r="B1761" s="5">
        <v>45836</v>
      </c>
      <c r="C1761" t="s">
        <v>4194</v>
      </c>
      <c r="D1761" t="s">
        <v>4819</v>
      </c>
      <c r="E1761" t="s">
        <v>4867</v>
      </c>
      <c r="F1761">
        <v>20</v>
      </c>
      <c r="G1761" t="s">
        <v>4879</v>
      </c>
      <c r="H1761" t="s">
        <v>4888</v>
      </c>
      <c r="I1761" t="s">
        <v>4894</v>
      </c>
      <c r="J1761" t="s">
        <v>4910</v>
      </c>
      <c r="K1761" t="s">
        <v>4926</v>
      </c>
      <c r="L1761" t="s">
        <v>4940</v>
      </c>
      <c r="M1761" t="s">
        <v>4942</v>
      </c>
      <c r="N1761" s="11">
        <v>931.4</v>
      </c>
      <c r="O1761" t="s">
        <v>4946</v>
      </c>
      <c r="P1761" t="s">
        <v>4951</v>
      </c>
      <c r="R1761">
        <v>7</v>
      </c>
      <c r="S1761" t="str">
        <f t="shared" si="82"/>
        <v>Adult</v>
      </c>
      <c r="T1761" t="str">
        <f t="shared" si="83"/>
        <v>Low</v>
      </c>
      <c r="U1761" t="str">
        <f t="shared" si="84"/>
        <v>Short Days</v>
      </c>
    </row>
    <row r="1762" spans="1:21">
      <c r="A1762" t="s">
        <v>1778</v>
      </c>
      <c r="B1762" s="5">
        <v>45678</v>
      </c>
      <c r="C1762" t="s">
        <v>4195</v>
      </c>
      <c r="D1762" t="s">
        <v>4649</v>
      </c>
      <c r="E1762" t="s">
        <v>4867</v>
      </c>
      <c r="F1762">
        <v>26</v>
      </c>
      <c r="G1762" t="s">
        <v>4878</v>
      </c>
      <c r="H1762" t="s">
        <v>4889</v>
      </c>
      <c r="I1762" t="s">
        <v>4901</v>
      </c>
      <c r="J1762" t="s">
        <v>4921</v>
      </c>
      <c r="K1762" t="s">
        <v>4927</v>
      </c>
      <c r="L1762" t="s">
        <v>4936</v>
      </c>
      <c r="M1762" t="s">
        <v>4942</v>
      </c>
      <c r="N1762" s="11">
        <v>2403.17</v>
      </c>
      <c r="O1762" t="s">
        <v>4946</v>
      </c>
      <c r="P1762" t="s">
        <v>4951</v>
      </c>
      <c r="S1762" t="str">
        <f t="shared" si="82"/>
        <v>Adult</v>
      </c>
      <c r="T1762" t="str">
        <f t="shared" si="83"/>
        <v>Low</v>
      </c>
      <c r="U1762" t="str">
        <f t="shared" si="84"/>
        <v>Short Days</v>
      </c>
    </row>
    <row r="1763" spans="1:21">
      <c r="A1763" t="s">
        <v>1779</v>
      </c>
      <c r="B1763" s="5">
        <v>45337</v>
      </c>
      <c r="C1763" t="s">
        <v>3567</v>
      </c>
      <c r="D1763" t="s">
        <v>4704</v>
      </c>
      <c r="E1763" t="s">
        <v>4867</v>
      </c>
      <c r="F1763">
        <v>28</v>
      </c>
      <c r="G1763" t="s">
        <v>4875</v>
      </c>
      <c r="H1763" t="s">
        <v>4889</v>
      </c>
      <c r="I1763" t="s">
        <v>4898</v>
      </c>
      <c r="J1763" t="s">
        <v>4923</v>
      </c>
      <c r="K1763" t="s">
        <v>4927</v>
      </c>
      <c r="L1763" t="s">
        <v>4941</v>
      </c>
      <c r="M1763" t="s">
        <v>4944</v>
      </c>
      <c r="N1763" s="11">
        <v>12607.12</v>
      </c>
      <c r="O1763" t="s">
        <v>4950</v>
      </c>
      <c r="P1763" t="s">
        <v>4951</v>
      </c>
      <c r="R1763">
        <v>90</v>
      </c>
      <c r="S1763" t="str">
        <f t="shared" si="82"/>
        <v>Adult</v>
      </c>
      <c r="T1763" t="str">
        <f t="shared" si="83"/>
        <v>High</v>
      </c>
      <c r="U1763" t="str">
        <f t="shared" si="84"/>
        <v>Short Days</v>
      </c>
    </row>
    <row r="1764" spans="1:21">
      <c r="A1764" t="s">
        <v>1780</v>
      </c>
      <c r="B1764" s="5">
        <v>45397</v>
      </c>
      <c r="C1764" t="s">
        <v>3938</v>
      </c>
      <c r="D1764" t="s">
        <v>4681</v>
      </c>
      <c r="E1764" t="s">
        <v>4867</v>
      </c>
      <c r="F1764">
        <v>51</v>
      </c>
      <c r="G1764" t="s">
        <v>4883</v>
      </c>
      <c r="H1764" t="s">
        <v>4892</v>
      </c>
      <c r="I1764" t="s">
        <v>4897</v>
      </c>
      <c r="J1764" t="s">
        <v>4907</v>
      </c>
      <c r="K1764" t="s">
        <v>4927</v>
      </c>
      <c r="L1764" t="s">
        <v>4939</v>
      </c>
      <c r="M1764" t="s">
        <v>4942</v>
      </c>
      <c r="N1764" s="11">
        <v>3874.82</v>
      </c>
      <c r="O1764" t="s">
        <v>4947</v>
      </c>
      <c r="P1764" t="s">
        <v>4951</v>
      </c>
      <c r="R1764">
        <v>30</v>
      </c>
      <c r="S1764" t="str">
        <f t="shared" si="82"/>
        <v>Middle-Aged</v>
      </c>
      <c r="T1764" t="str">
        <f t="shared" si="83"/>
        <v>Low</v>
      </c>
      <c r="U1764" t="str">
        <f t="shared" si="84"/>
        <v>Short Days</v>
      </c>
    </row>
    <row r="1765" spans="1:21">
      <c r="A1765" t="s">
        <v>1781</v>
      </c>
      <c r="B1765" s="5">
        <v>45949</v>
      </c>
      <c r="C1765" t="s">
        <v>4196</v>
      </c>
      <c r="D1765" t="s">
        <v>4624</v>
      </c>
      <c r="E1765" t="s">
        <v>4866</v>
      </c>
      <c r="F1765">
        <v>43</v>
      </c>
      <c r="G1765" t="s">
        <v>4869</v>
      </c>
      <c r="H1765" t="s">
        <v>4884</v>
      </c>
      <c r="I1765" t="s">
        <v>4901</v>
      </c>
      <c r="J1765" t="s">
        <v>4921</v>
      </c>
      <c r="K1765" t="s">
        <v>4931</v>
      </c>
      <c r="L1765" t="s">
        <v>4941</v>
      </c>
      <c r="M1765" t="s">
        <v>4942</v>
      </c>
      <c r="N1765" s="11">
        <v>596.4</v>
      </c>
      <c r="O1765" t="s">
        <v>4949</v>
      </c>
      <c r="P1765" t="s">
        <v>4951</v>
      </c>
      <c r="R1765">
        <v>7</v>
      </c>
      <c r="S1765" t="str">
        <f t="shared" si="82"/>
        <v>Middle-Aged</v>
      </c>
      <c r="T1765" t="str">
        <f t="shared" si="83"/>
        <v>Low</v>
      </c>
      <c r="U1765" t="str">
        <f t="shared" si="84"/>
        <v>Short Days</v>
      </c>
    </row>
    <row r="1766" spans="1:21">
      <c r="A1766" t="s">
        <v>1782</v>
      </c>
      <c r="B1766" s="5">
        <v>45316</v>
      </c>
      <c r="C1766" t="s">
        <v>3213</v>
      </c>
      <c r="D1766" t="s">
        <v>4589</v>
      </c>
      <c r="E1766" t="s">
        <v>4867</v>
      </c>
      <c r="F1766">
        <f>AVERAGE(F1759,F1765)</f>
        <v>41</v>
      </c>
      <c r="G1766" t="s">
        <v>4881</v>
      </c>
      <c r="H1766" t="s">
        <v>4884</v>
      </c>
      <c r="I1766" t="s">
        <v>4895</v>
      </c>
      <c r="J1766" t="s">
        <v>4905</v>
      </c>
      <c r="K1766" t="s">
        <v>4953</v>
      </c>
      <c r="L1766" t="s">
        <v>4935</v>
      </c>
      <c r="M1766" t="s">
        <v>4942</v>
      </c>
      <c r="N1766" s="11">
        <v>1948.76</v>
      </c>
      <c r="O1766" t="s">
        <v>4947</v>
      </c>
      <c r="P1766" t="s">
        <v>4951</v>
      </c>
      <c r="S1766" t="str">
        <f t="shared" si="82"/>
        <v>Middle-Aged</v>
      </c>
      <c r="T1766" t="str">
        <f t="shared" si="83"/>
        <v>Low</v>
      </c>
      <c r="U1766" t="str">
        <f t="shared" si="84"/>
        <v>Short Days</v>
      </c>
    </row>
    <row r="1767" spans="1:21">
      <c r="A1767" t="s">
        <v>1783</v>
      </c>
      <c r="B1767" s="5">
        <v>45747</v>
      </c>
      <c r="C1767" t="s">
        <v>3347</v>
      </c>
      <c r="D1767" t="s">
        <v>4771</v>
      </c>
      <c r="E1767" t="s">
        <v>4867</v>
      </c>
      <c r="F1767">
        <v>84</v>
      </c>
      <c r="G1767" t="s">
        <v>4881</v>
      </c>
      <c r="H1767" t="s">
        <v>4881</v>
      </c>
      <c r="I1767" t="s">
        <v>4899</v>
      </c>
      <c r="J1767" t="s">
        <v>4912</v>
      </c>
      <c r="K1767" t="s">
        <v>4924</v>
      </c>
      <c r="L1767" t="s">
        <v>4938</v>
      </c>
      <c r="M1767" t="s">
        <v>4942</v>
      </c>
      <c r="N1767" s="11">
        <v>545.14</v>
      </c>
      <c r="O1767" t="s">
        <v>4948</v>
      </c>
      <c r="P1767" t="s">
        <v>4951</v>
      </c>
      <c r="S1767" t="str">
        <f t="shared" si="82"/>
        <v>Senior</v>
      </c>
      <c r="T1767" t="str">
        <f t="shared" si="83"/>
        <v>Low</v>
      </c>
      <c r="U1767" t="str">
        <f t="shared" si="84"/>
        <v>Short Days</v>
      </c>
    </row>
    <row r="1768" spans="1:21">
      <c r="A1768" t="s">
        <v>1784</v>
      </c>
      <c r="B1768" s="5">
        <v>45611</v>
      </c>
      <c r="C1768" t="s">
        <v>4197</v>
      </c>
      <c r="D1768" t="s">
        <v>4614</v>
      </c>
      <c r="E1768" t="s">
        <v>4866</v>
      </c>
      <c r="F1768">
        <v>49</v>
      </c>
      <c r="G1768" t="s">
        <v>4869</v>
      </c>
      <c r="H1768" t="s">
        <v>4884</v>
      </c>
      <c r="I1768" t="s">
        <v>4897</v>
      </c>
      <c r="J1768" t="s">
        <v>4922</v>
      </c>
      <c r="K1768" t="s">
        <v>4933</v>
      </c>
      <c r="L1768" t="s">
        <v>4939</v>
      </c>
      <c r="M1768" t="s">
        <v>4942</v>
      </c>
      <c r="N1768" s="11">
        <v>1751.53</v>
      </c>
      <c r="O1768" t="s">
        <v>4946</v>
      </c>
      <c r="P1768" t="s">
        <v>4951</v>
      </c>
      <c r="R1768">
        <v>30</v>
      </c>
      <c r="S1768" t="str">
        <f t="shared" si="82"/>
        <v>Middle-Aged</v>
      </c>
      <c r="T1768" t="str">
        <f t="shared" si="83"/>
        <v>Low</v>
      </c>
      <c r="U1768" t="str">
        <f t="shared" si="84"/>
        <v>Short Days</v>
      </c>
    </row>
    <row r="1769" spans="1:21">
      <c r="A1769" t="s">
        <v>1785</v>
      </c>
      <c r="B1769" s="5">
        <v>45747</v>
      </c>
      <c r="C1769" t="s">
        <v>3658</v>
      </c>
      <c r="D1769" t="s">
        <v>4858</v>
      </c>
      <c r="E1769" t="s">
        <v>4867</v>
      </c>
      <c r="F1769">
        <v>7</v>
      </c>
      <c r="G1769" t="s">
        <v>4878</v>
      </c>
      <c r="H1769" t="s">
        <v>4889</v>
      </c>
      <c r="I1769" t="s">
        <v>4900</v>
      </c>
      <c r="J1769" t="s">
        <v>4919</v>
      </c>
      <c r="K1769" t="s">
        <v>4933</v>
      </c>
      <c r="L1769" t="s">
        <v>4935</v>
      </c>
      <c r="M1769" t="s">
        <v>4943</v>
      </c>
      <c r="N1769" s="11">
        <v>5218.8100000000004</v>
      </c>
      <c r="O1769" t="s">
        <v>4947</v>
      </c>
      <c r="P1769" t="s">
        <v>4951</v>
      </c>
      <c r="R1769">
        <v>90</v>
      </c>
      <c r="S1769" t="str">
        <f t="shared" si="82"/>
        <v>Child</v>
      </c>
      <c r="T1769" t="str">
        <f t="shared" si="83"/>
        <v>Medium</v>
      </c>
      <c r="U1769" t="str">
        <f t="shared" si="84"/>
        <v>Short Days</v>
      </c>
    </row>
    <row r="1770" spans="1:21">
      <c r="A1770" t="s">
        <v>1786</v>
      </c>
      <c r="B1770" s="5">
        <v>45568</v>
      </c>
      <c r="C1770" t="s">
        <v>3338</v>
      </c>
      <c r="D1770" t="s">
        <v>4601</v>
      </c>
      <c r="E1770" t="s">
        <v>4867</v>
      </c>
      <c r="F1770">
        <v>42</v>
      </c>
      <c r="G1770" t="s">
        <v>4882</v>
      </c>
      <c r="H1770" t="s">
        <v>4891</v>
      </c>
      <c r="I1770" t="s">
        <v>4899</v>
      </c>
      <c r="J1770" t="s">
        <v>4911</v>
      </c>
      <c r="K1770" t="s">
        <v>4927</v>
      </c>
      <c r="L1770" t="s">
        <v>4940</v>
      </c>
      <c r="M1770" t="s">
        <v>4945</v>
      </c>
      <c r="N1770" s="11">
        <v>9864.1200000000008</v>
      </c>
      <c r="O1770" t="s">
        <v>15</v>
      </c>
      <c r="P1770" t="s">
        <v>4952</v>
      </c>
      <c r="Q1770">
        <v>5</v>
      </c>
      <c r="R1770">
        <v>14</v>
      </c>
      <c r="S1770" t="str">
        <f t="shared" si="82"/>
        <v>Middle-Aged</v>
      </c>
      <c r="T1770" t="str">
        <f t="shared" si="83"/>
        <v>Medium</v>
      </c>
      <c r="U1770" t="str">
        <f t="shared" si="84"/>
        <v>Short Days</v>
      </c>
    </row>
    <row r="1771" spans="1:21">
      <c r="A1771" t="s">
        <v>1787</v>
      </c>
      <c r="B1771" s="5">
        <v>45912</v>
      </c>
      <c r="C1771" t="s">
        <v>4198</v>
      </c>
      <c r="D1771" t="s">
        <v>4804</v>
      </c>
      <c r="E1771" t="s">
        <v>4867</v>
      </c>
      <c r="F1771">
        <v>27</v>
      </c>
      <c r="G1771" t="s">
        <v>4878</v>
      </c>
      <c r="H1771" t="s">
        <v>4889</v>
      </c>
      <c r="I1771" t="s">
        <v>4896</v>
      </c>
      <c r="J1771" t="s">
        <v>4908</v>
      </c>
      <c r="K1771" t="s">
        <v>4929</v>
      </c>
      <c r="L1771" t="s">
        <v>4935</v>
      </c>
      <c r="M1771" t="s">
        <v>4942</v>
      </c>
      <c r="N1771" s="11">
        <v>4851.2</v>
      </c>
      <c r="O1771" t="s">
        <v>4949</v>
      </c>
      <c r="P1771" t="s">
        <v>4951</v>
      </c>
      <c r="R1771">
        <v>14</v>
      </c>
      <c r="S1771" t="str">
        <f t="shared" si="82"/>
        <v>Adult</v>
      </c>
      <c r="T1771" t="str">
        <f t="shared" si="83"/>
        <v>Low</v>
      </c>
      <c r="U1771" t="str">
        <f t="shared" si="84"/>
        <v>Short Days</v>
      </c>
    </row>
    <row r="1772" spans="1:21">
      <c r="A1772" t="s">
        <v>1788</v>
      </c>
      <c r="B1772" s="5">
        <v>45645</v>
      </c>
      <c r="C1772" t="s">
        <v>4199</v>
      </c>
      <c r="D1772" t="s">
        <v>4713</v>
      </c>
      <c r="E1772" t="s">
        <v>4866</v>
      </c>
      <c r="F1772">
        <v>35</v>
      </c>
      <c r="G1772" t="s">
        <v>4876</v>
      </c>
      <c r="H1772" t="s">
        <v>4888</v>
      </c>
      <c r="I1772" t="s">
        <v>4900</v>
      </c>
      <c r="J1772" t="s">
        <v>4919</v>
      </c>
      <c r="K1772" t="s">
        <v>4925</v>
      </c>
      <c r="L1772" t="s">
        <v>4940</v>
      </c>
      <c r="M1772" t="s">
        <v>4942</v>
      </c>
      <c r="N1772" s="11">
        <v>1234.5</v>
      </c>
      <c r="O1772" t="s">
        <v>4949</v>
      </c>
      <c r="P1772" t="s">
        <v>4951</v>
      </c>
      <c r="S1772" t="str">
        <f t="shared" si="82"/>
        <v>Adult</v>
      </c>
      <c r="T1772" t="str">
        <f t="shared" si="83"/>
        <v>Low</v>
      </c>
      <c r="U1772" t="str">
        <f t="shared" si="84"/>
        <v>Short Days</v>
      </c>
    </row>
    <row r="1773" spans="1:21">
      <c r="A1773" t="s">
        <v>1789</v>
      </c>
      <c r="B1773" s="5">
        <v>45775</v>
      </c>
      <c r="C1773" t="s">
        <v>4200</v>
      </c>
      <c r="D1773" t="s">
        <v>4863</v>
      </c>
      <c r="E1773" t="s">
        <v>4866</v>
      </c>
      <c r="F1773">
        <v>32</v>
      </c>
      <c r="G1773" t="s">
        <v>4880</v>
      </c>
      <c r="H1773" t="s">
        <v>4890</v>
      </c>
      <c r="I1773" t="s">
        <v>4896</v>
      </c>
      <c r="J1773" t="s">
        <v>4906</v>
      </c>
      <c r="K1773" t="s">
        <v>4929</v>
      </c>
      <c r="L1773" t="s">
        <v>4935</v>
      </c>
      <c r="M1773" t="s">
        <v>4942</v>
      </c>
      <c r="N1773" s="11">
        <v>2031.17</v>
      </c>
      <c r="O1773" t="s">
        <v>15</v>
      </c>
      <c r="P1773" t="s">
        <v>4952</v>
      </c>
      <c r="S1773" t="str">
        <f t="shared" si="82"/>
        <v>Adult</v>
      </c>
      <c r="T1773" t="str">
        <f t="shared" si="83"/>
        <v>Low</v>
      </c>
      <c r="U1773" t="str">
        <f t="shared" si="84"/>
        <v>Short Days</v>
      </c>
    </row>
    <row r="1774" spans="1:21">
      <c r="A1774" t="s">
        <v>1790</v>
      </c>
      <c r="B1774" s="5">
        <v>45667</v>
      </c>
      <c r="C1774" t="s">
        <v>3242</v>
      </c>
      <c r="D1774" t="s">
        <v>4846</v>
      </c>
      <c r="E1774" t="s">
        <v>4866</v>
      </c>
      <c r="F1774">
        <v>57</v>
      </c>
      <c r="G1774" t="s">
        <v>4881</v>
      </c>
      <c r="H1774" t="s">
        <v>4881</v>
      </c>
      <c r="I1774" t="s">
        <v>4898</v>
      </c>
      <c r="J1774" t="s">
        <v>4923</v>
      </c>
      <c r="K1774" t="s">
        <v>4931</v>
      </c>
      <c r="L1774" t="s">
        <v>4935</v>
      </c>
      <c r="M1774" t="s">
        <v>4944</v>
      </c>
      <c r="N1774" s="11">
        <v>5643.57</v>
      </c>
      <c r="O1774" t="s">
        <v>4949</v>
      </c>
      <c r="P1774" t="s">
        <v>4951</v>
      </c>
      <c r="R1774">
        <v>30</v>
      </c>
      <c r="S1774" t="str">
        <f t="shared" si="82"/>
        <v>Middle-Aged</v>
      </c>
      <c r="T1774" t="str">
        <f t="shared" si="83"/>
        <v>Medium</v>
      </c>
      <c r="U1774" t="str">
        <f t="shared" si="84"/>
        <v>Short Days</v>
      </c>
    </row>
    <row r="1775" spans="1:21">
      <c r="A1775" t="s">
        <v>1791</v>
      </c>
      <c r="B1775" s="5">
        <v>45569</v>
      </c>
      <c r="C1775" t="s">
        <v>4176</v>
      </c>
      <c r="D1775" t="s">
        <v>4595</v>
      </c>
      <c r="E1775" t="s">
        <v>4866</v>
      </c>
      <c r="F1775">
        <v>33</v>
      </c>
      <c r="G1775" t="s">
        <v>4871</v>
      </c>
      <c r="H1775" t="s">
        <v>4886</v>
      </c>
      <c r="I1775" t="s">
        <v>4893</v>
      </c>
      <c r="J1775" t="s">
        <v>4917</v>
      </c>
      <c r="K1775" t="s">
        <v>4927</v>
      </c>
      <c r="L1775" t="s">
        <v>4935</v>
      </c>
      <c r="M1775" t="s">
        <v>4944</v>
      </c>
      <c r="N1775" s="11">
        <v>7666.06</v>
      </c>
      <c r="O1775" t="s">
        <v>4948</v>
      </c>
      <c r="P1775" t="s">
        <v>4951</v>
      </c>
      <c r="S1775" t="str">
        <f t="shared" si="82"/>
        <v>Adult</v>
      </c>
      <c r="T1775" t="str">
        <f t="shared" si="83"/>
        <v>Medium</v>
      </c>
      <c r="U1775" t="str">
        <f t="shared" si="84"/>
        <v>Short Days</v>
      </c>
    </row>
    <row r="1776" spans="1:21">
      <c r="A1776" t="s">
        <v>1792</v>
      </c>
      <c r="B1776" s="5">
        <v>45858</v>
      </c>
      <c r="C1776" t="s">
        <v>4201</v>
      </c>
      <c r="D1776" t="s">
        <v>4690</v>
      </c>
      <c r="E1776" t="s">
        <v>4866</v>
      </c>
      <c r="F1776">
        <v>54</v>
      </c>
      <c r="G1776" t="s">
        <v>4881</v>
      </c>
      <c r="H1776" t="s">
        <v>4881</v>
      </c>
      <c r="I1776" t="s">
        <v>4897</v>
      </c>
      <c r="J1776" t="s">
        <v>4907</v>
      </c>
      <c r="K1776" t="s">
        <v>4933</v>
      </c>
      <c r="L1776" t="s">
        <v>4937</v>
      </c>
      <c r="M1776" t="s">
        <v>4944</v>
      </c>
      <c r="N1776" s="11">
        <v>15321.7</v>
      </c>
      <c r="O1776" t="s">
        <v>4947</v>
      </c>
      <c r="P1776" t="s">
        <v>4951</v>
      </c>
      <c r="S1776" t="str">
        <f t="shared" si="82"/>
        <v>Middle-Aged</v>
      </c>
      <c r="T1776" t="str">
        <f t="shared" si="83"/>
        <v>High</v>
      </c>
      <c r="U1776" t="str">
        <f t="shared" si="84"/>
        <v>Short Days</v>
      </c>
    </row>
    <row r="1777" spans="1:21">
      <c r="A1777" t="s">
        <v>1793</v>
      </c>
      <c r="B1777" s="5">
        <v>45360</v>
      </c>
      <c r="C1777" t="s">
        <v>4202</v>
      </c>
      <c r="D1777" t="s">
        <v>4789</v>
      </c>
      <c r="E1777" t="s">
        <v>4867</v>
      </c>
      <c r="F1777">
        <v>78</v>
      </c>
      <c r="G1777" t="s">
        <v>4876</v>
      </c>
      <c r="H1777" t="s">
        <v>4888</v>
      </c>
      <c r="I1777" t="s">
        <v>4899</v>
      </c>
      <c r="J1777" t="s">
        <v>4912</v>
      </c>
      <c r="K1777" t="s">
        <v>4925</v>
      </c>
      <c r="L1777" t="s">
        <v>4940</v>
      </c>
      <c r="M1777" t="s">
        <v>4944</v>
      </c>
      <c r="N1777" s="11">
        <v>15726.43</v>
      </c>
      <c r="O1777" t="s">
        <v>4949</v>
      </c>
      <c r="P1777" t="s">
        <v>4951</v>
      </c>
      <c r="S1777" t="str">
        <f t="shared" si="82"/>
        <v>Senior</v>
      </c>
      <c r="T1777" t="str">
        <f t="shared" si="83"/>
        <v>High</v>
      </c>
      <c r="U1777" t="str">
        <f t="shared" si="84"/>
        <v>Short Days</v>
      </c>
    </row>
    <row r="1778" spans="1:21">
      <c r="A1778" t="s">
        <v>1794</v>
      </c>
      <c r="B1778" s="5">
        <v>45817</v>
      </c>
      <c r="C1778" t="s">
        <v>4203</v>
      </c>
      <c r="D1778" t="s">
        <v>4615</v>
      </c>
      <c r="E1778" t="s">
        <v>4866</v>
      </c>
      <c r="F1778">
        <v>38</v>
      </c>
      <c r="G1778" t="s">
        <v>4873</v>
      </c>
      <c r="H1778" t="s">
        <v>4888</v>
      </c>
      <c r="I1778" t="s">
        <v>4895</v>
      </c>
      <c r="J1778" t="s">
        <v>4915</v>
      </c>
      <c r="K1778" t="s">
        <v>4925</v>
      </c>
      <c r="L1778" t="s">
        <v>4939</v>
      </c>
      <c r="M1778" t="s">
        <v>4945</v>
      </c>
      <c r="N1778" s="11">
        <v>8728.69</v>
      </c>
      <c r="O1778" t="s">
        <v>15</v>
      </c>
      <c r="P1778" t="s">
        <v>4952</v>
      </c>
      <c r="Q1778">
        <v>4</v>
      </c>
      <c r="R1778">
        <v>14</v>
      </c>
      <c r="S1778" t="str">
        <f t="shared" si="82"/>
        <v>Adult</v>
      </c>
      <c r="T1778" t="str">
        <f t="shared" si="83"/>
        <v>Medium</v>
      </c>
      <c r="U1778" t="str">
        <f t="shared" si="84"/>
        <v>Short Days</v>
      </c>
    </row>
    <row r="1779" spans="1:21">
      <c r="A1779" t="s">
        <v>1795</v>
      </c>
      <c r="B1779" s="5">
        <v>45939</v>
      </c>
      <c r="C1779" t="s">
        <v>3861</v>
      </c>
      <c r="D1779" t="s">
        <v>4710</v>
      </c>
      <c r="E1779" t="s">
        <v>4867</v>
      </c>
      <c r="F1779">
        <v>3</v>
      </c>
      <c r="G1779" t="s">
        <v>4872</v>
      </c>
      <c r="H1779" t="s">
        <v>4887</v>
      </c>
      <c r="I1779" t="s">
        <v>4895</v>
      </c>
      <c r="J1779" t="s">
        <v>4915</v>
      </c>
      <c r="K1779" t="s">
        <v>4927</v>
      </c>
      <c r="L1779" t="s">
        <v>4935</v>
      </c>
      <c r="M1779" t="s">
        <v>4942</v>
      </c>
      <c r="N1779" s="11">
        <v>5294.12</v>
      </c>
      <c r="O1779" t="s">
        <v>4947</v>
      </c>
      <c r="P1779" t="s">
        <v>4951</v>
      </c>
      <c r="S1779" t="str">
        <f t="shared" si="82"/>
        <v>Child</v>
      </c>
      <c r="T1779" t="str">
        <f t="shared" si="83"/>
        <v>Medium</v>
      </c>
      <c r="U1779" t="str">
        <f t="shared" si="84"/>
        <v>Short Days</v>
      </c>
    </row>
    <row r="1780" spans="1:21">
      <c r="A1780" t="s">
        <v>1796</v>
      </c>
      <c r="B1780" s="5">
        <v>45381</v>
      </c>
      <c r="C1780" t="s">
        <v>4204</v>
      </c>
      <c r="D1780" t="s">
        <v>4735</v>
      </c>
      <c r="E1780" t="s">
        <v>4867</v>
      </c>
      <c r="F1780">
        <v>31</v>
      </c>
      <c r="G1780" t="s">
        <v>4873</v>
      </c>
      <c r="H1780" t="s">
        <v>4888</v>
      </c>
      <c r="I1780" t="s">
        <v>4900</v>
      </c>
      <c r="J1780" t="s">
        <v>4913</v>
      </c>
      <c r="K1780" t="s">
        <v>4933</v>
      </c>
      <c r="L1780" t="s">
        <v>4938</v>
      </c>
      <c r="M1780" t="s">
        <v>4942</v>
      </c>
      <c r="N1780" s="11">
        <v>185.42</v>
      </c>
      <c r="O1780" t="s">
        <v>4946</v>
      </c>
      <c r="P1780" t="s">
        <v>4951</v>
      </c>
      <c r="R1780">
        <v>90</v>
      </c>
      <c r="S1780" t="str">
        <f t="shared" si="82"/>
        <v>Adult</v>
      </c>
      <c r="T1780" t="str">
        <f t="shared" si="83"/>
        <v>Low</v>
      </c>
      <c r="U1780" t="str">
        <f t="shared" si="84"/>
        <v>Short Days</v>
      </c>
    </row>
    <row r="1781" spans="1:21">
      <c r="A1781" t="s">
        <v>1797</v>
      </c>
      <c r="B1781" s="5">
        <v>45324</v>
      </c>
      <c r="C1781" t="s">
        <v>3863</v>
      </c>
      <c r="D1781" t="s">
        <v>4729</v>
      </c>
      <c r="E1781" t="s">
        <v>4867</v>
      </c>
      <c r="F1781">
        <v>0</v>
      </c>
      <c r="G1781" t="s">
        <v>4879</v>
      </c>
      <c r="H1781" t="s">
        <v>4888</v>
      </c>
      <c r="I1781" t="s">
        <v>4896</v>
      </c>
      <c r="J1781" t="s">
        <v>4908</v>
      </c>
      <c r="K1781" t="s">
        <v>4932</v>
      </c>
      <c r="L1781" t="s">
        <v>4939</v>
      </c>
      <c r="M1781" t="s">
        <v>4942</v>
      </c>
      <c r="N1781" s="11">
        <v>256.94</v>
      </c>
      <c r="O1781" t="s">
        <v>4948</v>
      </c>
      <c r="P1781" t="s">
        <v>4951</v>
      </c>
      <c r="R1781">
        <v>14</v>
      </c>
      <c r="S1781" t="str">
        <f t="shared" si="82"/>
        <v>Child</v>
      </c>
      <c r="T1781" t="str">
        <f t="shared" si="83"/>
        <v>Low</v>
      </c>
      <c r="U1781" t="str">
        <f t="shared" si="84"/>
        <v>Short Days</v>
      </c>
    </row>
    <row r="1782" spans="1:21">
      <c r="A1782" t="s">
        <v>1798</v>
      </c>
      <c r="B1782" s="5">
        <v>45423</v>
      </c>
      <c r="C1782" t="s">
        <v>4205</v>
      </c>
      <c r="D1782" t="s">
        <v>4615</v>
      </c>
      <c r="E1782" t="s">
        <v>4867</v>
      </c>
      <c r="F1782">
        <v>11</v>
      </c>
      <c r="G1782" t="s">
        <v>4878</v>
      </c>
      <c r="H1782" t="s">
        <v>4889</v>
      </c>
      <c r="I1782" t="s">
        <v>4902</v>
      </c>
      <c r="J1782" t="s">
        <v>4916</v>
      </c>
      <c r="K1782" t="s">
        <v>4933</v>
      </c>
      <c r="L1782" t="s">
        <v>4938</v>
      </c>
      <c r="M1782" t="s">
        <v>4944</v>
      </c>
      <c r="N1782" s="11">
        <v>5918.62</v>
      </c>
      <c r="O1782" t="s">
        <v>4946</v>
      </c>
      <c r="P1782" t="s">
        <v>4951</v>
      </c>
      <c r="R1782">
        <v>90</v>
      </c>
      <c r="S1782" t="str">
        <f t="shared" si="82"/>
        <v>Child</v>
      </c>
      <c r="T1782" t="str">
        <f t="shared" si="83"/>
        <v>Medium</v>
      </c>
      <c r="U1782" t="str">
        <f t="shared" si="84"/>
        <v>Short Days</v>
      </c>
    </row>
    <row r="1783" spans="1:21">
      <c r="A1783" t="s">
        <v>1799</v>
      </c>
      <c r="B1783" s="5">
        <v>45459</v>
      </c>
      <c r="C1783" t="s">
        <v>4206</v>
      </c>
      <c r="D1783" t="s">
        <v>4802</v>
      </c>
      <c r="E1783" t="s">
        <v>4866</v>
      </c>
      <c r="F1783">
        <v>38</v>
      </c>
      <c r="G1783" t="s">
        <v>4882</v>
      </c>
      <c r="H1783" t="s">
        <v>4891</v>
      </c>
      <c r="I1783" t="s">
        <v>4895</v>
      </c>
      <c r="J1783" t="s">
        <v>4915</v>
      </c>
      <c r="K1783" t="s">
        <v>4927</v>
      </c>
      <c r="L1783" t="s">
        <v>4938</v>
      </c>
      <c r="M1783" t="s">
        <v>4942</v>
      </c>
      <c r="N1783" s="11">
        <v>392.01</v>
      </c>
      <c r="O1783" t="s">
        <v>4947</v>
      </c>
      <c r="P1783" t="s">
        <v>4951</v>
      </c>
      <c r="R1783">
        <v>30</v>
      </c>
      <c r="S1783" t="str">
        <f t="shared" si="82"/>
        <v>Adult</v>
      </c>
      <c r="T1783" t="str">
        <f t="shared" si="83"/>
        <v>Low</v>
      </c>
      <c r="U1783" t="str">
        <f t="shared" si="84"/>
        <v>Short Days</v>
      </c>
    </row>
    <row r="1784" spans="1:21">
      <c r="A1784" t="s">
        <v>1800</v>
      </c>
      <c r="B1784" s="5">
        <v>45650</v>
      </c>
      <c r="C1784" t="s">
        <v>4207</v>
      </c>
      <c r="D1784" t="s">
        <v>4862</v>
      </c>
      <c r="E1784" t="s">
        <v>4866</v>
      </c>
      <c r="F1784">
        <v>62</v>
      </c>
      <c r="G1784" t="s">
        <v>4871</v>
      </c>
      <c r="H1784" t="s">
        <v>4886</v>
      </c>
      <c r="I1784" t="s">
        <v>4895</v>
      </c>
      <c r="J1784" t="s">
        <v>4905</v>
      </c>
      <c r="K1784" t="s">
        <v>4929</v>
      </c>
      <c r="L1784" t="s">
        <v>4941</v>
      </c>
      <c r="M1784" t="s">
        <v>4944</v>
      </c>
      <c r="N1784" s="11">
        <v>9496.8799999999992</v>
      </c>
      <c r="O1784" t="s">
        <v>4950</v>
      </c>
      <c r="P1784" t="s">
        <v>4951</v>
      </c>
      <c r="S1784" t="str">
        <f t="shared" si="82"/>
        <v>Senior</v>
      </c>
      <c r="T1784" t="str">
        <f t="shared" si="83"/>
        <v>Medium</v>
      </c>
      <c r="U1784" t="str">
        <f t="shared" si="84"/>
        <v>Short Days</v>
      </c>
    </row>
    <row r="1785" spans="1:21">
      <c r="A1785" t="s">
        <v>1801</v>
      </c>
      <c r="B1785" s="5">
        <v>45673</v>
      </c>
      <c r="C1785" t="s">
        <v>3562</v>
      </c>
      <c r="D1785" t="s">
        <v>4766</v>
      </c>
      <c r="E1785" t="s">
        <v>4866</v>
      </c>
      <c r="F1785">
        <v>22</v>
      </c>
      <c r="G1785" t="s">
        <v>4875</v>
      </c>
      <c r="H1785" t="s">
        <v>4889</v>
      </c>
      <c r="I1785" t="s">
        <v>4893</v>
      </c>
      <c r="J1785" t="s">
        <v>4917</v>
      </c>
      <c r="K1785" t="s">
        <v>4925</v>
      </c>
      <c r="L1785" t="s">
        <v>4941</v>
      </c>
      <c r="M1785" t="s">
        <v>4942</v>
      </c>
      <c r="N1785" s="11">
        <v>8790.41</v>
      </c>
      <c r="O1785" t="s">
        <v>4950</v>
      </c>
      <c r="P1785" t="s">
        <v>4951</v>
      </c>
      <c r="R1785">
        <v>30</v>
      </c>
      <c r="S1785" t="str">
        <f t="shared" si="82"/>
        <v>Adult</v>
      </c>
      <c r="T1785" t="str">
        <f t="shared" si="83"/>
        <v>Medium</v>
      </c>
      <c r="U1785" t="str">
        <f t="shared" si="84"/>
        <v>Short Days</v>
      </c>
    </row>
    <row r="1786" spans="1:21">
      <c r="A1786" t="s">
        <v>1802</v>
      </c>
      <c r="B1786" s="5">
        <v>45909</v>
      </c>
      <c r="C1786" t="s">
        <v>4208</v>
      </c>
      <c r="D1786" t="s">
        <v>4724</v>
      </c>
      <c r="E1786" t="s">
        <v>4867</v>
      </c>
      <c r="F1786">
        <v>45</v>
      </c>
      <c r="G1786" t="s">
        <v>4869</v>
      </c>
      <c r="H1786" t="s">
        <v>4884</v>
      </c>
      <c r="I1786" t="s">
        <v>4893</v>
      </c>
      <c r="J1786" t="s">
        <v>4917</v>
      </c>
      <c r="K1786" t="s">
        <v>4928</v>
      </c>
      <c r="L1786" t="s">
        <v>4934</v>
      </c>
      <c r="M1786" t="s">
        <v>4942</v>
      </c>
      <c r="N1786" s="11">
        <v>4397.09</v>
      </c>
      <c r="O1786" t="s">
        <v>4949</v>
      </c>
      <c r="P1786" t="s">
        <v>4951</v>
      </c>
      <c r="S1786" t="str">
        <f t="shared" si="82"/>
        <v>Middle-Aged</v>
      </c>
      <c r="T1786" t="str">
        <f t="shared" si="83"/>
        <v>Low</v>
      </c>
      <c r="U1786" t="str">
        <f t="shared" si="84"/>
        <v>Short Days</v>
      </c>
    </row>
    <row r="1787" spans="1:21">
      <c r="A1787" t="s">
        <v>1803</v>
      </c>
      <c r="B1787" s="5">
        <v>45402</v>
      </c>
      <c r="C1787" t="s">
        <v>3157</v>
      </c>
      <c r="D1787" t="s">
        <v>4592</v>
      </c>
      <c r="E1787" t="s">
        <v>4867</v>
      </c>
      <c r="F1787">
        <v>15</v>
      </c>
      <c r="G1787" t="s">
        <v>4870</v>
      </c>
      <c r="H1787" t="s">
        <v>4885</v>
      </c>
      <c r="I1787" t="s">
        <v>4900</v>
      </c>
      <c r="J1787" t="s">
        <v>4919</v>
      </c>
      <c r="K1787" t="s">
        <v>4931</v>
      </c>
      <c r="L1787" t="s">
        <v>4937</v>
      </c>
      <c r="M1787" t="s">
        <v>4944</v>
      </c>
      <c r="N1787" s="11">
        <v>29449.91</v>
      </c>
      <c r="O1787" t="s">
        <v>4946</v>
      </c>
      <c r="P1787" t="s">
        <v>4951</v>
      </c>
      <c r="R1787">
        <v>14</v>
      </c>
      <c r="S1787" t="str">
        <f t="shared" si="82"/>
        <v>Child</v>
      </c>
      <c r="T1787" t="str">
        <f t="shared" si="83"/>
        <v>High</v>
      </c>
      <c r="U1787" t="str">
        <f t="shared" si="84"/>
        <v>Short Days</v>
      </c>
    </row>
    <row r="1788" spans="1:21">
      <c r="A1788" t="s">
        <v>1804</v>
      </c>
      <c r="B1788" s="5">
        <v>45906</v>
      </c>
      <c r="C1788" t="s">
        <v>3436</v>
      </c>
      <c r="D1788" t="s">
        <v>4773</v>
      </c>
      <c r="E1788" t="s">
        <v>4866</v>
      </c>
      <c r="F1788">
        <v>50</v>
      </c>
      <c r="G1788" t="s">
        <v>4882</v>
      </c>
      <c r="H1788" t="s">
        <v>4891</v>
      </c>
      <c r="I1788" t="s">
        <v>4893</v>
      </c>
      <c r="J1788" t="s">
        <v>4903</v>
      </c>
      <c r="K1788" t="s">
        <v>4926</v>
      </c>
      <c r="L1788" t="s">
        <v>4939</v>
      </c>
      <c r="M1788" t="s">
        <v>4943</v>
      </c>
      <c r="N1788" s="11">
        <v>15295.35</v>
      </c>
      <c r="O1788" t="s">
        <v>4946</v>
      </c>
      <c r="P1788" t="s">
        <v>4951</v>
      </c>
      <c r="S1788" t="str">
        <f t="shared" si="82"/>
        <v>Middle-Aged</v>
      </c>
      <c r="T1788" t="str">
        <f t="shared" si="83"/>
        <v>High</v>
      </c>
      <c r="U1788" t="str">
        <f t="shared" si="84"/>
        <v>Short Days</v>
      </c>
    </row>
    <row r="1789" spans="1:21">
      <c r="A1789" t="s">
        <v>1805</v>
      </c>
      <c r="B1789" s="5">
        <v>45591</v>
      </c>
      <c r="C1789" t="s">
        <v>3889</v>
      </c>
      <c r="D1789" t="s">
        <v>4764</v>
      </c>
      <c r="E1789" t="s">
        <v>4866</v>
      </c>
      <c r="F1789">
        <v>53</v>
      </c>
      <c r="G1789" t="s">
        <v>4872</v>
      </c>
      <c r="H1789" t="s">
        <v>4887</v>
      </c>
      <c r="I1789" t="s">
        <v>4895</v>
      </c>
      <c r="J1789" t="s">
        <v>4915</v>
      </c>
      <c r="K1789" t="s">
        <v>4928</v>
      </c>
      <c r="L1789" t="s">
        <v>4939</v>
      </c>
      <c r="M1789" t="s">
        <v>4942</v>
      </c>
      <c r="N1789" s="11">
        <v>195.56</v>
      </c>
      <c r="O1789" t="s">
        <v>4949</v>
      </c>
      <c r="P1789" t="s">
        <v>4951</v>
      </c>
      <c r="R1789">
        <v>30</v>
      </c>
      <c r="S1789" t="str">
        <f t="shared" si="82"/>
        <v>Middle-Aged</v>
      </c>
      <c r="T1789" t="str">
        <f t="shared" si="83"/>
        <v>Low</v>
      </c>
      <c r="U1789" t="str">
        <f t="shared" si="84"/>
        <v>Short Days</v>
      </c>
    </row>
    <row r="1790" spans="1:21">
      <c r="A1790" t="s">
        <v>1806</v>
      </c>
      <c r="B1790" s="5">
        <v>45370</v>
      </c>
      <c r="C1790" t="s">
        <v>3161</v>
      </c>
      <c r="D1790" t="s">
        <v>4709</v>
      </c>
      <c r="E1790" t="s">
        <v>4867</v>
      </c>
      <c r="F1790">
        <v>21</v>
      </c>
      <c r="G1790" t="s">
        <v>4872</v>
      </c>
      <c r="H1790" t="s">
        <v>4887</v>
      </c>
      <c r="I1790" t="s">
        <v>4895</v>
      </c>
      <c r="J1790" t="s">
        <v>4915</v>
      </c>
      <c r="K1790" t="s">
        <v>4932</v>
      </c>
      <c r="L1790" t="s">
        <v>4938</v>
      </c>
      <c r="M1790" t="s">
        <v>4943</v>
      </c>
      <c r="N1790" s="11">
        <v>5933.06</v>
      </c>
      <c r="O1790" t="s">
        <v>4949</v>
      </c>
      <c r="P1790" t="s">
        <v>4951</v>
      </c>
      <c r="R1790">
        <v>7</v>
      </c>
      <c r="S1790" t="str">
        <f t="shared" si="82"/>
        <v>Adult</v>
      </c>
      <c r="T1790" t="str">
        <f t="shared" si="83"/>
        <v>Medium</v>
      </c>
      <c r="U1790" t="str">
        <f t="shared" si="84"/>
        <v>Short Days</v>
      </c>
    </row>
    <row r="1791" spans="1:21">
      <c r="A1791" t="s">
        <v>1807</v>
      </c>
      <c r="B1791" s="5">
        <v>45860</v>
      </c>
      <c r="C1791" t="s">
        <v>3378</v>
      </c>
      <c r="D1791" t="s">
        <v>4664</v>
      </c>
      <c r="E1791" t="s">
        <v>4866</v>
      </c>
      <c r="F1791">
        <v>41</v>
      </c>
      <c r="G1791" t="s">
        <v>4872</v>
      </c>
      <c r="H1791" t="s">
        <v>4887</v>
      </c>
      <c r="I1791" t="s">
        <v>4893</v>
      </c>
      <c r="J1791" t="s">
        <v>4917</v>
      </c>
      <c r="K1791" t="s">
        <v>4932</v>
      </c>
      <c r="L1791" t="s">
        <v>4939</v>
      </c>
      <c r="M1791" t="s">
        <v>4942</v>
      </c>
      <c r="N1791" s="11">
        <v>8862.1299999999992</v>
      </c>
      <c r="O1791" t="s">
        <v>4949</v>
      </c>
      <c r="P1791" t="s">
        <v>4951</v>
      </c>
      <c r="R1791">
        <v>7</v>
      </c>
      <c r="S1791" t="str">
        <f t="shared" si="82"/>
        <v>Middle-Aged</v>
      </c>
      <c r="T1791" t="str">
        <f t="shared" si="83"/>
        <v>Medium</v>
      </c>
      <c r="U1791" t="str">
        <f t="shared" si="84"/>
        <v>Short Days</v>
      </c>
    </row>
    <row r="1792" spans="1:21">
      <c r="A1792" t="s">
        <v>1808</v>
      </c>
      <c r="B1792" s="5">
        <v>45335</v>
      </c>
      <c r="C1792" t="s">
        <v>3299</v>
      </c>
      <c r="D1792" t="s">
        <v>4644</v>
      </c>
      <c r="E1792" t="s">
        <v>4867</v>
      </c>
      <c r="F1792">
        <v>15</v>
      </c>
      <c r="G1792" t="s">
        <v>4879</v>
      </c>
      <c r="H1792" t="s">
        <v>4888</v>
      </c>
      <c r="I1792" t="s">
        <v>4896</v>
      </c>
      <c r="J1792" t="s">
        <v>4908</v>
      </c>
      <c r="K1792" t="s">
        <v>4931</v>
      </c>
      <c r="L1792" t="s">
        <v>4941</v>
      </c>
      <c r="M1792" t="s">
        <v>4942</v>
      </c>
      <c r="N1792" s="11">
        <v>9961.7800000000007</v>
      </c>
      <c r="O1792" t="s">
        <v>4948</v>
      </c>
      <c r="P1792" t="s">
        <v>4951</v>
      </c>
      <c r="R1792">
        <v>7</v>
      </c>
      <c r="S1792" t="str">
        <f t="shared" si="82"/>
        <v>Child</v>
      </c>
      <c r="T1792" t="str">
        <f t="shared" si="83"/>
        <v>Medium</v>
      </c>
      <c r="U1792" t="str">
        <f t="shared" si="84"/>
        <v>Short Days</v>
      </c>
    </row>
    <row r="1793" spans="1:21">
      <c r="A1793" t="s">
        <v>1809</v>
      </c>
      <c r="B1793" s="5">
        <v>45495</v>
      </c>
      <c r="C1793" t="s">
        <v>3068</v>
      </c>
      <c r="D1793" t="s">
        <v>4762</v>
      </c>
      <c r="E1793" t="s">
        <v>4866</v>
      </c>
      <c r="F1793">
        <v>37</v>
      </c>
      <c r="G1793" t="s">
        <v>4881</v>
      </c>
      <c r="H1793" t="s">
        <v>4881</v>
      </c>
      <c r="I1793" t="s">
        <v>4895</v>
      </c>
      <c r="J1793" t="s">
        <v>4915</v>
      </c>
      <c r="K1793" t="s">
        <v>4930</v>
      </c>
      <c r="L1793" t="s">
        <v>4935</v>
      </c>
      <c r="M1793" t="s">
        <v>4942</v>
      </c>
      <c r="N1793" s="11">
        <v>11909.11</v>
      </c>
      <c r="O1793" t="s">
        <v>4948</v>
      </c>
      <c r="P1793" t="s">
        <v>4951</v>
      </c>
      <c r="R1793">
        <v>30</v>
      </c>
      <c r="S1793" t="str">
        <f t="shared" si="82"/>
        <v>Adult</v>
      </c>
      <c r="T1793" t="str">
        <f t="shared" si="83"/>
        <v>High</v>
      </c>
      <c r="U1793" t="str">
        <f t="shared" si="84"/>
        <v>Short Days</v>
      </c>
    </row>
    <row r="1794" spans="1:21">
      <c r="A1794" t="s">
        <v>1810</v>
      </c>
      <c r="B1794" s="5">
        <v>45470</v>
      </c>
      <c r="C1794" t="s">
        <v>4209</v>
      </c>
      <c r="D1794" t="s">
        <v>4642</v>
      </c>
      <c r="E1794" t="s">
        <v>4866</v>
      </c>
      <c r="F1794">
        <v>54</v>
      </c>
      <c r="G1794" t="s">
        <v>4879</v>
      </c>
      <c r="H1794" t="s">
        <v>4888</v>
      </c>
      <c r="I1794" t="s">
        <v>4893</v>
      </c>
      <c r="J1794" t="s">
        <v>4903</v>
      </c>
      <c r="K1794" t="s">
        <v>4926</v>
      </c>
      <c r="L1794" t="s">
        <v>4935</v>
      </c>
      <c r="M1794" t="s">
        <v>4943</v>
      </c>
      <c r="N1794" s="11">
        <v>19342.650000000001</v>
      </c>
      <c r="O1794" t="s">
        <v>4947</v>
      </c>
      <c r="P1794" t="s">
        <v>4951</v>
      </c>
      <c r="R1794">
        <v>14</v>
      </c>
      <c r="S1794" t="str">
        <f t="shared" si="82"/>
        <v>Middle-Aged</v>
      </c>
      <c r="T1794" t="str">
        <f t="shared" si="83"/>
        <v>High</v>
      </c>
      <c r="U1794" t="str">
        <f t="shared" si="84"/>
        <v>Short Days</v>
      </c>
    </row>
    <row r="1795" spans="1:21">
      <c r="A1795" t="s">
        <v>1811</v>
      </c>
      <c r="B1795" s="5">
        <v>45420</v>
      </c>
      <c r="C1795" t="s">
        <v>4210</v>
      </c>
      <c r="D1795" t="s">
        <v>4647</v>
      </c>
      <c r="E1795" t="s">
        <v>4866</v>
      </c>
      <c r="F1795">
        <v>19</v>
      </c>
      <c r="G1795" t="s">
        <v>4872</v>
      </c>
      <c r="H1795" t="s">
        <v>4887</v>
      </c>
      <c r="I1795" t="s">
        <v>4897</v>
      </c>
      <c r="J1795" t="s">
        <v>4922</v>
      </c>
      <c r="K1795" t="s">
        <v>4924</v>
      </c>
      <c r="L1795" t="s">
        <v>4939</v>
      </c>
      <c r="M1795" t="s">
        <v>4942</v>
      </c>
      <c r="N1795" s="11">
        <v>5511.7</v>
      </c>
      <c r="O1795" t="s">
        <v>4946</v>
      </c>
      <c r="P1795" t="s">
        <v>4951</v>
      </c>
      <c r="R1795">
        <v>30</v>
      </c>
      <c r="S1795" t="str">
        <f t="shared" ref="S1795:S1858" si="85">IF(F1795&lt;18,"Child",IF(F1795&lt;=40,"Adult",IF(F1795&lt;=60,"Middle-Aged",IF(F1795,"Senior"))))</f>
        <v>Adult</v>
      </c>
      <c r="T1795" t="str">
        <f t="shared" ref="T1795:T1858" si="86">IF(N1795&lt;=5000,"Low",IF(N1795&lt;=10000,"Medium","High"))</f>
        <v>Medium</v>
      </c>
      <c r="U1795" t="str">
        <f t="shared" ref="U1795:U1858" si="87">IF(Q1795&lt;=5,"Short Days","Long Days")</f>
        <v>Short Days</v>
      </c>
    </row>
    <row r="1796" spans="1:21">
      <c r="A1796" t="s">
        <v>1812</v>
      </c>
      <c r="B1796" s="5">
        <v>45399</v>
      </c>
      <c r="C1796" t="s">
        <v>3806</v>
      </c>
      <c r="D1796" t="s">
        <v>4713</v>
      </c>
      <c r="E1796" t="s">
        <v>4867</v>
      </c>
      <c r="F1796">
        <v>48</v>
      </c>
      <c r="G1796" t="s">
        <v>4876</v>
      </c>
      <c r="H1796" t="s">
        <v>4888</v>
      </c>
      <c r="I1796" t="s">
        <v>4894</v>
      </c>
      <c r="J1796" t="s">
        <v>4904</v>
      </c>
      <c r="K1796" t="s">
        <v>4933</v>
      </c>
      <c r="L1796" t="s">
        <v>4937</v>
      </c>
      <c r="M1796" t="s">
        <v>4942</v>
      </c>
      <c r="N1796" s="11">
        <v>1352.89</v>
      </c>
      <c r="O1796" t="s">
        <v>4946</v>
      </c>
      <c r="P1796" t="s">
        <v>4951</v>
      </c>
      <c r="R1796">
        <v>90</v>
      </c>
      <c r="S1796" t="str">
        <f t="shared" si="85"/>
        <v>Middle-Aged</v>
      </c>
      <c r="T1796" t="str">
        <f t="shared" si="86"/>
        <v>Low</v>
      </c>
      <c r="U1796" t="str">
        <f t="shared" si="87"/>
        <v>Short Days</v>
      </c>
    </row>
    <row r="1797" spans="1:21">
      <c r="A1797" t="s">
        <v>1813</v>
      </c>
      <c r="B1797" s="5">
        <v>45729</v>
      </c>
      <c r="C1797" t="s">
        <v>4211</v>
      </c>
      <c r="D1797" t="s">
        <v>4661</v>
      </c>
      <c r="E1797" t="s">
        <v>4867</v>
      </c>
      <c r="F1797">
        <v>52</v>
      </c>
      <c r="G1797" t="s">
        <v>4877</v>
      </c>
      <c r="H1797" t="s">
        <v>4888</v>
      </c>
      <c r="I1797" t="s">
        <v>4894</v>
      </c>
      <c r="J1797" t="s">
        <v>4910</v>
      </c>
      <c r="K1797" t="s">
        <v>4929</v>
      </c>
      <c r="L1797" t="s">
        <v>4937</v>
      </c>
      <c r="M1797" t="s">
        <v>4942</v>
      </c>
      <c r="N1797" s="11">
        <v>23737.61</v>
      </c>
      <c r="O1797" t="s">
        <v>4949</v>
      </c>
      <c r="P1797" t="s">
        <v>4951</v>
      </c>
      <c r="R1797">
        <v>90</v>
      </c>
      <c r="S1797" t="str">
        <f t="shared" si="85"/>
        <v>Middle-Aged</v>
      </c>
      <c r="T1797" t="str">
        <f t="shared" si="86"/>
        <v>High</v>
      </c>
      <c r="U1797" t="str">
        <f t="shared" si="87"/>
        <v>Short Days</v>
      </c>
    </row>
    <row r="1798" spans="1:21">
      <c r="A1798" t="s">
        <v>1814</v>
      </c>
      <c r="B1798" s="5">
        <v>45780</v>
      </c>
      <c r="C1798" t="s">
        <v>3999</v>
      </c>
      <c r="D1798" t="s">
        <v>4793</v>
      </c>
      <c r="E1798" t="s">
        <v>4867</v>
      </c>
      <c r="F1798">
        <v>44</v>
      </c>
      <c r="G1798" t="s">
        <v>4881</v>
      </c>
      <c r="H1798" t="s">
        <v>4881</v>
      </c>
      <c r="I1798" t="s">
        <v>4901</v>
      </c>
      <c r="J1798" t="s">
        <v>4914</v>
      </c>
      <c r="K1798" t="s">
        <v>4931</v>
      </c>
      <c r="L1798" t="s">
        <v>4936</v>
      </c>
      <c r="M1798" t="s">
        <v>4944</v>
      </c>
      <c r="N1798" s="11">
        <v>5012.28</v>
      </c>
      <c r="O1798" t="s">
        <v>4946</v>
      </c>
      <c r="P1798" t="s">
        <v>4951</v>
      </c>
      <c r="R1798">
        <v>7</v>
      </c>
      <c r="S1798" t="str">
        <f t="shared" si="85"/>
        <v>Middle-Aged</v>
      </c>
      <c r="T1798" t="str">
        <f t="shared" si="86"/>
        <v>Medium</v>
      </c>
      <c r="U1798" t="str">
        <f t="shared" si="87"/>
        <v>Short Days</v>
      </c>
    </row>
    <row r="1799" spans="1:21">
      <c r="A1799" t="s">
        <v>1815</v>
      </c>
      <c r="B1799" s="5">
        <v>45417</v>
      </c>
      <c r="C1799" t="s">
        <v>4212</v>
      </c>
      <c r="D1799" t="s">
        <v>4661</v>
      </c>
      <c r="E1799" t="s">
        <v>4866</v>
      </c>
      <c r="F1799">
        <v>53</v>
      </c>
      <c r="G1799" t="s">
        <v>4873</v>
      </c>
      <c r="H1799" t="s">
        <v>4888</v>
      </c>
      <c r="I1799" t="s">
        <v>4901</v>
      </c>
      <c r="J1799" t="s">
        <v>4921</v>
      </c>
      <c r="K1799" t="s">
        <v>4927</v>
      </c>
      <c r="L1799" t="s">
        <v>4940</v>
      </c>
      <c r="M1799" t="s">
        <v>4944</v>
      </c>
      <c r="N1799" s="11">
        <v>5678.94</v>
      </c>
      <c r="O1799" t="s">
        <v>15</v>
      </c>
      <c r="P1799" t="s">
        <v>4952</v>
      </c>
      <c r="R1799">
        <v>30</v>
      </c>
      <c r="S1799" t="str">
        <f t="shared" si="85"/>
        <v>Middle-Aged</v>
      </c>
      <c r="T1799" t="str">
        <f t="shared" si="86"/>
        <v>Medium</v>
      </c>
      <c r="U1799" t="str">
        <f t="shared" si="87"/>
        <v>Short Days</v>
      </c>
    </row>
    <row r="1800" spans="1:21">
      <c r="A1800" t="s">
        <v>1816</v>
      </c>
      <c r="B1800" s="5">
        <v>45635</v>
      </c>
      <c r="C1800" t="s">
        <v>4213</v>
      </c>
      <c r="D1800" t="s">
        <v>4718</v>
      </c>
      <c r="E1800" t="s">
        <v>4866</v>
      </c>
      <c r="F1800">
        <v>48</v>
      </c>
      <c r="G1800" t="s">
        <v>4881</v>
      </c>
      <c r="H1800" t="s">
        <v>4881</v>
      </c>
      <c r="I1800" t="s">
        <v>4900</v>
      </c>
      <c r="J1800" t="s">
        <v>4919</v>
      </c>
      <c r="K1800" t="s">
        <v>4925</v>
      </c>
      <c r="L1800" t="s">
        <v>4936</v>
      </c>
      <c r="M1800" t="s">
        <v>4942</v>
      </c>
      <c r="N1800" s="11">
        <v>1849.85</v>
      </c>
      <c r="O1800" t="s">
        <v>4948</v>
      </c>
      <c r="P1800" t="s">
        <v>4951</v>
      </c>
      <c r="S1800" t="str">
        <f t="shared" si="85"/>
        <v>Middle-Aged</v>
      </c>
      <c r="T1800" t="str">
        <f t="shared" si="86"/>
        <v>Low</v>
      </c>
      <c r="U1800" t="str">
        <f t="shared" si="87"/>
        <v>Short Days</v>
      </c>
    </row>
    <row r="1801" spans="1:21">
      <c r="A1801" t="s">
        <v>1817</v>
      </c>
      <c r="B1801" s="5">
        <v>45953</v>
      </c>
      <c r="C1801" t="s">
        <v>4214</v>
      </c>
      <c r="D1801" t="s">
        <v>4849</v>
      </c>
      <c r="E1801" t="s">
        <v>4866</v>
      </c>
      <c r="F1801">
        <v>19</v>
      </c>
      <c r="G1801" t="s">
        <v>4874</v>
      </c>
      <c r="H1801" t="s">
        <v>4886</v>
      </c>
      <c r="I1801" t="s">
        <v>4900</v>
      </c>
      <c r="J1801" t="s">
        <v>4913</v>
      </c>
      <c r="K1801" t="s">
        <v>4929</v>
      </c>
      <c r="L1801" t="s">
        <v>4935</v>
      </c>
      <c r="M1801" t="s">
        <v>4945</v>
      </c>
      <c r="N1801" s="11">
        <v>6358.29</v>
      </c>
      <c r="O1801" t="s">
        <v>4946</v>
      </c>
      <c r="P1801" t="s">
        <v>4951</v>
      </c>
      <c r="Q1801">
        <v>9</v>
      </c>
      <c r="S1801" t="str">
        <f t="shared" si="85"/>
        <v>Adult</v>
      </c>
      <c r="T1801" t="str">
        <f t="shared" si="86"/>
        <v>Medium</v>
      </c>
      <c r="U1801" t="str">
        <f t="shared" si="87"/>
        <v>Long Days</v>
      </c>
    </row>
    <row r="1802" spans="1:21">
      <c r="A1802" t="s">
        <v>1818</v>
      </c>
      <c r="B1802" s="5">
        <v>45487</v>
      </c>
      <c r="C1802" t="s">
        <v>3411</v>
      </c>
      <c r="D1802" t="s">
        <v>4696</v>
      </c>
      <c r="E1802" t="s">
        <v>4867</v>
      </c>
      <c r="F1802">
        <v>58</v>
      </c>
      <c r="G1802" t="s">
        <v>4876</v>
      </c>
      <c r="H1802" t="s">
        <v>4888</v>
      </c>
      <c r="I1802" t="s">
        <v>4895</v>
      </c>
      <c r="J1802" t="s">
        <v>4905</v>
      </c>
      <c r="K1802" t="s">
        <v>4930</v>
      </c>
      <c r="L1802" t="s">
        <v>4936</v>
      </c>
      <c r="M1802" t="s">
        <v>4942</v>
      </c>
      <c r="N1802" s="11">
        <v>8445.5300000000007</v>
      </c>
      <c r="O1802" t="s">
        <v>4950</v>
      </c>
      <c r="P1802" t="s">
        <v>4951</v>
      </c>
      <c r="S1802" t="str">
        <f t="shared" si="85"/>
        <v>Middle-Aged</v>
      </c>
      <c r="T1802" t="str">
        <f t="shared" si="86"/>
        <v>Medium</v>
      </c>
      <c r="U1802" t="str">
        <f t="shared" si="87"/>
        <v>Short Days</v>
      </c>
    </row>
    <row r="1803" spans="1:21">
      <c r="A1803" t="s">
        <v>1819</v>
      </c>
      <c r="B1803" s="5">
        <v>45789</v>
      </c>
      <c r="C1803" t="s">
        <v>4215</v>
      </c>
      <c r="D1803" t="s">
        <v>4603</v>
      </c>
      <c r="E1803" t="s">
        <v>4867</v>
      </c>
      <c r="F1803">
        <v>50</v>
      </c>
      <c r="G1803" t="s">
        <v>4883</v>
      </c>
      <c r="H1803" t="s">
        <v>4892</v>
      </c>
      <c r="I1803" t="s">
        <v>4895</v>
      </c>
      <c r="J1803" t="s">
        <v>4905</v>
      </c>
      <c r="K1803" t="s">
        <v>4925</v>
      </c>
      <c r="L1803" t="s">
        <v>4941</v>
      </c>
      <c r="M1803" t="s">
        <v>4945</v>
      </c>
      <c r="N1803" s="11">
        <v>6983.44</v>
      </c>
      <c r="O1803" t="s">
        <v>4947</v>
      </c>
      <c r="P1803" t="s">
        <v>4951</v>
      </c>
      <c r="Q1803">
        <v>7</v>
      </c>
      <c r="R1803">
        <v>30</v>
      </c>
      <c r="S1803" t="str">
        <f t="shared" si="85"/>
        <v>Middle-Aged</v>
      </c>
      <c r="T1803" t="str">
        <f t="shared" si="86"/>
        <v>Medium</v>
      </c>
      <c r="U1803" t="str">
        <f t="shared" si="87"/>
        <v>Long Days</v>
      </c>
    </row>
    <row r="1804" spans="1:21">
      <c r="A1804" t="s">
        <v>1820</v>
      </c>
      <c r="B1804" s="5">
        <v>45468</v>
      </c>
      <c r="C1804" t="s">
        <v>4034</v>
      </c>
      <c r="D1804" t="s">
        <v>4789</v>
      </c>
      <c r="E1804" t="s">
        <v>4868</v>
      </c>
      <c r="F1804">
        <v>52</v>
      </c>
      <c r="G1804" t="s">
        <v>4877</v>
      </c>
      <c r="H1804" t="s">
        <v>4888</v>
      </c>
      <c r="I1804" t="s">
        <v>4897</v>
      </c>
      <c r="J1804" t="s">
        <v>4907</v>
      </c>
      <c r="K1804" t="s">
        <v>4926</v>
      </c>
      <c r="L1804" t="s">
        <v>4936</v>
      </c>
      <c r="M1804" t="s">
        <v>4944</v>
      </c>
      <c r="N1804" s="11">
        <v>5031.6499999999996</v>
      </c>
      <c r="O1804" t="s">
        <v>4946</v>
      </c>
      <c r="P1804" t="s">
        <v>4951</v>
      </c>
      <c r="R1804">
        <v>14</v>
      </c>
      <c r="S1804" t="str">
        <f t="shared" si="85"/>
        <v>Middle-Aged</v>
      </c>
      <c r="T1804" t="str">
        <f t="shared" si="86"/>
        <v>Medium</v>
      </c>
      <c r="U1804" t="str">
        <f t="shared" si="87"/>
        <v>Short Days</v>
      </c>
    </row>
    <row r="1805" spans="1:21">
      <c r="A1805" t="s">
        <v>1821</v>
      </c>
      <c r="B1805" s="5">
        <v>45433</v>
      </c>
      <c r="C1805" t="s">
        <v>3992</v>
      </c>
      <c r="D1805" t="s">
        <v>4862</v>
      </c>
      <c r="E1805" t="s">
        <v>4866</v>
      </c>
      <c r="F1805">
        <v>36</v>
      </c>
      <c r="G1805" t="s">
        <v>4871</v>
      </c>
      <c r="H1805" t="s">
        <v>4886</v>
      </c>
      <c r="I1805" t="s">
        <v>4896</v>
      </c>
      <c r="J1805" t="s">
        <v>4906</v>
      </c>
      <c r="K1805" t="s">
        <v>4928</v>
      </c>
      <c r="L1805" t="s">
        <v>4937</v>
      </c>
      <c r="M1805" t="s">
        <v>4942</v>
      </c>
      <c r="N1805" s="11">
        <v>11192.47</v>
      </c>
      <c r="O1805" t="s">
        <v>4948</v>
      </c>
      <c r="P1805" t="s">
        <v>4951</v>
      </c>
      <c r="R1805">
        <v>90</v>
      </c>
      <c r="S1805" t="str">
        <f t="shared" si="85"/>
        <v>Adult</v>
      </c>
      <c r="T1805" t="str">
        <f t="shared" si="86"/>
        <v>High</v>
      </c>
      <c r="U1805" t="str">
        <f t="shared" si="87"/>
        <v>Short Days</v>
      </c>
    </row>
    <row r="1806" spans="1:21">
      <c r="A1806" t="s">
        <v>1822</v>
      </c>
      <c r="B1806" s="5">
        <v>45316</v>
      </c>
      <c r="C1806" t="s">
        <v>3241</v>
      </c>
      <c r="D1806" t="s">
        <v>4675</v>
      </c>
      <c r="E1806" t="s">
        <v>4867</v>
      </c>
      <c r="F1806">
        <v>14</v>
      </c>
      <c r="G1806" t="s">
        <v>4878</v>
      </c>
      <c r="H1806" t="s">
        <v>4889</v>
      </c>
      <c r="I1806" t="s">
        <v>4895</v>
      </c>
      <c r="J1806" t="s">
        <v>4915</v>
      </c>
      <c r="K1806" t="s">
        <v>4925</v>
      </c>
      <c r="L1806" t="s">
        <v>4935</v>
      </c>
      <c r="M1806" t="s">
        <v>4943</v>
      </c>
      <c r="N1806" s="11">
        <v>11588.55</v>
      </c>
      <c r="O1806" t="s">
        <v>4947</v>
      </c>
      <c r="P1806" t="s">
        <v>4951</v>
      </c>
      <c r="S1806" t="str">
        <f t="shared" si="85"/>
        <v>Child</v>
      </c>
      <c r="T1806" t="str">
        <f t="shared" si="86"/>
        <v>High</v>
      </c>
      <c r="U1806" t="str">
        <f t="shared" si="87"/>
        <v>Short Days</v>
      </c>
    </row>
    <row r="1807" spans="1:21">
      <c r="A1807" t="s">
        <v>1823</v>
      </c>
      <c r="B1807" s="5">
        <v>45485</v>
      </c>
      <c r="C1807" t="s">
        <v>3629</v>
      </c>
      <c r="D1807" t="s">
        <v>4741</v>
      </c>
      <c r="E1807" t="s">
        <v>4866</v>
      </c>
      <c r="F1807">
        <v>66</v>
      </c>
      <c r="G1807" t="s">
        <v>4879</v>
      </c>
      <c r="H1807" t="s">
        <v>4888</v>
      </c>
      <c r="I1807" t="s">
        <v>4900</v>
      </c>
      <c r="J1807" t="s">
        <v>4919</v>
      </c>
      <c r="K1807" t="s">
        <v>4927</v>
      </c>
      <c r="L1807" t="s">
        <v>4938</v>
      </c>
      <c r="M1807" t="s">
        <v>4942</v>
      </c>
      <c r="N1807" s="11">
        <v>1138.3599999999999</v>
      </c>
      <c r="O1807" t="s">
        <v>15</v>
      </c>
      <c r="P1807" t="s">
        <v>4952</v>
      </c>
      <c r="S1807" t="str">
        <f t="shared" si="85"/>
        <v>Senior</v>
      </c>
      <c r="T1807" t="str">
        <f t="shared" si="86"/>
        <v>Low</v>
      </c>
      <c r="U1807" t="str">
        <f t="shared" si="87"/>
        <v>Short Days</v>
      </c>
    </row>
    <row r="1808" spans="1:21">
      <c r="A1808" t="s">
        <v>1824</v>
      </c>
      <c r="B1808" s="5">
        <v>45816</v>
      </c>
      <c r="C1808" t="s">
        <v>4052</v>
      </c>
      <c r="D1808" t="s">
        <v>4658</v>
      </c>
      <c r="E1808" t="s">
        <v>4866</v>
      </c>
      <c r="F1808">
        <v>28</v>
      </c>
      <c r="G1808" t="s">
        <v>4872</v>
      </c>
      <c r="H1808" t="s">
        <v>4887</v>
      </c>
      <c r="I1808" t="s">
        <v>4894</v>
      </c>
      <c r="J1808" t="s">
        <v>4904</v>
      </c>
      <c r="K1808" t="s">
        <v>4928</v>
      </c>
      <c r="L1808" t="s">
        <v>4938</v>
      </c>
      <c r="M1808" t="s">
        <v>4942</v>
      </c>
      <c r="N1808" s="11">
        <v>10368.530000000001</v>
      </c>
      <c r="O1808" t="s">
        <v>15</v>
      </c>
      <c r="P1808" t="s">
        <v>4952</v>
      </c>
      <c r="S1808" t="str">
        <f t="shared" si="85"/>
        <v>Adult</v>
      </c>
      <c r="T1808" t="str">
        <f t="shared" si="86"/>
        <v>High</v>
      </c>
      <c r="U1808" t="str">
        <f t="shared" si="87"/>
        <v>Short Days</v>
      </c>
    </row>
    <row r="1809" spans="1:21">
      <c r="A1809" t="s">
        <v>1825</v>
      </c>
      <c r="B1809" s="5">
        <v>45599</v>
      </c>
      <c r="C1809" t="s">
        <v>4216</v>
      </c>
      <c r="D1809" t="s">
        <v>4612</v>
      </c>
      <c r="E1809" t="s">
        <v>4866</v>
      </c>
      <c r="F1809">
        <v>27</v>
      </c>
      <c r="G1809" t="s">
        <v>4876</v>
      </c>
      <c r="H1809" t="s">
        <v>4888</v>
      </c>
      <c r="I1809" t="s">
        <v>4896</v>
      </c>
      <c r="J1809" t="s">
        <v>4906</v>
      </c>
      <c r="K1809" t="s">
        <v>4930</v>
      </c>
      <c r="L1809" t="s">
        <v>4937</v>
      </c>
      <c r="M1809" t="s">
        <v>4942</v>
      </c>
      <c r="N1809" s="11">
        <v>9096.02</v>
      </c>
      <c r="O1809" t="s">
        <v>4948</v>
      </c>
      <c r="P1809" t="s">
        <v>4951</v>
      </c>
      <c r="R1809">
        <v>30</v>
      </c>
      <c r="S1809" t="str">
        <f t="shared" si="85"/>
        <v>Adult</v>
      </c>
      <c r="T1809" t="str">
        <f t="shared" si="86"/>
        <v>Medium</v>
      </c>
      <c r="U1809" t="str">
        <f t="shared" si="87"/>
        <v>Short Days</v>
      </c>
    </row>
    <row r="1810" spans="1:21">
      <c r="A1810" t="s">
        <v>1826</v>
      </c>
      <c r="B1810" s="5">
        <v>45401</v>
      </c>
      <c r="C1810" t="s">
        <v>4217</v>
      </c>
      <c r="D1810" t="s">
        <v>4751</v>
      </c>
      <c r="E1810" t="s">
        <v>4867</v>
      </c>
      <c r="F1810">
        <v>55</v>
      </c>
      <c r="G1810" t="s">
        <v>4879</v>
      </c>
      <c r="H1810" t="s">
        <v>4888</v>
      </c>
      <c r="I1810" t="s">
        <v>4898</v>
      </c>
      <c r="J1810" t="s">
        <v>4918</v>
      </c>
      <c r="K1810" t="s">
        <v>4924</v>
      </c>
      <c r="L1810" t="s">
        <v>4938</v>
      </c>
      <c r="M1810" t="s">
        <v>4944</v>
      </c>
      <c r="N1810" s="11">
        <v>5149.8500000000004</v>
      </c>
      <c r="O1810" t="s">
        <v>15</v>
      </c>
      <c r="P1810" t="s">
        <v>4952</v>
      </c>
      <c r="S1810" t="str">
        <f t="shared" si="85"/>
        <v>Middle-Aged</v>
      </c>
      <c r="T1810" t="str">
        <f t="shared" si="86"/>
        <v>Medium</v>
      </c>
      <c r="U1810" t="str">
        <f t="shared" si="87"/>
        <v>Short Days</v>
      </c>
    </row>
    <row r="1811" spans="1:21">
      <c r="A1811" t="s">
        <v>1827</v>
      </c>
      <c r="B1811" s="5">
        <v>45578</v>
      </c>
      <c r="C1811" t="s">
        <v>4218</v>
      </c>
      <c r="D1811" t="s">
        <v>4757</v>
      </c>
      <c r="E1811" t="s">
        <v>4867</v>
      </c>
      <c r="F1811">
        <v>29</v>
      </c>
      <c r="G1811" t="s">
        <v>4881</v>
      </c>
      <c r="H1811" t="s">
        <v>4881</v>
      </c>
      <c r="I1811" t="s">
        <v>4901</v>
      </c>
      <c r="J1811" t="s">
        <v>4914</v>
      </c>
      <c r="K1811" t="s">
        <v>4926</v>
      </c>
      <c r="L1811" t="s">
        <v>4934</v>
      </c>
      <c r="M1811" t="s">
        <v>4945</v>
      </c>
      <c r="N1811" s="11">
        <v>10832.93</v>
      </c>
      <c r="O1811" t="s">
        <v>4946</v>
      </c>
      <c r="P1811" t="s">
        <v>4951</v>
      </c>
      <c r="Q1811">
        <v>3</v>
      </c>
      <c r="R1811">
        <v>30</v>
      </c>
      <c r="S1811" t="str">
        <f t="shared" si="85"/>
        <v>Adult</v>
      </c>
      <c r="T1811" t="str">
        <f t="shared" si="86"/>
        <v>High</v>
      </c>
      <c r="U1811" t="str">
        <f t="shared" si="87"/>
        <v>Short Days</v>
      </c>
    </row>
    <row r="1812" spans="1:21">
      <c r="A1812" t="s">
        <v>1828</v>
      </c>
      <c r="B1812" s="5">
        <v>45887</v>
      </c>
      <c r="C1812" t="s">
        <v>3482</v>
      </c>
      <c r="D1812" t="s">
        <v>4643</v>
      </c>
      <c r="E1812" t="s">
        <v>4866</v>
      </c>
      <c r="F1812">
        <v>26</v>
      </c>
      <c r="G1812" t="s">
        <v>4879</v>
      </c>
      <c r="H1812" t="s">
        <v>4888</v>
      </c>
      <c r="I1812" t="s">
        <v>4893</v>
      </c>
      <c r="J1812" t="s">
        <v>4917</v>
      </c>
      <c r="K1812" t="s">
        <v>4924</v>
      </c>
      <c r="L1812" t="s">
        <v>4935</v>
      </c>
      <c r="M1812" t="s">
        <v>4943</v>
      </c>
      <c r="N1812" s="11">
        <v>5922.11</v>
      </c>
      <c r="O1812" t="s">
        <v>4949</v>
      </c>
      <c r="P1812" t="s">
        <v>4951</v>
      </c>
      <c r="R1812">
        <v>30</v>
      </c>
      <c r="S1812" t="str">
        <f t="shared" si="85"/>
        <v>Adult</v>
      </c>
      <c r="T1812" t="str">
        <f t="shared" si="86"/>
        <v>Medium</v>
      </c>
      <c r="U1812" t="str">
        <f t="shared" si="87"/>
        <v>Short Days</v>
      </c>
    </row>
    <row r="1813" spans="1:21">
      <c r="A1813" t="s">
        <v>1829</v>
      </c>
      <c r="B1813" s="5">
        <v>45584</v>
      </c>
      <c r="C1813" t="s">
        <v>4219</v>
      </c>
      <c r="D1813" t="s">
        <v>4748</v>
      </c>
      <c r="E1813" t="s">
        <v>4867</v>
      </c>
      <c r="F1813">
        <v>17</v>
      </c>
      <c r="G1813" t="s">
        <v>4875</v>
      </c>
      <c r="H1813" t="s">
        <v>4889</v>
      </c>
      <c r="I1813" t="s">
        <v>4902</v>
      </c>
      <c r="J1813" t="s">
        <v>4916</v>
      </c>
      <c r="K1813" t="s">
        <v>4927</v>
      </c>
      <c r="L1813" t="s">
        <v>4936</v>
      </c>
      <c r="M1813" t="s">
        <v>4942</v>
      </c>
      <c r="N1813" s="11">
        <v>899.13</v>
      </c>
      <c r="O1813" t="s">
        <v>4948</v>
      </c>
      <c r="P1813" t="s">
        <v>4951</v>
      </c>
      <c r="R1813">
        <v>14</v>
      </c>
      <c r="S1813" t="str">
        <f t="shared" si="85"/>
        <v>Child</v>
      </c>
      <c r="T1813" t="str">
        <f t="shared" si="86"/>
        <v>Low</v>
      </c>
      <c r="U1813" t="str">
        <f t="shared" si="87"/>
        <v>Short Days</v>
      </c>
    </row>
    <row r="1814" spans="1:21">
      <c r="A1814" t="s">
        <v>1830</v>
      </c>
      <c r="B1814" s="5">
        <v>45784</v>
      </c>
      <c r="C1814" t="s">
        <v>4220</v>
      </c>
      <c r="D1814" t="s">
        <v>4786</v>
      </c>
      <c r="E1814" t="s">
        <v>4866</v>
      </c>
      <c r="F1814">
        <v>72</v>
      </c>
      <c r="G1814" t="s">
        <v>4872</v>
      </c>
      <c r="H1814" t="s">
        <v>4887</v>
      </c>
      <c r="I1814" t="s">
        <v>4896</v>
      </c>
      <c r="J1814" t="s">
        <v>4906</v>
      </c>
      <c r="K1814" t="s">
        <v>4929</v>
      </c>
      <c r="L1814" t="s">
        <v>4940</v>
      </c>
      <c r="M1814" t="s">
        <v>4942</v>
      </c>
      <c r="N1814" s="11">
        <v>8098.66</v>
      </c>
      <c r="O1814" t="s">
        <v>15</v>
      </c>
      <c r="P1814" t="s">
        <v>4952</v>
      </c>
      <c r="S1814" t="str">
        <f t="shared" si="85"/>
        <v>Senior</v>
      </c>
      <c r="T1814" t="str">
        <f t="shared" si="86"/>
        <v>Medium</v>
      </c>
      <c r="U1814" t="str">
        <f t="shared" si="87"/>
        <v>Short Days</v>
      </c>
    </row>
    <row r="1815" spans="1:21">
      <c r="A1815" t="s">
        <v>1831</v>
      </c>
      <c r="B1815" s="5">
        <v>45539</v>
      </c>
      <c r="C1815" t="s">
        <v>3308</v>
      </c>
      <c r="D1815" t="s">
        <v>4658</v>
      </c>
      <c r="E1815" t="s">
        <v>4866</v>
      </c>
      <c r="F1815">
        <v>50</v>
      </c>
      <c r="G1815" t="s">
        <v>4881</v>
      </c>
      <c r="H1815" t="s">
        <v>4881</v>
      </c>
      <c r="I1815" t="s">
        <v>4898</v>
      </c>
      <c r="J1815" t="s">
        <v>4918</v>
      </c>
      <c r="K1815" t="s">
        <v>4928</v>
      </c>
      <c r="L1815" t="s">
        <v>4938</v>
      </c>
      <c r="M1815" t="s">
        <v>4942</v>
      </c>
      <c r="N1815" s="11">
        <v>11202.98</v>
      </c>
      <c r="O1815" t="s">
        <v>4949</v>
      </c>
      <c r="P1815" t="s">
        <v>4951</v>
      </c>
      <c r="S1815" t="str">
        <f t="shared" si="85"/>
        <v>Middle-Aged</v>
      </c>
      <c r="T1815" t="str">
        <f t="shared" si="86"/>
        <v>High</v>
      </c>
      <c r="U1815" t="str">
        <f t="shared" si="87"/>
        <v>Short Days</v>
      </c>
    </row>
    <row r="1816" spans="1:21">
      <c r="A1816" t="s">
        <v>1832</v>
      </c>
      <c r="B1816" s="5">
        <v>45663</v>
      </c>
      <c r="C1816" t="s">
        <v>4221</v>
      </c>
      <c r="D1816" t="s">
        <v>4745</v>
      </c>
      <c r="E1816" t="s">
        <v>4866</v>
      </c>
      <c r="F1816">
        <v>41</v>
      </c>
      <c r="G1816" t="s">
        <v>4871</v>
      </c>
      <c r="H1816" t="s">
        <v>4886</v>
      </c>
      <c r="I1816" t="s">
        <v>4894</v>
      </c>
      <c r="J1816" t="s">
        <v>4904</v>
      </c>
      <c r="K1816" t="s">
        <v>4929</v>
      </c>
      <c r="L1816" t="s">
        <v>4936</v>
      </c>
      <c r="M1816" t="s">
        <v>4942</v>
      </c>
      <c r="N1816" s="11">
        <v>7988.49</v>
      </c>
      <c r="O1816" t="s">
        <v>4949</v>
      </c>
      <c r="P1816" t="s">
        <v>4951</v>
      </c>
      <c r="S1816" t="str">
        <f t="shared" si="85"/>
        <v>Middle-Aged</v>
      </c>
      <c r="T1816" t="str">
        <f t="shared" si="86"/>
        <v>Medium</v>
      </c>
      <c r="U1816" t="str">
        <f t="shared" si="87"/>
        <v>Short Days</v>
      </c>
    </row>
    <row r="1817" spans="1:21">
      <c r="A1817" t="s">
        <v>1833</v>
      </c>
      <c r="B1817" s="5">
        <v>45821</v>
      </c>
      <c r="C1817" t="s">
        <v>3494</v>
      </c>
      <c r="D1817" t="s">
        <v>4604</v>
      </c>
      <c r="E1817" t="s">
        <v>4867</v>
      </c>
      <c r="F1817">
        <v>44</v>
      </c>
      <c r="G1817" t="s">
        <v>4875</v>
      </c>
      <c r="H1817" t="s">
        <v>4889</v>
      </c>
      <c r="I1817" t="s">
        <v>4898</v>
      </c>
      <c r="J1817" t="s">
        <v>4923</v>
      </c>
      <c r="K1817" t="s">
        <v>4933</v>
      </c>
      <c r="L1817" t="s">
        <v>4936</v>
      </c>
      <c r="M1817" t="s">
        <v>4943</v>
      </c>
      <c r="N1817" s="11">
        <v>24711.73</v>
      </c>
      <c r="O1817" t="s">
        <v>4948</v>
      </c>
      <c r="P1817" t="s">
        <v>4951</v>
      </c>
      <c r="R1817">
        <v>7</v>
      </c>
      <c r="S1817" t="str">
        <f t="shared" si="85"/>
        <v>Middle-Aged</v>
      </c>
      <c r="T1817" t="str">
        <f t="shared" si="86"/>
        <v>High</v>
      </c>
      <c r="U1817" t="str">
        <f t="shared" si="87"/>
        <v>Short Days</v>
      </c>
    </row>
    <row r="1818" spans="1:21">
      <c r="A1818" t="s">
        <v>1834</v>
      </c>
      <c r="B1818" s="5">
        <v>45715</v>
      </c>
      <c r="C1818" t="s">
        <v>4222</v>
      </c>
      <c r="D1818" t="s">
        <v>4846</v>
      </c>
      <c r="E1818" t="s">
        <v>4867</v>
      </c>
      <c r="F1818">
        <v>33</v>
      </c>
      <c r="G1818" t="s">
        <v>4879</v>
      </c>
      <c r="H1818" t="s">
        <v>4888</v>
      </c>
      <c r="I1818" t="s">
        <v>4894</v>
      </c>
      <c r="J1818" t="s">
        <v>4910</v>
      </c>
      <c r="K1818" t="s">
        <v>4927</v>
      </c>
      <c r="L1818" t="s">
        <v>4940</v>
      </c>
      <c r="M1818" t="s">
        <v>4942</v>
      </c>
      <c r="N1818" s="11">
        <v>363.31</v>
      </c>
      <c r="O1818" t="s">
        <v>4946</v>
      </c>
      <c r="P1818" t="s">
        <v>4951</v>
      </c>
      <c r="R1818">
        <v>7</v>
      </c>
      <c r="S1818" t="str">
        <f t="shared" si="85"/>
        <v>Adult</v>
      </c>
      <c r="T1818" t="str">
        <f t="shared" si="86"/>
        <v>Low</v>
      </c>
      <c r="U1818" t="str">
        <f t="shared" si="87"/>
        <v>Short Days</v>
      </c>
    </row>
    <row r="1819" spans="1:21">
      <c r="A1819" t="s">
        <v>1835</v>
      </c>
      <c r="B1819" s="5">
        <v>45526</v>
      </c>
      <c r="C1819" t="s">
        <v>3082</v>
      </c>
      <c r="D1819" t="s">
        <v>4697</v>
      </c>
      <c r="E1819" t="s">
        <v>4867</v>
      </c>
      <c r="F1819">
        <v>63</v>
      </c>
      <c r="G1819" t="s">
        <v>4881</v>
      </c>
      <c r="H1819" t="s">
        <v>4881</v>
      </c>
      <c r="I1819" t="s">
        <v>4901</v>
      </c>
      <c r="J1819" t="s">
        <v>4921</v>
      </c>
      <c r="K1819" t="s">
        <v>4930</v>
      </c>
      <c r="L1819" t="s">
        <v>4941</v>
      </c>
      <c r="M1819" t="s">
        <v>4944</v>
      </c>
      <c r="N1819" s="11">
        <v>14489.11</v>
      </c>
      <c r="O1819" t="s">
        <v>4946</v>
      </c>
      <c r="P1819" t="s">
        <v>4951</v>
      </c>
      <c r="R1819">
        <v>7</v>
      </c>
      <c r="S1819" t="str">
        <f t="shared" si="85"/>
        <v>Senior</v>
      </c>
      <c r="T1819" t="str">
        <f t="shared" si="86"/>
        <v>High</v>
      </c>
      <c r="U1819" t="str">
        <f t="shared" si="87"/>
        <v>Short Days</v>
      </c>
    </row>
    <row r="1820" spans="1:21">
      <c r="A1820" t="s">
        <v>1836</v>
      </c>
      <c r="B1820" s="5">
        <v>45443</v>
      </c>
      <c r="C1820" t="s">
        <v>3619</v>
      </c>
      <c r="D1820" t="s">
        <v>4749</v>
      </c>
      <c r="E1820" t="s">
        <v>4866</v>
      </c>
      <c r="F1820">
        <v>65</v>
      </c>
      <c r="G1820" t="s">
        <v>4878</v>
      </c>
      <c r="H1820" t="s">
        <v>4889</v>
      </c>
      <c r="I1820" t="s">
        <v>4898</v>
      </c>
      <c r="J1820" t="s">
        <v>4923</v>
      </c>
      <c r="K1820" t="s">
        <v>4929</v>
      </c>
      <c r="L1820" t="s">
        <v>4938</v>
      </c>
      <c r="M1820" t="s">
        <v>4942</v>
      </c>
      <c r="N1820" s="11">
        <v>1257.6500000000001</v>
      </c>
      <c r="O1820" t="s">
        <v>4949</v>
      </c>
      <c r="P1820" t="s">
        <v>4951</v>
      </c>
      <c r="R1820">
        <v>14</v>
      </c>
      <c r="S1820" t="str">
        <f t="shared" si="85"/>
        <v>Senior</v>
      </c>
      <c r="T1820" t="str">
        <f t="shared" si="86"/>
        <v>Low</v>
      </c>
      <c r="U1820" t="str">
        <f t="shared" si="87"/>
        <v>Short Days</v>
      </c>
    </row>
    <row r="1821" spans="1:21">
      <c r="A1821" t="s">
        <v>1837</v>
      </c>
      <c r="B1821" s="5">
        <v>45768</v>
      </c>
      <c r="C1821" t="s">
        <v>3375</v>
      </c>
      <c r="D1821" t="s">
        <v>4693</v>
      </c>
      <c r="E1821" t="s">
        <v>4868</v>
      </c>
      <c r="F1821">
        <v>37</v>
      </c>
      <c r="G1821" t="s">
        <v>4883</v>
      </c>
      <c r="H1821" t="s">
        <v>4892</v>
      </c>
      <c r="I1821" t="s">
        <v>4895</v>
      </c>
      <c r="J1821" t="s">
        <v>4905</v>
      </c>
      <c r="K1821" t="s">
        <v>4924</v>
      </c>
      <c r="L1821" t="s">
        <v>4937</v>
      </c>
      <c r="M1821" t="s">
        <v>4944</v>
      </c>
      <c r="N1821" s="11">
        <v>5883.69</v>
      </c>
      <c r="O1821" t="s">
        <v>15</v>
      </c>
      <c r="P1821" t="s">
        <v>4952</v>
      </c>
      <c r="R1821">
        <v>30</v>
      </c>
      <c r="S1821" t="str">
        <f t="shared" si="85"/>
        <v>Adult</v>
      </c>
      <c r="T1821" t="str">
        <f t="shared" si="86"/>
        <v>Medium</v>
      </c>
      <c r="U1821" t="str">
        <f t="shared" si="87"/>
        <v>Short Days</v>
      </c>
    </row>
    <row r="1822" spans="1:21">
      <c r="A1822" t="s">
        <v>1838</v>
      </c>
      <c r="B1822" s="5">
        <v>45414</v>
      </c>
      <c r="C1822" t="s">
        <v>4223</v>
      </c>
      <c r="D1822" t="s">
        <v>4786</v>
      </c>
      <c r="E1822" t="s">
        <v>4866</v>
      </c>
      <c r="F1822">
        <v>11</v>
      </c>
      <c r="G1822" t="s">
        <v>4880</v>
      </c>
      <c r="H1822" t="s">
        <v>4890</v>
      </c>
      <c r="I1822" t="s">
        <v>4898</v>
      </c>
      <c r="J1822" t="s">
        <v>4923</v>
      </c>
      <c r="K1822" t="s">
        <v>4933</v>
      </c>
      <c r="L1822" t="s">
        <v>4940</v>
      </c>
      <c r="M1822" t="s">
        <v>4942</v>
      </c>
      <c r="N1822" s="11">
        <v>889.6</v>
      </c>
      <c r="O1822" t="s">
        <v>4949</v>
      </c>
      <c r="P1822" t="s">
        <v>4951</v>
      </c>
      <c r="R1822">
        <v>30</v>
      </c>
      <c r="S1822" t="str">
        <f t="shared" si="85"/>
        <v>Child</v>
      </c>
      <c r="T1822" t="str">
        <f t="shared" si="86"/>
        <v>Low</v>
      </c>
      <c r="U1822" t="str">
        <f t="shared" si="87"/>
        <v>Short Days</v>
      </c>
    </row>
    <row r="1823" spans="1:21">
      <c r="A1823" t="s">
        <v>1839</v>
      </c>
      <c r="B1823" s="5">
        <v>45776</v>
      </c>
      <c r="C1823" t="s">
        <v>3802</v>
      </c>
      <c r="D1823" t="s">
        <v>4749</v>
      </c>
      <c r="E1823" t="s">
        <v>4867</v>
      </c>
      <c r="F1823">
        <v>21</v>
      </c>
      <c r="G1823" t="s">
        <v>4883</v>
      </c>
      <c r="H1823" t="s">
        <v>4892</v>
      </c>
      <c r="I1823" t="s">
        <v>4899</v>
      </c>
      <c r="J1823" t="s">
        <v>4912</v>
      </c>
      <c r="K1823" t="s">
        <v>4933</v>
      </c>
      <c r="L1823" t="s">
        <v>4938</v>
      </c>
      <c r="M1823" t="s">
        <v>4942</v>
      </c>
      <c r="N1823" s="11">
        <v>1674.66</v>
      </c>
      <c r="O1823" t="s">
        <v>4946</v>
      </c>
      <c r="P1823" t="s">
        <v>4951</v>
      </c>
      <c r="S1823" t="str">
        <f t="shared" si="85"/>
        <v>Adult</v>
      </c>
      <c r="T1823" t="str">
        <f t="shared" si="86"/>
        <v>Low</v>
      </c>
      <c r="U1823" t="str">
        <f t="shared" si="87"/>
        <v>Short Days</v>
      </c>
    </row>
    <row r="1824" spans="1:21">
      <c r="A1824" t="s">
        <v>1840</v>
      </c>
      <c r="B1824" s="5">
        <v>45569</v>
      </c>
      <c r="C1824" t="s">
        <v>3728</v>
      </c>
      <c r="D1824" t="s">
        <v>4812</v>
      </c>
      <c r="E1824" t="s">
        <v>4867</v>
      </c>
      <c r="F1824">
        <v>24</v>
      </c>
      <c r="G1824" t="s">
        <v>4883</v>
      </c>
      <c r="H1824" t="s">
        <v>4892</v>
      </c>
      <c r="I1824" t="s">
        <v>4902</v>
      </c>
      <c r="J1824" t="s">
        <v>4916</v>
      </c>
      <c r="K1824" t="s">
        <v>4928</v>
      </c>
      <c r="L1824" t="s">
        <v>4935</v>
      </c>
      <c r="M1824" t="s">
        <v>4942</v>
      </c>
      <c r="N1824" s="11">
        <v>24070.93</v>
      </c>
      <c r="O1824" t="s">
        <v>4946</v>
      </c>
      <c r="P1824" t="s">
        <v>4951</v>
      </c>
      <c r="R1824">
        <v>14</v>
      </c>
      <c r="S1824" t="str">
        <f t="shared" si="85"/>
        <v>Adult</v>
      </c>
      <c r="T1824" t="str">
        <f t="shared" si="86"/>
        <v>High</v>
      </c>
      <c r="U1824" t="str">
        <f t="shared" si="87"/>
        <v>Short Days</v>
      </c>
    </row>
    <row r="1825" spans="1:21">
      <c r="A1825" t="s">
        <v>1841</v>
      </c>
      <c r="B1825" s="5">
        <v>45952</v>
      </c>
      <c r="C1825" t="s">
        <v>4224</v>
      </c>
      <c r="D1825" t="s">
        <v>4696</v>
      </c>
      <c r="E1825" t="s">
        <v>4867</v>
      </c>
      <c r="F1825">
        <v>30</v>
      </c>
      <c r="G1825" t="s">
        <v>4877</v>
      </c>
      <c r="H1825" t="s">
        <v>4888</v>
      </c>
      <c r="I1825" t="s">
        <v>4893</v>
      </c>
      <c r="J1825" t="s">
        <v>4903</v>
      </c>
      <c r="K1825" t="s">
        <v>4929</v>
      </c>
      <c r="L1825" t="s">
        <v>4935</v>
      </c>
      <c r="M1825" t="s">
        <v>4942</v>
      </c>
      <c r="N1825" s="11">
        <v>2856.78</v>
      </c>
      <c r="O1825" t="s">
        <v>4947</v>
      </c>
      <c r="P1825" t="s">
        <v>4951</v>
      </c>
      <c r="S1825" t="str">
        <f t="shared" si="85"/>
        <v>Adult</v>
      </c>
      <c r="T1825" t="str">
        <f t="shared" si="86"/>
        <v>Low</v>
      </c>
      <c r="U1825" t="str">
        <f t="shared" si="87"/>
        <v>Short Days</v>
      </c>
    </row>
    <row r="1826" spans="1:21">
      <c r="A1826" t="s">
        <v>1842</v>
      </c>
      <c r="B1826" s="5">
        <v>45861</v>
      </c>
      <c r="C1826" t="s">
        <v>4225</v>
      </c>
      <c r="D1826" t="s">
        <v>4812</v>
      </c>
      <c r="E1826" t="s">
        <v>4867</v>
      </c>
      <c r="F1826">
        <v>61</v>
      </c>
      <c r="G1826" t="s">
        <v>4871</v>
      </c>
      <c r="H1826" t="s">
        <v>4886</v>
      </c>
      <c r="I1826" t="s">
        <v>4902</v>
      </c>
      <c r="J1826" t="s">
        <v>4920</v>
      </c>
      <c r="K1826" t="s">
        <v>4929</v>
      </c>
      <c r="L1826" t="s">
        <v>4941</v>
      </c>
      <c r="M1826" t="s">
        <v>4942</v>
      </c>
      <c r="N1826" s="11">
        <v>10019.969999999999</v>
      </c>
      <c r="O1826" t="s">
        <v>4948</v>
      </c>
      <c r="P1826" t="s">
        <v>4951</v>
      </c>
      <c r="R1826">
        <v>90</v>
      </c>
      <c r="S1826" t="str">
        <f t="shared" si="85"/>
        <v>Senior</v>
      </c>
      <c r="T1826" t="str">
        <f t="shared" si="86"/>
        <v>High</v>
      </c>
      <c r="U1826" t="str">
        <f t="shared" si="87"/>
        <v>Short Days</v>
      </c>
    </row>
    <row r="1827" spans="1:21">
      <c r="A1827" t="s">
        <v>1843</v>
      </c>
      <c r="B1827" s="5">
        <v>45835</v>
      </c>
      <c r="C1827" t="s">
        <v>4226</v>
      </c>
      <c r="D1827" t="s">
        <v>4828</v>
      </c>
      <c r="E1827" t="s">
        <v>4868</v>
      </c>
      <c r="F1827">
        <v>16</v>
      </c>
      <c r="G1827" t="s">
        <v>4881</v>
      </c>
      <c r="H1827" t="s">
        <v>4881</v>
      </c>
      <c r="I1827" t="s">
        <v>4902</v>
      </c>
      <c r="J1827" t="s">
        <v>4920</v>
      </c>
      <c r="K1827" t="s">
        <v>4932</v>
      </c>
      <c r="L1827" t="s">
        <v>4940</v>
      </c>
      <c r="M1827" t="s">
        <v>4942</v>
      </c>
      <c r="N1827" s="11">
        <v>3460.81</v>
      </c>
      <c r="O1827" t="s">
        <v>4947</v>
      </c>
      <c r="P1827" t="s">
        <v>4951</v>
      </c>
      <c r="S1827" t="str">
        <f t="shared" si="85"/>
        <v>Child</v>
      </c>
      <c r="T1827" t="str">
        <f t="shared" si="86"/>
        <v>Low</v>
      </c>
      <c r="U1827" t="str">
        <f t="shared" si="87"/>
        <v>Short Days</v>
      </c>
    </row>
    <row r="1828" spans="1:21">
      <c r="A1828" t="s">
        <v>1844</v>
      </c>
      <c r="B1828" s="5">
        <v>45325</v>
      </c>
      <c r="C1828" t="s">
        <v>4227</v>
      </c>
      <c r="D1828" t="s">
        <v>4642</v>
      </c>
      <c r="E1828" t="s">
        <v>4867</v>
      </c>
      <c r="F1828">
        <v>28</v>
      </c>
      <c r="G1828" t="s">
        <v>4875</v>
      </c>
      <c r="H1828" t="s">
        <v>4889</v>
      </c>
      <c r="I1828" t="s">
        <v>4893</v>
      </c>
      <c r="J1828" t="s">
        <v>4903</v>
      </c>
      <c r="K1828" t="s">
        <v>4929</v>
      </c>
      <c r="L1828" t="s">
        <v>4941</v>
      </c>
      <c r="M1828" t="s">
        <v>4942</v>
      </c>
      <c r="N1828" s="11">
        <v>9268.0400000000009</v>
      </c>
      <c r="O1828" t="s">
        <v>4948</v>
      </c>
      <c r="P1828" t="s">
        <v>4951</v>
      </c>
      <c r="R1828">
        <v>30</v>
      </c>
      <c r="S1828" t="str">
        <f t="shared" si="85"/>
        <v>Adult</v>
      </c>
      <c r="T1828" t="str">
        <f t="shared" si="86"/>
        <v>Medium</v>
      </c>
      <c r="U1828" t="str">
        <f t="shared" si="87"/>
        <v>Short Days</v>
      </c>
    </row>
    <row r="1829" spans="1:21">
      <c r="A1829" t="s">
        <v>1845</v>
      </c>
      <c r="B1829" s="5">
        <v>45895</v>
      </c>
      <c r="C1829" t="s">
        <v>3694</v>
      </c>
      <c r="D1829" t="s">
        <v>4652</v>
      </c>
      <c r="E1829" t="s">
        <v>4867</v>
      </c>
      <c r="F1829">
        <v>50</v>
      </c>
      <c r="G1829" t="s">
        <v>4869</v>
      </c>
      <c r="H1829" t="s">
        <v>4884</v>
      </c>
      <c r="I1829" t="s">
        <v>4897</v>
      </c>
      <c r="J1829" t="s">
        <v>4922</v>
      </c>
      <c r="K1829" t="s">
        <v>4927</v>
      </c>
      <c r="L1829" t="s">
        <v>4934</v>
      </c>
      <c r="M1829" t="s">
        <v>4942</v>
      </c>
      <c r="N1829" s="11">
        <v>3630.69</v>
      </c>
      <c r="O1829" t="s">
        <v>4947</v>
      </c>
      <c r="P1829" t="s">
        <v>4951</v>
      </c>
      <c r="S1829" t="str">
        <f t="shared" si="85"/>
        <v>Middle-Aged</v>
      </c>
      <c r="T1829" t="str">
        <f t="shared" si="86"/>
        <v>Low</v>
      </c>
      <c r="U1829" t="str">
        <f t="shared" si="87"/>
        <v>Short Days</v>
      </c>
    </row>
    <row r="1830" spans="1:21">
      <c r="A1830" t="s">
        <v>1846</v>
      </c>
      <c r="B1830" s="5">
        <v>45564</v>
      </c>
      <c r="C1830" t="s">
        <v>4228</v>
      </c>
      <c r="D1830" t="s">
        <v>4639</v>
      </c>
      <c r="E1830" t="s">
        <v>4867</v>
      </c>
      <c r="F1830">
        <v>20</v>
      </c>
      <c r="G1830" t="s">
        <v>4870</v>
      </c>
      <c r="H1830" t="s">
        <v>4885</v>
      </c>
      <c r="I1830" t="s">
        <v>4897</v>
      </c>
      <c r="J1830" t="s">
        <v>4922</v>
      </c>
      <c r="K1830" t="s">
        <v>4926</v>
      </c>
      <c r="L1830" t="s">
        <v>4939</v>
      </c>
      <c r="M1830" t="s">
        <v>4942</v>
      </c>
      <c r="N1830" s="11">
        <v>10747.07</v>
      </c>
      <c r="O1830" t="s">
        <v>4946</v>
      </c>
      <c r="P1830" t="s">
        <v>4951</v>
      </c>
      <c r="R1830">
        <v>7</v>
      </c>
      <c r="S1830" t="str">
        <f t="shared" si="85"/>
        <v>Adult</v>
      </c>
      <c r="T1830" t="str">
        <f t="shared" si="86"/>
        <v>High</v>
      </c>
      <c r="U1830" t="str">
        <f t="shared" si="87"/>
        <v>Short Days</v>
      </c>
    </row>
    <row r="1831" spans="1:21">
      <c r="A1831" t="s">
        <v>1847</v>
      </c>
      <c r="B1831" s="5">
        <v>45917</v>
      </c>
      <c r="C1831" t="s">
        <v>3456</v>
      </c>
      <c r="D1831" t="s">
        <v>4667</v>
      </c>
      <c r="E1831" t="s">
        <v>4867</v>
      </c>
      <c r="F1831">
        <v>54</v>
      </c>
      <c r="G1831" t="s">
        <v>4870</v>
      </c>
      <c r="H1831" t="s">
        <v>4885</v>
      </c>
      <c r="I1831" t="s">
        <v>4897</v>
      </c>
      <c r="J1831" t="s">
        <v>4907</v>
      </c>
      <c r="K1831" t="s">
        <v>4930</v>
      </c>
      <c r="L1831" t="s">
        <v>4937</v>
      </c>
      <c r="M1831" t="s">
        <v>4945</v>
      </c>
      <c r="N1831" s="11">
        <v>6188.84</v>
      </c>
      <c r="O1831" t="s">
        <v>4947</v>
      </c>
      <c r="P1831" t="s">
        <v>4951</v>
      </c>
      <c r="Q1831">
        <v>4</v>
      </c>
      <c r="S1831" t="str">
        <f t="shared" si="85"/>
        <v>Middle-Aged</v>
      </c>
      <c r="T1831" t="str">
        <f t="shared" si="86"/>
        <v>Medium</v>
      </c>
      <c r="U1831" t="str">
        <f t="shared" si="87"/>
        <v>Short Days</v>
      </c>
    </row>
    <row r="1832" spans="1:21">
      <c r="A1832" t="s">
        <v>1848</v>
      </c>
      <c r="B1832" s="5">
        <v>45491</v>
      </c>
      <c r="C1832" t="s">
        <v>3211</v>
      </c>
      <c r="D1832" t="s">
        <v>4627</v>
      </c>
      <c r="E1832" t="s">
        <v>4866</v>
      </c>
      <c r="F1832">
        <v>26</v>
      </c>
      <c r="G1832" t="s">
        <v>4872</v>
      </c>
      <c r="H1832" t="s">
        <v>4887</v>
      </c>
      <c r="I1832" t="s">
        <v>4901</v>
      </c>
      <c r="J1832" t="s">
        <v>4921</v>
      </c>
      <c r="K1832" t="s">
        <v>4930</v>
      </c>
      <c r="L1832" t="s">
        <v>4941</v>
      </c>
      <c r="M1832" t="s">
        <v>4942</v>
      </c>
      <c r="N1832" s="11">
        <v>1273.1099999999999</v>
      </c>
      <c r="O1832" t="s">
        <v>4948</v>
      </c>
      <c r="P1832" t="s">
        <v>4951</v>
      </c>
      <c r="R1832">
        <v>14</v>
      </c>
      <c r="S1832" t="str">
        <f t="shared" si="85"/>
        <v>Adult</v>
      </c>
      <c r="T1832" t="str">
        <f t="shared" si="86"/>
        <v>Low</v>
      </c>
      <c r="U1832" t="str">
        <f t="shared" si="87"/>
        <v>Short Days</v>
      </c>
    </row>
    <row r="1833" spans="1:21">
      <c r="A1833" t="s">
        <v>1849</v>
      </c>
      <c r="B1833" s="5">
        <v>45665</v>
      </c>
      <c r="C1833" t="s">
        <v>4214</v>
      </c>
      <c r="D1833" t="s">
        <v>4627</v>
      </c>
      <c r="E1833" t="s">
        <v>4867</v>
      </c>
      <c r="F1833">
        <v>53</v>
      </c>
      <c r="G1833" t="s">
        <v>4873</v>
      </c>
      <c r="H1833" t="s">
        <v>4888</v>
      </c>
      <c r="I1833" t="s">
        <v>4900</v>
      </c>
      <c r="J1833" t="s">
        <v>4913</v>
      </c>
      <c r="K1833" t="s">
        <v>4932</v>
      </c>
      <c r="L1833" t="s">
        <v>4940</v>
      </c>
      <c r="M1833" t="s">
        <v>4944</v>
      </c>
      <c r="N1833" s="11">
        <v>6826.1</v>
      </c>
      <c r="O1833" t="s">
        <v>15</v>
      </c>
      <c r="P1833" t="s">
        <v>4952</v>
      </c>
      <c r="R1833">
        <v>7</v>
      </c>
      <c r="S1833" t="str">
        <f t="shared" si="85"/>
        <v>Middle-Aged</v>
      </c>
      <c r="T1833" t="str">
        <f t="shared" si="86"/>
        <v>Medium</v>
      </c>
      <c r="U1833" t="str">
        <f t="shared" si="87"/>
        <v>Short Days</v>
      </c>
    </row>
    <row r="1834" spans="1:21">
      <c r="A1834" t="s">
        <v>1850</v>
      </c>
      <c r="B1834" s="5">
        <v>45417</v>
      </c>
      <c r="C1834" t="s">
        <v>3729</v>
      </c>
      <c r="D1834" t="s">
        <v>4816</v>
      </c>
      <c r="E1834" t="s">
        <v>4866</v>
      </c>
      <c r="F1834">
        <v>66</v>
      </c>
      <c r="G1834" t="s">
        <v>4883</v>
      </c>
      <c r="H1834" t="s">
        <v>4892</v>
      </c>
      <c r="I1834" t="s">
        <v>4901</v>
      </c>
      <c r="J1834" t="s">
        <v>4921</v>
      </c>
      <c r="K1834" t="s">
        <v>4930</v>
      </c>
      <c r="L1834" t="s">
        <v>4935</v>
      </c>
      <c r="M1834" t="s">
        <v>4942</v>
      </c>
      <c r="N1834" s="11">
        <v>5115.54</v>
      </c>
      <c r="O1834" t="s">
        <v>4948</v>
      </c>
      <c r="P1834" t="s">
        <v>4951</v>
      </c>
      <c r="R1834">
        <v>14</v>
      </c>
      <c r="S1834" t="str">
        <f t="shared" si="85"/>
        <v>Senior</v>
      </c>
      <c r="T1834" t="str">
        <f t="shared" si="86"/>
        <v>Medium</v>
      </c>
      <c r="U1834" t="str">
        <f t="shared" si="87"/>
        <v>Short Days</v>
      </c>
    </row>
    <row r="1835" spans="1:21">
      <c r="A1835" t="s">
        <v>1851</v>
      </c>
      <c r="B1835" s="5">
        <v>45504</v>
      </c>
      <c r="C1835" t="s">
        <v>3957</v>
      </c>
      <c r="D1835" t="s">
        <v>4824</v>
      </c>
      <c r="E1835" t="s">
        <v>4867</v>
      </c>
      <c r="F1835">
        <v>29</v>
      </c>
      <c r="G1835" t="s">
        <v>4877</v>
      </c>
      <c r="H1835" t="s">
        <v>4888</v>
      </c>
      <c r="I1835" t="s">
        <v>4899</v>
      </c>
      <c r="J1835" t="s">
        <v>4912</v>
      </c>
      <c r="K1835" t="s">
        <v>4924</v>
      </c>
      <c r="L1835" t="s">
        <v>4937</v>
      </c>
      <c r="M1835" t="s">
        <v>4942</v>
      </c>
      <c r="N1835" s="11">
        <v>1727.86</v>
      </c>
      <c r="O1835" t="s">
        <v>4948</v>
      </c>
      <c r="P1835" t="s">
        <v>4951</v>
      </c>
      <c r="R1835">
        <v>90</v>
      </c>
      <c r="S1835" t="str">
        <f t="shared" si="85"/>
        <v>Adult</v>
      </c>
      <c r="T1835" t="str">
        <f t="shared" si="86"/>
        <v>Low</v>
      </c>
      <c r="U1835" t="str">
        <f t="shared" si="87"/>
        <v>Short Days</v>
      </c>
    </row>
    <row r="1836" spans="1:21">
      <c r="A1836" t="s">
        <v>1852</v>
      </c>
      <c r="B1836" s="5">
        <v>45383</v>
      </c>
      <c r="C1836" t="s">
        <v>3944</v>
      </c>
      <c r="D1836" t="s">
        <v>4817</v>
      </c>
      <c r="E1836" t="s">
        <v>4867</v>
      </c>
      <c r="F1836">
        <v>55</v>
      </c>
      <c r="G1836" t="s">
        <v>4880</v>
      </c>
      <c r="H1836" t="s">
        <v>4890</v>
      </c>
      <c r="I1836" t="s">
        <v>4901</v>
      </c>
      <c r="J1836" t="s">
        <v>4914</v>
      </c>
      <c r="K1836" t="s">
        <v>4925</v>
      </c>
      <c r="L1836" t="s">
        <v>4940</v>
      </c>
      <c r="M1836" t="s">
        <v>4942</v>
      </c>
      <c r="N1836" s="11">
        <v>4272.46</v>
      </c>
      <c r="O1836" t="s">
        <v>4947</v>
      </c>
      <c r="P1836" t="s">
        <v>4951</v>
      </c>
      <c r="R1836">
        <v>14</v>
      </c>
      <c r="S1836" t="str">
        <f t="shared" si="85"/>
        <v>Middle-Aged</v>
      </c>
      <c r="T1836" t="str">
        <f t="shared" si="86"/>
        <v>Low</v>
      </c>
      <c r="U1836" t="str">
        <f t="shared" si="87"/>
        <v>Short Days</v>
      </c>
    </row>
    <row r="1837" spans="1:21">
      <c r="A1837" t="s">
        <v>1853</v>
      </c>
      <c r="B1837" s="5">
        <v>45672</v>
      </c>
      <c r="C1837" t="s">
        <v>3068</v>
      </c>
      <c r="D1837" t="s">
        <v>4651</v>
      </c>
      <c r="E1837" t="s">
        <v>4867</v>
      </c>
      <c r="F1837">
        <v>11</v>
      </c>
      <c r="G1837" t="s">
        <v>4871</v>
      </c>
      <c r="H1837" t="s">
        <v>4886</v>
      </c>
      <c r="I1837" t="s">
        <v>4897</v>
      </c>
      <c r="J1837" t="s">
        <v>4922</v>
      </c>
      <c r="K1837" t="s">
        <v>4928</v>
      </c>
      <c r="L1837" t="s">
        <v>4936</v>
      </c>
      <c r="M1837" t="s">
        <v>4942</v>
      </c>
      <c r="N1837" s="11">
        <v>4943.76</v>
      </c>
      <c r="O1837" t="s">
        <v>4948</v>
      </c>
      <c r="P1837" t="s">
        <v>4951</v>
      </c>
      <c r="S1837" t="str">
        <f t="shared" si="85"/>
        <v>Child</v>
      </c>
      <c r="T1837" t="str">
        <f t="shared" si="86"/>
        <v>Low</v>
      </c>
      <c r="U1837" t="str">
        <f t="shared" si="87"/>
        <v>Short Days</v>
      </c>
    </row>
    <row r="1838" spans="1:21">
      <c r="A1838" t="s">
        <v>1854</v>
      </c>
      <c r="B1838" s="5">
        <v>45805</v>
      </c>
      <c r="C1838" t="s">
        <v>3760</v>
      </c>
      <c r="D1838" t="s">
        <v>4634</v>
      </c>
      <c r="E1838" t="s">
        <v>4867</v>
      </c>
      <c r="F1838">
        <v>32</v>
      </c>
      <c r="G1838" t="s">
        <v>4878</v>
      </c>
      <c r="H1838" t="s">
        <v>4889</v>
      </c>
      <c r="I1838" t="s">
        <v>4895</v>
      </c>
      <c r="J1838" t="s">
        <v>4905</v>
      </c>
      <c r="K1838" t="s">
        <v>4932</v>
      </c>
      <c r="L1838" t="s">
        <v>4941</v>
      </c>
      <c r="M1838" t="s">
        <v>4942</v>
      </c>
      <c r="N1838" s="11">
        <v>2506.4899999999998</v>
      </c>
      <c r="O1838" t="s">
        <v>4949</v>
      </c>
      <c r="P1838" t="s">
        <v>4951</v>
      </c>
      <c r="R1838">
        <v>14</v>
      </c>
      <c r="S1838" t="str">
        <f t="shared" si="85"/>
        <v>Adult</v>
      </c>
      <c r="T1838" t="str">
        <f t="shared" si="86"/>
        <v>Low</v>
      </c>
      <c r="U1838" t="str">
        <f t="shared" si="87"/>
        <v>Short Days</v>
      </c>
    </row>
    <row r="1839" spans="1:21">
      <c r="A1839" t="s">
        <v>1855</v>
      </c>
      <c r="B1839" s="5">
        <v>45723</v>
      </c>
      <c r="C1839" t="s">
        <v>3141</v>
      </c>
      <c r="D1839" t="s">
        <v>4848</v>
      </c>
      <c r="E1839" t="s">
        <v>4866</v>
      </c>
      <c r="F1839">
        <v>34</v>
      </c>
      <c r="G1839" t="s">
        <v>4882</v>
      </c>
      <c r="H1839" t="s">
        <v>4891</v>
      </c>
      <c r="I1839" t="s">
        <v>4901</v>
      </c>
      <c r="J1839" t="s">
        <v>4921</v>
      </c>
      <c r="K1839" t="s">
        <v>4926</v>
      </c>
      <c r="L1839" t="s">
        <v>4941</v>
      </c>
      <c r="M1839" t="s">
        <v>4942</v>
      </c>
      <c r="N1839" s="11">
        <v>5198.1000000000004</v>
      </c>
      <c r="O1839" t="s">
        <v>4947</v>
      </c>
      <c r="P1839" t="s">
        <v>4951</v>
      </c>
      <c r="R1839">
        <v>30</v>
      </c>
      <c r="S1839" t="str">
        <f t="shared" si="85"/>
        <v>Adult</v>
      </c>
      <c r="T1839" t="str">
        <f t="shared" si="86"/>
        <v>Medium</v>
      </c>
      <c r="U1839" t="str">
        <f t="shared" si="87"/>
        <v>Short Days</v>
      </c>
    </row>
    <row r="1840" spans="1:21">
      <c r="A1840" t="s">
        <v>1856</v>
      </c>
      <c r="B1840" s="5">
        <v>45725</v>
      </c>
      <c r="C1840" t="s">
        <v>4229</v>
      </c>
      <c r="D1840" t="s">
        <v>4608</v>
      </c>
      <c r="E1840" t="s">
        <v>4867</v>
      </c>
      <c r="F1840">
        <v>40</v>
      </c>
      <c r="G1840" t="s">
        <v>4871</v>
      </c>
      <c r="H1840" t="s">
        <v>4886</v>
      </c>
      <c r="I1840" t="s">
        <v>4893</v>
      </c>
      <c r="J1840" t="s">
        <v>4917</v>
      </c>
      <c r="K1840" t="s">
        <v>4924</v>
      </c>
      <c r="L1840" t="s">
        <v>4938</v>
      </c>
      <c r="M1840" t="s">
        <v>4942</v>
      </c>
      <c r="N1840" s="11">
        <v>1957.5</v>
      </c>
      <c r="O1840" t="s">
        <v>4950</v>
      </c>
      <c r="P1840" t="s">
        <v>4951</v>
      </c>
      <c r="R1840">
        <v>30</v>
      </c>
      <c r="S1840" t="str">
        <f t="shared" si="85"/>
        <v>Adult</v>
      </c>
      <c r="T1840" t="str">
        <f t="shared" si="86"/>
        <v>Low</v>
      </c>
      <c r="U1840" t="str">
        <f t="shared" si="87"/>
        <v>Short Days</v>
      </c>
    </row>
    <row r="1841" spans="1:21">
      <c r="A1841" t="s">
        <v>1857</v>
      </c>
      <c r="B1841" s="5">
        <v>45335</v>
      </c>
      <c r="C1841" t="s">
        <v>4230</v>
      </c>
      <c r="D1841" t="s">
        <v>4595</v>
      </c>
      <c r="E1841" t="s">
        <v>4866</v>
      </c>
      <c r="F1841">
        <v>54</v>
      </c>
      <c r="G1841" t="s">
        <v>4872</v>
      </c>
      <c r="H1841" t="s">
        <v>4887</v>
      </c>
      <c r="I1841" t="s">
        <v>4898</v>
      </c>
      <c r="J1841" t="s">
        <v>4923</v>
      </c>
      <c r="K1841" t="s">
        <v>4928</v>
      </c>
      <c r="L1841" t="s">
        <v>4935</v>
      </c>
      <c r="M1841" t="s">
        <v>4944</v>
      </c>
      <c r="N1841" s="11">
        <v>9508.6200000000008</v>
      </c>
      <c r="O1841" t="s">
        <v>4949</v>
      </c>
      <c r="P1841" t="s">
        <v>4951</v>
      </c>
      <c r="R1841">
        <v>30</v>
      </c>
      <c r="S1841" t="str">
        <f t="shared" si="85"/>
        <v>Middle-Aged</v>
      </c>
      <c r="T1841" t="str">
        <f t="shared" si="86"/>
        <v>Medium</v>
      </c>
      <c r="U1841" t="str">
        <f t="shared" si="87"/>
        <v>Short Days</v>
      </c>
    </row>
    <row r="1842" spans="1:21">
      <c r="A1842" t="s">
        <v>1858</v>
      </c>
      <c r="B1842" s="5">
        <v>45634</v>
      </c>
      <c r="C1842" t="s">
        <v>3520</v>
      </c>
      <c r="D1842" t="s">
        <v>4627</v>
      </c>
      <c r="E1842" t="s">
        <v>4866</v>
      </c>
      <c r="F1842">
        <v>52</v>
      </c>
      <c r="G1842" t="s">
        <v>4879</v>
      </c>
      <c r="H1842" t="s">
        <v>4888</v>
      </c>
      <c r="I1842" t="s">
        <v>4898</v>
      </c>
      <c r="J1842" t="s">
        <v>4923</v>
      </c>
      <c r="K1842" t="s">
        <v>4929</v>
      </c>
      <c r="L1842" t="s">
        <v>4936</v>
      </c>
      <c r="M1842" t="s">
        <v>4944</v>
      </c>
      <c r="N1842" s="11">
        <v>9137.3700000000008</v>
      </c>
      <c r="O1842" t="s">
        <v>4946</v>
      </c>
      <c r="P1842" t="s">
        <v>4951</v>
      </c>
      <c r="R1842">
        <v>90</v>
      </c>
      <c r="S1842" t="str">
        <f t="shared" si="85"/>
        <v>Middle-Aged</v>
      </c>
      <c r="T1842" t="str">
        <f t="shared" si="86"/>
        <v>Medium</v>
      </c>
      <c r="U1842" t="str">
        <f t="shared" si="87"/>
        <v>Short Days</v>
      </c>
    </row>
    <row r="1843" spans="1:21">
      <c r="A1843" t="s">
        <v>1859</v>
      </c>
      <c r="B1843" s="5">
        <v>45889</v>
      </c>
      <c r="C1843" t="s">
        <v>3047</v>
      </c>
      <c r="D1843" t="s">
        <v>4824</v>
      </c>
      <c r="E1843" t="s">
        <v>4866</v>
      </c>
      <c r="F1843">
        <v>39</v>
      </c>
      <c r="G1843" t="s">
        <v>4881</v>
      </c>
      <c r="H1843" t="s">
        <v>4881</v>
      </c>
      <c r="I1843" t="s">
        <v>4899</v>
      </c>
      <c r="J1843" t="s">
        <v>4911</v>
      </c>
      <c r="K1843" t="s">
        <v>4924</v>
      </c>
      <c r="L1843" t="s">
        <v>4941</v>
      </c>
      <c r="M1843" t="s">
        <v>4943</v>
      </c>
      <c r="N1843" s="11">
        <v>6730.01</v>
      </c>
      <c r="O1843" t="s">
        <v>4949</v>
      </c>
      <c r="P1843" t="s">
        <v>4951</v>
      </c>
      <c r="S1843" t="str">
        <f t="shared" si="85"/>
        <v>Adult</v>
      </c>
      <c r="T1843" t="str">
        <f t="shared" si="86"/>
        <v>Medium</v>
      </c>
      <c r="U1843" t="str">
        <f t="shared" si="87"/>
        <v>Short Days</v>
      </c>
    </row>
    <row r="1844" spans="1:21">
      <c r="A1844" t="s">
        <v>1860</v>
      </c>
      <c r="B1844" s="5">
        <v>45467</v>
      </c>
      <c r="C1844" t="s">
        <v>3524</v>
      </c>
      <c r="D1844" t="s">
        <v>4655</v>
      </c>
      <c r="E1844" t="s">
        <v>4867</v>
      </c>
      <c r="F1844">
        <v>64</v>
      </c>
      <c r="G1844" t="s">
        <v>4877</v>
      </c>
      <c r="H1844" t="s">
        <v>4888</v>
      </c>
      <c r="I1844" t="s">
        <v>4898</v>
      </c>
      <c r="J1844" t="s">
        <v>4909</v>
      </c>
      <c r="K1844" t="s">
        <v>4933</v>
      </c>
      <c r="L1844" t="s">
        <v>4934</v>
      </c>
      <c r="M1844" t="s">
        <v>4942</v>
      </c>
      <c r="N1844" s="11">
        <v>5803.29</v>
      </c>
      <c r="O1844" t="s">
        <v>4949</v>
      </c>
      <c r="P1844" t="s">
        <v>4951</v>
      </c>
      <c r="R1844">
        <v>90</v>
      </c>
      <c r="S1844" t="str">
        <f t="shared" si="85"/>
        <v>Senior</v>
      </c>
      <c r="T1844" t="str">
        <f t="shared" si="86"/>
        <v>Medium</v>
      </c>
      <c r="U1844" t="str">
        <f t="shared" si="87"/>
        <v>Short Days</v>
      </c>
    </row>
    <row r="1845" spans="1:21">
      <c r="A1845" t="s">
        <v>1861</v>
      </c>
      <c r="B1845" s="5">
        <v>45679</v>
      </c>
      <c r="C1845" t="s">
        <v>4231</v>
      </c>
      <c r="D1845" t="s">
        <v>4747</v>
      </c>
      <c r="E1845" t="s">
        <v>4866</v>
      </c>
      <c r="F1845">
        <v>45</v>
      </c>
      <c r="G1845" t="s">
        <v>4874</v>
      </c>
      <c r="H1845" t="s">
        <v>4886</v>
      </c>
      <c r="I1845" t="s">
        <v>4900</v>
      </c>
      <c r="J1845" t="s">
        <v>4919</v>
      </c>
      <c r="K1845" t="s">
        <v>4926</v>
      </c>
      <c r="L1845" t="s">
        <v>4941</v>
      </c>
      <c r="M1845" t="s">
        <v>4942</v>
      </c>
      <c r="N1845" s="11">
        <v>4010.93</v>
      </c>
      <c r="O1845" t="s">
        <v>4946</v>
      </c>
      <c r="P1845" t="s">
        <v>4951</v>
      </c>
      <c r="R1845">
        <v>90</v>
      </c>
      <c r="S1845" t="str">
        <f t="shared" si="85"/>
        <v>Middle-Aged</v>
      </c>
      <c r="T1845" t="str">
        <f t="shared" si="86"/>
        <v>Low</v>
      </c>
      <c r="U1845" t="str">
        <f t="shared" si="87"/>
        <v>Short Days</v>
      </c>
    </row>
    <row r="1846" spans="1:21">
      <c r="A1846" t="s">
        <v>1862</v>
      </c>
      <c r="B1846" s="5">
        <v>45878</v>
      </c>
      <c r="C1846" t="s">
        <v>3372</v>
      </c>
      <c r="D1846" t="s">
        <v>4722</v>
      </c>
      <c r="E1846" t="s">
        <v>4867</v>
      </c>
      <c r="F1846">
        <v>34</v>
      </c>
      <c r="G1846" t="s">
        <v>4876</v>
      </c>
      <c r="H1846" t="s">
        <v>4888</v>
      </c>
      <c r="I1846" t="s">
        <v>4897</v>
      </c>
      <c r="J1846" t="s">
        <v>4922</v>
      </c>
      <c r="K1846" t="s">
        <v>4924</v>
      </c>
      <c r="L1846" t="s">
        <v>4940</v>
      </c>
      <c r="M1846" t="s">
        <v>4942</v>
      </c>
      <c r="N1846" s="11">
        <v>1321.44</v>
      </c>
      <c r="O1846" t="s">
        <v>15</v>
      </c>
      <c r="P1846" t="s">
        <v>4952</v>
      </c>
      <c r="S1846" t="str">
        <f t="shared" si="85"/>
        <v>Adult</v>
      </c>
      <c r="T1846" t="str">
        <f t="shared" si="86"/>
        <v>Low</v>
      </c>
      <c r="U1846" t="str">
        <f t="shared" si="87"/>
        <v>Short Days</v>
      </c>
    </row>
    <row r="1847" spans="1:21">
      <c r="A1847" t="s">
        <v>1863</v>
      </c>
      <c r="B1847" s="5">
        <v>45505</v>
      </c>
      <c r="C1847" t="s">
        <v>3287</v>
      </c>
      <c r="D1847" t="s">
        <v>4830</v>
      </c>
      <c r="E1847" t="s">
        <v>4867</v>
      </c>
      <c r="F1847">
        <v>12</v>
      </c>
      <c r="G1847" t="s">
        <v>4873</v>
      </c>
      <c r="H1847" t="s">
        <v>4888</v>
      </c>
      <c r="I1847" t="s">
        <v>4899</v>
      </c>
      <c r="J1847" t="s">
        <v>4911</v>
      </c>
      <c r="K1847" t="s">
        <v>4931</v>
      </c>
      <c r="L1847" t="s">
        <v>4938</v>
      </c>
      <c r="M1847" t="s">
        <v>4942</v>
      </c>
      <c r="N1847" s="11">
        <v>8006.55</v>
      </c>
      <c r="O1847" t="s">
        <v>4946</v>
      </c>
      <c r="P1847" t="s">
        <v>4951</v>
      </c>
      <c r="S1847" t="str">
        <f t="shared" si="85"/>
        <v>Child</v>
      </c>
      <c r="T1847" t="str">
        <f t="shared" si="86"/>
        <v>Medium</v>
      </c>
      <c r="U1847" t="str">
        <f t="shared" si="87"/>
        <v>Short Days</v>
      </c>
    </row>
    <row r="1848" spans="1:21">
      <c r="A1848" t="s">
        <v>1864</v>
      </c>
      <c r="B1848" s="5">
        <v>45462</v>
      </c>
      <c r="C1848" t="s">
        <v>3364</v>
      </c>
      <c r="D1848" t="s">
        <v>4714</v>
      </c>
      <c r="E1848" t="s">
        <v>4867</v>
      </c>
      <c r="F1848">
        <v>69</v>
      </c>
      <c r="G1848" t="s">
        <v>4878</v>
      </c>
      <c r="H1848" t="s">
        <v>4889</v>
      </c>
      <c r="I1848" t="s">
        <v>4896</v>
      </c>
      <c r="J1848" t="s">
        <v>4908</v>
      </c>
      <c r="K1848" t="s">
        <v>4933</v>
      </c>
      <c r="L1848" t="s">
        <v>4940</v>
      </c>
      <c r="M1848" t="s">
        <v>4942</v>
      </c>
      <c r="N1848" s="11">
        <v>608.48</v>
      </c>
      <c r="O1848" t="s">
        <v>4947</v>
      </c>
      <c r="P1848" t="s">
        <v>4951</v>
      </c>
      <c r="R1848">
        <v>7</v>
      </c>
      <c r="S1848" t="str">
        <f t="shared" si="85"/>
        <v>Senior</v>
      </c>
      <c r="T1848" t="str">
        <f t="shared" si="86"/>
        <v>Low</v>
      </c>
      <c r="U1848" t="str">
        <f t="shared" si="87"/>
        <v>Short Days</v>
      </c>
    </row>
    <row r="1849" spans="1:21">
      <c r="A1849" t="s">
        <v>1865</v>
      </c>
      <c r="B1849" s="5">
        <v>45328</v>
      </c>
      <c r="C1849" t="s">
        <v>3869</v>
      </c>
      <c r="D1849" t="s">
        <v>4669</v>
      </c>
      <c r="E1849" t="s">
        <v>4867</v>
      </c>
      <c r="F1849">
        <v>56</v>
      </c>
      <c r="G1849" t="s">
        <v>4882</v>
      </c>
      <c r="H1849" t="s">
        <v>4891</v>
      </c>
      <c r="I1849" t="s">
        <v>4893</v>
      </c>
      <c r="J1849" t="s">
        <v>4917</v>
      </c>
      <c r="K1849" t="s">
        <v>4928</v>
      </c>
      <c r="L1849" t="s">
        <v>4934</v>
      </c>
      <c r="M1849" t="s">
        <v>4942</v>
      </c>
      <c r="N1849" s="11">
        <v>11503.57</v>
      </c>
      <c r="O1849" t="s">
        <v>4949</v>
      </c>
      <c r="P1849" t="s">
        <v>4951</v>
      </c>
      <c r="S1849" t="str">
        <f t="shared" si="85"/>
        <v>Middle-Aged</v>
      </c>
      <c r="T1849" t="str">
        <f t="shared" si="86"/>
        <v>High</v>
      </c>
      <c r="U1849" t="str">
        <f t="shared" si="87"/>
        <v>Short Days</v>
      </c>
    </row>
    <row r="1850" spans="1:21">
      <c r="A1850" t="s">
        <v>1866</v>
      </c>
      <c r="B1850" s="5">
        <v>45362</v>
      </c>
      <c r="C1850" t="s">
        <v>3898</v>
      </c>
      <c r="D1850" t="s">
        <v>4791</v>
      </c>
      <c r="E1850" t="s">
        <v>4867</v>
      </c>
      <c r="F1850">
        <v>37</v>
      </c>
      <c r="G1850" t="s">
        <v>4881</v>
      </c>
      <c r="H1850" t="s">
        <v>4881</v>
      </c>
      <c r="I1850" t="s">
        <v>4896</v>
      </c>
      <c r="J1850" t="s">
        <v>4908</v>
      </c>
      <c r="K1850" t="s">
        <v>4928</v>
      </c>
      <c r="L1850" t="s">
        <v>4939</v>
      </c>
      <c r="M1850" t="s">
        <v>4942</v>
      </c>
      <c r="N1850" s="11">
        <v>6800.5</v>
      </c>
      <c r="O1850" t="s">
        <v>4949</v>
      </c>
      <c r="P1850" t="s">
        <v>4951</v>
      </c>
      <c r="S1850" t="str">
        <f t="shared" si="85"/>
        <v>Adult</v>
      </c>
      <c r="T1850" t="str">
        <f t="shared" si="86"/>
        <v>Medium</v>
      </c>
      <c r="U1850" t="str">
        <f t="shared" si="87"/>
        <v>Short Days</v>
      </c>
    </row>
    <row r="1851" spans="1:21">
      <c r="A1851" t="s">
        <v>1867</v>
      </c>
      <c r="B1851" s="5">
        <v>45696</v>
      </c>
      <c r="C1851" t="s">
        <v>3752</v>
      </c>
      <c r="D1851" t="s">
        <v>4831</v>
      </c>
      <c r="E1851" t="s">
        <v>4867</v>
      </c>
      <c r="F1851">
        <v>40</v>
      </c>
      <c r="G1851" t="s">
        <v>4880</v>
      </c>
      <c r="H1851" t="s">
        <v>4890</v>
      </c>
      <c r="I1851" t="s">
        <v>4896</v>
      </c>
      <c r="J1851" t="s">
        <v>4906</v>
      </c>
      <c r="K1851" t="s">
        <v>4926</v>
      </c>
      <c r="L1851" t="s">
        <v>4940</v>
      </c>
      <c r="M1851" t="s">
        <v>4942</v>
      </c>
      <c r="N1851" s="11">
        <v>4669.83</v>
      </c>
      <c r="O1851" t="s">
        <v>4947</v>
      </c>
      <c r="P1851" t="s">
        <v>4951</v>
      </c>
      <c r="R1851">
        <v>14</v>
      </c>
      <c r="S1851" t="str">
        <f t="shared" si="85"/>
        <v>Adult</v>
      </c>
      <c r="T1851" t="str">
        <f t="shared" si="86"/>
        <v>Low</v>
      </c>
      <c r="U1851" t="str">
        <f t="shared" si="87"/>
        <v>Short Days</v>
      </c>
    </row>
    <row r="1852" spans="1:21">
      <c r="A1852" t="s">
        <v>1868</v>
      </c>
      <c r="B1852" s="5">
        <v>45364</v>
      </c>
      <c r="C1852" t="s">
        <v>3649</v>
      </c>
      <c r="D1852" t="s">
        <v>4673</v>
      </c>
      <c r="E1852" t="s">
        <v>4866</v>
      </c>
      <c r="F1852">
        <v>5</v>
      </c>
      <c r="G1852" t="s">
        <v>4873</v>
      </c>
      <c r="H1852" t="s">
        <v>4888</v>
      </c>
      <c r="I1852" t="s">
        <v>4900</v>
      </c>
      <c r="J1852" t="s">
        <v>4913</v>
      </c>
      <c r="K1852" t="s">
        <v>4925</v>
      </c>
      <c r="L1852" t="s">
        <v>4940</v>
      </c>
      <c r="M1852" t="s">
        <v>4942</v>
      </c>
      <c r="N1852" s="11">
        <v>3359.54</v>
      </c>
      <c r="O1852" t="s">
        <v>15</v>
      </c>
      <c r="P1852" t="s">
        <v>4952</v>
      </c>
      <c r="R1852">
        <v>7</v>
      </c>
      <c r="S1852" t="str">
        <f t="shared" si="85"/>
        <v>Child</v>
      </c>
      <c r="T1852" t="str">
        <f t="shared" si="86"/>
        <v>Low</v>
      </c>
      <c r="U1852" t="str">
        <f t="shared" si="87"/>
        <v>Short Days</v>
      </c>
    </row>
    <row r="1853" spans="1:21">
      <c r="A1853" t="s">
        <v>1869</v>
      </c>
      <c r="B1853" s="5">
        <v>45505</v>
      </c>
      <c r="C1853" t="s">
        <v>4232</v>
      </c>
      <c r="D1853" t="s">
        <v>4726</v>
      </c>
      <c r="E1853" t="s">
        <v>4867</v>
      </c>
      <c r="F1853">
        <v>39</v>
      </c>
      <c r="G1853" t="s">
        <v>4870</v>
      </c>
      <c r="H1853" t="s">
        <v>4885</v>
      </c>
      <c r="I1853" t="s">
        <v>4900</v>
      </c>
      <c r="J1853" t="s">
        <v>4919</v>
      </c>
      <c r="K1853" t="s">
        <v>4924</v>
      </c>
      <c r="L1853" t="s">
        <v>4940</v>
      </c>
      <c r="M1853" t="s">
        <v>4944</v>
      </c>
      <c r="N1853" s="11">
        <v>5297.13</v>
      </c>
      <c r="O1853" t="s">
        <v>4946</v>
      </c>
      <c r="P1853" t="s">
        <v>4951</v>
      </c>
      <c r="R1853">
        <v>14</v>
      </c>
      <c r="S1853" t="str">
        <f t="shared" si="85"/>
        <v>Adult</v>
      </c>
      <c r="T1853" t="str">
        <f t="shared" si="86"/>
        <v>Medium</v>
      </c>
      <c r="U1853" t="str">
        <f t="shared" si="87"/>
        <v>Short Days</v>
      </c>
    </row>
    <row r="1854" spans="1:21">
      <c r="A1854" t="s">
        <v>1870</v>
      </c>
      <c r="B1854" s="5">
        <v>45323</v>
      </c>
      <c r="C1854" t="s">
        <v>3916</v>
      </c>
      <c r="D1854" t="s">
        <v>4703</v>
      </c>
      <c r="E1854" t="s">
        <v>4866</v>
      </c>
      <c r="F1854">
        <v>7</v>
      </c>
      <c r="G1854" t="s">
        <v>4873</v>
      </c>
      <c r="H1854" t="s">
        <v>4888</v>
      </c>
      <c r="I1854" t="s">
        <v>4902</v>
      </c>
      <c r="J1854" t="s">
        <v>4916</v>
      </c>
      <c r="K1854" t="s">
        <v>4926</v>
      </c>
      <c r="L1854" t="s">
        <v>4938</v>
      </c>
      <c r="M1854" t="s">
        <v>4942</v>
      </c>
      <c r="N1854" s="11">
        <v>2866.17</v>
      </c>
      <c r="O1854" t="s">
        <v>4949</v>
      </c>
      <c r="P1854" t="s">
        <v>4951</v>
      </c>
      <c r="R1854">
        <v>90</v>
      </c>
      <c r="S1854" t="str">
        <f t="shared" si="85"/>
        <v>Child</v>
      </c>
      <c r="T1854" t="str">
        <f t="shared" si="86"/>
        <v>Low</v>
      </c>
      <c r="U1854" t="str">
        <f t="shared" si="87"/>
        <v>Short Days</v>
      </c>
    </row>
    <row r="1855" spans="1:21">
      <c r="A1855" t="s">
        <v>1871</v>
      </c>
      <c r="B1855" s="5">
        <v>45682</v>
      </c>
      <c r="C1855" t="s">
        <v>4233</v>
      </c>
      <c r="D1855" t="s">
        <v>4856</v>
      </c>
      <c r="E1855" t="s">
        <v>4867</v>
      </c>
      <c r="F1855">
        <f>AVERAGE(F1848,F1854)</f>
        <v>38</v>
      </c>
      <c r="G1855" t="s">
        <v>4881</v>
      </c>
      <c r="H1855" t="s">
        <v>4888</v>
      </c>
      <c r="I1855" t="s">
        <v>4899</v>
      </c>
      <c r="J1855" t="s">
        <v>4911</v>
      </c>
      <c r="K1855" t="s">
        <v>4953</v>
      </c>
      <c r="L1855" t="s">
        <v>4937</v>
      </c>
      <c r="M1855" t="s">
        <v>4942</v>
      </c>
      <c r="N1855" s="11">
        <v>3558.99</v>
      </c>
      <c r="O1855" t="s">
        <v>4948</v>
      </c>
      <c r="P1855" t="s">
        <v>4951</v>
      </c>
      <c r="R1855">
        <v>90</v>
      </c>
      <c r="S1855" t="str">
        <f t="shared" si="85"/>
        <v>Adult</v>
      </c>
      <c r="T1855" t="str">
        <f t="shared" si="86"/>
        <v>Low</v>
      </c>
      <c r="U1855" t="str">
        <f t="shared" si="87"/>
        <v>Short Days</v>
      </c>
    </row>
    <row r="1856" spans="1:21">
      <c r="A1856" t="s">
        <v>1872</v>
      </c>
      <c r="B1856" s="5">
        <v>45354</v>
      </c>
      <c r="C1856" t="s">
        <v>3215</v>
      </c>
      <c r="D1856" t="s">
        <v>4621</v>
      </c>
      <c r="E1856" t="s">
        <v>4866</v>
      </c>
      <c r="F1856">
        <v>43</v>
      </c>
      <c r="G1856" t="s">
        <v>4880</v>
      </c>
      <c r="H1856" t="s">
        <v>4890</v>
      </c>
      <c r="I1856" t="s">
        <v>4895</v>
      </c>
      <c r="J1856" t="s">
        <v>4905</v>
      </c>
      <c r="K1856" t="s">
        <v>4930</v>
      </c>
      <c r="L1856" t="s">
        <v>4934</v>
      </c>
      <c r="M1856" t="s">
        <v>4944</v>
      </c>
      <c r="N1856" s="11">
        <v>6043.8</v>
      </c>
      <c r="O1856" t="s">
        <v>4949</v>
      </c>
      <c r="P1856" t="s">
        <v>4951</v>
      </c>
      <c r="R1856">
        <v>7</v>
      </c>
      <c r="S1856" t="str">
        <f t="shared" si="85"/>
        <v>Middle-Aged</v>
      </c>
      <c r="T1856" t="str">
        <f t="shared" si="86"/>
        <v>Medium</v>
      </c>
      <c r="U1856" t="str">
        <f t="shared" si="87"/>
        <v>Short Days</v>
      </c>
    </row>
    <row r="1857" spans="1:21">
      <c r="A1857" t="s">
        <v>1873</v>
      </c>
      <c r="B1857" s="5">
        <v>45711</v>
      </c>
      <c r="C1857" t="s">
        <v>3257</v>
      </c>
      <c r="D1857" t="s">
        <v>4706</v>
      </c>
      <c r="E1857" t="s">
        <v>4867</v>
      </c>
      <c r="F1857">
        <v>1</v>
      </c>
      <c r="G1857" t="s">
        <v>4869</v>
      </c>
      <c r="H1857" t="s">
        <v>4884</v>
      </c>
      <c r="I1857" t="s">
        <v>4900</v>
      </c>
      <c r="J1857" t="s">
        <v>4919</v>
      </c>
      <c r="K1857" t="s">
        <v>4930</v>
      </c>
      <c r="L1857" t="s">
        <v>4938</v>
      </c>
      <c r="M1857" t="s">
        <v>4942</v>
      </c>
      <c r="N1857" s="11">
        <v>7940.43</v>
      </c>
      <c r="O1857" t="s">
        <v>4946</v>
      </c>
      <c r="P1857" t="s">
        <v>4951</v>
      </c>
      <c r="S1857" t="str">
        <f t="shared" si="85"/>
        <v>Child</v>
      </c>
      <c r="T1857" t="str">
        <f t="shared" si="86"/>
        <v>Medium</v>
      </c>
      <c r="U1857" t="str">
        <f t="shared" si="87"/>
        <v>Short Days</v>
      </c>
    </row>
    <row r="1858" spans="1:21">
      <c r="A1858" t="s">
        <v>1874</v>
      </c>
      <c r="B1858" s="5">
        <v>45749</v>
      </c>
      <c r="C1858" t="s">
        <v>4234</v>
      </c>
      <c r="D1858" t="s">
        <v>4594</v>
      </c>
      <c r="E1858" t="s">
        <v>4867</v>
      </c>
      <c r="F1858">
        <v>32</v>
      </c>
      <c r="G1858" t="s">
        <v>4882</v>
      </c>
      <c r="H1858" t="s">
        <v>4891</v>
      </c>
      <c r="I1858" t="s">
        <v>4902</v>
      </c>
      <c r="J1858" t="s">
        <v>4916</v>
      </c>
      <c r="K1858" t="s">
        <v>4929</v>
      </c>
      <c r="L1858" t="s">
        <v>4936</v>
      </c>
      <c r="M1858" t="s">
        <v>4942</v>
      </c>
      <c r="N1858" s="11">
        <v>5557.91</v>
      </c>
      <c r="O1858" t="s">
        <v>4948</v>
      </c>
      <c r="P1858" t="s">
        <v>4951</v>
      </c>
      <c r="R1858">
        <v>7</v>
      </c>
      <c r="S1858" t="str">
        <f t="shared" si="85"/>
        <v>Adult</v>
      </c>
      <c r="T1858" t="str">
        <f t="shared" si="86"/>
        <v>Medium</v>
      </c>
      <c r="U1858" t="str">
        <f t="shared" si="87"/>
        <v>Short Days</v>
      </c>
    </row>
    <row r="1859" spans="1:21">
      <c r="A1859" t="s">
        <v>1875</v>
      </c>
      <c r="B1859" s="5">
        <v>45488</v>
      </c>
      <c r="C1859" t="s">
        <v>4235</v>
      </c>
      <c r="D1859" t="s">
        <v>4644</v>
      </c>
      <c r="E1859" t="s">
        <v>4867</v>
      </c>
      <c r="F1859">
        <v>18</v>
      </c>
      <c r="G1859" t="s">
        <v>4882</v>
      </c>
      <c r="H1859" t="s">
        <v>4891</v>
      </c>
      <c r="I1859" t="s">
        <v>4896</v>
      </c>
      <c r="J1859" t="s">
        <v>4908</v>
      </c>
      <c r="K1859" t="s">
        <v>4930</v>
      </c>
      <c r="L1859" t="s">
        <v>4937</v>
      </c>
      <c r="M1859" t="s">
        <v>4942</v>
      </c>
      <c r="N1859" s="11">
        <v>2281.15</v>
      </c>
      <c r="O1859" t="s">
        <v>4948</v>
      </c>
      <c r="P1859" t="s">
        <v>4951</v>
      </c>
      <c r="R1859">
        <v>30</v>
      </c>
      <c r="S1859" t="str">
        <f t="shared" ref="S1859:S1922" si="88">IF(F1859&lt;18,"Child",IF(F1859&lt;=40,"Adult",IF(F1859&lt;=60,"Middle-Aged",IF(F1859,"Senior"))))</f>
        <v>Adult</v>
      </c>
      <c r="T1859" t="str">
        <f t="shared" ref="T1859:T1922" si="89">IF(N1859&lt;=5000,"Low",IF(N1859&lt;=10000,"Medium","High"))</f>
        <v>Low</v>
      </c>
      <c r="U1859" t="str">
        <f t="shared" ref="U1859:U1922" si="90">IF(Q1859&lt;=5,"Short Days","Long Days")</f>
        <v>Short Days</v>
      </c>
    </row>
    <row r="1860" spans="1:21">
      <c r="A1860" t="s">
        <v>1876</v>
      </c>
      <c r="B1860" s="5">
        <v>45311</v>
      </c>
      <c r="C1860" t="s">
        <v>3761</v>
      </c>
      <c r="D1860" t="s">
        <v>4845</v>
      </c>
      <c r="E1860" t="s">
        <v>4867</v>
      </c>
      <c r="F1860">
        <v>76</v>
      </c>
      <c r="G1860" t="s">
        <v>4869</v>
      </c>
      <c r="H1860" t="s">
        <v>4884</v>
      </c>
      <c r="I1860" t="s">
        <v>4895</v>
      </c>
      <c r="J1860" t="s">
        <v>4915</v>
      </c>
      <c r="K1860" t="s">
        <v>4929</v>
      </c>
      <c r="L1860" t="s">
        <v>4941</v>
      </c>
      <c r="M1860" t="s">
        <v>4942</v>
      </c>
      <c r="N1860" s="11">
        <v>7489.4</v>
      </c>
      <c r="O1860" t="s">
        <v>4946</v>
      </c>
      <c r="P1860" t="s">
        <v>4951</v>
      </c>
      <c r="S1860" t="str">
        <f t="shared" si="88"/>
        <v>Senior</v>
      </c>
      <c r="T1860" t="str">
        <f t="shared" si="89"/>
        <v>Medium</v>
      </c>
      <c r="U1860" t="str">
        <f t="shared" si="90"/>
        <v>Short Days</v>
      </c>
    </row>
    <row r="1861" spans="1:21">
      <c r="A1861" t="s">
        <v>1877</v>
      </c>
      <c r="B1861" s="5">
        <v>45534</v>
      </c>
      <c r="C1861" t="s">
        <v>4236</v>
      </c>
      <c r="D1861" t="s">
        <v>4613</v>
      </c>
      <c r="E1861" t="s">
        <v>4867</v>
      </c>
      <c r="F1861">
        <v>59</v>
      </c>
      <c r="G1861" t="s">
        <v>4882</v>
      </c>
      <c r="H1861" t="s">
        <v>4891</v>
      </c>
      <c r="I1861" t="s">
        <v>4896</v>
      </c>
      <c r="J1861" t="s">
        <v>4906</v>
      </c>
      <c r="K1861" t="s">
        <v>4925</v>
      </c>
      <c r="L1861" t="s">
        <v>4940</v>
      </c>
      <c r="M1861" t="s">
        <v>4942</v>
      </c>
      <c r="N1861" s="11">
        <v>14700.77</v>
      </c>
      <c r="O1861" t="s">
        <v>4947</v>
      </c>
      <c r="P1861" t="s">
        <v>4951</v>
      </c>
      <c r="R1861">
        <v>90</v>
      </c>
      <c r="S1861" t="str">
        <f t="shared" si="88"/>
        <v>Middle-Aged</v>
      </c>
      <c r="T1861" t="str">
        <f t="shared" si="89"/>
        <v>High</v>
      </c>
      <c r="U1861" t="str">
        <f t="shared" si="90"/>
        <v>Short Days</v>
      </c>
    </row>
    <row r="1862" spans="1:21">
      <c r="A1862" t="s">
        <v>1878</v>
      </c>
      <c r="B1862" s="5">
        <v>45696</v>
      </c>
      <c r="C1862" t="s">
        <v>4237</v>
      </c>
      <c r="D1862" t="s">
        <v>4736</v>
      </c>
      <c r="E1862" t="s">
        <v>4866</v>
      </c>
      <c r="F1862">
        <v>45</v>
      </c>
      <c r="G1862" t="s">
        <v>4878</v>
      </c>
      <c r="H1862" t="s">
        <v>4889</v>
      </c>
      <c r="I1862" t="s">
        <v>4900</v>
      </c>
      <c r="J1862" t="s">
        <v>4913</v>
      </c>
      <c r="K1862" t="s">
        <v>4925</v>
      </c>
      <c r="L1862" t="s">
        <v>4934</v>
      </c>
      <c r="M1862" t="s">
        <v>4944</v>
      </c>
      <c r="N1862" s="11">
        <v>9537.73</v>
      </c>
      <c r="O1862" t="s">
        <v>4946</v>
      </c>
      <c r="P1862" t="s">
        <v>4951</v>
      </c>
      <c r="R1862">
        <v>90</v>
      </c>
      <c r="S1862" t="str">
        <f t="shared" si="88"/>
        <v>Middle-Aged</v>
      </c>
      <c r="T1862" t="str">
        <f t="shared" si="89"/>
        <v>Medium</v>
      </c>
      <c r="U1862" t="str">
        <f t="shared" si="90"/>
        <v>Short Days</v>
      </c>
    </row>
    <row r="1863" spans="1:21">
      <c r="A1863" t="s">
        <v>1879</v>
      </c>
      <c r="B1863" s="5">
        <v>45428</v>
      </c>
      <c r="C1863" t="s">
        <v>4238</v>
      </c>
      <c r="D1863" t="s">
        <v>4786</v>
      </c>
      <c r="E1863" t="s">
        <v>4866</v>
      </c>
      <c r="F1863">
        <v>23</v>
      </c>
      <c r="G1863" t="s">
        <v>4880</v>
      </c>
      <c r="H1863" t="s">
        <v>4890</v>
      </c>
      <c r="I1863" t="s">
        <v>4899</v>
      </c>
      <c r="J1863" t="s">
        <v>4912</v>
      </c>
      <c r="K1863" t="s">
        <v>4924</v>
      </c>
      <c r="L1863" t="s">
        <v>4940</v>
      </c>
      <c r="M1863" t="s">
        <v>4944</v>
      </c>
      <c r="N1863" s="11">
        <v>6828.19</v>
      </c>
      <c r="O1863" t="s">
        <v>4949</v>
      </c>
      <c r="P1863" t="s">
        <v>4951</v>
      </c>
      <c r="R1863">
        <v>14</v>
      </c>
      <c r="S1863" t="str">
        <f t="shared" si="88"/>
        <v>Adult</v>
      </c>
      <c r="T1863" t="str">
        <f t="shared" si="89"/>
        <v>Medium</v>
      </c>
      <c r="U1863" t="str">
        <f t="shared" si="90"/>
        <v>Short Days</v>
      </c>
    </row>
    <row r="1864" spans="1:21">
      <c r="A1864" t="s">
        <v>1880</v>
      </c>
      <c r="B1864" s="5">
        <v>45650</v>
      </c>
      <c r="C1864" t="s">
        <v>3708</v>
      </c>
      <c r="D1864" t="s">
        <v>4713</v>
      </c>
      <c r="E1864" t="s">
        <v>4866</v>
      </c>
      <c r="F1864">
        <v>9</v>
      </c>
      <c r="G1864" t="s">
        <v>4877</v>
      </c>
      <c r="H1864" t="s">
        <v>4888</v>
      </c>
      <c r="I1864" t="s">
        <v>4898</v>
      </c>
      <c r="J1864" t="s">
        <v>4923</v>
      </c>
      <c r="K1864" t="s">
        <v>4931</v>
      </c>
      <c r="L1864" t="s">
        <v>4937</v>
      </c>
      <c r="M1864" t="s">
        <v>4942</v>
      </c>
      <c r="N1864" s="11">
        <v>4958.25</v>
      </c>
      <c r="O1864" t="s">
        <v>4949</v>
      </c>
      <c r="P1864" t="s">
        <v>4951</v>
      </c>
      <c r="R1864">
        <v>90</v>
      </c>
      <c r="S1864" t="str">
        <f t="shared" si="88"/>
        <v>Child</v>
      </c>
      <c r="T1864" t="str">
        <f t="shared" si="89"/>
        <v>Low</v>
      </c>
      <c r="U1864" t="str">
        <f t="shared" si="90"/>
        <v>Short Days</v>
      </c>
    </row>
    <row r="1865" spans="1:21">
      <c r="A1865" t="s">
        <v>1881</v>
      </c>
      <c r="B1865" s="5">
        <v>45400</v>
      </c>
      <c r="C1865" t="s">
        <v>3449</v>
      </c>
      <c r="D1865" t="s">
        <v>4823</v>
      </c>
      <c r="E1865" t="s">
        <v>4867</v>
      </c>
      <c r="F1865">
        <v>55</v>
      </c>
      <c r="G1865" t="s">
        <v>4869</v>
      </c>
      <c r="H1865" t="s">
        <v>4884</v>
      </c>
      <c r="I1865" t="s">
        <v>4898</v>
      </c>
      <c r="J1865" t="s">
        <v>4909</v>
      </c>
      <c r="K1865" t="s">
        <v>4926</v>
      </c>
      <c r="L1865" t="s">
        <v>4936</v>
      </c>
      <c r="M1865" t="s">
        <v>4944</v>
      </c>
      <c r="N1865" s="11">
        <v>13016.85</v>
      </c>
      <c r="O1865" t="s">
        <v>4947</v>
      </c>
      <c r="P1865" t="s">
        <v>4951</v>
      </c>
      <c r="R1865">
        <v>14</v>
      </c>
      <c r="S1865" t="str">
        <f t="shared" si="88"/>
        <v>Middle-Aged</v>
      </c>
      <c r="T1865" t="str">
        <f t="shared" si="89"/>
        <v>High</v>
      </c>
      <c r="U1865" t="str">
        <f t="shared" si="90"/>
        <v>Short Days</v>
      </c>
    </row>
    <row r="1866" spans="1:21">
      <c r="A1866" t="s">
        <v>1882</v>
      </c>
      <c r="B1866" s="5">
        <v>45417</v>
      </c>
      <c r="C1866" t="s">
        <v>3690</v>
      </c>
      <c r="D1866" t="s">
        <v>4730</v>
      </c>
      <c r="E1866" t="s">
        <v>4867</v>
      </c>
      <c r="F1866">
        <v>39</v>
      </c>
      <c r="G1866" t="s">
        <v>4875</v>
      </c>
      <c r="H1866" t="s">
        <v>4889</v>
      </c>
      <c r="I1866" t="s">
        <v>4899</v>
      </c>
      <c r="J1866" t="s">
        <v>4912</v>
      </c>
      <c r="K1866" t="s">
        <v>4924</v>
      </c>
      <c r="L1866" t="s">
        <v>4938</v>
      </c>
      <c r="M1866" t="s">
        <v>4942</v>
      </c>
      <c r="N1866" s="11">
        <v>4190.42</v>
      </c>
      <c r="O1866" t="s">
        <v>4948</v>
      </c>
      <c r="P1866" t="s">
        <v>4951</v>
      </c>
      <c r="R1866">
        <v>14</v>
      </c>
      <c r="S1866" t="str">
        <f t="shared" si="88"/>
        <v>Adult</v>
      </c>
      <c r="T1866" t="str">
        <f t="shared" si="89"/>
        <v>Low</v>
      </c>
      <c r="U1866" t="str">
        <f t="shared" si="90"/>
        <v>Short Days</v>
      </c>
    </row>
    <row r="1867" spans="1:21">
      <c r="A1867" t="s">
        <v>1883</v>
      </c>
      <c r="B1867" s="5">
        <v>45474</v>
      </c>
      <c r="C1867" t="s">
        <v>4239</v>
      </c>
      <c r="D1867" t="s">
        <v>4852</v>
      </c>
      <c r="E1867" t="s">
        <v>4866</v>
      </c>
      <c r="F1867">
        <v>15</v>
      </c>
      <c r="G1867" t="s">
        <v>4883</v>
      </c>
      <c r="H1867" t="s">
        <v>4892</v>
      </c>
      <c r="I1867" t="s">
        <v>4899</v>
      </c>
      <c r="J1867" t="s">
        <v>4911</v>
      </c>
      <c r="K1867" t="s">
        <v>4933</v>
      </c>
      <c r="L1867" t="s">
        <v>4941</v>
      </c>
      <c r="M1867" t="s">
        <v>4942</v>
      </c>
      <c r="N1867" s="11">
        <v>5833.87</v>
      </c>
      <c r="O1867" t="s">
        <v>4947</v>
      </c>
      <c r="P1867" t="s">
        <v>4951</v>
      </c>
      <c r="R1867">
        <v>7</v>
      </c>
      <c r="S1867" t="str">
        <f t="shared" si="88"/>
        <v>Child</v>
      </c>
      <c r="T1867" t="str">
        <f t="shared" si="89"/>
        <v>Medium</v>
      </c>
      <c r="U1867" t="str">
        <f t="shared" si="90"/>
        <v>Short Days</v>
      </c>
    </row>
    <row r="1868" spans="1:21">
      <c r="A1868" t="s">
        <v>1884</v>
      </c>
      <c r="B1868" s="5">
        <v>45697</v>
      </c>
      <c r="C1868" t="s">
        <v>4240</v>
      </c>
      <c r="D1868" t="s">
        <v>4650</v>
      </c>
      <c r="E1868" t="s">
        <v>4866</v>
      </c>
      <c r="F1868">
        <v>44</v>
      </c>
      <c r="G1868" t="s">
        <v>4876</v>
      </c>
      <c r="H1868" t="s">
        <v>4888</v>
      </c>
      <c r="I1868" t="s">
        <v>4895</v>
      </c>
      <c r="J1868" t="s">
        <v>4915</v>
      </c>
      <c r="K1868" t="s">
        <v>4932</v>
      </c>
      <c r="L1868" t="s">
        <v>4940</v>
      </c>
      <c r="M1868" t="s">
        <v>4942</v>
      </c>
      <c r="N1868" s="11">
        <v>1934.13</v>
      </c>
      <c r="O1868" t="s">
        <v>4948</v>
      </c>
      <c r="P1868" t="s">
        <v>4951</v>
      </c>
      <c r="R1868">
        <v>90</v>
      </c>
      <c r="S1868" t="str">
        <f t="shared" si="88"/>
        <v>Middle-Aged</v>
      </c>
      <c r="T1868" t="str">
        <f t="shared" si="89"/>
        <v>Low</v>
      </c>
      <c r="U1868" t="str">
        <f t="shared" si="90"/>
        <v>Short Days</v>
      </c>
    </row>
    <row r="1869" spans="1:21">
      <c r="A1869" t="s">
        <v>1885</v>
      </c>
      <c r="B1869" s="5">
        <v>45813</v>
      </c>
      <c r="C1869" t="s">
        <v>4241</v>
      </c>
      <c r="D1869" t="s">
        <v>4750</v>
      </c>
      <c r="E1869" t="s">
        <v>4866</v>
      </c>
      <c r="F1869">
        <v>50</v>
      </c>
      <c r="G1869" t="s">
        <v>4881</v>
      </c>
      <c r="H1869" t="s">
        <v>4881</v>
      </c>
      <c r="I1869" t="s">
        <v>4902</v>
      </c>
      <c r="J1869" t="s">
        <v>4916</v>
      </c>
      <c r="K1869" t="s">
        <v>4928</v>
      </c>
      <c r="L1869" t="s">
        <v>4934</v>
      </c>
      <c r="M1869" t="s">
        <v>4942</v>
      </c>
      <c r="N1869" s="11">
        <v>1937.03</v>
      </c>
      <c r="O1869" t="s">
        <v>4947</v>
      </c>
      <c r="P1869" t="s">
        <v>4951</v>
      </c>
      <c r="R1869">
        <v>90</v>
      </c>
      <c r="S1869" t="str">
        <f t="shared" si="88"/>
        <v>Middle-Aged</v>
      </c>
      <c r="T1869" t="str">
        <f t="shared" si="89"/>
        <v>Low</v>
      </c>
      <c r="U1869" t="str">
        <f t="shared" si="90"/>
        <v>Short Days</v>
      </c>
    </row>
    <row r="1870" spans="1:21">
      <c r="A1870" t="s">
        <v>1886</v>
      </c>
      <c r="B1870" s="5">
        <v>45857</v>
      </c>
      <c r="C1870" t="s">
        <v>4242</v>
      </c>
      <c r="D1870" t="s">
        <v>4643</v>
      </c>
      <c r="E1870" t="s">
        <v>4866</v>
      </c>
      <c r="F1870">
        <v>23</v>
      </c>
      <c r="G1870" t="s">
        <v>4869</v>
      </c>
      <c r="H1870" t="s">
        <v>4884</v>
      </c>
      <c r="I1870" t="s">
        <v>4900</v>
      </c>
      <c r="J1870" t="s">
        <v>4919</v>
      </c>
      <c r="K1870" t="s">
        <v>4925</v>
      </c>
      <c r="L1870" t="s">
        <v>4938</v>
      </c>
      <c r="M1870" t="s">
        <v>4942</v>
      </c>
      <c r="N1870" s="11">
        <v>4354.18</v>
      </c>
      <c r="O1870" t="s">
        <v>4947</v>
      </c>
      <c r="P1870" t="s">
        <v>4951</v>
      </c>
      <c r="R1870">
        <v>90</v>
      </c>
      <c r="S1870" t="str">
        <f t="shared" si="88"/>
        <v>Adult</v>
      </c>
      <c r="T1870" t="str">
        <f t="shared" si="89"/>
        <v>Low</v>
      </c>
      <c r="U1870" t="str">
        <f t="shared" si="90"/>
        <v>Short Days</v>
      </c>
    </row>
    <row r="1871" spans="1:21">
      <c r="A1871" t="s">
        <v>1887</v>
      </c>
      <c r="B1871" s="5">
        <v>45534</v>
      </c>
      <c r="C1871" t="s">
        <v>3933</v>
      </c>
      <c r="D1871" t="s">
        <v>4713</v>
      </c>
      <c r="E1871" t="s">
        <v>4867</v>
      </c>
      <c r="F1871">
        <v>11</v>
      </c>
      <c r="G1871" t="s">
        <v>4870</v>
      </c>
      <c r="H1871" t="s">
        <v>4885</v>
      </c>
      <c r="I1871" t="s">
        <v>4897</v>
      </c>
      <c r="J1871" t="s">
        <v>4907</v>
      </c>
      <c r="K1871" t="s">
        <v>4925</v>
      </c>
      <c r="L1871" t="s">
        <v>4936</v>
      </c>
      <c r="M1871" t="s">
        <v>4943</v>
      </c>
      <c r="N1871" s="11">
        <v>5032.99</v>
      </c>
      <c r="O1871" t="s">
        <v>4949</v>
      </c>
      <c r="P1871" t="s">
        <v>4951</v>
      </c>
      <c r="S1871" t="str">
        <f t="shared" si="88"/>
        <v>Child</v>
      </c>
      <c r="T1871" t="str">
        <f t="shared" si="89"/>
        <v>Medium</v>
      </c>
      <c r="U1871" t="str">
        <f t="shared" si="90"/>
        <v>Short Days</v>
      </c>
    </row>
    <row r="1872" spans="1:21">
      <c r="A1872" t="s">
        <v>1888</v>
      </c>
      <c r="B1872" s="5">
        <v>45577</v>
      </c>
      <c r="C1872" t="s">
        <v>4080</v>
      </c>
      <c r="D1872" t="s">
        <v>4704</v>
      </c>
      <c r="E1872" t="s">
        <v>4866</v>
      </c>
      <c r="F1872">
        <v>32</v>
      </c>
      <c r="G1872" t="s">
        <v>4880</v>
      </c>
      <c r="H1872" t="s">
        <v>4890</v>
      </c>
      <c r="I1872" t="s">
        <v>4899</v>
      </c>
      <c r="J1872" t="s">
        <v>4911</v>
      </c>
      <c r="K1872" t="s">
        <v>4924</v>
      </c>
      <c r="L1872" t="s">
        <v>4935</v>
      </c>
      <c r="M1872" t="s">
        <v>4942</v>
      </c>
      <c r="N1872" s="11">
        <v>3178.38</v>
      </c>
      <c r="O1872" t="s">
        <v>4946</v>
      </c>
      <c r="P1872" t="s">
        <v>4951</v>
      </c>
      <c r="R1872">
        <v>14</v>
      </c>
      <c r="S1872" t="str">
        <f t="shared" si="88"/>
        <v>Adult</v>
      </c>
      <c r="T1872" t="str">
        <f t="shared" si="89"/>
        <v>Low</v>
      </c>
      <c r="U1872" t="str">
        <f t="shared" si="90"/>
        <v>Short Days</v>
      </c>
    </row>
    <row r="1873" spans="1:21">
      <c r="A1873" t="s">
        <v>1889</v>
      </c>
      <c r="B1873" s="5">
        <v>45768</v>
      </c>
      <c r="C1873" t="s">
        <v>3380</v>
      </c>
      <c r="D1873" t="s">
        <v>4784</v>
      </c>
      <c r="E1873" t="s">
        <v>4866</v>
      </c>
      <c r="F1873">
        <v>54</v>
      </c>
      <c r="G1873" t="s">
        <v>4878</v>
      </c>
      <c r="H1873" t="s">
        <v>4889</v>
      </c>
      <c r="I1873" t="s">
        <v>4898</v>
      </c>
      <c r="J1873" t="s">
        <v>4918</v>
      </c>
      <c r="K1873" t="s">
        <v>4925</v>
      </c>
      <c r="L1873" t="s">
        <v>4934</v>
      </c>
      <c r="M1873" t="s">
        <v>4942</v>
      </c>
      <c r="N1873" s="11">
        <v>8061.09</v>
      </c>
      <c r="O1873" t="s">
        <v>15</v>
      </c>
      <c r="P1873" t="s">
        <v>4952</v>
      </c>
      <c r="R1873">
        <v>14</v>
      </c>
      <c r="S1873" t="str">
        <f t="shared" si="88"/>
        <v>Middle-Aged</v>
      </c>
      <c r="T1873" t="str">
        <f t="shared" si="89"/>
        <v>Medium</v>
      </c>
      <c r="U1873" t="str">
        <f t="shared" si="90"/>
        <v>Short Days</v>
      </c>
    </row>
    <row r="1874" spans="1:21">
      <c r="A1874" t="s">
        <v>1890</v>
      </c>
      <c r="B1874" s="5">
        <v>45430</v>
      </c>
      <c r="C1874" t="s">
        <v>3078</v>
      </c>
      <c r="D1874" t="s">
        <v>4679</v>
      </c>
      <c r="E1874" t="s">
        <v>4867</v>
      </c>
      <c r="F1874">
        <v>79</v>
      </c>
      <c r="G1874" t="s">
        <v>4878</v>
      </c>
      <c r="H1874" t="s">
        <v>4889</v>
      </c>
      <c r="I1874" t="s">
        <v>4900</v>
      </c>
      <c r="J1874" t="s">
        <v>4913</v>
      </c>
      <c r="K1874" t="s">
        <v>4933</v>
      </c>
      <c r="L1874" t="s">
        <v>4937</v>
      </c>
      <c r="M1874" t="s">
        <v>4942</v>
      </c>
      <c r="N1874" s="11">
        <v>8237.69</v>
      </c>
      <c r="O1874" t="s">
        <v>4946</v>
      </c>
      <c r="P1874" t="s">
        <v>4951</v>
      </c>
      <c r="R1874">
        <v>14</v>
      </c>
      <c r="S1874" t="str">
        <f t="shared" si="88"/>
        <v>Senior</v>
      </c>
      <c r="T1874" t="str">
        <f t="shared" si="89"/>
        <v>Medium</v>
      </c>
      <c r="U1874" t="str">
        <f t="shared" si="90"/>
        <v>Short Days</v>
      </c>
    </row>
    <row r="1875" spans="1:21">
      <c r="A1875" t="s">
        <v>1891</v>
      </c>
      <c r="B1875" s="5">
        <v>45860</v>
      </c>
      <c r="C1875" t="s">
        <v>4073</v>
      </c>
      <c r="D1875" t="s">
        <v>4590</v>
      </c>
      <c r="E1875" t="s">
        <v>4867</v>
      </c>
      <c r="F1875">
        <v>13</v>
      </c>
      <c r="G1875" t="s">
        <v>4877</v>
      </c>
      <c r="H1875" t="s">
        <v>4888</v>
      </c>
      <c r="I1875" t="s">
        <v>4901</v>
      </c>
      <c r="J1875" t="s">
        <v>4914</v>
      </c>
      <c r="K1875" t="s">
        <v>4929</v>
      </c>
      <c r="L1875" t="s">
        <v>4938</v>
      </c>
      <c r="M1875" t="s">
        <v>4942</v>
      </c>
      <c r="N1875" s="11">
        <v>2064.31</v>
      </c>
      <c r="O1875" t="s">
        <v>4947</v>
      </c>
      <c r="P1875" t="s">
        <v>4951</v>
      </c>
      <c r="R1875">
        <v>90</v>
      </c>
      <c r="S1875" t="str">
        <f t="shared" si="88"/>
        <v>Child</v>
      </c>
      <c r="T1875" t="str">
        <f t="shared" si="89"/>
        <v>Low</v>
      </c>
      <c r="U1875" t="str">
        <f t="shared" si="90"/>
        <v>Short Days</v>
      </c>
    </row>
    <row r="1876" spans="1:21">
      <c r="A1876" t="s">
        <v>1892</v>
      </c>
      <c r="B1876" s="5">
        <v>45509</v>
      </c>
      <c r="C1876" t="s">
        <v>4243</v>
      </c>
      <c r="D1876" t="s">
        <v>4848</v>
      </c>
      <c r="E1876" t="s">
        <v>4866</v>
      </c>
      <c r="F1876">
        <v>49</v>
      </c>
      <c r="G1876" t="s">
        <v>4878</v>
      </c>
      <c r="H1876" t="s">
        <v>4889</v>
      </c>
      <c r="I1876" t="s">
        <v>4893</v>
      </c>
      <c r="J1876" t="s">
        <v>4903</v>
      </c>
      <c r="K1876" t="s">
        <v>4933</v>
      </c>
      <c r="L1876" t="s">
        <v>4934</v>
      </c>
      <c r="M1876" t="s">
        <v>4943</v>
      </c>
      <c r="N1876" s="11">
        <v>14800.15</v>
      </c>
      <c r="O1876" t="s">
        <v>4949</v>
      </c>
      <c r="P1876" t="s">
        <v>4951</v>
      </c>
      <c r="S1876" t="str">
        <f t="shared" si="88"/>
        <v>Middle-Aged</v>
      </c>
      <c r="T1876" t="str">
        <f t="shared" si="89"/>
        <v>High</v>
      </c>
      <c r="U1876" t="str">
        <f t="shared" si="90"/>
        <v>Short Days</v>
      </c>
    </row>
    <row r="1877" spans="1:21">
      <c r="A1877" t="s">
        <v>1893</v>
      </c>
      <c r="B1877" s="5">
        <v>45489</v>
      </c>
      <c r="C1877" t="s">
        <v>4244</v>
      </c>
      <c r="D1877" t="s">
        <v>4663</v>
      </c>
      <c r="E1877" t="s">
        <v>4867</v>
      </c>
      <c r="F1877">
        <v>9</v>
      </c>
      <c r="G1877" t="s">
        <v>4877</v>
      </c>
      <c r="H1877" t="s">
        <v>4888</v>
      </c>
      <c r="I1877" t="s">
        <v>4895</v>
      </c>
      <c r="J1877" t="s">
        <v>4905</v>
      </c>
      <c r="K1877" t="s">
        <v>4929</v>
      </c>
      <c r="L1877" t="s">
        <v>4934</v>
      </c>
      <c r="M1877" t="s">
        <v>4942</v>
      </c>
      <c r="N1877" s="11">
        <v>8159.24</v>
      </c>
      <c r="O1877" t="s">
        <v>4949</v>
      </c>
      <c r="P1877" t="s">
        <v>4951</v>
      </c>
      <c r="R1877">
        <v>7</v>
      </c>
      <c r="S1877" t="str">
        <f t="shared" si="88"/>
        <v>Child</v>
      </c>
      <c r="T1877" t="str">
        <f t="shared" si="89"/>
        <v>Medium</v>
      </c>
      <c r="U1877" t="str">
        <f t="shared" si="90"/>
        <v>Short Days</v>
      </c>
    </row>
    <row r="1878" spans="1:21">
      <c r="A1878" t="s">
        <v>1894</v>
      </c>
      <c r="B1878" s="5">
        <v>45918</v>
      </c>
      <c r="C1878" t="s">
        <v>3703</v>
      </c>
      <c r="D1878" t="s">
        <v>4734</v>
      </c>
      <c r="E1878" t="s">
        <v>4866</v>
      </c>
      <c r="F1878">
        <v>52</v>
      </c>
      <c r="G1878" t="s">
        <v>4874</v>
      </c>
      <c r="H1878" t="s">
        <v>4886</v>
      </c>
      <c r="I1878" t="s">
        <v>4893</v>
      </c>
      <c r="J1878" t="s">
        <v>4903</v>
      </c>
      <c r="K1878" t="s">
        <v>4924</v>
      </c>
      <c r="L1878" t="s">
        <v>4935</v>
      </c>
      <c r="M1878" t="s">
        <v>4942</v>
      </c>
      <c r="N1878" s="11">
        <v>372.09</v>
      </c>
      <c r="O1878" t="s">
        <v>4947</v>
      </c>
      <c r="P1878" t="s">
        <v>4951</v>
      </c>
      <c r="R1878">
        <v>30</v>
      </c>
      <c r="S1878" t="str">
        <f t="shared" si="88"/>
        <v>Middle-Aged</v>
      </c>
      <c r="T1878" t="str">
        <f t="shared" si="89"/>
        <v>Low</v>
      </c>
      <c r="U1878" t="str">
        <f t="shared" si="90"/>
        <v>Short Days</v>
      </c>
    </row>
    <row r="1879" spans="1:21">
      <c r="A1879" t="s">
        <v>1895</v>
      </c>
      <c r="B1879" s="5">
        <v>45577</v>
      </c>
      <c r="C1879" t="s">
        <v>4245</v>
      </c>
      <c r="D1879" t="s">
        <v>4644</v>
      </c>
      <c r="E1879" t="s">
        <v>4866</v>
      </c>
      <c r="F1879">
        <v>5</v>
      </c>
      <c r="G1879" t="s">
        <v>4880</v>
      </c>
      <c r="H1879" t="s">
        <v>4890</v>
      </c>
      <c r="I1879" t="s">
        <v>4897</v>
      </c>
      <c r="J1879" t="s">
        <v>4907</v>
      </c>
      <c r="K1879" t="s">
        <v>4933</v>
      </c>
      <c r="L1879" t="s">
        <v>4939</v>
      </c>
      <c r="M1879" t="s">
        <v>4944</v>
      </c>
      <c r="N1879" s="11">
        <v>7662.95</v>
      </c>
      <c r="O1879" t="s">
        <v>4946</v>
      </c>
      <c r="P1879" t="s">
        <v>4951</v>
      </c>
      <c r="R1879">
        <v>14</v>
      </c>
      <c r="S1879" t="str">
        <f t="shared" si="88"/>
        <v>Child</v>
      </c>
      <c r="T1879" t="str">
        <f t="shared" si="89"/>
        <v>Medium</v>
      </c>
      <c r="U1879" t="str">
        <f t="shared" si="90"/>
        <v>Short Days</v>
      </c>
    </row>
    <row r="1880" spans="1:21">
      <c r="A1880" t="s">
        <v>1896</v>
      </c>
      <c r="B1880" s="5">
        <v>45447</v>
      </c>
      <c r="C1880" t="s">
        <v>3540</v>
      </c>
      <c r="D1880" t="s">
        <v>4825</v>
      </c>
      <c r="E1880" t="s">
        <v>4866</v>
      </c>
      <c r="F1880">
        <v>41</v>
      </c>
      <c r="G1880" t="s">
        <v>4881</v>
      </c>
      <c r="H1880" t="s">
        <v>4881</v>
      </c>
      <c r="I1880" t="s">
        <v>4894</v>
      </c>
      <c r="J1880" t="s">
        <v>4904</v>
      </c>
      <c r="K1880" t="s">
        <v>4930</v>
      </c>
      <c r="L1880" t="s">
        <v>4936</v>
      </c>
      <c r="M1880" t="s">
        <v>4942</v>
      </c>
      <c r="N1880" s="11">
        <v>8544.0499999999993</v>
      </c>
      <c r="O1880" t="s">
        <v>4948</v>
      </c>
      <c r="P1880" t="s">
        <v>4951</v>
      </c>
      <c r="S1880" t="str">
        <f t="shared" si="88"/>
        <v>Middle-Aged</v>
      </c>
      <c r="T1880" t="str">
        <f t="shared" si="89"/>
        <v>Medium</v>
      </c>
      <c r="U1880" t="str">
        <f t="shared" si="90"/>
        <v>Short Days</v>
      </c>
    </row>
    <row r="1881" spans="1:21">
      <c r="A1881" t="s">
        <v>1897</v>
      </c>
      <c r="B1881" s="5">
        <v>45560</v>
      </c>
      <c r="C1881" t="s">
        <v>4036</v>
      </c>
      <c r="D1881" t="s">
        <v>4770</v>
      </c>
      <c r="E1881" t="s">
        <v>4866</v>
      </c>
      <c r="F1881">
        <v>61</v>
      </c>
      <c r="G1881" t="s">
        <v>4883</v>
      </c>
      <c r="H1881" t="s">
        <v>4892</v>
      </c>
      <c r="I1881" t="s">
        <v>4898</v>
      </c>
      <c r="J1881" t="s">
        <v>4909</v>
      </c>
      <c r="K1881" t="s">
        <v>4930</v>
      </c>
      <c r="L1881" t="s">
        <v>4934</v>
      </c>
      <c r="M1881" t="s">
        <v>4944</v>
      </c>
      <c r="N1881" s="11">
        <v>14460.61</v>
      </c>
      <c r="O1881" t="s">
        <v>4947</v>
      </c>
      <c r="P1881" t="s">
        <v>4951</v>
      </c>
      <c r="R1881">
        <v>7</v>
      </c>
      <c r="S1881" t="str">
        <f t="shared" si="88"/>
        <v>Senior</v>
      </c>
      <c r="T1881" t="str">
        <f t="shared" si="89"/>
        <v>High</v>
      </c>
      <c r="U1881" t="str">
        <f t="shared" si="90"/>
        <v>Short Days</v>
      </c>
    </row>
    <row r="1882" spans="1:21">
      <c r="A1882" t="s">
        <v>1898</v>
      </c>
      <c r="B1882" s="5">
        <v>45409</v>
      </c>
      <c r="C1882" t="s">
        <v>3213</v>
      </c>
      <c r="D1882" t="s">
        <v>4604</v>
      </c>
      <c r="E1882" t="s">
        <v>4866</v>
      </c>
      <c r="F1882">
        <v>43</v>
      </c>
      <c r="G1882" t="s">
        <v>4879</v>
      </c>
      <c r="H1882" t="s">
        <v>4888</v>
      </c>
      <c r="I1882" t="s">
        <v>4902</v>
      </c>
      <c r="J1882" t="s">
        <v>4920</v>
      </c>
      <c r="K1882" t="s">
        <v>4931</v>
      </c>
      <c r="L1882" t="s">
        <v>4934</v>
      </c>
      <c r="M1882" t="s">
        <v>4942</v>
      </c>
      <c r="N1882" s="11">
        <v>5284.24</v>
      </c>
      <c r="O1882" t="s">
        <v>4947</v>
      </c>
      <c r="P1882" t="s">
        <v>4951</v>
      </c>
      <c r="R1882">
        <v>90</v>
      </c>
      <c r="S1882" t="str">
        <f t="shared" si="88"/>
        <v>Middle-Aged</v>
      </c>
      <c r="T1882" t="str">
        <f t="shared" si="89"/>
        <v>Medium</v>
      </c>
      <c r="U1882" t="str">
        <f t="shared" si="90"/>
        <v>Short Days</v>
      </c>
    </row>
    <row r="1883" spans="1:21">
      <c r="A1883" t="s">
        <v>1899</v>
      </c>
      <c r="B1883" s="5">
        <v>45759</v>
      </c>
      <c r="C1883" t="s">
        <v>3121</v>
      </c>
      <c r="D1883" t="s">
        <v>4622</v>
      </c>
      <c r="E1883" t="s">
        <v>4867</v>
      </c>
      <c r="F1883">
        <v>58</v>
      </c>
      <c r="G1883" t="s">
        <v>4882</v>
      </c>
      <c r="H1883" t="s">
        <v>4891</v>
      </c>
      <c r="I1883" t="s">
        <v>4893</v>
      </c>
      <c r="J1883" t="s">
        <v>4903</v>
      </c>
      <c r="K1883" t="s">
        <v>4930</v>
      </c>
      <c r="L1883" t="s">
        <v>4939</v>
      </c>
      <c r="M1883" t="s">
        <v>4944</v>
      </c>
      <c r="N1883" s="11">
        <v>6795.38</v>
      </c>
      <c r="O1883" t="s">
        <v>15</v>
      </c>
      <c r="P1883" t="s">
        <v>4952</v>
      </c>
      <c r="R1883">
        <v>14</v>
      </c>
      <c r="S1883" t="str">
        <f t="shared" si="88"/>
        <v>Middle-Aged</v>
      </c>
      <c r="T1883" t="str">
        <f t="shared" si="89"/>
        <v>Medium</v>
      </c>
      <c r="U1883" t="str">
        <f t="shared" si="90"/>
        <v>Short Days</v>
      </c>
    </row>
    <row r="1884" spans="1:21">
      <c r="A1884" t="s">
        <v>1900</v>
      </c>
      <c r="B1884" s="5">
        <v>45448</v>
      </c>
      <c r="C1884" t="s">
        <v>3547</v>
      </c>
      <c r="D1884" t="s">
        <v>4753</v>
      </c>
      <c r="E1884" t="s">
        <v>4866</v>
      </c>
      <c r="F1884">
        <v>21</v>
      </c>
      <c r="G1884" t="s">
        <v>4874</v>
      </c>
      <c r="H1884" t="s">
        <v>4886</v>
      </c>
      <c r="I1884" t="s">
        <v>4895</v>
      </c>
      <c r="J1884" t="s">
        <v>4915</v>
      </c>
      <c r="K1884" t="s">
        <v>4931</v>
      </c>
      <c r="L1884" t="s">
        <v>4939</v>
      </c>
      <c r="M1884" t="s">
        <v>4944</v>
      </c>
      <c r="N1884" s="11">
        <v>5249.94</v>
      </c>
      <c r="O1884" t="s">
        <v>4946</v>
      </c>
      <c r="P1884" t="s">
        <v>4951</v>
      </c>
      <c r="S1884" t="str">
        <f t="shared" si="88"/>
        <v>Adult</v>
      </c>
      <c r="T1884" t="str">
        <f t="shared" si="89"/>
        <v>Medium</v>
      </c>
      <c r="U1884" t="str">
        <f t="shared" si="90"/>
        <v>Short Days</v>
      </c>
    </row>
    <row r="1885" spans="1:21">
      <c r="A1885" t="s">
        <v>1901</v>
      </c>
      <c r="B1885" s="5">
        <v>45727</v>
      </c>
      <c r="C1885" t="s">
        <v>4246</v>
      </c>
      <c r="D1885" t="s">
        <v>4620</v>
      </c>
      <c r="E1885" t="s">
        <v>4867</v>
      </c>
      <c r="F1885">
        <v>39</v>
      </c>
      <c r="G1885" t="s">
        <v>4880</v>
      </c>
      <c r="H1885" t="s">
        <v>4890</v>
      </c>
      <c r="I1885" t="s">
        <v>4896</v>
      </c>
      <c r="J1885" t="s">
        <v>4906</v>
      </c>
      <c r="K1885" t="s">
        <v>4953</v>
      </c>
      <c r="L1885" t="s">
        <v>4934</v>
      </c>
      <c r="M1885" t="s">
        <v>4945</v>
      </c>
      <c r="N1885" s="11">
        <v>21874.720000000001</v>
      </c>
      <c r="O1885" t="s">
        <v>4947</v>
      </c>
      <c r="P1885" t="s">
        <v>4951</v>
      </c>
      <c r="Q1885">
        <v>5</v>
      </c>
      <c r="S1885" t="str">
        <f t="shared" si="88"/>
        <v>Adult</v>
      </c>
      <c r="T1885" t="str">
        <f t="shared" si="89"/>
        <v>High</v>
      </c>
      <c r="U1885" t="str">
        <f t="shared" si="90"/>
        <v>Short Days</v>
      </c>
    </row>
    <row r="1886" spans="1:21">
      <c r="A1886" t="s">
        <v>1902</v>
      </c>
      <c r="B1886" s="5">
        <v>45539</v>
      </c>
      <c r="C1886" t="s">
        <v>4247</v>
      </c>
      <c r="D1886" t="s">
        <v>4628</v>
      </c>
      <c r="E1886" t="s">
        <v>4867</v>
      </c>
      <c r="F1886">
        <v>52</v>
      </c>
      <c r="G1886" t="s">
        <v>4878</v>
      </c>
      <c r="H1886" t="s">
        <v>4889</v>
      </c>
      <c r="I1886" t="s">
        <v>4901</v>
      </c>
      <c r="J1886" t="s">
        <v>4921</v>
      </c>
      <c r="K1886" t="s">
        <v>4927</v>
      </c>
      <c r="L1886" t="s">
        <v>4935</v>
      </c>
      <c r="M1886" t="s">
        <v>4942</v>
      </c>
      <c r="N1886" s="11">
        <v>11317.94</v>
      </c>
      <c r="O1886" t="s">
        <v>15</v>
      </c>
      <c r="P1886" t="s">
        <v>4952</v>
      </c>
      <c r="R1886">
        <v>90</v>
      </c>
      <c r="S1886" t="str">
        <f t="shared" si="88"/>
        <v>Middle-Aged</v>
      </c>
      <c r="T1886" t="str">
        <f t="shared" si="89"/>
        <v>High</v>
      </c>
      <c r="U1886" t="str">
        <f t="shared" si="90"/>
        <v>Short Days</v>
      </c>
    </row>
    <row r="1887" spans="1:21">
      <c r="A1887" t="s">
        <v>1903</v>
      </c>
      <c r="B1887" s="5">
        <v>45354</v>
      </c>
      <c r="C1887" t="s">
        <v>4239</v>
      </c>
      <c r="D1887" t="s">
        <v>4851</v>
      </c>
      <c r="E1887" t="s">
        <v>4867</v>
      </c>
      <c r="F1887">
        <v>66</v>
      </c>
      <c r="G1887" t="s">
        <v>4873</v>
      </c>
      <c r="H1887" t="s">
        <v>4888</v>
      </c>
      <c r="I1887" t="s">
        <v>4901</v>
      </c>
      <c r="J1887" t="s">
        <v>4914</v>
      </c>
      <c r="K1887" t="s">
        <v>4928</v>
      </c>
      <c r="L1887" t="s">
        <v>4940</v>
      </c>
      <c r="M1887" t="s">
        <v>4942</v>
      </c>
      <c r="N1887" s="11">
        <v>4261.1000000000004</v>
      </c>
      <c r="O1887" t="s">
        <v>15</v>
      </c>
      <c r="P1887" t="s">
        <v>4952</v>
      </c>
      <c r="R1887">
        <v>90</v>
      </c>
      <c r="S1887" t="str">
        <f t="shared" si="88"/>
        <v>Senior</v>
      </c>
      <c r="T1887" t="str">
        <f t="shared" si="89"/>
        <v>Low</v>
      </c>
      <c r="U1887" t="str">
        <f t="shared" si="90"/>
        <v>Short Days</v>
      </c>
    </row>
    <row r="1888" spans="1:21">
      <c r="A1888" t="s">
        <v>1904</v>
      </c>
      <c r="B1888" s="5">
        <v>45919</v>
      </c>
      <c r="C1888" t="s">
        <v>4248</v>
      </c>
      <c r="D1888" t="s">
        <v>4600</v>
      </c>
      <c r="E1888" t="s">
        <v>4866</v>
      </c>
      <c r="F1888">
        <v>47</v>
      </c>
      <c r="G1888" t="s">
        <v>4882</v>
      </c>
      <c r="H1888" t="s">
        <v>4891</v>
      </c>
      <c r="I1888" t="s">
        <v>4902</v>
      </c>
      <c r="J1888" t="s">
        <v>4920</v>
      </c>
      <c r="K1888" t="s">
        <v>4929</v>
      </c>
      <c r="L1888" t="s">
        <v>4934</v>
      </c>
      <c r="M1888" t="s">
        <v>4942</v>
      </c>
      <c r="N1888" s="11">
        <v>195.18</v>
      </c>
      <c r="O1888" t="s">
        <v>4949</v>
      </c>
      <c r="P1888" t="s">
        <v>4951</v>
      </c>
      <c r="S1888" t="str">
        <f t="shared" si="88"/>
        <v>Middle-Aged</v>
      </c>
      <c r="T1888" t="str">
        <f t="shared" si="89"/>
        <v>Low</v>
      </c>
      <c r="U1888" t="str">
        <f t="shared" si="90"/>
        <v>Short Days</v>
      </c>
    </row>
    <row r="1889" spans="1:21">
      <c r="A1889" t="s">
        <v>1905</v>
      </c>
      <c r="B1889" s="5">
        <v>45711</v>
      </c>
      <c r="C1889" t="s">
        <v>4073</v>
      </c>
      <c r="D1889" t="s">
        <v>4710</v>
      </c>
      <c r="E1889" t="s">
        <v>4867</v>
      </c>
      <c r="F1889">
        <v>22</v>
      </c>
      <c r="G1889" t="s">
        <v>4880</v>
      </c>
      <c r="H1889" t="s">
        <v>4890</v>
      </c>
      <c r="I1889" t="s">
        <v>4901</v>
      </c>
      <c r="J1889" t="s">
        <v>4921</v>
      </c>
      <c r="K1889" t="s">
        <v>4924</v>
      </c>
      <c r="L1889" t="s">
        <v>4939</v>
      </c>
      <c r="M1889" t="s">
        <v>4944</v>
      </c>
      <c r="N1889" s="11">
        <v>8809.2199999999993</v>
      </c>
      <c r="O1889" t="s">
        <v>4946</v>
      </c>
      <c r="P1889" t="s">
        <v>4951</v>
      </c>
      <c r="R1889">
        <v>90</v>
      </c>
      <c r="S1889" t="str">
        <f t="shared" si="88"/>
        <v>Adult</v>
      </c>
      <c r="T1889" t="str">
        <f t="shared" si="89"/>
        <v>Medium</v>
      </c>
      <c r="U1889" t="str">
        <f t="shared" si="90"/>
        <v>Short Days</v>
      </c>
    </row>
    <row r="1890" spans="1:21">
      <c r="A1890" t="s">
        <v>1906</v>
      </c>
      <c r="B1890" s="5">
        <v>45818</v>
      </c>
      <c r="C1890" t="s">
        <v>4081</v>
      </c>
      <c r="D1890" t="s">
        <v>4784</v>
      </c>
      <c r="E1890" t="s">
        <v>4867</v>
      </c>
      <c r="F1890">
        <v>59</v>
      </c>
      <c r="G1890" t="s">
        <v>4869</v>
      </c>
      <c r="H1890" t="s">
        <v>4884</v>
      </c>
      <c r="I1890" t="s">
        <v>4897</v>
      </c>
      <c r="J1890" t="s">
        <v>4922</v>
      </c>
      <c r="K1890" t="s">
        <v>4929</v>
      </c>
      <c r="L1890" t="s">
        <v>4941</v>
      </c>
      <c r="M1890" t="s">
        <v>4942</v>
      </c>
      <c r="N1890" s="11">
        <v>1130.6199999999999</v>
      </c>
      <c r="O1890" t="s">
        <v>4948</v>
      </c>
      <c r="P1890" t="s">
        <v>4951</v>
      </c>
      <c r="R1890">
        <v>90</v>
      </c>
      <c r="S1890" t="str">
        <f t="shared" si="88"/>
        <v>Middle-Aged</v>
      </c>
      <c r="T1890" t="str">
        <f t="shared" si="89"/>
        <v>Low</v>
      </c>
      <c r="U1890" t="str">
        <f t="shared" si="90"/>
        <v>Short Days</v>
      </c>
    </row>
    <row r="1891" spans="1:21">
      <c r="A1891" t="s">
        <v>1907</v>
      </c>
      <c r="B1891" s="5">
        <v>45589</v>
      </c>
      <c r="C1891" t="s">
        <v>3705</v>
      </c>
      <c r="D1891" t="s">
        <v>4731</v>
      </c>
      <c r="E1891" t="s">
        <v>4866</v>
      </c>
      <c r="F1891">
        <v>56</v>
      </c>
      <c r="G1891" t="s">
        <v>4879</v>
      </c>
      <c r="H1891" t="s">
        <v>4888</v>
      </c>
      <c r="I1891" t="s">
        <v>4897</v>
      </c>
      <c r="J1891" t="s">
        <v>4907</v>
      </c>
      <c r="K1891" t="s">
        <v>4925</v>
      </c>
      <c r="L1891" t="s">
        <v>4939</v>
      </c>
      <c r="M1891" t="s">
        <v>4942</v>
      </c>
      <c r="N1891" s="11">
        <v>7735.97</v>
      </c>
      <c r="O1891" t="s">
        <v>4949</v>
      </c>
      <c r="P1891" t="s">
        <v>4951</v>
      </c>
      <c r="R1891">
        <v>14</v>
      </c>
      <c r="S1891" t="str">
        <f t="shared" si="88"/>
        <v>Middle-Aged</v>
      </c>
      <c r="T1891" t="str">
        <f t="shared" si="89"/>
        <v>Medium</v>
      </c>
      <c r="U1891" t="str">
        <f t="shared" si="90"/>
        <v>Short Days</v>
      </c>
    </row>
    <row r="1892" spans="1:21">
      <c r="A1892" t="s">
        <v>1908</v>
      </c>
      <c r="B1892" s="5">
        <v>45574</v>
      </c>
      <c r="C1892" t="s">
        <v>4237</v>
      </c>
      <c r="D1892" t="s">
        <v>4595</v>
      </c>
      <c r="E1892" t="s">
        <v>4867</v>
      </c>
      <c r="F1892">
        <v>9</v>
      </c>
      <c r="G1892" t="s">
        <v>4880</v>
      </c>
      <c r="H1892" t="s">
        <v>4890</v>
      </c>
      <c r="I1892" t="s">
        <v>4899</v>
      </c>
      <c r="J1892" t="s">
        <v>4911</v>
      </c>
      <c r="K1892" t="s">
        <v>4924</v>
      </c>
      <c r="L1892" t="s">
        <v>4938</v>
      </c>
      <c r="M1892" t="s">
        <v>4942</v>
      </c>
      <c r="N1892" s="11">
        <v>245.1</v>
      </c>
      <c r="O1892" t="s">
        <v>4947</v>
      </c>
      <c r="P1892" t="s">
        <v>4951</v>
      </c>
      <c r="S1892" t="str">
        <f t="shared" si="88"/>
        <v>Child</v>
      </c>
      <c r="T1892" t="str">
        <f t="shared" si="89"/>
        <v>Low</v>
      </c>
      <c r="U1892" t="str">
        <f t="shared" si="90"/>
        <v>Short Days</v>
      </c>
    </row>
    <row r="1893" spans="1:21">
      <c r="A1893" t="s">
        <v>1909</v>
      </c>
      <c r="B1893" s="5">
        <v>45560</v>
      </c>
      <c r="C1893" t="s">
        <v>4249</v>
      </c>
      <c r="D1893" t="s">
        <v>4852</v>
      </c>
      <c r="E1893" t="s">
        <v>4866</v>
      </c>
      <c r="F1893">
        <v>84</v>
      </c>
      <c r="G1893" t="s">
        <v>4877</v>
      </c>
      <c r="H1893" t="s">
        <v>4888</v>
      </c>
      <c r="I1893" t="s">
        <v>4898</v>
      </c>
      <c r="J1893" t="s">
        <v>4909</v>
      </c>
      <c r="K1893" t="s">
        <v>4928</v>
      </c>
      <c r="L1893" t="s">
        <v>4935</v>
      </c>
      <c r="M1893" t="s">
        <v>4942</v>
      </c>
      <c r="N1893" s="11">
        <v>6022.81</v>
      </c>
      <c r="O1893" t="s">
        <v>4948</v>
      </c>
      <c r="P1893" t="s">
        <v>4951</v>
      </c>
      <c r="R1893">
        <v>14</v>
      </c>
      <c r="S1893" t="str">
        <f t="shared" si="88"/>
        <v>Senior</v>
      </c>
      <c r="T1893" t="str">
        <f t="shared" si="89"/>
        <v>Medium</v>
      </c>
      <c r="U1893" t="str">
        <f t="shared" si="90"/>
        <v>Short Days</v>
      </c>
    </row>
    <row r="1894" spans="1:21">
      <c r="A1894" t="s">
        <v>1910</v>
      </c>
      <c r="B1894" s="5">
        <v>45311</v>
      </c>
      <c r="C1894" t="s">
        <v>4250</v>
      </c>
      <c r="D1894" t="s">
        <v>4811</v>
      </c>
      <c r="E1894" t="s">
        <v>4867</v>
      </c>
      <c r="F1894">
        <v>7</v>
      </c>
      <c r="G1894" t="s">
        <v>4878</v>
      </c>
      <c r="H1894" t="s">
        <v>4889</v>
      </c>
      <c r="I1894" t="s">
        <v>4900</v>
      </c>
      <c r="J1894" t="s">
        <v>4919</v>
      </c>
      <c r="K1894" t="s">
        <v>4933</v>
      </c>
      <c r="L1894" t="s">
        <v>4934</v>
      </c>
      <c r="M1894" t="s">
        <v>4942</v>
      </c>
      <c r="N1894" s="11">
        <v>1019.42</v>
      </c>
      <c r="O1894" t="s">
        <v>4946</v>
      </c>
      <c r="P1894" t="s">
        <v>4951</v>
      </c>
      <c r="S1894" t="str">
        <f t="shared" si="88"/>
        <v>Child</v>
      </c>
      <c r="T1894" t="str">
        <f t="shared" si="89"/>
        <v>Low</v>
      </c>
      <c r="U1894" t="str">
        <f t="shared" si="90"/>
        <v>Short Days</v>
      </c>
    </row>
    <row r="1895" spans="1:21">
      <c r="A1895" t="s">
        <v>1911</v>
      </c>
      <c r="B1895" s="5">
        <v>45522</v>
      </c>
      <c r="C1895" t="s">
        <v>4189</v>
      </c>
      <c r="D1895" t="s">
        <v>4802</v>
      </c>
      <c r="E1895" t="s">
        <v>4867</v>
      </c>
      <c r="F1895">
        <v>65</v>
      </c>
      <c r="G1895" t="s">
        <v>4871</v>
      </c>
      <c r="H1895" t="s">
        <v>4886</v>
      </c>
      <c r="I1895" t="s">
        <v>4901</v>
      </c>
      <c r="J1895" t="s">
        <v>4914</v>
      </c>
      <c r="K1895" t="s">
        <v>4931</v>
      </c>
      <c r="L1895" t="s">
        <v>4941</v>
      </c>
      <c r="M1895" t="s">
        <v>4943</v>
      </c>
      <c r="N1895" s="11">
        <v>5081.3</v>
      </c>
      <c r="O1895" t="s">
        <v>4947</v>
      </c>
      <c r="P1895" t="s">
        <v>4951</v>
      </c>
      <c r="R1895">
        <v>7</v>
      </c>
      <c r="S1895" t="str">
        <f t="shared" si="88"/>
        <v>Senior</v>
      </c>
      <c r="T1895" t="str">
        <f t="shared" si="89"/>
        <v>Medium</v>
      </c>
      <c r="U1895" t="str">
        <f t="shared" si="90"/>
        <v>Short Days</v>
      </c>
    </row>
    <row r="1896" spans="1:21">
      <c r="A1896" t="s">
        <v>1912</v>
      </c>
      <c r="B1896" s="5">
        <v>45932</v>
      </c>
      <c r="C1896" t="s">
        <v>4086</v>
      </c>
      <c r="D1896" t="s">
        <v>4717</v>
      </c>
      <c r="E1896" t="s">
        <v>4866</v>
      </c>
      <c r="F1896">
        <v>34</v>
      </c>
      <c r="G1896" t="s">
        <v>4882</v>
      </c>
      <c r="H1896" t="s">
        <v>4891</v>
      </c>
      <c r="I1896" t="s">
        <v>4894</v>
      </c>
      <c r="J1896" t="s">
        <v>4904</v>
      </c>
      <c r="K1896" t="s">
        <v>4933</v>
      </c>
      <c r="L1896" t="s">
        <v>4941</v>
      </c>
      <c r="M1896" t="s">
        <v>4942</v>
      </c>
      <c r="N1896" s="11">
        <v>1427.82</v>
      </c>
      <c r="O1896" t="s">
        <v>4949</v>
      </c>
      <c r="P1896" t="s">
        <v>4951</v>
      </c>
      <c r="R1896">
        <v>7</v>
      </c>
      <c r="S1896" t="str">
        <f t="shared" si="88"/>
        <v>Adult</v>
      </c>
      <c r="T1896" t="str">
        <f t="shared" si="89"/>
        <v>Low</v>
      </c>
      <c r="U1896" t="str">
        <f t="shared" si="90"/>
        <v>Short Days</v>
      </c>
    </row>
    <row r="1897" spans="1:21">
      <c r="A1897" t="s">
        <v>1913</v>
      </c>
      <c r="B1897" s="5">
        <v>45340</v>
      </c>
      <c r="C1897" t="s">
        <v>3997</v>
      </c>
      <c r="D1897" t="s">
        <v>4655</v>
      </c>
      <c r="E1897" t="s">
        <v>4866</v>
      </c>
      <c r="F1897">
        <v>40</v>
      </c>
      <c r="G1897" t="s">
        <v>4878</v>
      </c>
      <c r="H1897" t="s">
        <v>4889</v>
      </c>
      <c r="I1897" t="s">
        <v>4894</v>
      </c>
      <c r="J1897" t="s">
        <v>4904</v>
      </c>
      <c r="K1897" t="s">
        <v>4927</v>
      </c>
      <c r="L1897" t="s">
        <v>4941</v>
      </c>
      <c r="M1897" t="s">
        <v>4944</v>
      </c>
      <c r="N1897" s="11">
        <v>9113.58</v>
      </c>
      <c r="O1897" t="s">
        <v>4946</v>
      </c>
      <c r="P1897" t="s">
        <v>4951</v>
      </c>
      <c r="R1897">
        <v>7</v>
      </c>
      <c r="S1897" t="str">
        <f t="shared" si="88"/>
        <v>Adult</v>
      </c>
      <c r="T1897" t="str">
        <f t="shared" si="89"/>
        <v>Medium</v>
      </c>
      <c r="U1897" t="str">
        <f t="shared" si="90"/>
        <v>Short Days</v>
      </c>
    </row>
    <row r="1898" spans="1:21">
      <c r="A1898" t="s">
        <v>1914</v>
      </c>
      <c r="B1898" s="5">
        <v>45316</v>
      </c>
      <c r="C1898" t="s">
        <v>3815</v>
      </c>
      <c r="D1898" t="s">
        <v>4656</v>
      </c>
      <c r="E1898" t="s">
        <v>4867</v>
      </c>
      <c r="F1898">
        <v>45</v>
      </c>
      <c r="G1898" t="s">
        <v>4878</v>
      </c>
      <c r="H1898" t="s">
        <v>4889</v>
      </c>
      <c r="I1898" t="s">
        <v>4899</v>
      </c>
      <c r="J1898" t="s">
        <v>4912</v>
      </c>
      <c r="K1898" t="s">
        <v>4933</v>
      </c>
      <c r="L1898" t="s">
        <v>4940</v>
      </c>
      <c r="M1898" t="s">
        <v>4942</v>
      </c>
      <c r="N1898" s="11">
        <v>5945.4</v>
      </c>
      <c r="O1898" t="s">
        <v>4950</v>
      </c>
      <c r="P1898" t="s">
        <v>4951</v>
      </c>
      <c r="R1898">
        <v>14</v>
      </c>
      <c r="S1898" t="str">
        <f t="shared" si="88"/>
        <v>Middle-Aged</v>
      </c>
      <c r="T1898" t="str">
        <f t="shared" si="89"/>
        <v>Medium</v>
      </c>
      <c r="U1898" t="str">
        <f t="shared" si="90"/>
        <v>Short Days</v>
      </c>
    </row>
    <row r="1899" spans="1:21">
      <c r="A1899" t="s">
        <v>1915</v>
      </c>
      <c r="B1899" s="5">
        <v>45359</v>
      </c>
      <c r="C1899" t="s">
        <v>3823</v>
      </c>
      <c r="D1899" t="s">
        <v>4633</v>
      </c>
      <c r="E1899" t="s">
        <v>4867</v>
      </c>
      <c r="F1899">
        <v>55</v>
      </c>
      <c r="G1899" t="s">
        <v>4875</v>
      </c>
      <c r="H1899" t="s">
        <v>4889</v>
      </c>
      <c r="I1899" t="s">
        <v>4897</v>
      </c>
      <c r="J1899" t="s">
        <v>4922</v>
      </c>
      <c r="K1899" t="s">
        <v>4953</v>
      </c>
      <c r="L1899" t="s">
        <v>4939</v>
      </c>
      <c r="M1899" t="s">
        <v>4942</v>
      </c>
      <c r="N1899" s="11">
        <v>1107.44</v>
      </c>
      <c r="O1899" t="s">
        <v>4948</v>
      </c>
      <c r="P1899" t="s">
        <v>4951</v>
      </c>
      <c r="S1899" t="str">
        <f t="shared" si="88"/>
        <v>Middle-Aged</v>
      </c>
      <c r="T1899" t="str">
        <f t="shared" si="89"/>
        <v>Low</v>
      </c>
      <c r="U1899" t="str">
        <f t="shared" si="90"/>
        <v>Short Days</v>
      </c>
    </row>
    <row r="1900" spans="1:21">
      <c r="A1900" t="s">
        <v>1916</v>
      </c>
      <c r="B1900" s="5">
        <v>45721</v>
      </c>
      <c r="C1900" t="s">
        <v>3163</v>
      </c>
      <c r="D1900" t="s">
        <v>4807</v>
      </c>
      <c r="E1900" t="s">
        <v>4866</v>
      </c>
      <c r="F1900">
        <f>AVERAGE(F1893,F1899)</f>
        <v>69.5</v>
      </c>
      <c r="G1900" t="s">
        <v>4881</v>
      </c>
      <c r="H1900" t="s">
        <v>4890</v>
      </c>
      <c r="I1900" t="s">
        <v>4901</v>
      </c>
      <c r="J1900" t="s">
        <v>4914</v>
      </c>
      <c r="K1900" t="s">
        <v>4953</v>
      </c>
      <c r="L1900" t="s">
        <v>4937</v>
      </c>
      <c r="M1900" t="s">
        <v>4944</v>
      </c>
      <c r="N1900" s="11">
        <v>11093.48</v>
      </c>
      <c r="O1900" t="s">
        <v>4947</v>
      </c>
      <c r="P1900" t="s">
        <v>4951</v>
      </c>
      <c r="R1900">
        <v>90</v>
      </c>
      <c r="S1900" t="str">
        <f t="shared" si="88"/>
        <v>Senior</v>
      </c>
      <c r="T1900" t="str">
        <f t="shared" si="89"/>
        <v>High</v>
      </c>
      <c r="U1900" t="str">
        <f t="shared" si="90"/>
        <v>Short Days</v>
      </c>
    </row>
    <row r="1901" spans="1:21">
      <c r="A1901" t="s">
        <v>1917</v>
      </c>
      <c r="B1901" s="5">
        <v>45773</v>
      </c>
      <c r="C1901" t="s">
        <v>3850</v>
      </c>
      <c r="D1901" t="s">
        <v>4661</v>
      </c>
      <c r="E1901" t="s">
        <v>4866</v>
      </c>
      <c r="F1901">
        <v>25</v>
      </c>
      <c r="G1901" t="s">
        <v>4880</v>
      </c>
      <c r="H1901" t="s">
        <v>4890</v>
      </c>
      <c r="I1901" t="s">
        <v>4893</v>
      </c>
      <c r="J1901" t="s">
        <v>4903</v>
      </c>
      <c r="K1901" t="s">
        <v>4933</v>
      </c>
      <c r="L1901" t="s">
        <v>4939</v>
      </c>
      <c r="M1901" t="s">
        <v>4942</v>
      </c>
      <c r="N1901" s="11">
        <v>5089.17</v>
      </c>
      <c r="O1901" t="s">
        <v>4950</v>
      </c>
      <c r="P1901" t="s">
        <v>4951</v>
      </c>
      <c r="R1901">
        <v>14</v>
      </c>
      <c r="S1901" t="str">
        <f t="shared" si="88"/>
        <v>Adult</v>
      </c>
      <c r="T1901" t="str">
        <f t="shared" si="89"/>
        <v>Medium</v>
      </c>
      <c r="U1901" t="str">
        <f t="shared" si="90"/>
        <v>Short Days</v>
      </c>
    </row>
    <row r="1902" spans="1:21">
      <c r="A1902" t="s">
        <v>1918</v>
      </c>
      <c r="B1902" s="5">
        <v>45961</v>
      </c>
      <c r="C1902" t="s">
        <v>4251</v>
      </c>
      <c r="D1902" t="s">
        <v>4844</v>
      </c>
      <c r="E1902" t="s">
        <v>4866</v>
      </c>
      <c r="F1902">
        <v>41</v>
      </c>
      <c r="G1902" t="s">
        <v>4883</v>
      </c>
      <c r="H1902" t="s">
        <v>4892</v>
      </c>
      <c r="I1902" t="s">
        <v>4899</v>
      </c>
      <c r="J1902" t="s">
        <v>4911</v>
      </c>
      <c r="K1902" t="s">
        <v>4929</v>
      </c>
      <c r="L1902" t="s">
        <v>4938</v>
      </c>
      <c r="M1902" t="s">
        <v>4942</v>
      </c>
      <c r="N1902" s="11">
        <v>525.59</v>
      </c>
      <c r="O1902" t="s">
        <v>15</v>
      </c>
      <c r="P1902" t="s">
        <v>4952</v>
      </c>
      <c r="S1902" t="str">
        <f t="shared" si="88"/>
        <v>Middle-Aged</v>
      </c>
      <c r="T1902" t="str">
        <f t="shared" si="89"/>
        <v>Low</v>
      </c>
      <c r="U1902" t="str">
        <f t="shared" si="90"/>
        <v>Short Days</v>
      </c>
    </row>
    <row r="1903" spans="1:21">
      <c r="A1903" t="s">
        <v>1919</v>
      </c>
      <c r="B1903" s="5">
        <v>45311</v>
      </c>
      <c r="C1903" t="s">
        <v>3392</v>
      </c>
      <c r="D1903" t="s">
        <v>4756</v>
      </c>
      <c r="E1903" t="s">
        <v>4867</v>
      </c>
      <c r="F1903">
        <v>35</v>
      </c>
      <c r="G1903" t="s">
        <v>4881</v>
      </c>
      <c r="H1903" t="s">
        <v>4881</v>
      </c>
      <c r="I1903" t="s">
        <v>4898</v>
      </c>
      <c r="J1903" t="s">
        <v>4923</v>
      </c>
      <c r="K1903" t="s">
        <v>4927</v>
      </c>
      <c r="L1903" t="s">
        <v>4941</v>
      </c>
      <c r="M1903" t="s">
        <v>4942</v>
      </c>
      <c r="N1903" s="11">
        <v>3182.32</v>
      </c>
      <c r="O1903" t="s">
        <v>15</v>
      </c>
      <c r="P1903" t="s">
        <v>4952</v>
      </c>
      <c r="S1903" t="str">
        <f t="shared" si="88"/>
        <v>Adult</v>
      </c>
      <c r="T1903" t="str">
        <f t="shared" si="89"/>
        <v>Low</v>
      </c>
      <c r="U1903" t="str">
        <f t="shared" si="90"/>
        <v>Short Days</v>
      </c>
    </row>
    <row r="1904" spans="1:21">
      <c r="A1904" t="s">
        <v>1920</v>
      </c>
      <c r="B1904" s="5">
        <v>45663</v>
      </c>
      <c r="C1904" t="s">
        <v>3780</v>
      </c>
      <c r="D1904" t="s">
        <v>4851</v>
      </c>
      <c r="E1904" t="s">
        <v>4867</v>
      </c>
      <c r="F1904">
        <v>57</v>
      </c>
      <c r="G1904" t="s">
        <v>4876</v>
      </c>
      <c r="H1904" t="s">
        <v>4888</v>
      </c>
      <c r="I1904" t="s">
        <v>4893</v>
      </c>
      <c r="J1904" t="s">
        <v>4903</v>
      </c>
      <c r="K1904" t="s">
        <v>4928</v>
      </c>
      <c r="L1904" t="s">
        <v>4935</v>
      </c>
      <c r="M1904" t="s">
        <v>4942</v>
      </c>
      <c r="N1904" s="11">
        <v>4766.71</v>
      </c>
      <c r="O1904" t="s">
        <v>4946</v>
      </c>
      <c r="P1904" t="s">
        <v>4951</v>
      </c>
      <c r="R1904">
        <v>14</v>
      </c>
      <c r="S1904" t="str">
        <f t="shared" si="88"/>
        <v>Middle-Aged</v>
      </c>
      <c r="T1904" t="str">
        <f t="shared" si="89"/>
        <v>Low</v>
      </c>
      <c r="U1904" t="str">
        <f t="shared" si="90"/>
        <v>Short Days</v>
      </c>
    </row>
    <row r="1905" spans="1:21">
      <c r="A1905" t="s">
        <v>1921</v>
      </c>
      <c r="B1905" s="5">
        <v>45683</v>
      </c>
      <c r="C1905" t="s">
        <v>4065</v>
      </c>
      <c r="D1905" t="s">
        <v>4725</v>
      </c>
      <c r="E1905" t="s">
        <v>4866</v>
      </c>
      <c r="F1905">
        <v>24</v>
      </c>
      <c r="G1905" t="s">
        <v>4883</v>
      </c>
      <c r="H1905" t="s">
        <v>4892</v>
      </c>
      <c r="I1905" t="s">
        <v>4900</v>
      </c>
      <c r="J1905" t="s">
        <v>4919</v>
      </c>
      <c r="K1905" t="s">
        <v>4932</v>
      </c>
      <c r="L1905" t="s">
        <v>4938</v>
      </c>
      <c r="M1905" t="s">
        <v>4942</v>
      </c>
      <c r="N1905" s="11">
        <v>390.7</v>
      </c>
      <c r="O1905" t="s">
        <v>4948</v>
      </c>
      <c r="P1905" t="s">
        <v>4951</v>
      </c>
      <c r="R1905">
        <v>7</v>
      </c>
      <c r="S1905" t="str">
        <f t="shared" si="88"/>
        <v>Adult</v>
      </c>
      <c r="T1905" t="str">
        <f t="shared" si="89"/>
        <v>Low</v>
      </c>
      <c r="U1905" t="str">
        <f t="shared" si="90"/>
        <v>Short Days</v>
      </c>
    </row>
    <row r="1906" spans="1:21">
      <c r="A1906" t="s">
        <v>1922</v>
      </c>
      <c r="B1906" s="5">
        <v>45680</v>
      </c>
      <c r="C1906" t="s">
        <v>4252</v>
      </c>
      <c r="D1906" t="s">
        <v>4606</v>
      </c>
      <c r="E1906" t="s">
        <v>4866</v>
      </c>
      <c r="F1906">
        <f>AVERAGE(F1899,F1905)</f>
        <v>39.5</v>
      </c>
      <c r="G1906" t="s">
        <v>4881</v>
      </c>
      <c r="H1906" t="s">
        <v>4888</v>
      </c>
      <c r="I1906" t="s">
        <v>4897</v>
      </c>
      <c r="J1906" t="s">
        <v>4907</v>
      </c>
      <c r="K1906" t="s">
        <v>4953</v>
      </c>
      <c r="L1906" t="s">
        <v>4937</v>
      </c>
      <c r="M1906" t="s">
        <v>4942</v>
      </c>
      <c r="N1906" s="11">
        <v>666.13</v>
      </c>
      <c r="O1906" t="s">
        <v>4948</v>
      </c>
      <c r="P1906" t="s">
        <v>4951</v>
      </c>
      <c r="R1906">
        <v>7</v>
      </c>
      <c r="S1906" t="str">
        <f t="shared" si="88"/>
        <v>Adult</v>
      </c>
      <c r="T1906" t="str">
        <f t="shared" si="89"/>
        <v>Low</v>
      </c>
      <c r="U1906" t="str">
        <f t="shared" si="90"/>
        <v>Short Days</v>
      </c>
    </row>
    <row r="1907" spans="1:21">
      <c r="A1907" t="s">
        <v>1923</v>
      </c>
      <c r="B1907" s="5">
        <v>45899</v>
      </c>
      <c r="C1907" t="s">
        <v>4253</v>
      </c>
      <c r="D1907" t="s">
        <v>4737</v>
      </c>
      <c r="E1907" t="s">
        <v>4866</v>
      </c>
      <c r="F1907">
        <v>66</v>
      </c>
      <c r="G1907" t="s">
        <v>4878</v>
      </c>
      <c r="H1907" t="s">
        <v>4889</v>
      </c>
      <c r="I1907" t="s">
        <v>4901</v>
      </c>
      <c r="J1907" t="s">
        <v>4921</v>
      </c>
      <c r="K1907" t="s">
        <v>4932</v>
      </c>
      <c r="L1907" t="s">
        <v>4940</v>
      </c>
      <c r="M1907" t="s">
        <v>4942</v>
      </c>
      <c r="N1907" s="11">
        <v>6692.21</v>
      </c>
      <c r="O1907" t="s">
        <v>15</v>
      </c>
      <c r="P1907" t="s">
        <v>4952</v>
      </c>
      <c r="R1907">
        <v>30</v>
      </c>
      <c r="S1907" t="str">
        <f t="shared" si="88"/>
        <v>Senior</v>
      </c>
      <c r="T1907" t="str">
        <f t="shared" si="89"/>
        <v>Medium</v>
      </c>
      <c r="U1907" t="str">
        <f t="shared" si="90"/>
        <v>Short Days</v>
      </c>
    </row>
    <row r="1908" spans="1:21">
      <c r="A1908" t="s">
        <v>1924</v>
      </c>
      <c r="B1908" s="5">
        <v>45310</v>
      </c>
      <c r="C1908" t="s">
        <v>4254</v>
      </c>
      <c r="D1908" t="s">
        <v>4722</v>
      </c>
      <c r="E1908" t="s">
        <v>4868</v>
      </c>
      <c r="F1908">
        <v>41</v>
      </c>
      <c r="G1908" t="s">
        <v>4878</v>
      </c>
      <c r="H1908" t="s">
        <v>4889</v>
      </c>
      <c r="I1908" t="s">
        <v>4899</v>
      </c>
      <c r="J1908" t="s">
        <v>4912</v>
      </c>
      <c r="K1908" t="s">
        <v>4930</v>
      </c>
      <c r="L1908" t="s">
        <v>4934</v>
      </c>
      <c r="M1908" t="s">
        <v>4943</v>
      </c>
      <c r="N1908" s="11">
        <v>9412.5499999999993</v>
      </c>
      <c r="O1908" t="s">
        <v>4947</v>
      </c>
      <c r="P1908" t="s">
        <v>4951</v>
      </c>
      <c r="S1908" t="str">
        <f t="shared" si="88"/>
        <v>Middle-Aged</v>
      </c>
      <c r="T1908" t="str">
        <f t="shared" si="89"/>
        <v>Medium</v>
      </c>
      <c r="U1908" t="str">
        <f t="shared" si="90"/>
        <v>Short Days</v>
      </c>
    </row>
    <row r="1909" spans="1:21">
      <c r="A1909" t="s">
        <v>1925</v>
      </c>
      <c r="B1909" s="5">
        <v>45757</v>
      </c>
      <c r="C1909" t="s">
        <v>3705</v>
      </c>
      <c r="D1909" t="s">
        <v>4717</v>
      </c>
      <c r="E1909" t="s">
        <v>4866</v>
      </c>
      <c r="F1909">
        <v>45</v>
      </c>
      <c r="G1909" t="s">
        <v>4872</v>
      </c>
      <c r="H1909" t="s">
        <v>4887</v>
      </c>
      <c r="I1909" t="s">
        <v>4897</v>
      </c>
      <c r="J1909" t="s">
        <v>4907</v>
      </c>
      <c r="K1909" t="s">
        <v>4930</v>
      </c>
      <c r="L1909" t="s">
        <v>4938</v>
      </c>
      <c r="M1909" t="s">
        <v>4942</v>
      </c>
      <c r="N1909" s="11">
        <v>4638.2700000000004</v>
      </c>
      <c r="O1909" t="s">
        <v>4949</v>
      </c>
      <c r="P1909" t="s">
        <v>4951</v>
      </c>
      <c r="S1909" t="str">
        <f t="shared" si="88"/>
        <v>Middle-Aged</v>
      </c>
      <c r="T1909" t="str">
        <f t="shared" si="89"/>
        <v>Low</v>
      </c>
      <c r="U1909" t="str">
        <f t="shared" si="90"/>
        <v>Short Days</v>
      </c>
    </row>
    <row r="1910" spans="1:21">
      <c r="A1910" t="s">
        <v>1926</v>
      </c>
      <c r="B1910" s="5">
        <v>45931</v>
      </c>
      <c r="C1910" t="s">
        <v>3985</v>
      </c>
      <c r="D1910" t="s">
        <v>4795</v>
      </c>
      <c r="E1910" t="s">
        <v>4866</v>
      </c>
      <c r="F1910">
        <v>27</v>
      </c>
      <c r="G1910" t="s">
        <v>4869</v>
      </c>
      <c r="H1910" t="s">
        <v>4884</v>
      </c>
      <c r="I1910" t="s">
        <v>4893</v>
      </c>
      <c r="J1910" t="s">
        <v>4917</v>
      </c>
      <c r="K1910" t="s">
        <v>4924</v>
      </c>
      <c r="L1910" t="s">
        <v>4934</v>
      </c>
      <c r="M1910" t="s">
        <v>4942</v>
      </c>
      <c r="N1910" s="11">
        <v>1300.6300000000001</v>
      </c>
      <c r="O1910" t="s">
        <v>4950</v>
      </c>
      <c r="P1910" t="s">
        <v>4951</v>
      </c>
      <c r="R1910">
        <v>14</v>
      </c>
      <c r="S1910" t="str">
        <f t="shared" si="88"/>
        <v>Adult</v>
      </c>
      <c r="T1910" t="str">
        <f t="shared" si="89"/>
        <v>Low</v>
      </c>
      <c r="U1910" t="str">
        <f t="shared" si="90"/>
        <v>Short Days</v>
      </c>
    </row>
    <row r="1911" spans="1:21">
      <c r="A1911" t="s">
        <v>1927</v>
      </c>
      <c r="B1911" s="5">
        <v>45676</v>
      </c>
      <c r="C1911" t="s">
        <v>4255</v>
      </c>
      <c r="D1911" t="s">
        <v>4792</v>
      </c>
      <c r="E1911" t="s">
        <v>4866</v>
      </c>
      <c r="F1911">
        <v>37</v>
      </c>
      <c r="G1911" t="s">
        <v>4877</v>
      </c>
      <c r="H1911" t="s">
        <v>4888</v>
      </c>
      <c r="I1911" t="s">
        <v>4901</v>
      </c>
      <c r="J1911" t="s">
        <v>4921</v>
      </c>
      <c r="K1911" t="s">
        <v>4928</v>
      </c>
      <c r="L1911" t="s">
        <v>4935</v>
      </c>
      <c r="M1911" t="s">
        <v>4945</v>
      </c>
      <c r="N1911" s="11">
        <v>6587.73</v>
      </c>
      <c r="O1911" t="s">
        <v>4949</v>
      </c>
      <c r="P1911" t="s">
        <v>4951</v>
      </c>
      <c r="Q1911">
        <v>7</v>
      </c>
      <c r="R1911">
        <v>7</v>
      </c>
      <c r="S1911" t="str">
        <f t="shared" si="88"/>
        <v>Adult</v>
      </c>
      <c r="T1911" t="str">
        <f t="shared" si="89"/>
        <v>Medium</v>
      </c>
      <c r="U1911" t="str">
        <f t="shared" si="90"/>
        <v>Long Days</v>
      </c>
    </row>
    <row r="1912" spans="1:21">
      <c r="A1912" t="s">
        <v>1928</v>
      </c>
      <c r="B1912" s="5">
        <v>45384</v>
      </c>
      <c r="C1912" t="s">
        <v>4256</v>
      </c>
      <c r="D1912" t="s">
        <v>4798</v>
      </c>
      <c r="E1912" t="s">
        <v>4867</v>
      </c>
      <c r="F1912">
        <v>60</v>
      </c>
      <c r="G1912" t="s">
        <v>4871</v>
      </c>
      <c r="H1912" t="s">
        <v>4886</v>
      </c>
      <c r="I1912" t="s">
        <v>4899</v>
      </c>
      <c r="J1912" t="s">
        <v>4911</v>
      </c>
      <c r="K1912" t="s">
        <v>4933</v>
      </c>
      <c r="L1912" t="s">
        <v>4936</v>
      </c>
      <c r="M1912" t="s">
        <v>4942</v>
      </c>
      <c r="N1912" s="11">
        <v>1520.55</v>
      </c>
      <c r="O1912" t="s">
        <v>4949</v>
      </c>
      <c r="P1912" t="s">
        <v>4951</v>
      </c>
      <c r="R1912">
        <v>14</v>
      </c>
      <c r="S1912" t="str">
        <f t="shared" si="88"/>
        <v>Middle-Aged</v>
      </c>
      <c r="T1912" t="str">
        <f t="shared" si="89"/>
        <v>Low</v>
      </c>
      <c r="U1912" t="str">
        <f t="shared" si="90"/>
        <v>Short Days</v>
      </c>
    </row>
    <row r="1913" spans="1:21">
      <c r="A1913" t="s">
        <v>1929</v>
      </c>
      <c r="B1913" s="5">
        <v>45640</v>
      </c>
      <c r="C1913" t="s">
        <v>3933</v>
      </c>
      <c r="D1913" t="s">
        <v>4672</v>
      </c>
      <c r="E1913" t="s">
        <v>4866</v>
      </c>
      <c r="F1913">
        <v>41</v>
      </c>
      <c r="G1913" t="s">
        <v>4874</v>
      </c>
      <c r="H1913" t="s">
        <v>4886</v>
      </c>
      <c r="I1913" t="s">
        <v>4894</v>
      </c>
      <c r="J1913" t="s">
        <v>4904</v>
      </c>
      <c r="K1913" t="s">
        <v>4926</v>
      </c>
      <c r="L1913" t="s">
        <v>4939</v>
      </c>
      <c r="M1913" t="s">
        <v>4944</v>
      </c>
      <c r="N1913" s="11">
        <v>5894.17</v>
      </c>
      <c r="O1913" t="s">
        <v>4947</v>
      </c>
      <c r="P1913" t="s">
        <v>4951</v>
      </c>
      <c r="S1913" t="str">
        <f t="shared" si="88"/>
        <v>Middle-Aged</v>
      </c>
      <c r="T1913" t="str">
        <f t="shared" si="89"/>
        <v>Medium</v>
      </c>
      <c r="U1913" t="str">
        <f t="shared" si="90"/>
        <v>Short Days</v>
      </c>
    </row>
    <row r="1914" spans="1:21">
      <c r="A1914" t="s">
        <v>1930</v>
      </c>
      <c r="B1914" s="5">
        <v>45789</v>
      </c>
      <c r="C1914" t="s">
        <v>4257</v>
      </c>
      <c r="D1914" t="s">
        <v>4743</v>
      </c>
      <c r="E1914" t="s">
        <v>4867</v>
      </c>
      <c r="F1914">
        <v>52</v>
      </c>
      <c r="G1914" t="s">
        <v>4869</v>
      </c>
      <c r="H1914" t="s">
        <v>4884</v>
      </c>
      <c r="I1914" t="s">
        <v>4895</v>
      </c>
      <c r="J1914" t="s">
        <v>4915</v>
      </c>
      <c r="K1914" t="s">
        <v>4933</v>
      </c>
      <c r="L1914" t="s">
        <v>4940</v>
      </c>
      <c r="M1914" t="s">
        <v>4942</v>
      </c>
      <c r="N1914" s="11">
        <v>664.33</v>
      </c>
      <c r="O1914" t="s">
        <v>4947</v>
      </c>
      <c r="P1914" t="s">
        <v>4951</v>
      </c>
      <c r="R1914">
        <v>90</v>
      </c>
      <c r="S1914" t="str">
        <f t="shared" si="88"/>
        <v>Middle-Aged</v>
      </c>
      <c r="T1914" t="str">
        <f t="shared" si="89"/>
        <v>Low</v>
      </c>
      <c r="U1914" t="str">
        <f t="shared" si="90"/>
        <v>Short Days</v>
      </c>
    </row>
    <row r="1915" spans="1:21">
      <c r="A1915" t="s">
        <v>1931</v>
      </c>
      <c r="B1915" s="5">
        <v>45331</v>
      </c>
      <c r="C1915" t="s">
        <v>3572</v>
      </c>
      <c r="D1915" t="s">
        <v>4711</v>
      </c>
      <c r="E1915" t="s">
        <v>4867</v>
      </c>
      <c r="F1915">
        <v>29</v>
      </c>
      <c r="G1915" t="s">
        <v>4870</v>
      </c>
      <c r="H1915" t="s">
        <v>4885</v>
      </c>
      <c r="I1915" t="s">
        <v>4898</v>
      </c>
      <c r="J1915" t="s">
        <v>4918</v>
      </c>
      <c r="K1915" t="s">
        <v>4930</v>
      </c>
      <c r="L1915" t="s">
        <v>4936</v>
      </c>
      <c r="M1915" t="s">
        <v>4944</v>
      </c>
      <c r="N1915" s="11">
        <v>15181</v>
      </c>
      <c r="O1915" t="s">
        <v>4947</v>
      </c>
      <c r="P1915" t="s">
        <v>4951</v>
      </c>
      <c r="R1915">
        <v>14</v>
      </c>
      <c r="S1915" t="str">
        <f t="shared" si="88"/>
        <v>Adult</v>
      </c>
      <c r="T1915" t="str">
        <f t="shared" si="89"/>
        <v>High</v>
      </c>
      <c r="U1915" t="str">
        <f t="shared" si="90"/>
        <v>Short Days</v>
      </c>
    </row>
    <row r="1916" spans="1:21">
      <c r="A1916" t="s">
        <v>1932</v>
      </c>
      <c r="B1916" s="5">
        <v>45329</v>
      </c>
      <c r="C1916" t="s">
        <v>3622</v>
      </c>
      <c r="D1916" t="s">
        <v>4754</v>
      </c>
      <c r="E1916" t="s">
        <v>4866</v>
      </c>
      <c r="F1916">
        <v>22</v>
      </c>
      <c r="G1916" t="s">
        <v>4869</v>
      </c>
      <c r="H1916" t="s">
        <v>4884</v>
      </c>
      <c r="I1916" t="s">
        <v>4898</v>
      </c>
      <c r="J1916" t="s">
        <v>4918</v>
      </c>
      <c r="K1916" t="s">
        <v>4926</v>
      </c>
      <c r="L1916" t="s">
        <v>4936</v>
      </c>
      <c r="M1916" t="s">
        <v>4942</v>
      </c>
      <c r="N1916" s="11">
        <v>5504.18</v>
      </c>
      <c r="O1916" t="s">
        <v>15</v>
      </c>
      <c r="P1916" t="s">
        <v>4952</v>
      </c>
      <c r="R1916">
        <v>90</v>
      </c>
      <c r="S1916" t="str">
        <f t="shared" si="88"/>
        <v>Adult</v>
      </c>
      <c r="T1916" t="str">
        <f t="shared" si="89"/>
        <v>Medium</v>
      </c>
      <c r="U1916" t="str">
        <f t="shared" si="90"/>
        <v>Short Days</v>
      </c>
    </row>
    <row r="1917" spans="1:21">
      <c r="A1917" t="s">
        <v>1933</v>
      </c>
      <c r="B1917" s="5">
        <v>45854</v>
      </c>
      <c r="C1917" t="s">
        <v>4258</v>
      </c>
      <c r="D1917" t="s">
        <v>4860</v>
      </c>
      <c r="E1917" t="s">
        <v>4867</v>
      </c>
      <c r="F1917">
        <v>21</v>
      </c>
      <c r="G1917" t="s">
        <v>4870</v>
      </c>
      <c r="H1917" t="s">
        <v>4885</v>
      </c>
      <c r="I1917" t="s">
        <v>4901</v>
      </c>
      <c r="J1917" t="s">
        <v>4921</v>
      </c>
      <c r="K1917" t="s">
        <v>4928</v>
      </c>
      <c r="L1917" t="s">
        <v>4935</v>
      </c>
      <c r="M1917" t="s">
        <v>4944</v>
      </c>
      <c r="N1917" s="11">
        <v>6716.77</v>
      </c>
      <c r="O1917" t="s">
        <v>15</v>
      </c>
      <c r="P1917" t="s">
        <v>4952</v>
      </c>
      <c r="S1917" t="str">
        <f t="shared" si="88"/>
        <v>Adult</v>
      </c>
      <c r="T1917" t="str">
        <f t="shared" si="89"/>
        <v>Medium</v>
      </c>
      <c r="U1917" t="str">
        <f t="shared" si="90"/>
        <v>Short Days</v>
      </c>
    </row>
    <row r="1918" spans="1:21">
      <c r="A1918" t="s">
        <v>1934</v>
      </c>
      <c r="B1918" s="5">
        <v>45940</v>
      </c>
      <c r="C1918" t="s">
        <v>3905</v>
      </c>
      <c r="D1918" t="s">
        <v>4691</v>
      </c>
      <c r="E1918" t="s">
        <v>4867</v>
      </c>
      <c r="F1918">
        <v>24</v>
      </c>
      <c r="G1918" t="s">
        <v>4873</v>
      </c>
      <c r="H1918" t="s">
        <v>4888</v>
      </c>
      <c r="I1918" t="s">
        <v>4899</v>
      </c>
      <c r="J1918" t="s">
        <v>4912</v>
      </c>
      <c r="K1918" t="s">
        <v>4933</v>
      </c>
      <c r="L1918" t="s">
        <v>4939</v>
      </c>
      <c r="M1918" t="s">
        <v>4942</v>
      </c>
      <c r="N1918" s="11">
        <v>3086.42</v>
      </c>
      <c r="O1918" t="s">
        <v>4946</v>
      </c>
      <c r="P1918" t="s">
        <v>4951</v>
      </c>
      <c r="S1918" t="str">
        <f t="shared" si="88"/>
        <v>Adult</v>
      </c>
      <c r="T1918" t="str">
        <f t="shared" si="89"/>
        <v>Low</v>
      </c>
      <c r="U1918" t="str">
        <f t="shared" si="90"/>
        <v>Short Days</v>
      </c>
    </row>
    <row r="1919" spans="1:21">
      <c r="A1919" t="s">
        <v>1935</v>
      </c>
      <c r="B1919" s="5">
        <v>45372</v>
      </c>
      <c r="C1919" t="s">
        <v>4259</v>
      </c>
      <c r="D1919" t="s">
        <v>4613</v>
      </c>
      <c r="E1919" t="s">
        <v>4867</v>
      </c>
      <c r="F1919">
        <v>55</v>
      </c>
      <c r="G1919" t="s">
        <v>4873</v>
      </c>
      <c r="H1919" t="s">
        <v>4888</v>
      </c>
      <c r="I1919" t="s">
        <v>4893</v>
      </c>
      <c r="J1919" t="s">
        <v>4903</v>
      </c>
      <c r="K1919" t="s">
        <v>4927</v>
      </c>
      <c r="L1919" t="s">
        <v>4937</v>
      </c>
      <c r="M1919" t="s">
        <v>4942</v>
      </c>
      <c r="N1919" s="11">
        <v>2948.56</v>
      </c>
      <c r="O1919" t="s">
        <v>4949</v>
      </c>
      <c r="P1919" t="s">
        <v>4951</v>
      </c>
      <c r="S1919" t="str">
        <f t="shared" si="88"/>
        <v>Middle-Aged</v>
      </c>
      <c r="T1919" t="str">
        <f t="shared" si="89"/>
        <v>Low</v>
      </c>
      <c r="U1919" t="str">
        <f t="shared" si="90"/>
        <v>Short Days</v>
      </c>
    </row>
    <row r="1920" spans="1:21">
      <c r="A1920" t="s">
        <v>1936</v>
      </c>
      <c r="B1920" s="5">
        <v>45614</v>
      </c>
      <c r="C1920" t="s">
        <v>4260</v>
      </c>
      <c r="D1920" t="s">
        <v>4646</v>
      </c>
      <c r="E1920" t="s">
        <v>4867</v>
      </c>
      <c r="F1920">
        <v>48</v>
      </c>
      <c r="G1920" t="s">
        <v>4877</v>
      </c>
      <c r="H1920" t="s">
        <v>4888</v>
      </c>
      <c r="I1920" t="s">
        <v>4900</v>
      </c>
      <c r="J1920" t="s">
        <v>4913</v>
      </c>
      <c r="K1920" t="s">
        <v>4927</v>
      </c>
      <c r="L1920" t="s">
        <v>4936</v>
      </c>
      <c r="M1920" t="s">
        <v>4942</v>
      </c>
      <c r="N1920" s="11">
        <v>2708.31</v>
      </c>
      <c r="O1920" t="s">
        <v>15</v>
      </c>
      <c r="P1920" t="s">
        <v>4952</v>
      </c>
      <c r="S1920" t="str">
        <f t="shared" si="88"/>
        <v>Middle-Aged</v>
      </c>
      <c r="T1920" t="str">
        <f t="shared" si="89"/>
        <v>Low</v>
      </c>
      <c r="U1920" t="str">
        <f t="shared" si="90"/>
        <v>Short Days</v>
      </c>
    </row>
    <row r="1921" spans="1:21">
      <c r="A1921" t="s">
        <v>1937</v>
      </c>
      <c r="B1921" s="5">
        <v>45886</v>
      </c>
      <c r="C1921" t="s">
        <v>3870</v>
      </c>
      <c r="D1921" t="s">
        <v>4648</v>
      </c>
      <c r="E1921" t="s">
        <v>4867</v>
      </c>
      <c r="F1921">
        <v>65</v>
      </c>
      <c r="G1921" t="s">
        <v>4869</v>
      </c>
      <c r="H1921" t="s">
        <v>4884</v>
      </c>
      <c r="I1921" t="s">
        <v>4896</v>
      </c>
      <c r="J1921" t="s">
        <v>4908</v>
      </c>
      <c r="K1921" t="s">
        <v>4932</v>
      </c>
      <c r="L1921" t="s">
        <v>4940</v>
      </c>
      <c r="M1921" t="s">
        <v>4942</v>
      </c>
      <c r="N1921" s="11">
        <v>1402.53</v>
      </c>
      <c r="O1921" t="s">
        <v>4949</v>
      </c>
      <c r="P1921" t="s">
        <v>4951</v>
      </c>
      <c r="R1921">
        <v>7</v>
      </c>
      <c r="S1921" t="str">
        <f t="shared" si="88"/>
        <v>Senior</v>
      </c>
      <c r="T1921" t="str">
        <f t="shared" si="89"/>
        <v>Low</v>
      </c>
      <c r="U1921" t="str">
        <f t="shared" si="90"/>
        <v>Short Days</v>
      </c>
    </row>
    <row r="1922" spans="1:21">
      <c r="A1922" t="s">
        <v>1938</v>
      </c>
      <c r="B1922" s="5">
        <v>45840</v>
      </c>
      <c r="C1922" t="s">
        <v>4244</v>
      </c>
      <c r="D1922" t="s">
        <v>4665</v>
      </c>
      <c r="E1922" t="s">
        <v>4867</v>
      </c>
      <c r="F1922">
        <v>46</v>
      </c>
      <c r="G1922" t="s">
        <v>4870</v>
      </c>
      <c r="H1922" t="s">
        <v>4885</v>
      </c>
      <c r="I1922" t="s">
        <v>4894</v>
      </c>
      <c r="J1922" t="s">
        <v>4910</v>
      </c>
      <c r="K1922" t="s">
        <v>4927</v>
      </c>
      <c r="L1922" t="s">
        <v>4934</v>
      </c>
      <c r="M1922" t="s">
        <v>4943</v>
      </c>
      <c r="N1922" s="11">
        <v>6077.58</v>
      </c>
      <c r="O1922" t="s">
        <v>4949</v>
      </c>
      <c r="P1922" t="s">
        <v>4951</v>
      </c>
      <c r="R1922">
        <v>90</v>
      </c>
      <c r="S1922" t="str">
        <f t="shared" si="88"/>
        <v>Middle-Aged</v>
      </c>
      <c r="T1922" t="str">
        <f t="shared" si="89"/>
        <v>Medium</v>
      </c>
      <c r="U1922" t="str">
        <f t="shared" si="90"/>
        <v>Short Days</v>
      </c>
    </row>
    <row r="1923" spans="1:21">
      <c r="A1923" t="s">
        <v>1939</v>
      </c>
      <c r="B1923" s="5">
        <v>45533</v>
      </c>
      <c r="C1923" t="s">
        <v>4119</v>
      </c>
      <c r="D1923" t="s">
        <v>4805</v>
      </c>
      <c r="E1923" t="s">
        <v>4867</v>
      </c>
      <c r="F1923">
        <v>11</v>
      </c>
      <c r="G1923" t="s">
        <v>4879</v>
      </c>
      <c r="H1923" t="s">
        <v>4888</v>
      </c>
      <c r="I1923" t="s">
        <v>4901</v>
      </c>
      <c r="J1923" t="s">
        <v>4921</v>
      </c>
      <c r="K1923" t="s">
        <v>4928</v>
      </c>
      <c r="L1923" t="s">
        <v>4938</v>
      </c>
      <c r="M1923" t="s">
        <v>4942</v>
      </c>
      <c r="N1923" s="11">
        <v>11759.91</v>
      </c>
      <c r="O1923" t="s">
        <v>4946</v>
      </c>
      <c r="P1923" t="s">
        <v>4951</v>
      </c>
      <c r="R1923">
        <v>14</v>
      </c>
      <c r="S1923" t="str">
        <f t="shared" ref="S1923:S1986" si="91">IF(F1923&lt;18,"Child",IF(F1923&lt;=40,"Adult",IF(F1923&lt;=60,"Middle-Aged",IF(F1923,"Senior"))))</f>
        <v>Child</v>
      </c>
      <c r="T1923" t="str">
        <f t="shared" ref="T1923:T1986" si="92">IF(N1923&lt;=5000,"Low",IF(N1923&lt;=10000,"Medium","High"))</f>
        <v>High</v>
      </c>
      <c r="U1923" t="str">
        <f t="shared" ref="U1923:U1986" si="93">IF(Q1923&lt;=5,"Short Days","Long Days")</f>
        <v>Short Days</v>
      </c>
    </row>
    <row r="1924" spans="1:21">
      <c r="A1924" t="s">
        <v>1940</v>
      </c>
      <c r="B1924" s="5">
        <v>45730</v>
      </c>
      <c r="C1924" t="s">
        <v>3814</v>
      </c>
      <c r="D1924" t="s">
        <v>4839</v>
      </c>
      <c r="E1924" t="s">
        <v>4866</v>
      </c>
      <c r="F1924">
        <v>33</v>
      </c>
      <c r="G1924" t="s">
        <v>4876</v>
      </c>
      <c r="H1924" t="s">
        <v>4888</v>
      </c>
      <c r="I1924" t="s">
        <v>4902</v>
      </c>
      <c r="J1924" t="s">
        <v>4920</v>
      </c>
      <c r="K1924" t="s">
        <v>4925</v>
      </c>
      <c r="L1924" t="s">
        <v>4935</v>
      </c>
      <c r="M1924" t="s">
        <v>4945</v>
      </c>
      <c r="N1924" s="11">
        <v>8279.51</v>
      </c>
      <c r="O1924" t="s">
        <v>4946</v>
      </c>
      <c r="P1924" t="s">
        <v>4951</v>
      </c>
      <c r="Q1924">
        <v>5</v>
      </c>
      <c r="R1924">
        <v>14</v>
      </c>
      <c r="S1924" t="str">
        <f t="shared" si="91"/>
        <v>Adult</v>
      </c>
      <c r="T1924" t="str">
        <f t="shared" si="92"/>
        <v>Medium</v>
      </c>
      <c r="U1924" t="str">
        <f t="shared" si="93"/>
        <v>Short Days</v>
      </c>
    </row>
    <row r="1925" spans="1:21">
      <c r="A1925" t="s">
        <v>1941</v>
      </c>
      <c r="B1925" s="5">
        <v>45630</v>
      </c>
      <c r="C1925" t="s">
        <v>3092</v>
      </c>
      <c r="D1925" t="s">
        <v>4620</v>
      </c>
      <c r="E1925" t="s">
        <v>4866</v>
      </c>
      <c r="F1925">
        <v>75</v>
      </c>
      <c r="G1925" t="s">
        <v>4871</v>
      </c>
      <c r="H1925" t="s">
        <v>4886</v>
      </c>
      <c r="I1925" t="s">
        <v>4893</v>
      </c>
      <c r="J1925" t="s">
        <v>4917</v>
      </c>
      <c r="K1925" t="s">
        <v>4925</v>
      </c>
      <c r="L1925" t="s">
        <v>4941</v>
      </c>
      <c r="M1925" t="s">
        <v>4942</v>
      </c>
      <c r="N1925" s="11">
        <v>212.19</v>
      </c>
      <c r="O1925" t="s">
        <v>15</v>
      </c>
      <c r="P1925" t="s">
        <v>4952</v>
      </c>
      <c r="R1925">
        <v>14</v>
      </c>
      <c r="S1925" t="str">
        <f t="shared" si="91"/>
        <v>Senior</v>
      </c>
      <c r="T1925" t="str">
        <f t="shared" si="92"/>
        <v>Low</v>
      </c>
      <c r="U1925" t="str">
        <f t="shared" si="93"/>
        <v>Short Days</v>
      </c>
    </row>
    <row r="1926" spans="1:21">
      <c r="A1926" t="s">
        <v>1942</v>
      </c>
      <c r="B1926" s="5">
        <v>45688</v>
      </c>
      <c r="C1926" t="s">
        <v>3197</v>
      </c>
      <c r="D1926" t="s">
        <v>4735</v>
      </c>
      <c r="E1926" t="s">
        <v>4866</v>
      </c>
      <c r="F1926">
        <v>33</v>
      </c>
      <c r="G1926" t="s">
        <v>4875</v>
      </c>
      <c r="H1926" t="s">
        <v>4889</v>
      </c>
      <c r="I1926" t="s">
        <v>4893</v>
      </c>
      <c r="J1926" t="s">
        <v>4903</v>
      </c>
      <c r="K1926" t="s">
        <v>4927</v>
      </c>
      <c r="L1926" t="s">
        <v>4939</v>
      </c>
      <c r="M1926" t="s">
        <v>4942</v>
      </c>
      <c r="N1926" s="11">
        <v>7073.6</v>
      </c>
      <c r="O1926" t="s">
        <v>4949</v>
      </c>
      <c r="P1926" t="s">
        <v>4951</v>
      </c>
      <c r="S1926" t="str">
        <f t="shared" si="91"/>
        <v>Adult</v>
      </c>
      <c r="T1926" t="str">
        <f t="shared" si="92"/>
        <v>Medium</v>
      </c>
      <c r="U1926" t="str">
        <f t="shared" si="93"/>
        <v>Short Days</v>
      </c>
    </row>
    <row r="1927" spans="1:21">
      <c r="A1927" t="s">
        <v>1943</v>
      </c>
      <c r="B1927" s="5">
        <v>45853</v>
      </c>
      <c r="C1927" t="s">
        <v>3223</v>
      </c>
      <c r="D1927" t="s">
        <v>4829</v>
      </c>
      <c r="E1927" t="s">
        <v>4867</v>
      </c>
      <c r="F1927">
        <v>41</v>
      </c>
      <c r="G1927" t="s">
        <v>4877</v>
      </c>
      <c r="H1927" t="s">
        <v>4888</v>
      </c>
      <c r="I1927" t="s">
        <v>4895</v>
      </c>
      <c r="J1927" t="s">
        <v>4915</v>
      </c>
      <c r="K1927" t="s">
        <v>4929</v>
      </c>
      <c r="L1927" t="s">
        <v>4938</v>
      </c>
      <c r="M1927" t="s">
        <v>4942</v>
      </c>
      <c r="N1927" s="11">
        <v>4405.0200000000004</v>
      </c>
      <c r="O1927" t="s">
        <v>15</v>
      </c>
      <c r="P1927" t="s">
        <v>4952</v>
      </c>
      <c r="S1927" t="str">
        <f t="shared" si="91"/>
        <v>Middle-Aged</v>
      </c>
      <c r="T1927" t="str">
        <f t="shared" si="92"/>
        <v>Low</v>
      </c>
      <c r="U1927" t="str">
        <f t="shared" si="93"/>
        <v>Short Days</v>
      </c>
    </row>
    <row r="1928" spans="1:21">
      <c r="A1928" t="s">
        <v>1944</v>
      </c>
      <c r="B1928" s="5">
        <v>45766</v>
      </c>
      <c r="C1928" t="s">
        <v>3018</v>
      </c>
      <c r="D1928" t="s">
        <v>4772</v>
      </c>
      <c r="E1928" t="s">
        <v>4866</v>
      </c>
      <c r="F1928">
        <v>33</v>
      </c>
      <c r="G1928" t="s">
        <v>4869</v>
      </c>
      <c r="H1928" t="s">
        <v>4884</v>
      </c>
      <c r="I1928" t="s">
        <v>4900</v>
      </c>
      <c r="J1928" t="s">
        <v>4913</v>
      </c>
      <c r="K1928" t="s">
        <v>4932</v>
      </c>
      <c r="L1928" t="s">
        <v>4936</v>
      </c>
      <c r="M1928" t="s">
        <v>4942</v>
      </c>
      <c r="N1928" s="11">
        <v>3254.32</v>
      </c>
      <c r="O1928" t="s">
        <v>4946</v>
      </c>
      <c r="P1928" t="s">
        <v>4951</v>
      </c>
      <c r="R1928">
        <v>14</v>
      </c>
      <c r="S1928" t="str">
        <f t="shared" si="91"/>
        <v>Adult</v>
      </c>
      <c r="T1928" t="str">
        <f t="shared" si="92"/>
        <v>Low</v>
      </c>
      <c r="U1928" t="str">
        <f t="shared" si="93"/>
        <v>Short Days</v>
      </c>
    </row>
    <row r="1929" spans="1:21">
      <c r="A1929" t="s">
        <v>1945</v>
      </c>
      <c r="B1929" s="5">
        <v>45427</v>
      </c>
      <c r="C1929" t="s">
        <v>4261</v>
      </c>
      <c r="D1929" t="s">
        <v>4793</v>
      </c>
      <c r="E1929" t="s">
        <v>4867</v>
      </c>
      <c r="F1929">
        <v>54</v>
      </c>
      <c r="G1929" t="s">
        <v>4873</v>
      </c>
      <c r="H1929" t="s">
        <v>4888</v>
      </c>
      <c r="I1929" t="s">
        <v>4898</v>
      </c>
      <c r="J1929" t="s">
        <v>4909</v>
      </c>
      <c r="K1929" t="s">
        <v>4924</v>
      </c>
      <c r="L1929" t="s">
        <v>4940</v>
      </c>
      <c r="M1929" t="s">
        <v>4942</v>
      </c>
      <c r="N1929" s="11">
        <v>13937.39</v>
      </c>
      <c r="O1929" t="s">
        <v>4949</v>
      </c>
      <c r="P1929" t="s">
        <v>4951</v>
      </c>
      <c r="S1929" t="str">
        <f t="shared" si="91"/>
        <v>Middle-Aged</v>
      </c>
      <c r="T1929" t="str">
        <f t="shared" si="92"/>
        <v>High</v>
      </c>
      <c r="U1929" t="str">
        <f t="shared" si="93"/>
        <v>Short Days</v>
      </c>
    </row>
    <row r="1930" spans="1:21">
      <c r="A1930" t="s">
        <v>1946</v>
      </c>
      <c r="B1930" s="5">
        <v>45613</v>
      </c>
      <c r="C1930" t="s">
        <v>3878</v>
      </c>
      <c r="D1930" t="s">
        <v>4847</v>
      </c>
      <c r="E1930" t="s">
        <v>4867</v>
      </c>
      <c r="F1930">
        <v>14</v>
      </c>
      <c r="G1930" t="s">
        <v>4878</v>
      </c>
      <c r="H1930" t="s">
        <v>4889</v>
      </c>
      <c r="I1930" t="s">
        <v>4894</v>
      </c>
      <c r="J1930" t="s">
        <v>4910</v>
      </c>
      <c r="K1930" t="s">
        <v>4931</v>
      </c>
      <c r="L1930" t="s">
        <v>4935</v>
      </c>
      <c r="M1930" t="s">
        <v>4942</v>
      </c>
      <c r="N1930" s="11">
        <v>2059.83</v>
      </c>
      <c r="O1930" t="s">
        <v>4946</v>
      </c>
      <c r="P1930" t="s">
        <v>4951</v>
      </c>
      <c r="R1930">
        <v>90</v>
      </c>
      <c r="S1930" t="str">
        <f t="shared" si="91"/>
        <v>Child</v>
      </c>
      <c r="T1930" t="str">
        <f t="shared" si="92"/>
        <v>Low</v>
      </c>
      <c r="U1930" t="str">
        <f t="shared" si="93"/>
        <v>Short Days</v>
      </c>
    </row>
    <row r="1931" spans="1:21">
      <c r="A1931" t="s">
        <v>1947</v>
      </c>
      <c r="B1931" s="5">
        <v>45668</v>
      </c>
      <c r="C1931" t="s">
        <v>4262</v>
      </c>
      <c r="D1931" t="s">
        <v>4619</v>
      </c>
      <c r="E1931" t="s">
        <v>4866</v>
      </c>
      <c r="F1931">
        <v>24</v>
      </c>
      <c r="G1931" t="s">
        <v>4883</v>
      </c>
      <c r="H1931" t="s">
        <v>4892</v>
      </c>
      <c r="I1931" t="s">
        <v>4901</v>
      </c>
      <c r="J1931" t="s">
        <v>4921</v>
      </c>
      <c r="K1931" t="s">
        <v>4925</v>
      </c>
      <c r="L1931" t="s">
        <v>4935</v>
      </c>
      <c r="M1931" t="s">
        <v>4942</v>
      </c>
      <c r="N1931" s="11">
        <v>4695.7</v>
      </c>
      <c r="O1931" t="s">
        <v>15</v>
      </c>
      <c r="P1931" t="s">
        <v>4952</v>
      </c>
      <c r="R1931">
        <v>14</v>
      </c>
      <c r="S1931" t="str">
        <f t="shared" si="91"/>
        <v>Adult</v>
      </c>
      <c r="T1931" t="str">
        <f t="shared" si="92"/>
        <v>Low</v>
      </c>
      <c r="U1931" t="str">
        <f t="shared" si="93"/>
        <v>Short Days</v>
      </c>
    </row>
    <row r="1932" spans="1:21">
      <c r="A1932" t="s">
        <v>1948</v>
      </c>
      <c r="B1932" s="5">
        <v>45919</v>
      </c>
      <c r="C1932" t="s">
        <v>4263</v>
      </c>
      <c r="D1932" t="s">
        <v>4789</v>
      </c>
      <c r="E1932" t="s">
        <v>4867</v>
      </c>
      <c r="F1932">
        <v>54</v>
      </c>
      <c r="G1932" t="s">
        <v>4878</v>
      </c>
      <c r="H1932" t="s">
        <v>4889</v>
      </c>
      <c r="I1932" t="s">
        <v>4898</v>
      </c>
      <c r="J1932" t="s">
        <v>4923</v>
      </c>
      <c r="K1932" t="s">
        <v>4932</v>
      </c>
      <c r="L1932" t="s">
        <v>4934</v>
      </c>
      <c r="M1932" t="s">
        <v>4942</v>
      </c>
      <c r="N1932" s="11">
        <v>3951.41</v>
      </c>
      <c r="O1932" t="s">
        <v>4949</v>
      </c>
      <c r="P1932" t="s">
        <v>4951</v>
      </c>
      <c r="S1932" t="str">
        <f t="shared" si="91"/>
        <v>Middle-Aged</v>
      </c>
      <c r="T1932" t="str">
        <f t="shared" si="92"/>
        <v>Low</v>
      </c>
      <c r="U1932" t="str">
        <f t="shared" si="93"/>
        <v>Short Days</v>
      </c>
    </row>
    <row r="1933" spans="1:21">
      <c r="A1933" t="s">
        <v>1949</v>
      </c>
      <c r="B1933" s="5">
        <v>45736</v>
      </c>
      <c r="C1933" t="s">
        <v>3593</v>
      </c>
      <c r="D1933" t="s">
        <v>4711</v>
      </c>
      <c r="E1933" t="s">
        <v>4867</v>
      </c>
      <c r="F1933">
        <v>41</v>
      </c>
      <c r="G1933" t="s">
        <v>4882</v>
      </c>
      <c r="H1933" t="s">
        <v>4891</v>
      </c>
      <c r="I1933" t="s">
        <v>4895</v>
      </c>
      <c r="J1933" t="s">
        <v>4915</v>
      </c>
      <c r="K1933" t="s">
        <v>4930</v>
      </c>
      <c r="L1933" t="s">
        <v>4940</v>
      </c>
      <c r="M1933" t="s">
        <v>4943</v>
      </c>
      <c r="N1933" s="11">
        <v>11759.34</v>
      </c>
      <c r="O1933" t="s">
        <v>4947</v>
      </c>
      <c r="P1933" t="s">
        <v>4951</v>
      </c>
      <c r="R1933">
        <v>7</v>
      </c>
      <c r="S1933" t="str">
        <f t="shared" si="91"/>
        <v>Middle-Aged</v>
      </c>
      <c r="T1933" t="str">
        <f t="shared" si="92"/>
        <v>High</v>
      </c>
      <c r="U1933" t="str">
        <f t="shared" si="93"/>
        <v>Short Days</v>
      </c>
    </row>
    <row r="1934" spans="1:21">
      <c r="A1934" t="s">
        <v>1950</v>
      </c>
      <c r="B1934" s="5">
        <v>45821</v>
      </c>
      <c r="C1934" t="s">
        <v>4264</v>
      </c>
      <c r="D1934" t="s">
        <v>4783</v>
      </c>
      <c r="E1934" t="s">
        <v>4867</v>
      </c>
      <c r="F1934">
        <v>44</v>
      </c>
      <c r="G1934" t="s">
        <v>4880</v>
      </c>
      <c r="H1934" t="s">
        <v>4890</v>
      </c>
      <c r="I1934" t="s">
        <v>4895</v>
      </c>
      <c r="J1934" t="s">
        <v>4905</v>
      </c>
      <c r="K1934" t="s">
        <v>4928</v>
      </c>
      <c r="L1934" t="s">
        <v>4935</v>
      </c>
      <c r="M1934" t="s">
        <v>4944</v>
      </c>
      <c r="N1934" s="11">
        <v>5263.4</v>
      </c>
      <c r="O1934" t="s">
        <v>4947</v>
      </c>
      <c r="P1934" t="s">
        <v>4951</v>
      </c>
      <c r="R1934">
        <v>7</v>
      </c>
      <c r="S1934" t="str">
        <f t="shared" si="91"/>
        <v>Middle-Aged</v>
      </c>
      <c r="T1934" t="str">
        <f t="shared" si="92"/>
        <v>Medium</v>
      </c>
      <c r="U1934" t="str">
        <f t="shared" si="93"/>
        <v>Short Days</v>
      </c>
    </row>
    <row r="1935" spans="1:21">
      <c r="A1935" t="s">
        <v>1951</v>
      </c>
      <c r="B1935" s="5">
        <v>45649</v>
      </c>
      <c r="C1935" t="s">
        <v>4265</v>
      </c>
      <c r="D1935" t="s">
        <v>4687</v>
      </c>
      <c r="E1935" t="s">
        <v>4867</v>
      </c>
      <c r="F1935">
        <v>30</v>
      </c>
      <c r="G1935" t="s">
        <v>4877</v>
      </c>
      <c r="H1935" t="s">
        <v>4888</v>
      </c>
      <c r="I1935" t="s">
        <v>4896</v>
      </c>
      <c r="J1935" t="s">
        <v>4908</v>
      </c>
      <c r="K1935" t="s">
        <v>4928</v>
      </c>
      <c r="L1935" t="s">
        <v>4940</v>
      </c>
      <c r="M1935" t="s">
        <v>4944</v>
      </c>
      <c r="N1935" s="11">
        <v>5076.46</v>
      </c>
      <c r="O1935" t="s">
        <v>4948</v>
      </c>
      <c r="P1935" t="s">
        <v>4951</v>
      </c>
      <c r="R1935">
        <v>30</v>
      </c>
      <c r="S1935" t="str">
        <f t="shared" si="91"/>
        <v>Adult</v>
      </c>
      <c r="T1935" t="str">
        <f t="shared" si="92"/>
        <v>Medium</v>
      </c>
      <c r="U1935" t="str">
        <f t="shared" si="93"/>
        <v>Short Days</v>
      </c>
    </row>
    <row r="1936" spans="1:21">
      <c r="A1936" t="s">
        <v>1952</v>
      </c>
      <c r="B1936" s="5">
        <v>45616</v>
      </c>
      <c r="C1936" t="s">
        <v>3195</v>
      </c>
      <c r="D1936" t="s">
        <v>4620</v>
      </c>
      <c r="E1936" t="s">
        <v>4867</v>
      </c>
      <c r="F1936">
        <v>15</v>
      </c>
      <c r="G1936" t="s">
        <v>4871</v>
      </c>
      <c r="H1936" t="s">
        <v>4886</v>
      </c>
      <c r="I1936" t="s">
        <v>4894</v>
      </c>
      <c r="J1936" t="s">
        <v>4904</v>
      </c>
      <c r="K1936" t="s">
        <v>4932</v>
      </c>
      <c r="L1936" t="s">
        <v>4938</v>
      </c>
      <c r="M1936" t="s">
        <v>4942</v>
      </c>
      <c r="N1936" s="11">
        <v>221.54</v>
      </c>
      <c r="O1936" t="s">
        <v>4949</v>
      </c>
      <c r="P1936" t="s">
        <v>4951</v>
      </c>
      <c r="R1936">
        <v>7</v>
      </c>
      <c r="S1936" t="str">
        <f t="shared" si="91"/>
        <v>Child</v>
      </c>
      <c r="T1936" t="str">
        <f t="shared" si="92"/>
        <v>Low</v>
      </c>
      <c r="U1936" t="str">
        <f t="shared" si="93"/>
        <v>Short Days</v>
      </c>
    </row>
    <row r="1937" spans="1:21">
      <c r="A1937" t="s">
        <v>1953</v>
      </c>
      <c r="B1937" s="5">
        <v>45760</v>
      </c>
      <c r="C1937" t="s">
        <v>3327</v>
      </c>
      <c r="D1937" t="s">
        <v>4819</v>
      </c>
      <c r="E1937" t="s">
        <v>4867</v>
      </c>
      <c r="F1937">
        <v>24</v>
      </c>
      <c r="G1937" t="s">
        <v>4880</v>
      </c>
      <c r="H1937" t="s">
        <v>4890</v>
      </c>
      <c r="I1937" t="s">
        <v>4900</v>
      </c>
      <c r="J1937" t="s">
        <v>4913</v>
      </c>
      <c r="K1937" t="s">
        <v>4932</v>
      </c>
      <c r="L1937" t="s">
        <v>4938</v>
      </c>
      <c r="M1937" t="s">
        <v>4944</v>
      </c>
      <c r="N1937" s="11">
        <v>5349.35</v>
      </c>
      <c r="O1937" t="s">
        <v>4946</v>
      </c>
      <c r="P1937" t="s">
        <v>4951</v>
      </c>
      <c r="R1937">
        <v>14</v>
      </c>
      <c r="S1937" t="str">
        <f t="shared" si="91"/>
        <v>Adult</v>
      </c>
      <c r="T1937" t="str">
        <f t="shared" si="92"/>
        <v>Medium</v>
      </c>
      <c r="U1937" t="str">
        <f t="shared" si="93"/>
        <v>Short Days</v>
      </c>
    </row>
    <row r="1938" spans="1:21">
      <c r="A1938" t="s">
        <v>1954</v>
      </c>
      <c r="B1938" s="5">
        <v>45734</v>
      </c>
      <c r="C1938" t="s">
        <v>4229</v>
      </c>
      <c r="D1938" t="s">
        <v>4793</v>
      </c>
      <c r="E1938" t="s">
        <v>4866</v>
      </c>
      <c r="F1938">
        <v>45</v>
      </c>
      <c r="G1938" t="s">
        <v>4883</v>
      </c>
      <c r="H1938" t="s">
        <v>4892</v>
      </c>
      <c r="I1938" t="s">
        <v>4895</v>
      </c>
      <c r="J1938" t="s">
        <v>4905</v>
      </c>
      <c r="K1938" t="s">
        <v>4931</v>
      </c>
      <c r="L1938" t="s">
        <v>4941</v>
      </c>
      <c r="M1938" t="s">
        <v>4942</v>
      </c>
      <c r="N1938" s="11">
        <v>754.95</v>
      </c>
      <c r="O1938" t="s">
        <v>4946</v>
      </c>
      <c r="P1938" t="s">
        <v>4951</v>
      </c>
      <c r="R1938">
        <v>30</v>
      </c>
      <c r="S1938" t="str">
        <f t="shared" si="91"/>
        <v>Middle-Aged</v>
      </c>
      <c r="T1938" t="str">
        <f t="shared" si="92"/>
        <v>Low</v>
      </c>
      <c r="U1938" t="str">
        <f t="shared" si="93"/>
        <v>Short Days</v>
      </c>
    </row>
    <row r="1939" spans="1:21">
      <c r="A1939" t="s">
        <v>1955</v>
      </c>
      <c r="B1939" s="5">
        <v>45889</v>
      </c>
      <c r="C1939" t="s">
        <v>3188</v>
      </c>
      <c r="D1939" t="s">
        <v>4729</v>
      </c>
      <c r="E1939" t="s">
        <v>4867</v>
      </c>
      <c r="F1939">
        <v>35</v>
      </c>
      <c r="G1939" t="s">
        <v>4874</v>
      </c>
      <c r="H1939" t="s">
        <v>4886</v>
      </c>
      <c r="I1939" t="s">
        <v>4902</v>
      </c>
      <c r="J1939" t="s">
        <v>4920</v>
      </c>
      <c r="K1939" t="s">
        <v>4925</v>
      </c>
      <c r="L1939" t="s">
        <v>4938</v>
      </c>
      <c r="M1939" t="s">
        <v>4945</v>
      </c>
      <c r="N1939" s="11">
        <v>8419.75</v>
      </c>
      <c r="O1939" t="s">
        <v>4946</v>
      </c>
      <c r="P1939" t="s">
        <v>4951</v>
      </c>
      <c r="Q1939">
        <v>5</v>
      </c>
      <c r="R1939">
        <v>90</v>
      </c>
      <c r="S1939" t="str">
        <f t="shared" si="91"/>
        <v>Adult</v>
      </c>
      <c r="T1939" t="str">
        <f t="shared" si="92"/>
        <v>Medium</v>
      </c>
      <c r="U1939" t="str">
        <f t="shared" si="93"/>
        <v>Short Days</v>
      </c>
    </row>
    <row r="1940" spans="1:21">
      <c r="A1940" t="s">
        <v>1956</v>
      </c>
      <c r="B1940" s="5">
        <v>45606</v>
      </c>
      <c r="C1940" t="s">
        <v>4266</v>
      </c>
      <c r="D1940" t="s">
        <v>4703</v>
      </c>
      <c r="E1940" t="s">
        <v>4867</v>
      </c>
      <c r="F1940">
        <v>8</v>
      </c>
      <c r="G1940" t="s">
        <v>4883</v>
      </c>
      <c r="H1940" t="s">
        <v>4892</v>
      </c>
      <c r="I1940" t="s">
        <v>4894</v>
      </c>
      <c r="J1940" t="s">
        <v>4910</v>
      </c>
      <c r="K1940" t="s">
        <v>4924</v>
      </c>
      <c r="L1940" t="s">
        <v>4936</v>
      </c>
      <c r="M1940" t="s">
        <v>4944</v>
      </c>
      <c r="N1940" s="11">
        <v>9709.5499999999993</v>
      </c>
      <c r="O1940" t="s">
        <v>4947</v>
      </c>
      <c r="P1940" t="s">
        <v>4951</v>
      </c>
      <c r="S1940" t="str">
        <f t="shared" si="91"/>
        <v>Child</v>
      </c>
      <c r="T1940" t="str">
        <f t="shared" si="92"/>
        <v>Medium</v>
      </c>
      <c r="U1940" t="str">
        <f t="shared" si="93"/>
        <v>Short Days</v>
      </c>
    </row>
    <row r="1941" spans="1:21">
      <c r="A1941" t="s">
        <v>1957</v>
      </c>
      <c r="B1941" s="5">
        <v>45497</v>
      </c>
      <c r="C1941" t="s">
        <v>3199</v>
      </c>
      <c r="D1941" t="s">
        <v>4861</v>
      </c>
      <c r="E1941" t="s">
        <v>4866</v>
      </c>
      <c r="F1941">
        <v>48</v>
      </c>
      <c r="G1941" t="s">
        <v>4874</v>
      </c>
      <c r="H1941" t="s">
        <v>4886</v>
      </c>
      <c r="I1941" t="s">
        <v>4899</v>
      </c>
      <c r="J1941" t="s">
        <v>4911</v>
      </c>
      <c r="K1941" t="s">
        <v>4931</v>
      </c>
      <c r="L1941" t="s">
        <v>4937</v>
      </c>
      <c r="M1941" t="s">
        <v>4943</v>
      </c>
      <c r="N1941" s="11">
        <v>11271.33</v>
      </c>
      <c r="O1941" t="s">
        <v>4949</v>
      </c>
      <c r="P1941" t="s">
        <v>4951</v>
      </c>
      <c r="R1941">
        <v>7</v>
      </c>
      <c r="S1941" t="str">
        <f t="shared" si="91"/>
        <v>Middle-Aged</v>
      </c>
      <c r="T1941" t="str">
        <f t="shared" si="92"/>
        <v>High</v>
      </c>
      <c r="U1941" t="str">
        <f t="shared" si="93"/>
        <v>Short Days</v>
      </c>
    </row>
    <row r="1942" spans="1:21">
      <c r="A1942" t="s">
        <v>1958</v>
      </c>
      <c r="B1942" s="5">
        <v>45813</v>
      </c>
      <c r="C1942" t="s">
        <v>4267</v>
      </c>
      <c r="D1942" t="s">
        <v>4823</v>
      </c>
      <c r="E1942" t="s">
        <v>4867</v>
      </c>
      <c r="F1942">
        <v>43</v>
      </c>
      <c r="G1942" t="s">
        <v>4871</v>
      </c>
      <c r="H1942" t="s">
        <v>4886</v>
      </c>
      <c r="I1942" t="s">
        <v>4899</v>
      </c>
      <c r="J1942" t="s">
        <v>4912</v>
      </c>
      <c r="K1942" t="s">
        <v>4924</v>
      </c>
      <c r="L1942" t="s">
        <v>4938</v>
      </c>
      <c r="M1942" t="s">
        <v>4942</v>
      </c>
      <c r="N1942" s="11">
        <v>8224.31</v>
      </c>
      <c r="O1942" t="s">
        <v>4949</v>
      </c>
      <c r="P1942" t="s">
        <v>4951</v>
      </c>
      <c r="S1942" t="str">
        <f t="shared" si="91"/>
        <v>Middle-Aged</v>
      </c>
      <c r="T1942" t="str">
        <f t="shared" si="92"/>
        <v>Medium</v>
      </c>
      <c r="U1942" t="str">
        <f t="shared" si="93"/>
        <v>Short Days</v>
      </c>
    </row>
    <row r="1943" spans="1:21">
      <c r="A1943" t="s">
        <v>1959</v>
      </c>
      <c r="B1943" s="5">
        <v>45759</v>
      </c>
      <c r="C1943" t="s">
        <v>3147</v>
      </c>
      <c r="D1943" t="s">
        <v>4631</v>
      </c>
      <c r="E1943" t="s">
        <v>4866</v>
      </c>
      <c r="F1943">
        <v>18</v>
      </c>
      <c r="G1943" t="s">
        <v>4880</v>
      </c>
      <c r="H1943" t="s">
        <v>4890</v>
      </c>
      <c r="I1943" t="s">
        <v>4893</v>
      </c>
      <c r="J1943" t="s">
        <v>4903</v>
      </c>
      <c r="K1943" t="s">
        <v>4931</v>
      </c>
      <c r="L1943" t="s">
        <v>4935</v>
      </c>
      <c r="M1943" t="s">
        <v>4942</v>
      </c>
      <c r="N1943" s="11">
        <v>3589.76</v>
      </c>
      <c r="O1943" t="s">
        <v>4947</v>
      </c>
      <c r="P1943" t="s">
        <v>4951</v>
      </c>
      <c r="S1943" t="str">
        <f t="shared" si="91"/>
        <v>Adult</v>
      </c>
      <c r="T1943" t="str">
        <f t="shared" si="92"/>
        <v>Low</v>
      </c>
      <c r="U1943" t="str">
        <f t="shared" si="93"/>
        <v>Short Days</v>
      </c>
    </row>
    <row r="1944" spans="1:21">
      <c r="A1944" t="s">
        <v>1960</v>
      </c>
      <c r="B1944" s="5">
        <v>45379</v>
      </c>
      <c r="C1944" t="s">
        <v>4098</v>
      </c>
      <c r="D1944" t="s">
        <v>4643</v>
      </c>
      <c r="E1944" t="s">
        <v>4866</v>
      </c>
      <c r="F1944">
        <v>34</v>
      </c>
      <c r="G1944" t="s">
        <v>4870</v>
      </c>
      <c r="H1944" t="s">
        <v>4885</v>
      </c>
      <c r="I1944" t="s">
        <v>4895</v>
      </c>
      <c r="J1944" t="s">
        <v>4915</v>
      </c>
      <c r="K1944" t="s">
        <v>4927</v>
      </c>
      <c r="L1944" t="s">
        <v>4934</v>
      </c>
      <c r="M1944" t="s">
        <v>4942</v>
      </c>
      <c r="N1944" s="11">
        <v>9605.3799999999992</v>
      </c>
      <c r="O1944" t="s">
        <v>4949</v>
      </c>
      <c r="P1944" t="s">
        <v>4951</v>
      </c>
      <c r="R1944">
        <v>90</v>
      </c>
      <c r="S1944" t="str">
        <f t="shared" si="91"/>
        <v>Adult</v>
      </c>
      <c r="T1944" t="str">
        <f t="shared" si="92"/>
        <v>Medium</v>
      </c>
      <c r="U1944" t="str">
        <f t="shared" si="93"/>
        <v>Short Days</v>
      </c>
    </row>
    <row r="1945" spans="1:21">
      <c r="A1945" t="s">
        <v>1961</v>
      </c>
      <c r="B1945" s="5">
        <v>45666</v>
      </c>
      <c r="C1945" t="s">
        <v>3306</v>
      </c>
      <c r="D1945" t="s">
        <v>4660</v>
      </c>
      <c r="E1945" t="s">
        <v>4867</v>
      </c>
      <c r="F1945">
        <v>74</v>
      </c>
      <c r="G1945" t="s">
        <v>4869</v>
      </c>
      <c r="H1945" t="s">
        <v>4884</v>
      </c>
      <c r="I1945" t="s">
        <v>4895</v>
      </c>
      <c r="J1945" t="s">
        <v>4915</v>
      </c>
      <c r="K1945" t="s">
        <v>4926</v>
      </c>
      <c r="L1945" t="s">
        <v>4940</v>
      </c>
      <c r="M1945" t="s">
        <v>4944</v>
      </c>
      <c r="N1945" s="11">
        <v>5251.2</v>
      </c>
      <c r="O1945" t="s">
        <v>4947</v>
      </c>
      <c r="P1945" t="s">
        <v>4951</v>
      </c>
      <c r="R1945">
        <v>30</v>
      </c>
      <c r="S1945" t="str">
        <f t="shared" si="91"/>
        <v>Senior</v>
      </c>
      <c r="T1945" t="str">
        <f t="shared" si="92"/>
        <v>Medium</v>
      </c>
      <c r="U1945" t="str">
        <f t="shared" si="93"/>
        <v>Short Days</v>
      </c>
    </row>
    <row r="1946" spans="1:21">
      <c r="A1946" t="s">
        <v>1962</v>
      </c>
      <c r="B1946" s="5">
        <v>45941</v>
      </c>
      <c r="C1946" t="s">
        <v>4268</v>
      </c>
      <c r="D1946" t="s">
        <v>4825</v>
      </c>
      <c r="E1946" t="s">
        <v>4866</v>
      </c>
      <c r="F1946">
        <v>59</v>
      </c>
      <c r="G1946" t="s">
        <v>4870</v>
      </c>
      <c r="H1946" t="s">
        <v>4885</v>
      </c>
      <c r="I1946" t="s">
        <v>4894</v>
      </c>
      <c r="J1946" t="s">
        <v>4910</v>
      </c>
      <c r="K1946" t="s">
        <v>4924</v>
      </c>
      <c r="L1946" t="s">
        <v>4939</v>
      </c>
      <c r="M1946" t="s">
        <v>4942</v>
      </c>
      <c r="N1946" s="11">
        <v>2516.4699999999998</v>
      </c>
      <c r="O1946" t="s">
        <v>4949</v>
      </c>
      <c r="P1946" t="s">
        <v>4951</v>
      </c>
      <c r="R1946">
        <v>30</v>
      </c>
      <c r="S1946" t="str">
        <f t="shared" si="91"/>
        <v>Middle-Aged</v>
      </c>
      <c r="T1946" t="str">
        <f t="shared" si="92"/>
        <v>Low</v>
      </c>
      <c r="U1946" t="str">
        <f t="shared" si="93"/>
        <v>Short Days</v>
      </c>
    </row>
    <row r="1947" spans="1:21">
      <c r="A1947" t="s">
        <v>1963</v>
      </c>
      <c r="B1947" s="5">
        <v>45484</v>
      </c>
      <c r="C1947" t="s">
        <v>3024</v>
      </c>
      <c r="D1947" t="s">
        <v>4814</v>
      </c>
      <c r="E1947" t="s">
        <v>4866</v>
      </c>
      <c r="F1947">
        <v>42</v>
      </c>
      <c r="G1947" t="s">
        <v>4878</v>
      </c>
      <c r="H1947" t="s">
        <v>4889</v>
      </c>
      <c r="I1947" t="s">
        <v>4897</v>
      </c>
      <c r="J1947" t="s">
        <v>4922</v>
      </c>
      <c r="K1947" t="s">
        <v>4925</v>
      </c>
      <c r="L1947" t="s">
        <v>4941</v>
      </c>
      <c r="M1947" t="s">
        <v>4942</v>
      </c>
      <c r="N1947" s="11">
        <v>990.33</v>
      </c>
      <c r="O1947" t="s">
        <v>4946</v>
      </c>
      <c r="P1947" t="s">
        <v>4951</v>
      </c>
      <c r="R1947">
        <v>90</v>
      </c>
      <c r="S1947" t="str">
        <f t="shared" si="91"/>
        <v>Middle-Aged</v>
      </c>
      <c r="T1947" t="str">
        <f t="shared" si="92"/>
        <v>Low</v>
      </c>
      <c r="U1947" t="str">
        <f t="shared" si="93"/>
        <v>Short Days</v>
      </c>
    </row>
    <row r="1948" spans="1:21">
      <c r="A1948" t="s">
        <v>1964</v>
      </c>
      <c r="B1948" s="5">
        <v>45297</v>
      </c>
      <c r="C1948" t="s">
        <v>4099</v>
      </c>
      <c r="D1948" t="s">
        <v>4696</v>
      </c>
      <c r="E1948" t="s">
        <v>4866</v>
      </c>
      <c r="F1948">
        <v>0</v>
      </c>
      <c r="G1948" t="s">
        <v>4873</v>
      </c>
      <c r="H1948" t="s">
        <v>4888</v>
      </c>
      <c r="I1948" t="s">
        <v>4896</v>
      </c>
      <c r="J1948" t="s">
        <v>4906</v>
      </c>
      <c r="K1948" t="s">
        <v>4927</v>
      </c>
      <c r="L1948" t="s">
        <v>4935</v>
      </c>
      <c r="M1948" t="s">
        <v>4942</v>
      </c>
      <c r="N1948" s="11">
        <v>3276.48</v>
      </c>
      <c r="O1948" t="s">
        <v>4949</v>
      </c>
      <c r="P1948" t="s">
        <v>4951</v>
      </c>
      <c r="R1948">
        <v>14</v>
      </c>
      <c r="S1948" t="str">
        <f t="shared" si="91"/>
        <v>Child</v>
      </c>
      <c r="T1948" t="str">
        <f t="shared" si="92"/>
        <v>Low</v>
      </c>
      <c r="U1948" t="str">
        <f t="shared" si="93"/>
        <v>Short Days</v>
      </c>
    </row>
    <row r="1949" spans="1:21">
      <c r="A1949" t="s">
        <v>1965</v>
      </c>
      <c r="B1949" s="5">
        <v>45508</v>
      </c>
      <c r="C1949" t="s">
        <v>4269</v>
      </c>
      <c r="D1949" t="s">
        <v>4833</v>
      </c>
      <c r="E1949" t="s">
        <v>4867</v>
      </c>
      <c r="F1949">
        <v>37</v>
      </c>
      <c r="G1949" t="s">
        <v>4875</v>
      </c>
      <c r="H1949" t="s">
        <v>4889</v>
      </c>
      <c r="I1949" t="s">
        <v>4895</v>
      </c>
      <c r="J1949" t="s">
        <v>4905</v>
      </c>
      <c r="K1949" t="s">
        <v>4929</v>
      </c>
      <c r="L1949" t="s">
        <v>4935</v>
      </c>
      <c r="M1949" t="s">
        <v>4942</v>
      </c>
      <c r="N1949" s="11">
        <v>9460.2099999999991</v>
      </c>
      <c r="O1949" t="s">
        <v>4948</v>
      </c>
      <c r="P1949" t="s">
        <v>4951</v>
      </c>
      <c r="S1949" t="str">
        <f t="shared" si="91"/>
        <v>Adult</v>
      </c>
      <c r="T1949" t="str">
        <f t="shared" si="92"/>
        <v>Medium</v>
      </c>
      <c r="U1949" t="str">
        <f t="shared" si="93"/>
        <v>Short Days</v>
      </c>
    </row>
    <row r="1950" spans="1:21">
      <c r="A1950" t="s">
        <v>1966</v>
      </c>
      <c r="B1950" s="5">
        <v>45486</v>
      </c>
      <c r="C1950" t="s">
        <v>3642</v>
      </c>
      <c r="D1950" t="s">
        <v>4681</v>
      </c>
      <c r="E1950" t="s">
        <v>4866</v>
      </c>
      <c r="F1950">
        <v>11</v>
      </c>
      <c r="G1950" t="s">
        <v>4873</v>
      </c>
      <c r="H1950" t="s">
        <v>4888</v>
      </c>
      <c r="I1950" t="s">
        <v>4899</v>
      </c>
      <c r="J1950" t="s">
        <v>4912</v>
      </c>
      <c r="K1950" t="s">
        <v>4926</v>
      </c>
      <c r="L1950" t="s">
        <v>4941</v>
      </c>
      <c r="M1950" t="s">
        <v>4944</v>
      </c>
      <c r="N1950" s="11">
        <v>5046.1099999999997</v>
      </c>
      <c r="O1950" t="s">
        <v>15</v>
      </c>
      <c r="P1950" t="s">
        <v>4952</v>
      </c>
      <c r="R1950">
        <v>14</v>
      </c>
      <c r="S1950" t="str">
        <f t="shared" si="91"/>
        <v>Child</v>
      </c>
      <c r="T1950" t="str">
        <f t="shared" si="92"/>
        <v>Medium</v>
      </c>
      <c r="U1950" t="str">
        <f t="shared" si="93"/>
        <v>Short Days</v>
      </c>
    </row>
    <row r="1951" spans="1:21">
      <c r="A1951" t="s">
        <v>1967</v>
      </c>
      <c r="B1951" s="5">
        <v>45400</v>
      </c>
      <c r="C1951" t="s">
        <v>4028</v>
      </c>
      <c r="D1951" t="s">
        <v>4785</v>
      </c>
      <c r="E1951" t="s">
        <v>4866</v>
      </c>
      <c r="F1951">
        <v>81</v>
      </c>
      <c r="G1951" t="s">
        <v>4873</v>
      </c>
      <c r="H1951" t="s">
        <v>4888</v>
      </c>
      <c r="I1951" t="s">
        <v>4897</v>
      </c>
      <c r="J1951" t="s">
        <v>4907</v>
      </c>
      <c r="K1951" t="s">
        <v>4927</v>
      </c>
      <c r="L1951" t="s">
        <v>4935</v>
      </c>
      <c r="M1951" t="s">
        <v>4942</v>
      </c>
      <c r="N1951" s="11">
        <v>8430.65</v>
      </c>
      <c r="O1951" t="s">
        <v>4948</v>
      </c>
      <c r="P1951" t="s">
        <v>4951</v>
      </c>
      <c r="R1951">
        <v>30</v>
      </c>
      <c r="S1951" t="str">
        <f t="shared" si="91"/>
        <v>Senior</v>
      </c>
      <c r="T1951" t="str">
        <f t="shared" si="92"/>
        <v>Medium</v>
      </c>
      <c r="U1951" t="str">
        <f t="shared" si="93"/>
        <v>Short Days</v>
      </c>
    </row>
    <row r="1952" spans="1:21">
      <c r="A1952" t="s">
        <v>1968</v>
      </c>
      <c r="B1952" s="5">
        <v>45403</v>
      </c>
      <c r="C1952" t="s">
        <v>4270</v>
      </c>
      <c r="D1952" t="s">
        <v>4786</v>
      </c>
      <c r="E1952" t="s">
        <v>4866</v>
      </c>
      <c r="F1952">
        <v>41</v>
      </c>
      <c r="G1952" t="s">
        <v>4879</v>
      </c>
      <c r="H1952" t="s">
        <v>4888</v>
      </c>
      <c r="I1952" t="s">
        <v>4896</v>
      </c>
      <c r="J1952" t="s">
        <v>4906</v>
      </c>
      <c r="K1952" t="s">
        <v>4928</v>
      </c>
      <c r="L1952" t="s">
        <v>4935</v>
      </c>
      <c r="M1952" t="s">
        <v>4942</v>
      </c>
      <c r="N1952" s="11">
        <v>10461.57</v>
      </c>
      <c r="O1952" t="s">
        <v>4947</v>
      </c>
      <c r="P1952" t="s">
        <v>4951</v>
      </c>
      <c r="S1952" t="str">
        <f t="shared" si="91"/>
        <v>Middle-Aged</v>
      </c>
      <c r="T1952" t="str">
        <f t="shared" si="92"/>
        <v>High</v>
      </c>
      <c r="U1952" t="str">
        <f t="shared" si="93"/>
        <v>Short Days</v>
      </c>
    </row>
    <row r="1953" spans="1:21">
      <c r="A1953" t="s">
        <v>1969</v>
      </c>
      <c r="B1953" s="5">
        <v>45884</v>
      </c>
      <c r="C1953" t="s">
        <v>3495</v>
      </c>
      <c r="D1953" t="s">
        <v>4747</v>
      </c>
      <c r="E1953" t="s">
        <v>4867</v>
      </c>
      <c r="F1953">
        <v>27</v>
      </c>
      <c r="G1953" t="s">
        <v>4880</v>
      </c>
      <c r="H1953" t="s">
        <v>4890</v>
      </c>
      <c r="I1953" t="s">
        <v>4896</v>
      </c>
      <c r="J1953" t="s">
        <v>4906</v>
      </c>
      <c r="K1953" t="s">
        <v>4927</v>
      </c>
      <c r="L1953" t="s">
        <v>4934</v>
      </c>
      <c r="M1953" t="s">
        <v>4944</v>
      </c>
      <c r="N1953" s="11">
        <v>8029.99</v>
      </c>
      <c r="O1953" t="s">
        <v>4946</v>
      </c>
      <c r="P1953" t="s">
        <v>4951</v>
      </c>
      <c r="R1953">
        <v>7</v>
      </c>
      <c r="S1953" t="str">
        <f t="shared" si="91"/>
        <v>Adult</v>
      </c>
      <c r="T1953" t="str">
        <f t="shared" si="92"/>
        <v>Medium</v>
      </c>
      <c r="U1953" t="str">
        <f t="shared" si="93"/>
        <v>Short Days</v>
      </c>
    </row>
    <row r="1954" spans="1:21">
      <c r="A1954" t="s">
        <v>1970</v>
      </c>
      <c r="B1954" s="5">
        <v>45482</v>
      </c>
      <c r="C1954" t="s">
        <v>4209</v>
      </c>
      <c r="D1954" t="s">
        <v>4689</v>
      </c>
      <c r="E1954" t="s">
        <v>4867</v>
      </c>
      <c r="F1954">
        <v>24</v>
      </c>
      <c r="G1954" t="s">
        <v>4872</v>
      </c>
      <c r="H1954" t="s">
        <v>4887</v>
      </c>
      <c r="I1954" t="s">
        <v>4900</v>
      </c>
      <c r="J1954" t="s">
        <v>4919</v>
      </c>
      <c r="K1954" t="s">
        <v>4930</v>
      </c>
      <c r="L1954" t="s">
        <v>4935</v>
      </c>
      <c r="M1954" t="s">
        <v>4944</v>
      </c>
      <c r="N1954" s="11">
        <v>16315.09</v>
      </c>
      <c r="O1954" t="s">
        <v>4947</v>
      </c>
      <c r="P1954" t="s">
        <v>4951</v>
      </c>
      <c r="R1954">
        <v>7</v>
      </c>
      <c r="S1954" t="str">
        <f t="shared" si="91"/>
        <v>Adult</v>
      </c>
      <c r="T1954" t="str">
        <f t="shared" si="92"/>
        <v>High</v>
      </c>
      <c r="U1954" t="str">
        <f t="shared" si="93"/>
        <v>Short Days</v>
      </c>
    </row>
    <row r="1955" spans="1:21">
      <c r="A1955" t="s">
        <v>1971</v>
      </c>
      <c r="B1955" s="5">
        <v>45295</v>
      </c>
      <c r="C1955" t="s">
        <v>3717</v>
      </c>
      <c r="D1955" t="s">
        <v>4682</v>
      </c>
      <c r="E1955" t="s">
        <v>4866</v>
      </c>
      <c r="F1955">
        <v>25</v>
      </c>
      <c r="G1955" t="s">
        <v>4869</v>
      </c>
      <c r="H1955" t="s">
        <v>4884</v>
      </c>
      <c r="I1955" t="s">
        <v>4894</v>
      </c>
      <c r="J1955" t="s">
        <v>4910</v>
      </c>
      <c r="K1955" t="s">
        <v>4932</v>
      </c>
      <c r="L1955" t="s">
        <v>4937</v>
      </c>
      <c r="M1955" t="s">
        <v>4945</v>
      </c>
      <c r="N1955" s="11">
        <v>10075.700000000001</v>
      </c>
      <c r="O1955" t="s">
        <v>4946</v>
      </c>
      <c r="P1955" t="s">
        <v>4951</v>
      </c>
      <c r="Q1955">
        <v>4</v>
      </c>
      <c r="S1955" t="str">
        <f t="shared" si="91"/>
        <v>Adult</v>
      </c>
      <c r="T1955" t="str">
        <f t="shared" si="92"/>
        <v>High</v>
      </c>
      <c r="U1955" t="str">
        <f t="shared" si="93"/>
        <v>Short Days</v>
      </c>
    </row>
    <row r="1956" spans="1:21">
      <c r="A1956" t="s">
        <v>1972</v>
      </c>
      <c r="B1956" s="5">
        <v>45419</v>
      </c>
      <c r="C1956" t="s">
        <v>4271</v>
      </c>
      <c r="D1956" t="s">
        <v>4758</v>
      </c>
      <c r="E1956" t="s">
        <v>4866</v>
      </c>
      <c r="F1956">
        <v>67</v>
      </c>
      <c r="G1956" t="s">
        <v>4882</v>
      </c>
      <c r="H1956" t="s">
        <v>4891</v>
      </c>
      <c r="I1956" t="s">
        <v>4902</v>
      </c>
      <c r="J1956" t="s">
        <v>4916</v>
      </c>
      <c r="K1956" t="s">
        <v>4927</v>
      </c>
      <c r="L1956" t="s">
        <v>4936</v>
      </c>
      <c r="M1956" t="s">
        <v>4942</v>
      </c>
      <c r="N1956" s="11">
        <v>5998.4</v>
      </c>
      <c r="O1956" t="s">
        <v>15</v>
      </c>
      <c r="P1956" t="s">
        <v>4952</v>
      </c>
      <c r="R1956">
        <v>14</v>
      </c>
      <c r="S1956" t="str">
        <f t="shared" si="91"/>
        <v>Senior</v>
      </c>
      <c r="T1956" t="str">
        <f t="shared" si="92"/>
        <v>Medium</v>
      </c>
      <c r="U1956" t="str">
        <f t="shared" si="93"/>
        <v>Short Days</v>
      </c>
    </row>
    <row r="1957" spans="1:21">
      <c r="A1957" t="s">
        <v>1973</v>
      </c>
      <c r="B1957" s="5">
        <v>45357</v>
      </c>
      <c r="C1957" t="s">
        <v>4272</v>
      </c>
      <c r="D1957" t="s">
        <v>4806</v>
      </c>
      <c r="E1957" t="s">
        <v>4866</v>
      </c>
      <c r="F1957">
        <v>58</v>
      </c>
      <c r="G1957" t="s">
        <v>4874</v>
      </c>
      <c r="H1957" t="s">
        <v>4886</v>
      </c>
      <c r="I1957" t="s">
        <v>4902</v>
      </c>
      <c r="J1957" t="s">
        <v>4920</v>
      </c>
      <c r="K1957" t="s">
        <v>4926</v>
      </c>
      <c r="L1957" t="s">
        <v>4934</v>
      </c>
      <c r="M1957" t="s">
        <v>4944</v>
      </c>
      <c r="N1957" s="11">
        <v>16599.04</v>
      </c>
      <c r="O1957" t="s">
        <v>4947</v>
      </c>
      <c r="P1957" t="s">
        <v>4951</v>
      </c>
      <c r="S1957" t="str">
        <f t="shared" si="91"/>
        <v>Middle-Aged</v>
      </c>
      <c r="T1957" t="str">
        <f t="shared" si="92"/>
        <v>High</v>
      </c>
      <c r="U1957" t="str">
        <f t="shared" si="93"/>
        <v>Short Days</v>
      </c>
    </row>
    <row r="1958" spans="1:21">
      <c r="A1958" t="s">
        <v>1974</v>
      </c>
      <c r="B1958" s="5">
        <v>45745</v>
      </c>
      <c r="C1958" t="s">
        <v>3921</v>
      </c>
      <c r="D1958" t="s">
        <v>4795</v>
      </c>
      <c r="E1958" t="s">
        <v>4866</v>
      </c>
      <c r="F1958">
        <v>21</v>
      </c>
      <c r="G1958" t="s">
        <v>4878</v>
      </c>
      <c r="H1958" t="s">
        <v>4889</v>
      </c>
      <c r="I1958" t="s">
        <v>4893</v>
      </c>
      <c r="J1958" t="s">
        <v>4903</v>
      </c>
      <c r="K1958" t="s">
        <v>4931</v>
      </c>
      <c r="L1958" t="s">
        <v>4938</v>
      </c>
      <c r="M1958" t="s">
        <v>4944</v>
      </c>
      <c r="N1958" s="11">
        <v>9507.68</v>
      </c>
      <c r="O1958" t="s">
        <v>15</v>
      </c>
      <c r="P1958" t="s">
        <v>4952</v>
      </c>
      <c r="R1958">
        <v>30</v>
      </c>
      <c r="S1958" t="str">
        <f t="shared" si="91"/>
        <v>Adult</v>
      </c>
      <c r="T1958" t="str">
        <f t="shared" si="92"/>
        <v>Medium</v>
      </c>
      <c r="U1958" t="str">
        <f t="shared" si="93"/>
        <v>Short Days</v>
      </c>
    </row>
    <row r="1959" spans="1:21">
      <c r="A1959" t="s">
        <v>1975</v>
      </c>
      <c r="B1959" s="5">
        <v>45612</v>
      </c>
      <c r="C1959" t="s">
        <v>3137</v>
      </c>
      <c r="D1959" t="s">
        <v>4697</v>
      </c>
      <c r="E1959" t="s">
        <v>4867</v>
      </c>
      <c r="F1959">
        <v>32</v>
      </c>
      <c r="G1959" t="s">
        <v>4869</v>
      </c>
      <c r="H1959" t="s">
        <v>4884</v>
      </c>
      <c r="I1959" t="s">
        <v>4898</v>
      </c>
      <c r="J1959" t="s">
        <v>4923</v>
      </c>
      <c r="K1959" t="s">
        <v>4925</v>
      </c>
      <c r="L1959" t="s">
        <v>4936</v>
      </c>
      <c r="M1959" t="s">
        <v>4942</v>
      </c>
      <c r="N1959" s="11">
        <v>4268.8100000000004</v>
      </c>
      <c r="O1959" t="s">
        <v>15</v>
      </c>
      <c r="P1959" t="s">
        <v>4952</v>
      </c>
      <c r="R1959">
        <v>90</v>
      </c>
      <c r="S1959" t="str">
        <f t="shared" si="91"/>
        <v>Adult</v>
      </c>
      <c r="T1959" t="str">
        <f t="shared" si="92"/>
        <v>Low</v>
      </c>
      <c r="U1959" t="str">
        <f t="shared" si="93"/>
        <v>Short Days</v>
      </c>
    </row>
    <row r="1960" spans="1:21">
      <c r="A1960" t="s">
        <v>1976</v>
      </c>
      <c r="B1960" s="5">
        <v>45606</v>
      </c>
      <c r="C1960" t="s">
        <v>4077</v>
      </c>
      <c r="D1960" t="s">
        <v>4612</v>
      </c>
      <c r="E1960" t="s">
        <v>4866</v>
      </c>
      <c r="F1960">
        <v>43</v>
      </c>
      <c r="G1960" t="s">
        <v>4871</v>
      </c>
      <c r="H1960" t="s">
        <v>4886</v>
      </c>
      <c r="I1960" t="s">
        <v>4894</v>
      </c>
      <c r="J1960" t="s">
        <v>4910</v>
      </c>
      <c r="K1960" t="s">
        <v>4930</v>
      </c>
      <c r="L1960" t="s">
        <v>4935</v>
      </c>
      <c r="M1960" t="s">
        <v>4944</v>
      </c>
      <c r="N1960" s="11">
        <v>5165.1099999999997</v>
      </c>
      <c r="O1960" t="s">
        <v>4949</v>
      </c>
      <c r="P1960" t="s">
        <v>4951</v>
      </c>
      <c r="R1960">
        <v>30</v>
      </c>
      <c r="S1960" t="str">
        <f t="shared" si="91"/>
        <v>Middle-Aged</v>
      </c>
      <c r="T1960" t="str">
        <f t="shared" si="92"/>
        <v>Medium</v>
      </c>
      <c r="U1960" t="str">
        <f t="shared" si="93"/>
        <v>Short Days</v>
      </c>
    </row>
    <row r="1961" spans="1:21">
      <c r="A1961" t="s">
        <v>1977</v>
      </c>
      <c r="B1961" s="5">
        <v>45473</v>
      </c>
      <c r="C1961" t="s">
        <v>3612</v>
      </c>
      <c r="D1961" t="s">
        <v>4817</v>
      </c>
      <c r="E1961" t="s">
        <v>4866</v>
      </c>
      <c r="F1961">
        <v>59</v>
      </c>
      <c r="G1961" t="s">
        <v>4882</v>
      </c>
      <c r="H1961" t="s">
        <v>4891</v>
      </c>
      <c r="I1961" t="s">
        <v>4899</v>
      </c>
      <c r="J1961" t="s">
        <v>4911</v>
      </c>
      <c r="K1961" t="s">
        <v>4932</v>
      </c>
      <c r="L1961" t="s">
        <v>4934</v>
      </c>
      <c r="M1961" t="s">
        <v>4942</v>
      </c>
      <c r="N1961" s="11">
        <v>9992.48</v>
      </c>
      <c r="O1961" t="s">
        <v>4950</v>
      </c>
      <c r="P1961" t="s">
        <v>4951</v>
      </c>
      <c r="R1961">
        <v>7</v>
      </c>
      <c r="S1961" t="str">
        <f t="shared" si="91"/>
        <v>Middle-Aged</v>
      </c>
      <c r="T1961" t="str">
        <f t="shared" si="92"/>
        <v>Medium</v>
      </c>
      <c r="U1961" t="str">
        <f t="shared" si="93"/>
        <v>Short Days</v>
      </c>
    </row>
    <row r="1962" spans="1:21">
      <c r="A1962" t="s">
        <v>1978</v>
      </c>
      <c r="B1962" s="5">
        <v>45546</v>
      </c>
      <c r="C1962" t="s">
        <v>3385</v>
      </c>
      <c r="D1962" t="s">
        <v>4788</v>
      </c>
      <c r="E1962" t="s">
        <v>4866</v>
      </c>
      <c r="F1962">
        <v>56</v>
      </c>
      <c r="G1962" t="s">
        <v>4870</v>
      </c>
      <c r="H1962" t="s">
        <v>4885</v>
      </c>
      <c r="I1962" t="s">
        <v>4902</v>
      </c>
      <c r="J1962" t="s">
        <v>4916</v>
      </c>
      <c r="K1962" t="s">
        <v>4927</v>
      </c>
      <c r="L1962" t="s">
        <v>4937</v>
      </c>
      <c r="M1962" t="s">
        <v>4942</v>
      </c>
      <c r="N1962" s="11">
        <v>6573.29</v>
      </c>
      <c r="O1962" t="s">
        <v>4947</v>
      </c>
      <c r="P1962" t="s">
        <v>4951</v>
      </c>
      <c r="R1962">
        <v>7</v>
      </c>
      <c r="S1962" t="str">
        <f t="shared" si="91"/>
        <v>Middle-Aged</v>
      </c>
      <c r="T1962" t="str">
        <f t="shared" si="92"/>
        <v>Medium</v>
      </c>
      <c r="U1962" t="str">
        <f t="shared" si="93"/>
        <v>Short Days</v>
      </c>
    </row>
    <row r="1963" spans="1:21">
      <c r="A1963" t="s">
        <v>1979</v>
      </c>
      <c r="B1963" s="5">
        <v>45500</v>
      </c>
      <c r="C1963" t="s">
        <v>3983</v>
      </c>
      <c r="D1963" t="s">
        <v>4722</v>
      </c>
      <c r="E1963" t="s">
        <v>4866</v>
      </c>
      <c r="F1963">
        <v>81</v>
      </c>
      <c r="G1963" t="s">
        <v>4883</v>
      </c>
      <c r="H1963" t="s">
        <v>4892</v>
      </c>
      <c r="I1963" t="s">
        <v>4896</v>
      </c>
      <c r="J1963" t="s">
        <v>4906</v>
      </c>
      <c r="K1963" t="s">
        <v>4931</v>
      </c>
      <c r="L1963" t="s">
        <v>4941</v>
      </c>
      <c r="M1963" t="s">
        <v>4944</v>
      </c>
      <c r="N1963" s="11">
        <v>9520.35</v>
      </c>
      <c r="O1963" t="s">
        <v>4947</v>
      </c>
      <c r="P1963" t="s">
        <v>4951</v>
      </c>
      <c r="R1963">
        <v>14</v>
      </c>
      <c r="S1963" t="str">
        <f t="shared" si="91"/>
        <v>Senior</v>
      </c>
      <c r="T1963" t="str">
        <f t="shared" si="92"/>
        <v>Medium</v>
      </c>
      <c r="U1963" t="str">
        <f t="shared" si="93"/>
        <v>Short Days</v>
      </c>
    </row>
    <row r="1964" spans="1:21">
      <c r="A1964" t="s">
        <v>1980</v>
      </c>
      <c r="B1964" s="5">
        <v>45659</v>
      </c>
      <c r="C1964" t="s">
        <v>4273</v>
      </c>
      <c r="D1964" t="s">
        <v>4830</v>
      </c>
      <c r="E1964" t="s">
        <v>4867</v>
      </c>
      <c r="F1964">
        <v>48</v>
      </c>
      <c r="G1964" t="s">
        <v>4871</v>
      </c>
      <c r="H1964" t="s">
        <v>4886</v>
      </c>
      <c r="I1964" t="s">
        <v>4901</v>
      </c>
      <c r="J1964" t="s">
        <v>4921</v>
      </c>
      <c r="K1964" t="s">
        <v>4930</v>
      </c>
      <c r="L1964" t="s">
        <v>4938</v>
      </c>
      <c r="M1964" t="s">
        <v>4943</v>
      </c>
      <c r="N1964" s="11">
        <v>7389.36</v>
      </c>
      <c r="O1964" t="s">
        <v>15</v>
      </c>
      <c r="P1964" t="s">
        <v>4952</v>
      </c>
      <c r="R1964">
        <v>14</v>
      </c>
      <c r="S1964" t="str">
        <f t="shared" si="91"/>
        <v>Middle-Aged</v>
      </c>
      <c r="T1964" t="str">
        <f t="shared" si="92"/>
        <v>Medium</v>
      </c>
      <c r="U1964" t="str">
        <f t="shared" si="93"/>
        <v>Short Days</v>
      </c>
    </row>
    <row r="1965" spans="1:21">
      <c r="A1965" t="s">
        <v>1981</v>
      </c>
      <c r="B1965" s="5">
        <v>45739</v>
      </c>
      <c r="C1965" t="s">
        <v>4274</v>
      </c>
      <c r="D1965" t="s">
        <v>4661</v>
      </c>
      <c r="E1965" t="s">
        <v>4866</v>
      </c>
      <c r="F1965">
        <v>26</v>
      </c>
      <c r="G1965" t="s">
        <v>4875</v>
      </c>
      <c r="H1965" t="s">
        <v>4889</v>
      </c>
      <c r="I1965" t="s">
        <v>4893</v>
      </c>
      <c r="J1965" t="s">
        <v>4903</v>
      </c>
      <c r="K1965" t="s">
        <v>4929</v>
      </c>
      <c r="L1965" t="s">
        <v>4935</v>
      </c>
      <c r="M1965" t="s">
        <v>4944</v>
      </c>
      <c r="N1965" s="11">
        <v>9146.2999999999993</v>
      </c>
      <c r="O1965" t="s">
        <v>15</v>
      </c>
      <c r="P1965" t="s">
        <v>4952</v>
      </c>
      <c r="R1965">
        <v>14</v>
      </c>
      <c r="S1965" t="str">
        <f t="shared" si="91"/>
        <v>Adult</v>
      </c>
      <c r="T1965" t="str">
        <f t="shared" si="92"/>
        <v>Medium</v>
      </c>
      <c r="U1965" t="str">
        <f t="shared" si="93"/>
        <v>Short Days</v>
      </c>
    </row>
    <row r="1966" spans="1:21">
      <c r="A1966" t="s">
        <v>1982</v>
      </c>
      <c r="B1966" s="5">
        <v>45351</v>
      </c>
      <c r="C1966" t="s">
        <v>3725</v>
      </c>
      <c r="D1966" t="s">
        <v>4791</v>
      </c>
      <c r="E1966" t="s">
        <v>4866</v>
      </c>
      <c r="F1966">
        <v>30</v>
      </c>
      <c r="G1966" t="s">
        <v>4869</v>
      </c>
      <c r="H1966" t="s">
        <v>4884</v>
      </c>
      <c r="I1966" t="s">
        <v>4902</v>
      </c>
      <c r="J1966" t="s">
        <v>4920</v>
      </c>
      <c r="K1966" t="s">
        <v>4932</v>
      </c>
      <c r="L1966" t="s">
        <v>4934</v>
      </c>
      <c r="M1966" t="s">
        <v>4942</v>
      </c>
      <c r="N1966" s="11">
        <v>6102.43</v>
      </c>
      <c r="O1966" t="s">
        <v>4946</v>
      </c>
      <c r="P1966" t="s">
        <v>4951</v>
      </c>
      <c r="R1966">
        <v>90</v>
      </c>
      <c r="S1966" t="str">
        <f t="shared" si="91"/>
        <v>Adult</v>
      </c>
      <c r="T1966" t="str">
        <f t="shared" si="92"/>
        <v>Medium</v>
      </c>
      <c r="U1966" t="str">
        <f t="shared" si="93"/>
        <v>Short Days</v>
      </c>
    </row>
    <row r="1967" spans="1:21">
      <c r="A1967" t="s">
        <v>1983</v>
      </c>
      <c r="B1967" s="5">
        <v>45576</v>
      </c>
      <c r="C1967" t="s">
        <v>4275</v>
      </c>
      <c r="D1967" t="s">
        <v>4756</v>
      </c>
      <c r="E1967" t="s">
        <v>4867</v>
      </c>
      <c r="F1967">
        <v>38</v>
      </c>
      <c r="G1967" t="s">
        <v>4875</v>
      </c>
      <c r="H1967" t="s">
        <v>4889</v>
      </c>
      <c r="I1967" t="s">
        <v>4895</v>
      </c>
      <c r="J1967" t="s">
        <v>4915</v>
      </c>
      <c r="K1967" t="s">
        <v>4932</v>
      </c>
      <c r="L1967" t="s">
        <v>4934</v>
      </c>
      <c r="M1967" t="s">
        <v>4942</v>
      </c>
      <c r="N1967" s="11">
        <v>556.72</v>
      </c>
      <c r="O1967" t="s">
        <v>4949</v>
      </c>
      <c r="P1967" t="s">
        <v>4951</v>
      </c>
      <c r="R1967">
        <v>14</v>
      </c>
      <c r="S1967" t="str">
        <f t="shared" si="91"/>
        <v>Adult</v>
      </c>
      <c r="T1967" t="str">
        <f t="shared" si="92"/>
        <v>Low</v>
      </c>
      <c r="U1967" t="str">
        <f t="shared" si="93"/>
        <v>Short Days</v>
      </c>
    </row>
    <row r="1968" spans="1:21">
      <c r="A1968" t="s">
        <v>1984</v>
      </c>
      <c r="B1968" s="5">
        <v>45524</v>
      </c>
      <c r="C1968" t="s">
        <v>4276</v>
      </c>
      <c r="D1968" t="s">
        <v>4686</v>
      </c>
      <c r="E1968" t="s">
        <v>4867</v>
      </c>
      <c r="F1968">
        <v>18</v>
      </c>
      <c r="G1968" t="s">
        <v>4879</v>
      </c>
      <c r="H1968" t="s">
        <v>4888</v>
      </c>
      <c r="I1968" t="s">
        <v>4894</v>
      </c>
      <c r="J1968" t="s">
        <v>4904</v>
      </c>
      <c r="K1968" t="s">
        <v>4932</v>
      </c>
      <c r="L1968" t="s">
        <v>4935</v>
      </c>
      <c r="M1968" t="s">
        <v>4942</v>
      </c>
      <c r="N1968" s="11">
        <v>1376.68</v>
      </c>
      <c r="O1968" t="s">
        <v>4946</v>
      </c>
      <c r="P1968" t="s">
        <v>4951</v>
      </c>
      <c r="S1968" t="str">
        <f t="shared" si="91"/>
        <v>Adult</v>
      </c>
      <c r="T1968" t="str">
        <f t="shared" si="92"/>
        <v>Low</v>
      </c>
      <c r="U1968" t="str">
        <f t="shared" si="93"/>
        <v>Short Days</v>
      </c>
    </row>
    <row r="1969" spans="1:21">
      <c r="A1969" t="s">
        <v>1985</v>
      </c>
      <c r="B1969" s="5">
        <v>45949</v>
      </c>
      <c r="C1969" t="s">
        <v>3687</v>
      </c>
      <c r="D1969" t="s">
        <v>4592</v>
      </c>
      <c r="E1969" t="s">
        <v>4867</v>
      </c>
      <c r="F1969">
        <v>48</v>
      </c>
      <c r="G1969" t="s">
        <v>4882</v>
      </c>
      <c r="H1969" t="s">
        <v>4891</v>
      </c>
      <c r="I1969" t="s">
        <v>4902</v>
      </c>
      <c r="J1969" t="s">
        <v>4916</v>
      </c>
      <c r="K1969" t="s">
        <v>4932</v>
      </c>
      <c r="L1969" t="s">
        <v>4937</v>
      </c>
      <c r="M1969" t="s">
        <v>4942</v>
      </c>
      <c r="N1969" s="11">
        <v>2506.63</v>
      </c>
      <c r="O1969" t="s">
        <v>15</v>
      </c>
      <c r="P1969" t="s">
        <v>4952</v>
      </c>
      <c r="R1969">
        <v>90</v>
      </c>
      <c r="S1969" t="str">
        <f t="shared" si="91"/>
        <v>Middle-Aged</v>
      </c>
      <c r="T1969" t="str">
        <f t="shared" si="92"/>
        <v>Low</v>
      </c>
      <c r="U1969" t="str">
        <f t="shared" si="93"/>
        <v>Short Days</v>
      </c>
    </row>
    <row r="1970" spans="1:21">
      <c r="A1970" t="s">
        <v>1986</v>
      </c>
      <c r="B1970" s="5">
        <v>45471</v>
      </c>
      <c r="C1970" t="s">
        <v>3906</v>
      </c>
      <c r="D1970" t="s">
        <v>4751</v>
      </c>
      <c r="E1970" t="s">
        <v>4866</v>
      </c>
      <c r="F1970">
        <v>33</v>
      </c>
      <c r="G1970" t="s">
        <v>4883</v>
      </c>
      <c r="H1970" t="s">
        <v>4892</v>
      </c>
      <c r="I1970" t="s">
        <v>4899</v>
      </c>
      <c r="J1970" t="s">
        <v>4911</v>
      </c>
      <c r="K1970" t="s">
        <v>4927</v>
      </c>
      <c r="L1970" t="s">
        <v>4937</v>
      </c>
      <c r="M1970" t="s">
        <v>4942</v>
      </c>
      <c r="N1970" s="11">
        <v>12632.96</v>
      </c>
      <c r="O1970" t="s">
        <v>4948</v>
      </c>
      <c r="P1970" t="s">
        <v>4951</v>
      </c>
      <c r="S1970" t="str">
        <f t="shared" si="91"/>
        <v>Adult</v>
      </c>
      <c r="T1970" t="str">
        <f t="shared" si="92"/>
        <v>High</v>
      </c>
      <c r="U1970" t="str">
        <f t="shared" si="93"/>
        <v>Short Days</v>
      </c>
    </row>
    <row r="1971" spans="1:21">
      <c r="A1971" t="s">
        <v>1987</v>
      </c>
      <c r="B1971" s="5">
        <v>45390</v>
      </c>
      <c r="C1971" t="s">
        <v>3266</v>
      </c>
      <c r="D1971" t="s">
        <v>4660</v>
      </c>
      <c r="E1971" t="s">
        <v>4866</v>
      </c>
      <c r="F1971">
        <v>24</v>
      </c>
      <c r="G1971" t="s">
        <v>4872</v>
      </c>
      <c r="H1971" t="s">
        <v>4887</v>
      </c>
      <c r="I1971" t="s">
        <v>4900</v>
      </c>
      <c r="J1971" t="s">
        <v>4913</v>
      </c>
      <c r="K1971" t="s">
        <v>4927</v>
      </c>
      <c r="L1971" t="s">
        <v>4934</v>
      </c>
      <c r="M1971" t="s">
        <v>4944</v>
      </c>
      <c r="N1971" s="11">
        <v>7469.29</v>
      </c>
      <c r="O1971" t="s">
        <v>4946</v>
      </c>
      <c r="P1971" t="s">
        <v>4951</v>
      </c>
      <c r="R1971">
        <v>7</v>
      </c>
      <c r="S1971" t="str">
        <f t="shared" si="91"/>
        <v>Adult</v>
      </c>
      <c r="T1971" t="str">
        <f t="shared" si="92"/>
        <v>Medium</v>
      </c>
      <c r="U1971" t="str">
        <f t="shared" si="93"/>
        <v>Short Days</v>
      </c>
    </row>
    <row r="1972" spans="1:21">
      <c r="A1972" t="s">
        <v>1988</v>
      </c>
      <c r="B1972" s="5">
        <v>45791</v>
      </c>
      <c r="C1972" t="s">
        <v>4277</v>
      </c>
      <c r="D1972" t="s">
        <v>4599</v>
      </c>
      <c r="E1972" t="s">
        <v>4866</v>
      </c>
      <c r="F1972">
        <v>52</v>
      </c>
      <c r="G1972" t="s">
        <v>4874</v>
      </c>
      <c r="H1972" t="s">
        <v>4886</v>
      </c>
      <c r="I1972" t="s">
        <v>4896</v>
      </c>
      <c r="J1972" t="s">
        <v>4908</v>
      </c>
      <c r="K1972" t="s">
        <v>4930</v>
      </c>
      <c r="L1972" t="s">
        <v>4934</v>
      </c>
      <c r="M1972" t="s">
        <v>4942</v>
      </c>
      <c r="N1972" s="11">
        <v>1216.77</v>
      </c>
      <c r="O1972" t="s">
        <v>4947</v>
      </c>
      <c r="P1972" t="s">
        <v>4951</v>
      </c>
      <c r="R1972">
        <v>14</v>
      </c>
      <c r="S1972" t="str">
        <f t="shared" si="91"/>
        <v>Middle-Aged</v>
      </c>
      <c r="T1972" t="str">
        <f t="shared" si="92"/>
        <v>Low</v>
      </c>
      <c r="U1972" t="str">
        <f t="shared" si="93"/>
        <v>Short Days</v>
      </c>
    </row>
    <row r="1973" spans="1:21">
      <c r="A1973" t="s">
        <v>1989</v>
      </c>
      <c r="B1973" s="5">
        <v>45853</v>
      </c>
      <c r="C1973" t="s">
        <v>3180</v>
      </c>
      <c r="D1973" t="s">
        <v>4809</v>
      </c>
      <c r="E1973" t="s">
        <v>4866</v>
      </c>
      <c r="F1973">
        <v>41</v>
      </c>
      <c r="G1973" t="s">
        <v>4870</v>
      </c>
      <c r="H1973" t="s">
        <v>4885</v>
      </c>
      <c r="I1973" t="s">
        <v>4894</v>
      </c>
      <c r="J1973" t="s">
        <v>4910</v>
      </c>
      <c r="K1973" t="s">
        <v>4928</v>
      </c>
      <c r="L1973" t="s">
        <v>4939</v>
      </c>
      <c r="M1973" t="s">
        <v>4942</v>
      </c>
      <c r="N1973" s="11">
        <v>3479.79</v>
      </c>
      <c r="O1973" t="s">
        <v>4946</v>
      </c>
      <c r="P1973" t="s">
        <v>4951</v>
      </c>
      <c r="R1973">
        <v>7</v>
      </c>
      <c r="S1973" t="str">
        <f t="shared" si="91"/>
        <v>Middle-Aged</v>
      </c>
      <c r="T1973" t="str">
        <f t="shared" si="92"/>
        <v>Low</v>
      </c>
      <c r="U1973" t="str">
        <f t="shared" si="93"/>
        <v>Short Days</v>
      </c>
    </row>
    <row r="1974" spans="1:21">
      <c r="A1974" t="s">
        <v>1990</v>
      </c>
      <c r="B1974" s="5">
        <v>45643</v>
      </c>
      <c r="C1974" t="s">
        <v>4278</v>
      </c>
      <c r="D1974" t="s">
        <v>4715</v>
      </c>
      <c r="E1974" t="s">
        <v>4867</v>
      </c>
      <c r="F1974">
        <v>33</v>
      </c>
      <c r="G1974" t="s">
        <v>4869</v>
      </c>
      <c r="H1974" t="s">
        <v>4884</v>
      </c>
      <c r="I1974" t="s">
        <v>4893</v>
      </c>
      <c r="J1974" t="s">
        <v>4903</v>
      </c>
      <c r="K1974" t="s">
        <v>4933</v>
      </c>
      <c r="L1974" t="s">
        <v>4935</v>
      </c>
      <c r="M1974" t="s">
        <v>4944</v>
      </c>
      <c r="N1974" s="11">
        <v>14099.72</v>
      </c>
      <c r="O1974" t="s">
        <v>4946</v>
      </c>
      <c r="P1974" t="s">
        <v>4951</v>
      </c>
      <c r="R1974">
        <v>7</v>
      </c>
      <c r="S1974" t="str">
        <f t="shared" si="91"/>
        <v>Adult</v>
      </c>
      <c r="T1974" t="str">
        <f t="shared" si="92"/>
        <v>High</v>
      </c>
      <c r="U1974" t="str">
        <f t="shared" si="93"/>
        <v>Short Days</v>
      </c>
    </row>
    <row r="1975" spans="1:21">
      <c r="A1975" t="s">
        <v>1991</v>
      </c>
      <c r="B1975" s="5">
        <v>45497</v>
      </c>
      <c r="C1975" t="s">
        <v>4279</v>
      </c>
      <c r="D1975" t="s">
        <v>4822</v>
      </c>
      <c r="E1975" t="s">
        <v>4867</v>
      </c>
      <c r="F1975">
        <v>56</v>
      </c>
      <c r="G1975" t="s">
        <v>4875</v>
      </c>
      <c r="H1975" t="s">
        <v>4889</v>
      </c>
      <c r="I1975" t="s">
        <v>4900</v>
      </c>
      <c r="J1975" t="s">
        <v>4919</v>
      </c>
      <c r="K1975" t="s">
        <v>4924</v>
      </c>
      <c r="L1975" t="s">
        <v>4940</v>
      </c>
      <c r="M1975" t="s">
        <v>4945</v>
      </c>
      <c r="N1975" s="11">
        <v>9816.2900000000009</v>
      </c>
      <c r="O1975" t="s">
        <v>15</v>
      </c>
      <c r="P1975" t="s">
        <v>4952</v>
      </c>
      <c r="Q1975">
        <v>2</v>
      </c>
      <c r="R1975">
        <v>30</v>
      </c>
      <c r="S1975" t="str">
        <f t="shared" si="91"/>
        <v>Middle-Aged</v>
      </c>
      <c r="T1975" t="str">
        <f t="shared" si="92"/>
        <v>Medium</v>
      </c>
      <c r="U1975" t="str">
        <f t="shared" si="93"/>
        <v>Short Days</v>
      </c>
    </row>
    <row r="1976" spans="1:21">
      <c r="A1976" t="s">
        <v>1992</v>
      </c>
      <c r="B1976" s="5">
        <v>45554</v>
      </c>
      <c r="C1976" t="s">
        <v>4280</v>
      </c>
      <c r="D1976" t="s">
        <v>4804</v>
      </c>
      <c r="E1976" t="s">
        <v>4866</v>
      </c>
      <c r="F1976">
        <v>41</v>
      </c>
      <c r="G1976" t="s">
        <v>4874</v>
      </c>
      <c r="H1976" t="s">
        <v>4886</v>
      </c>
      <c r="I1976" t="s">
        <v>4902</v>
      </c>
      <c r="J1976" t="s">
        <v>4916</v>
      </c>
      <c r="K1976" t="s">
        <v>4931</v>
      </c>
      <c r="L1976" t="s">
        <v>4939</v>
      </c>
      <c r="M1976" t="s">
        <v>4942</v>
      </c>
      <c r="N1976" s="11">
        <v>1357.41</v>
      </c>
      <c r="O1976" t="s">
        <v>15</v>
      </c>
      <c r="P1976" t="s">
        <v>4952</v>
      </c>
      <c r="S1976" t="str">
        <f t="shared" si="91"/>
        <v>Middle-Aged</v>
      </c>
      <c r="T1976" t="str">
        <f t="shared" si="92"/>
        <v>Low</v>
      </c>
      <c r="U1976" t="str">
        <f t="shared" si="93"/>
        <v>Short Days</v>
      </c>
    </row>
    <row r="1977" spans="1:21">
      <c r="A1977" t="s">
        <v>1993</v>
      </c>
      <c r="B1977" s="5">
        <v>45904</v>
      </c>
      <c r="C1977" t="s">
        <v>4027</v>
      </c>
      <c r="D1977" t="s">
        <v>4588</v>
      </c>
      <c r="E1977" t="s">
        <v>4867</v>
      </c>
      <c r="F1977">
        <v>28</v>
      </c>
      <c r="G1977" t="s">
        <v>4870</v>
      </c>
      <c r="H1977" t="s">
        <v>4885</v>
      </c>
      <c r="I1977" t="s">
        <v>4898</v>
      </c>
      <c r="J1977" t="s">
        <v>4918</v>
      </c>
      <c r="K1977" t="s">
        <v>4926</v>
      </c>
      <c r="L1977" t="s">
        <v>4934</v>
      </c>
      <c r="M1977" t="s">
        <v>4944</v>
      </c>
      <c r="N1977" s="11">
        <v>11994.01</v>
      </c>
      <c r="O1977" t="s">
        <v>4947</v>
      </c>
      <c r="P1977" t="s">
        <v>4951</v>
      </c>
      <c r="S1977" t="str">
        <f t="shared" si="91"/>
        <v>Adult</v>
      </c>
      <c r="T1977" t="str">
        <f t="shared" si="92"/>
        <v>High</v>
      </c>
      <c r="U1977" t="str">
        <f t="shared" si="93"/>
        <v>Short Days</v>
      </c>
    </row>
    <row r="1978" spans="1:21">
      <c r="A1978" t="s">
        <v>1994</v>
      </c>
      <c r="B1978" s="5">
        <v>45612</v>
      </c>
      <c r="C1978" t="s">
        <v>3845</v>
      </c>
      <c r="D1978" t="s">
        <v>4686</v>
      </c>
      <c r="E1978" t="s">
        <v>4866</v>
      </c>
      <c r="F1978">
        <f>AVERAGE(F1971,F1977)</f>
        <v>26</v>
      </c>
      <c r="G1978" t="s">
        <v>4881</v>
      </c>
      <c r="H1978" t="s">
        <v>4888</v>
      </c>
      <c r="I1978" t="s">
        <v>4894</v>
      </c>
      <c r="J1978" t="s">
        <v>4904</v>
      </c>
      <c r="K1978" t="s">
        <v>4953</v>
      </c>
      <c r="L1978" t="s">
        <v>4938</v>
      </c>
      <c r="M1978" t="s">
        <v>4945</v>
      </c>
      <c r="N1978" s="11">
        <v>6814.03</v>
      </c>
      <c r="O1978" t="s">
        <v>4946</v>
      </c>
      <c r="P1978" t="s">
        <v>4951</v>
      </c>
      <c r="Q1978">
        <v>4</v>
      </c>
      <c r="R1978">
        <v>14</v>
      </c>
      <c r="S1978" t="str">
        <f t="shared" si="91"/>
        <v>Adult</v>
      </c>
      <c r="T1978" t="str">
        <f t="shared" si="92"/>
        <v>Medium</v>
      </c>
      <c r="U1978" t="str">
        <f t="shared" si="93"/>
        <v>Short Days</v>
      </c>
    </row>
    <row r="1979" spans="1:21">
      <c r="A1979" t="s">
        <v>1995</v>
      </c>
      <c r="B1979" s="5">
        <v>45598</v>
      </c>
      <c r="C1979" t="s">
        <v>4005</v>
      </c>
      <c r="D1979" t="s">
        <v>4804</v>
      </c>
      <c r="E1979" t="s">
        <v>4867</v>
      </c>
      <c r="F1979">
        <v>9</v>
      </c>
      <c r="G1979" t="s">
        <v>4869</v>
      </c>
      <c r="H1979" t="s">
        <v>4884</v>
      </c>
      <c r="I1979" t="s">
        <v>4897</v>
      </c>
      <c r="J1979" t="s">
        <v>4922</v>
      </c>
      <c r="K1979" t="s">
        <v>4927</v>
      </c>
      <c r="L1979" t="s">
        <v>4934</v>
      </c>
      <c r="M1979" t="s">
        <v>4942</v>
      </c>
      <c r="N1979" s="11">
        <v>13517.09</v>
      </c>
      <c r="O1979" t="s">
        <v>4949</v>
      </c>
      <c r="P1979" t="s">
        <v>4951</v>
      </c>
      <c r="R1979">
        <v>14</v>
      </c>
      <c r="S1979" t="str">
        <f t="shared" si="91"/>
        <v>Child</v>
      </c>
      <c r="T1979" t="str">
        <f t="shared" si="92"/>
        <v>High</v>
      </c>
      <c r="U1979" t="str">
        <f t="shared" si="93"/>
        <v>Short Days</v>
      </c>
    </row>
    <row r="1980" spans="1:21">
      <c r="A1980" t="s">
        <v>1996</v>
      </c>
      <c r="B1980" s="5">
        <v>45964</v>
      </c>
      <c r="C1980" t="s">
        <v>3970</v>
      </c>
      <c r="D1980" t="s">
        <v>4803</v>
      </c>
      <c r="E1980" t="s">
        <v>4866</v>
      </c>
      <c r="F1980">
        <v>40</v>
      </c>
      <c r="G1980" t="s">
        <v>4877</v>
      </c>
      <c r="H1980" t="s">
        <v>4888</v>
      </c>
      <c r="I1980" t="s">
        <v>4894</v>
      </c>
      <c r="J1980" t="s">
        <v>4904</v>
      </c>
      <c r="K1980" t="s">
        <v>4931</v>
      </c>
      <c r="L1980" t="s">
        <v>4938</v>
      </c>
      <c r="M1980" t="s">
        <v>4944</v>
      </c>
      <c r="N1980" s="11">
        <v>11052.78</v>
      </c>
      <c r="O1980" t="s">
        <v>4946</v>
      </c>
      <c r="P1980" t="s">
        <v>4951</v>
      </c>
      <c r="S1980" t="str">
        <f t="shared" si="91"/>
        <v>Adult</v>
      </c>
      <c r="T1980" t="str">
        <f t="shared" si="92"/>
        <v>High</v>
      </c>
      <c r="U1980" t="str">
        <f t="shared" si="93"/>
        <v>Short Days</v>
      </c>
    </row>
    <row r="1981" spans="1:21">
      <c r="A1981" t="s">
        <v>1997</v>
      </c>
      <c r="B1981" s="5">
        <v>45358</v>
      </c>
      <c r="C1981" t="s">
        <v>4281</v>
      </c>
      <c r="D1981" t="s">
        <v>4766</v>
      </c>
      <c r="E1981" t="s">
        <v>4867</v>
      </c>
      <c r="F1981">
        <v>23</v>
      </c>
      <c r="G1981" t="s">
        <v>4877</v>
      </c>
      <c r="H1981" t="s">
        <v>4888</v>
      </c>
      <c r="I1981" t="s">
        <v>4894</v>
      </c>
      <c r="J1981" t="s">
        <v>4910</v>
      </c>
      <c r="K1981" t="s">
        <v>4925</v>
      </c>
      <c r="L1981" t="s">
        <v>4937</v>
      </c>
      <c r="M1981" t="s">
        <v>4943</v>
      </c>
      <c r="N1981" s="11">
        <v>11635.5</v>
      </c>
      <c r="O1981" t="s">
        <v>4946</v>
      </c>
      <c r="P1981" t="s">
        <v>4951</v>
      </c>
      <c r="R1981">
        <v>14</v>
      </c>
      <c r="S1981" t="str">
        <f t="shared" si="91"/>
        <v>Adult</v>
      </c>
      <c r="T1981" t="str">
        <f t="shared" si="92"/>
        <v>High</v>
      </c>
      <c r="U1981" t="str">
        <f t="shared" si="93"/>
        <v>Short Days</v>
      </c>
    </row>
    <row r="1982" spans="1:21">
      <c r="A1982" t="s">
        <v>1998</v>
      </c>
      <c r="B1982" s="5">
        <v>45417</v>
      </c>
      <c r="C1982" t="s">
        <v>4282</v>
      </c>
      <c r="D1982" t="s">
        <v>4848</v>
      </c>
      <c r="E1982" t="s">
        <v>4866</v>
      </c>
      <c r="F1982">
        <v>45</v>
      </c>
      <c r="G1982" t="s">
        <v>4880</v>
      </c>
      <c r="H1982" t="s">
        <v>4890</v>
      </c>
      <c r="I1982" t="s">
        <v>4901</v>
      </c>
      <c r="J1982" t="s">
        <v>4914</v>
      </c>
      <c r="K1982" t="s">
        <v>4931</v>
      </c>
      <c r="L1982" t="s">
        <v>4934</v>
      </c>
      <c r="M1982" t="s">
        <v>4942</v>
      </c>
      <c r="N1982" s="11">
        <v>6497.96</v>
      </c>
      <c r="O1982" t="s">
        <v>4949</v>
      </c>
      <c r="P1982" t="s">
        <v>4951</v>
      </c>
      <c r="S1982" t="str">
        <f t="shared" si="91"/>
        <v>Middle-Aged</v>
      </c>
      <c r="T1982" t="str">
        <f t="shared" si="92"/>
        <v>Medium</v>
      </c>
      <c r="U1982" t="str">
        <f t="shared" si="93"/>
        <v>Short Days</v>
      </c>
    </row>
    <row r="1983" spans="1:21">
      <c r="A1983" t="s">
        <v>1999</v>
      </c>
      <c r="B1983" s="5">
        <v>45894</v>
      </c>
      <c r="C1983" t="s">
        <v>4283</v>
      </c>
      <c r="D1983" t="s">
        <v>4782</v>
      </c>
      <c r="E1983" t="s">
        <v>4866</v>
      </c>
      <c r="F1983">
        <v>35</v>
      </c>
      <c r="G1983" t="s">
        <v>4880</v>
      </c>
      <c r="H1983" t="s">
        <v>4890</v>
      </c>
      <c r="I1983" t="s">
        <v>4899</v>
      </c>
      <c r="J1983" t="s">
        <v>4911</v>
      </c>
      <c r="K1983" t="s">
        <v>4926</v>
      </c>
      <c r="L1983" t="s">
        <v>4937</v>
      </c>
      <c r="M1983" t="s">
        <v>4944</v>
      </c>
      <c r="N1983" s="11">
        <v>25471.65</v>
      </c>
      <c r="O1983" t="s">
        <v>4946</v>
      </c>
      <c r="P1983" t="s">
        <v>4951</v>
      </c>
      <c r="S1983" t="str">
        <f t="shared" si="91"/>
        <v>Adult</v>
      </c>
      <c r="T1983" t="str">
        <f t="shared" si="92"/>
        <v>High</v>
      </c>
      <c r="U1983" t="str">
        <f t="shared" si="93"/>
        <v>Short Days</v>
      </c>
    </row>
    <row r="1984" spans="1:21">
      <c r="A1984" t="s">
        <v>2000</v>
      </c>
      <c r="B1984" s="5">
        <v>45563</v>
      </c>
      <c r="C1984" t="s">
        <v>4284</v>
      </c>
      <c r="D1984" t="s">
        <v>4592</v>
      </c>
      <c r="E1984" t="s">
        <v>4866</v>
      </c>
      <c r="F1984">
        <v>41</v>
      </c>
      <c r="G1984" t="s">
        <v>4881</v>
      </c>
      <c r="H1984" t="s">
        <v>4881</v>
      </c>
      <c r="I1984" t="s">
        <v>4900</v>
      </c>
      <c r="J1984" t="s">
        <v>4919</v>
      </c>
      <c r="K1984" t="s">
        <v>4927</v>
      </c>
      <c r="L1984" t="s">
        <v>4935</v>
      </c>
      <c r="M1984" t="s">
        <v>4942</v>
      </c>
      <c r="N1984" s="11">
        <v>839.33</v>
      </c>
      <c r="O1984" t="s">
        <v>4950</v>
      </c>
      <c r="P1984" t="s">
        <v>4951</v>
      </c>
      <c r="R1984">
        <v>90</v>
      </c>
      <c r="S1984" t="str">
        <f t="shared" si="91"/>
        <v>Middle-Aged</v>
      </c>
      <c r="T1984" t="str">
        <f t="shared" si="92"/>
        <v>Low</v>
      </c>
      <c r="U1984" t="str">
        <f t="shared" si="93"/>
        <v>Short Days</v>
      </c>
    </row>
    <row r="1985" spans="1:21">
      <c r="A1985" t="s">
        <v>2001</v>
      </c>
      <c r="B1985" s="5">
        <v>45456</v>
      </c>
      <c r="C1985" t="s">
        <v>4285</v>
      </c>
      <c r="D1985" t="s">
        <v>4596</v>
      </c>
      <c r="E1985" t="s">
        <v>4866</v>
      </c>
      <c r="F1985">
        <v>59</v>
      </c>
      <c r="G1985" t="s">
        <v>4873</v>
      </c>
      <c r="H1985" t="s">
        <v>4888</v>
      </c>
      <c r="I1985" t="s">
        <v>4895</v>
      </c>
      <c r="J1985" t="s">
        <v>4905</v>
      </c>
      <c r="K1985" t="s">
        <v>4932</v>
      </c>
      <c r="L1985" t="s">
        <v>4938</v>
      </c>
      <c r="M1985" t="s">
        <v>4944</v>
      </c>
      <c r="N1985" s="11">
        <v>8620.4500000000007</v>
      </c>
      <c r="O1985" t="s">
        <v>4946</v>
      </c>
      <c r="P1985" t="s">
        <v>4951</v>
      </c>
      <c r="R1985">
        <v>7</v>
      </c>
      <c r="S1985" t="str">
        <f t="shared" si="91"/>
        <v>Middle-Aged</v>
      </c>
      <c r="T1985" t="str">
        <f t="shared" si="92"/>
        <v>Medium</v>
      </c>
      <c r="U1985" t="str">
        <f t="shared" si="93"/>
        <v>Short Days</v>
      </c>
    </row>
    <row r="1986" spans="1:21">
      <c r="A1986" t="s">
        <v>2002</v>
      </c>
      <c r="B1986" s="5">
        <v>45806</v>
      </c>
      <c r="C1986" t="s">
        <v>3248</v>
      </c>
      <c r="D1986" t="s">
        <v>4648</v>
      </c>
      <c r="E1986" t="s">
        <v>4866</v>
      </c>
      <c r="F1986">
        <v>52</v>
      </c>
      <c r="G1986" t="s">
        <v>4876</v>
      </c>
      <c r="H1986" t="s">
        <v>4888</v>
      </c>
      <c r="I1986" t="s">
        <v>4899</v>
      </c>
      <c r="J1986" t="s">
        <v>4912</v>
      </c>
      <c r="K1986" t="s">
        <v>4932</v>
      </c>
      <c r="L1986" t="s">
        <v>4938</v>
      </c>
      <c r="M1986" t="s">
        <v>4945</v>
      </c>
      <c r="N1986" s="11">
        <v>13555.53</v>
      </c>
      <c r="O1986" t="s">
        <v>4949</v>
      </c>
      <c r="P1986" t="s">
        <v>4951</v>
      </c>
      <c r="Q1986">
        <v>7</v>
      </c>
      <c r="S1986" t="str">
        <f t="shared" si="91"/>
        <v>Middle-Aged</v>
      </c>
      <c r="T1986" t="str">
        <f t="shared" si="92"/>
        <v>High</v>
      </c>
      <c r="U1986" t="str">
        <f t="shared" si="93"/>
        <v>Long Days</v>
      </c>
    </row>
    <row r="1987" spans="1:21">
      <c r="A1987" t="s">
        <v>2003</v>
      </c>
      <c r="B1987" s="5">
        <v>45810</v>
      </c>
      <c r="C1987" t="s">
        <v>3544</v>
      </c>
      <c r="D1987" t="s">
        <v>4862</v>
      </c>
      <c r="E1987" t="s">
        <v>4867</v>
      </c>
      <c r="F1987">
        <v>38</v>
      </c>
      <c r="G1987" t="s">
        <v>4871</v>
      </c>
      <c r="H1987" t="s">
        <v>4886</v>
      </c>
      <c r="I1987" t="s">
        <v>4895</v>
      </c>
      <c r="J1987" t="s">
        <v>4905</v>
      </c>
      <c r="K1987" t="s">
        <v>4928</v>
      </c>
      <c r="L1987" t="s">
        <v>4937</v>
      </c>
      <c r="M1987" t="s">
        <v>4942</v>
      </c>
      <c r="N1987" s="11">
        <v>3667.68</v>
      </c>
      <c r="O1987" t="s">
        <v>15</v>
      </c>
      <c r="P1987" t="s">
        <v>4952</v>
      </c>
      <c r="R1987">
        <v>14</v>
      </c>
      <c r="S1987" t="str">
        <f t="shared" ref="S1987:S2050" si="94">IF(F1987&lt;18,"Child",IF(F1987&lt;=40,"Adult",IF(F1987&lt;=60,"Middle-Aged",IF(F1987,"Senior"))))</f>
        <v>Adult</v>
      </c>
      <c r="T1987" t="str">
        <f t="shared" ref="T1987:T2050" si="95">IF(N1987&lt;=5000,"Low",IF(N1987&lt;=10000,"Medium","High"))</f>
        <v>Low</v>
      </c>
      <c r="U1987" t="str">
        <f t="shared" ref="U1987:U2050" si="96">IF(Q1987&lt;=5,"Short Days","Long Days")</f>
        <v>Short Days</v>
      </c>
    </row>
    <row r="1988" spans="1:21">
      <c r="A1988" t="s">
        <v>2004</v>
      </c>
      <c r="B1988" s="5">
        <v>45431</v>
      </c>
      <c r="C1988" t="s">
        <v>4273</v>
      </c>
      <c r="D1988" t="s">
        <v>4680</v>
      </c>
      <c r="E1988" t="s">
        <v>4867</v>
      </c>
      <c r="F1988">
        <v>42</v>
      </c>
      <c r="G1988" t="s">
        <v>4872</v>
      </c>
      <c r="H1988" t="s">
        <v>4887</v>
      </c>
      <c r="I1988" t="s">
        <v>4900</v>
      </c>
      <c r="J1988" t="s">
        <v>4913</v>
      </c>
      <c r="K1988" t="s">
        <v>4932</v>
      </c>
      <c r="L1988" t="s">
        <v>4938</v>
      </c>
      <c r="M1988" t="s">
        <v>4942</v>
      </c>
      <c r="N1988" s="11">
        <v>7115.85</v>
      </c>
      <c r="O1988" t="s">
        <v>4949</v>
      </c>
      <c r="P1988" t="s">
        <v>4951</v>
      </c>
      <c r="R1988">
        <v>90</v>
      </c>
      <c r="S1988" t="str">
        <f t="shared" si="94"/>
        <v>Middle-Aged</v>
      </c>
      <c r="T1988" t="str">
        <f t="shared" si="95"/>
        <v>Medium</v>
      </c>
      <c r="U1988" t="str">
        <f t="shared" si="96"/>
        <v>Short Days</v>
      </c>
    </row>
    <row r="1989" spans="1:21">
      <c r="A1989" t="s">
        <v>2005</v>
      </c>
      <c r="B1989" s="5">
        <v>45357</v>
      </c>
      <c r="C1989" t="s">
        <v>4286</v>
      </c>
      <c r="D1989" t="s">
        <v>4755</v>
      </c>
      <c r="E1989" t="s">
        <v>4866</v>
      </c>
      <c r="F1989">
        <v>29</v>
      </c>
      <c r="G1989" t="s">
        <v>4876</v>
      </c>
      <c r="H1989" t="s">
        <v>4888</v>
      </c>
      <c r="I1989" t="s">
        <v>4893</v>
      </c>
      <c r="J1989" t="s">
        <v>4903</v>
      </c>
      <c r="K1989" t="s">
        <v>4927</v>
      </c>
      <c r="L1989" t="s">
        <v>4935</v>
      </c>
      <c r="M1989" t="s">
        <v>4942</v>
      </c>
      <c r="N1989" s="11">
        <v>11305.83</v>
      </c>
      <c r="O1989" t="s">
        <v>4948</v>
      </c>
      <c r="P1989" t="s">
        <v>4951</v>
      </c>
      <c r="S1989" t="str">
        <f t="shared" si="94"/>
        <v>Adult</v>
      </c>
      <c r="T1989" t="str">
        <f t="shared" si="95"/>
        <v>High</v>
      </c>
      <c r="U1989" t="str">
        <f t="shared" si="96"/>
        <v>Short Days</v>
      </c>
    </row>
    <row r="1990" spans="1:21">
      <c r="A1990" t="s">
        <v>2006</v>
      </c>
      <c r="B1990" s="5">
        <v>45624</v>
      </c>
      <c r="C1990" t="s">
        <v>4029</v>
      </c>
      <c r="D1990" t="s">
        <v>4727</v>
      </c>
      <c r="E1990" t="s">
        <v>4866</v>
      </c>
      <c r="F1990">
        <v>29</v>
      </c>
      <c r="G1990" t="s">
        <v>4878</v>
      </c>
      <c r="H1990" t="s">
        <v>4889</v>
      </c>
      <c r="I1990" t="s">
        <v>4897</v>
      </c>
      <c r="J1990" t="s">
        <v>4907</v>
      </c>
      <c r="K1990" t="s">
        <v>4928</v>
      </c>
      <c r="L1990" t="s">
        <v>4936</v>
      </c>
      <c r="M1990" t="s">
        <v>4942</v>
      </c>
      <c r="N1990" s="11">
        <v>270.92</v>
      </c>
      <c r="O1990" t="s">
        <v>15</v>
      </c>
      <c r="P1990" t="s">
        <v>4952</v>
      </c>
      <c r="S1990" t="str">
        <f t="shared" si="94"/>
        <v>Adult</v>
      </c>
      <c r="T1990" t="str">
        <f t="shared" si="95"/>
        <v>Low</v>
      </c>
      <c r="U1990" t="str">
        <f t="shared" si="96"/>
        <v>Short Days</v>
      </c>
    </row>
    <row r="1991" spans="1:21">
      <c r="A1991" t="s">
        <v>2007</v>
      </c>
      <c r="B1991" s="5">
        <v>45875</v>
      </c>
      <c r="C1991" t="s">
        <v>3794</v>
      </c>
      <c r="D1991" t="s">
        <v>4626</v>
      </c>
      <c r="E1991" t="s">
        <v>4866</v>
      </c>
      <c r="F1991">
        <v>68</v>
      </c>
      <c r="G1991" t="s">
        <v>4871</v>
      </c>
      <c r="H1991" t="s">
        <v>4886</v>
      </c>
      <c r="I1991" t="s">
        <v>4900</v>
      </c>
      <c r="J1991" t="s">
        <v>4913</v>
      </c>
      <c r="K1991" t="s">
        <v>4931</v>
      </c>
      <c r="L1991" t="s">
        <v>4936</v>
      </c>
      <c r="M1991" t="s">
        <v>4943</v>
      </c>
      <c r="N1991" s="11">
        <v>11934.63</v>
      </c>
      <c r="O1991" t="s">
        <v>4950</v>
      </c>
      <c r="P1991" t="s">
        <v>4951</v>
      </c>
      <c r="R1991">
        <v>30</v>
      </c>
      <c r="S1991" t="str">
        <f t="shared" si="94"/>
        <v>Senior</v>
      </c>
      <c r="T1991" t="str">
        <f t="shared" si="95"/>
        <v>High</v>
      </c>
      <c r="U1991" t="str">
        <f t="shared" si="96"/>
        <v>Short Days</v>
      </c>
    </row>
    <row r="1992" spans="1:21">
      <c r="A1992" t="s">
        <v>2008</v>
      </c>
      <c r="B1992" s="5">
        <v>45677</v>
      </c>
      <c r="C1992" t="s">
        <v>3141</v>
      </c>
      <c r="D1992" t="s">
        <v>4691</v>
      </c>
      <c r="E1992" t="s">
        <v>4866</v>
      </c>
      <c r="F1992">
        <v>51</v>
      </c>
      <c r="G1992" t="s">
        <v>4872</v>
      </c>
      <c r="H1992" t="s">
        <v>4887</v>
      </c>
      <c r="I1992" t="s">
        <v>4898</v>
      </c>
      <c r="J1992" t="s">
        <v>4923</v>
      </c>
      <c r="K1992" t="s">
        <v>4953</v>
      </c>
      <c r="L1992" t="s">
        <v>4936</v>
      </c>
      <c r="M1992" t="s">
        <v>4944</v>
      </c>
      <c r="N1992" s="11">
        <v>15739.22</v>
      </c>
      <c r="O1992" t="s">
        <v>4949</v>
      </c>
      <c r="P1992" t="s">
        <v>4951</v>
      </c>
      <c r="S1992" t="str">
        <f t="shared" si="94"/>
        <v>Middle-Aged</v>
      </c>
      <c r="T1992" t="str">
        <f t="shared" si="95"/>
        <v>High</v>
      </c>
      <c r="U1992" t="str">
        <f t="shared" si="96"/>
        <v>Short Days</v>
      </c>
    </row>
    <row r="1993" spans="1:21">
      <c r="A1993" t="s">
        <v>2009</v>
      </c>
      <c r="B1993" s="5">
        <v>45893</v>
      </c>
      <c r="C1993" t="s">
        <v>4287</v>
      </c>
      <c r="D1993" t="s">
        <v>4750</v>
      </c>
      <c r="E1993" t="s">
        <v>4866</v>
      </c>
      <c r="F1993">
        <v>37</v>
      </c>
      <c r="G1993" t="s">
        <v>4881</v>
      </c>
      <c r="H1993" t="s">
        <v>4881</v>
      </c>
      <c r="I1993" t="s">
        <v>4901</v>
      </c>
      <c r="J1993" t="s">
        <v>4914</v>
      </c>
      <c r="K1993" t="s">
        <v>4931</v>
      </c>
      <c r="L1993" t="s">
        <v>4939</v>
      </c>
      <c r="M1993" t="s">
        <v>4942</v>
      </c>
      <c r="N1993" s="11">
        <v>5260.54</v>
      </c>
      <c r="O1993" t="s">
        <v>4946</v>
      </c>
      <c r="P1993" t="s">
        <v>4951</v>
      </c>
      <c r="S1993" t="str">
        <f t="shared" si="94"/>
        <v>Adult</v>
      </c>
      <c r="T1993" t="str">
        <f t="shared" si="95"/>
        <v>Medium</v>
      </c>
      <c r="U1993" t="str">
        <f t="shared" si="96"/>
        <v>Short Days</v>
      </c>
    </row>
    <row r="1994" spans="1:21">
      <c r="A1994" t="s">
        <v>2010</v>
      </c>
      <c r="B1994" s="5">
        <v>45951</v>
      </c>
      <c r="C1994" t="s">
        <v>3384</v>
      </c>
      <c r="D1994" t="s">
        <v>4641</v>
      </c>
      <c r="E1994" t="s">
        <v>4867</v>
      </c>
      <c r="F1994">
        <v>20</v>
      </c>
      <c r="G1994" t="s">
        <v>4883</v>
      </c>
      <c r="H1994" t="s">
        <v>4892</v>
      </c>
      <c r="I1994" t="s">
        <v>4902</v>
      </c>
      <c r="J1994" t="s">
        <v>4920</v>
      </c>
      <c r="K1994" t="s">
        <v>4932</v>
      </c>
      <c r="L1994" t="s">
        <v>4935</v>
      </c>
      <c r="M1994" t="s">
        <v>4942</v>
      </c>
      <c r="N1994" s="11">
        <v>2387.34</v>
      </c>
      <c r="O1994" t="s">
        <v>4947</v>
      </c>
      <c r="P1994" t="s">
        <v>4951</v>
      </c>
      <c r="S1994" t="str">
        <f t="shared" si="94"/>
        <v>Adult</v>
      </c>
      <c r="T1994" t="str">
        <f t="shared" si="95"/>
        <v>Low</v>
      </c>
      <c r="U1994" t="str">
        <f t="shared" si="96"/>
        <v>Short Days</v>
      </c>
    </row>
    <row r="1995" spans="1:21">
      <c r="A1995" t="s">
        <v>2011</v>
      </c>
      <c r="B1995" s="5">
        <v>45743</v>
      </c>
      <c r="C1995" t="s">
        <v>3825</v>
      </c>
      <c r="D1995" t="s">
        <v>4853</v>
      </c>
      <c r="E1995" t="s">
        <v>4867</v>
      </c>
      <c r="F1995">
        <v>27</v>
      </c>
      <c r="G1995" t="s">
        <v>4879</v>
      </c>
      <c r="H1995" t="s">
        <v>4888</v>
      </c>
      <c r="I1995" t="s">
        <v>4897</v>
      </c>
      <c r="J1995" t="s">
        <v>4907</v>
      </c>
      <c r="K1995" t="s">
        <v>4930</v>
      </c>
      <c r="L1995" t="s">
        <v>4938</v>
      </c>
      <c r="M1995" t="s">
        <v>4942</v>
      </c>
      <c r="N1995" s="11">
        <v>6031.03</v>
      </c>
      <c r="O1995" t="s">
        <v>4947</v>
      </c>
      <c r="P1995" t="s">
        <v>4951</v>
      </c>
      <c r="R1995">
        <v>7</v>
      </c>
      <c r="S1995" t="str">
        <f t="shared" si="94"/>
        <v>Adult</v>
      </c>
      <c r="T1995" t="str">
        <f t="shared" si="95"/>
        <v>Medium</v>
      </c>
      <c r="U1995" t="str">
        <f t="shared" si="96"/>
        <v>Short Days</v>
      </c>
    </row>
    <row r="1996" spans="1:21">
      <c r="A1996" t="s">
        <v>2012</v>
      </c>
      <c r="B1996" s="5">
        <v>45718</v>
      </c>
      <c r="C1996" t="s">
        <v>3626</v>
      </c>
      <c r="D1996" t="s">
        <v>4721</v>
      </c>
      <c r="E1996" t="s">
        <v>4866</v>
      </c>
      <c r="F1996">
        <v>69</v>
      </c>
      <c r="G1996" t="s">
        <v>4879</v>
      </c>
      <c r="H1996" t="s">
        <v>4888</v>
      </c>
      <c r="I1996" t="s">
        <v>4896</v>
      </c>
      <c r="J1996" t="s">
        <v>4906</v>
      </c>
      <c r="K1996" t="s">
        <v>4927</v>
      </c>
      <c r="L1996" t="s">
        <v>4941</v>
      </c>
      <c r="M1996" t="s">
        <v>4944</v>
      </c>
      <c r="N1996" s="11">
        <v>9454.23</v>
      </c>
      <c r="O1996" t="s">
        <v>4949</v>
      </c>
      <c r="P1996" t="s">
        <v>4951</v>
      </c>
      <c r="R1996">
        <v>14</v>
      </c>
      <c r="S1996" t="str">
        <f t="shared" si="94"/>
        <v>Senior</v>
      </c>
      <c r="T1996" t="str">
        <f t="shared" si="95"/>
        <v>Medium</v>
      </c>
      <c r="U1996" t="str">
        <f t="shared" si="96"/>
        <v>Short Days</v>
      </c>
    </row>
    <row r="1997" spans="1:21">
      <c r="A1997" t="s">
        <v>2013</v>
      </c>
      <c r="B1997" s="5">
        <v>45680</v>
      </c>
      <c r="C1997" t="s">
        <v>4150</v>
      </c>
      <c r="D1997" t="s">
        <v>4750</v>
      </c>
      <c r="E1997" t="s">
        <v>4866</v>
      </c>
      <c r="F1997">
        <v>69</v>
      </c>
      <c r="G1997" t="s">
        <v>4876</v>
      </c>
      <c r="H1997" t="s">
        <v>4888</v>
      </c>
      <c r="I1997" t="s">
        <v>4898</v>
      </c>
      <c r="J1997" t="s">
        <v>4909</v>
      </c>
      <c r="K1997" t="s">
        <v>4930</v>
      </c>
      <c r="L1997" t="s">
        <v>4940</v>
      </c>
      <c r="M1997" t="s">
        <v>4942</v>
      </c>
      <c r="N1997" s="11">
        <v>485.25</v>
      </c>
      <c r="O1997" t="s">
        <v>4949</v>
      </c>
      <c r="P1997" t="s">
        <v>4951</v>
      </c>
      <c r="S1997" t="str">
        <f t="shared" si="94"/>
        <v>Senior</v>
      </c>
      <c r="T1997" t="str">
        <f t="shared" si="95"/>
        <v>Low</v>
      </c>
      <c r="U1997" t="str">
        <f t="shared" si="96"/>
        <v>Short Days</v>
      </c>
    </row>
    <row r="1998" spans="1:21">
      <c r="A1998" t="s">
        <v>2014</v>
      </c>
      <c r="B1998" s="5">
        <v>45848</v>
      </c>
      <c r="C1998" t="s">
        <v>3347</v>
      </c>
      <c r="D1998" t="s">
        <v>4755</v>
      </c>
      <c r="E1998" t="s">
        <v>4866</v>
      </c>
      <c r="F1998">
        <v>37</v>
      </c>
      <c r="G1998" t="s">
        <v>4873</v>
      </c>
      <c r="H1998" t="s">
        <v>4888</v>
      </c>
      <c r="I1998" t="s">
        <v>4895</v>
      </c>
      <c r="J1998" t="s">
        <v>4905</v>
      </c>
      <c r="K1998" t="s">
        <v>4927</v>
      </c>
      <c r="L1998" t="s">
        <v>4939</v>
      </c>
      <c r="M1998" t="s">
        <v>4942</v>
      </c>
      <c r="N1998" s="11">
        <v>2589.0300000000002</v>
      </c>
      <c r="O1998" t="s">
        <v>4948</v>
      </c>
      <c r="P1998" t="s">
        <v>4951</v>
      </c>
      <c r="R1998">
        <v>7</v>
      </c>
      <c r="S1998" t="str">
        <f t="shared" si="94"/>
        <v>Adult</v>
      </c>
      <c r="T1998" t="str">
        <f t="shared" si="95"/>
        <v>Low</v>
      </c>
      <c r="U1998" t="str">
        <f t="shared" si="96"/>
        <v>Short Days</v>
      </c>
    </row>
    <row r="1999" spans="1:21">
      <c r="A1999" t="s">
        <v>2015</v>
      </c>
      <c r="B1999" s="5">
        <v>45617</v>
      </c>
      <c r="C1999" t="s">
        <v>4288</v>
      </c>
      <c r="D1999" t="s">
        <v>4724</v>
      </c>
      <c r="E1999" t="s">
        <v>4867</v>
      </c>
      <c r="F1999">
        <v>41</v>
      </c>
      <c r="G1999" t="s">
        <v>4875</v>
      </c>
      <c r="H1999" t="s">
        <v>4889</v>
      </c>
      <c r="I1999" t="s">
        <v>4900</v>
      </c>
      <c r="J1999" t="s">
        <v>4919</v>
      </c>
      <c r="K1999" t="s">
        <v>4930</v>
      </c>
      <c r="L1999" t="s">
        <v>4941</v>
      </c>
      <c r="M1999" t="s">
        <v>4942</v>
      </c>
      <c r="N1999" s="11">
        <v>418.94</v>
      </c>
      <c r="O1999" t="s">
        <v>4948</v>
      </c>
      <c r="P1999" t="s">
        <v>4951</v>
      </c>
      <c r="R1999">
        <v>30</v>
      </c>
      <c r="S1999" t="str">
        <f t="shared" si="94"/>
        <v>Middle-Aged</v>
      </c>
      <c r="T1999" t="str">
        <f t="shared" si="95"/>
        <v>Low</v>
      </c>
      <c r="U1999" t="str">
        <f t="shared" si="96"/>
        <v>Short Days</v>
      </c>
    </row>
    <row r="2000" spans="1:21">
      <c r="A2000" t="s">
        <v>2016</v>
      </c>
      <c r="B2000" s="5">
        <v>45410</v>
      </c>
      <c r="C2000" t="s">
        <v>4289</v>
      </c>
      <c r="D2000" t="s">
        <v>4827</v>
      </c>
      <c r="E2000" t="s">
        <v>4866</v>
      </c>
      <c r="F2000">
        <v>61</v>
      </c>
      <c r="G2000" t="s">
        <v>4883</v>
      </c>
      <c r="H2000" t="s">
        <v>4892</v>
      </c>
      <c r="I2000" t="s">
        <v>4902</v>
      </c>
      <c r="J2000" t="s">
        <v>4916</v>
      </c>
      <c r="K2000" t="s">
        <v>4926</v>
      </c>
      <c r="L2000" t="s">
        <v>4940</v>
      </c>
      <c r="M2000" t="s">
        <v>4942</v>
      </c>
      <c r="N2000" s="11">
        <v>3958.97</v>
      </c>
      <c r="O2000" t="s">
        <v>4947</v>
      </c>
      <c r="P2000" t="s">
        <v>4951</v>
      </c>
      <c r="R2000">
        <v>7</v>
      </c>
      <c r="S2000" t="str">
        <f t="shared" si="94"/>
        <v>Senior</v>
      </c>
      <c r="T2000" t="str">
        <f t="shared" si="95"/>
        <v>Low</v>
      </c>
      <c r="U2000" t="str">
        <f t="shared" si="96"/>
        <v>Short Days</v>
      </c>
    </row>
    <row r="2001" spans="1:21">
      <c r="A2001" t="s">
        <v>2017</v>
      </c>
      <c r="B2001" s="5">
        <v>45838</v>
      </c>
      <c r="C2001" t="s">
        <v>4083</v>
      </c>
      <c r="D2001" t="s">
        <v>4785</v>
      </c>
      <c r="E2001" t="s">
        <v>4866</v>
      </c>
      <c r="F2001">
        <v>22</v>
      </c>
      <c r="G2001" t="s">
        <v>4879</v>
      </c>
      <c r="H2001" t="s">
        <v>4888</v>
      </c>
      <c r="I2001" t="s">
        <v>4898</v>
      </c>
      <c r="J2001" t="s">
        <v>4923</v>
      </c>
      <c r="K2001" t="s">
        <v>4926</v>
      </c>
      <c r="L2001" t="s">
        <v>4940</v>
      </c>
      <c r="M2001" t="s">
        <v>4942</v>
      </c>
      <c r="N2001" s="11">
        <v>5090.84</v>
      </c>
      <c r="O2001" t="s">
        <v>4947</v>
      </c>
      <c r="P2001" t="s">
        <v>4951</v>
      </c>
      <c r="S2001" t="str">
        <f t="shared" si="94"/>
        <v>Adult</v>
      </c>
      <c r="T2001" t="str">
        <f t="shared" si="95"/>
        <v>Medium</v>
      </c>
      <c r="U2001" t="str">
        <f t="shared" si="96"/>
        <v>Short Days</v>
      </c>
    </row>
    <row r="2002" spans="1:21">
      <c r="A2002" t="s">
        <v>2018</v>
      </c>
      <c r="B2002" s="5">
        <v>45327</v>
      </c>
      <c r="C2002" t="s">
        <v>4290</v>
      </c>
      <c r="D2002" t="s">
        <v>4639</v>
      </c>
      <c r="E2002" t="s">
        <v>4868</v>
      </c>
      <c r="F2002">
        <v>37</v>
      </c>
      <c r="G2002" t="s">
        <v>4875</v>
      </c>
      <c r="H2002" t="s">
        <v>4889</v>
      </c>
      <c r="I2002" t="s">
        <v>4896</v>
      </c>
      <c r="J2002" t="s">
        <v>4908</v>
      </c>
      <c r="K2002" t="s">
        <v>4925</v>
      </c>
      <c r="L2002" t="s">
        <v>4939</v>
      </c>
      <c r="M2002" t="s">
        <v>4942</v>
      </c>
      <c r="N2002" s="11">
        <v>8373.5300000000007</v>
      </c>
      <c r="O2002" t="s">
        <v>4946</v>
      </c>
      <c r="P2002" t="s">
        <v>4951</v>
      </c>
      <c r="R2002">
        <v>7</v>
      </c>
      <c r="S2002" t="str">
        <f t="shared" si="94"/>
        <v>Adult</v>
      </c>
      <c r="T2002" t="str">
        <f t="shared" si="95"/>
        <v>Medium</v>
      </c>
      <c r="U2002" t="str">
        <f t="shared" si="96"/>
        <v>Short Days</v>
      </c>
    </row>
    <row r="2003" spans="1:21">
      <c r="A2003" t="s">
        <v>2019</v>
      </c>
      <c r="B2003" s="5">
        <v>45957</v>
      </c>
      <c r="C2003" t="s">
        <v>3628</v>
      </c>
      <c r="D2003" t="s">
        <v>4791</v>
      </c>
      <c r="E2003" t="s">
        <v>4867</v>
      </c>
      <c r="F2003">
        <v>47</v>
      </c>
      <c r="G2003" t="s">
        <v>4869</v>
      </c>
      <c r="H2003" t="s">
        <v>4884</v>
      </c>
      <c r="I2003" t="s">
        <v>4896</v>
      </c>
      <c r="J2003" t="s">
        <v>4908</v>
      </c>
      <c r="K2003" t="s">
        <v>4929</v>
      </c>
      <c r="L2003" t="s">
        <v>4938</v>
      </c>
      <c r="M2003" t="s">
        <v>4944</v>
      </c>
      <c r="N2003" s="11">
        <v>16362.75</v>
      </c>
      <c r="O2003" t="s">
        <v>4947</v>
      </c>
      <c r="P2003" t="s">
        <v>4951</v>
      </c>
      <c r="R2003">
        <v>90</v>
      </c>
      <c r="S2003" t="str">
        <f t="shared" si="94"/>
        <v>Middle-Aged</v>
      </c>
      <c r="T2003" t="str">
        <f t="shared" si="95"/>
        <v>High</v>
      </c>
      <c r="U2003" t="str">
        <f t="shared" si="96"/>
        <v>Short Days</v>
      </c>
    </row>
    <row r="2004" spans="1:21">
      <c r="A2004" t="s">
        <v>2020</v>
      </c>
      <c r="B2004" s="5">
        <v>45449</v>
      </c>
      <c r="C2004" t="s">
        <v>4203</v>
      </c>
      <c r="D2004" t="s">
        <v>4804</v>
      </c>
      <c r="E2004" t="s">
        <v>4867</v>
      </c>
      <c r="F2004">
        <v>39</v>
      </c>
      <c r="G2004" t="s">
        <v>4881</v>
      </c>
      <c r="H2004" t="s">
        <v>4881</v>
      </c>
      <c r="I2004" t="s">
        <v>4900</v>
      </c>
      <c r="J2004" t="s">
        <v>4919</v>
      </c>
      <c r="K2004" t="s">
        <v>4926</v>
      </c>
      <c r="L2004" t="s">
        <v>4936</v>
      </c>
      <c r="M2004" t="s">
        <v>4944</v>
      </c>
      <c r="N2004" s="11">
        <v>5136.6400000000003</v>
      </c>
      <c r="O2004" t="s">
        <v>4947</v>
      </c>
      <c r="P2004" t="s">
        <v>4951</v>
      </c>
      <c r="R2004">
        <v>90</v>
      </c>
      <c r="S2004" t="str">
        <f t="shared" si="94"/>
        <v>Adult</v>
      </c>
      <c r="T2004" t="str">
        <f t="shared" si="95"/>
        <v>Medium</v>
      </c>
      <c r="U2004" t="str">
        <f t="shared" si="96"/>
        <v>Short Days</v>
      </c>
    </row>
    <row r="2005" spans="1:21">
      <c r="A2005" t="s">
        <v>2021</v>
      </c>
      <c r="B2005" s="5">
        <v>45402</v>
      </c>
      <c r="C2005" t="s">
        <v>3825</v>
      </c>
      <c r="D2005" t="s">
        <v>4661</v>
      </c>
      <c r="E2005" t="s">
        <v>4866</v>
      </c>
      <c r="F2005">
        <v>30</v>
      </c>
      <c r="G2005" t="s">
        <v>4869</v>
      </c>
      <c r="H2005" t="s">
        <v>4884</v>
      </c>
      <c r="I2005" t="s">
        <v>4902</v>
      </c>
      <c r="J2005" t="s">
        <v>4920</v>
      </c>
      <c r="K2005" t="s">
        <v>4932</v>
      </c>
      <c r="L2005" t="s">
        <v>4936</v>
      </c>
      <c r="M2005" t="s">
        <v>4942</v>
      </c>
      <c r="N2005" s="11">
        <v>364.37</v>
      </c>
      <c r="O2005" t="s">
        <v>4948</v>
      </c>
      <c r="P2005" t="s">
        <v>4951</v>
      </c>
      <c r="R2005">
        <v>90</v>
      </c>
      <c r="S2005" t="str">
        <f t="shared" si="94"/>
        <v>Adult</v>
      </c>
      <c r="T2005" t="str">
        <f t="shared" si="95"/>
        <v>Low</v>
      </c>
      <c r="U2005" t="str">
        <f t="shared" si="96"/>
        <v>Short Days</v>
      </c>
    </row>
    <row r="2006" spans="1:21">
      <c r="A2006" t="s">
        <v>2022</v>
      </c>
      <c r="B2006" s="5">
        <v>45721</v>
      </c>
      <c r="C2006" t="s">
        <v>3962</v>
      </c>
      <c r="D2006" t="s">
        <v>4667</v>
      </c>
      <c r="E2006" t="s">
        <v>4867</v>
      </c>
      <c r="F2006">
        <v>26</v>
      </c>
      <c r="G2006" t="s">
        <v>4879</v>
      </c>
      <c r="H2006" t="s">
        <v>4888</v>
      </c>
      <c r="I2006" t="s">
        <v>4901</v>
      </c>
      <c r="J2006" t="s">
        <v>4914</v>
      </c>
      <c r="K2006" t="s">
        <v>4932</v>
      </c>
      <c r="L2006" t="s">
        <v>4935</v>
      </c>
      <c r="M2006" t="s">
        <v>4942</v>
      </c>
      <c r="N2006" s="11">
        <v>4429.57</v>
      </c>
      <c r="O2006" t="s">
        <v>4946</v>
      </c>
      <c r="P2006" t="s">
        <v>4951</v>
      </c>
      <c r="S2006" t="str">
        <f t="shared" si="94"/>
        <v>Adult</v>
      </c>
      <c r="T2006" t="str">
        <f t="shared" si="95"/>
        <v>Low</v>
      </c>
      <c r="U2006" t="str">
        <f t="shared" si="96"/>
        <v>Short Days</v>
      </c>
    </row>
    <row r="2007" spans="1:21">
      <c r="A2007" t="s">
        <v>2023</v>
      </c>
      <c r="B2007" s="5">
        <v>45577</v>
      </c>
      <c r="C2007" t="s">
        <v>3667</v>
      </c>
      <c r="D2007" t="s">
        <v>4797</v>
      </c>
      <c r="E2007" t="s">
        <v>4866</v>
      </c>
      <c r="F2007">
        <v>49</v>
      </c>
      <c r="G2007" t="s">
        <v>4880</v>
      </c>
      <c r="H2007" t="s">
        <v>4890</v>
      </c>
      <c r="I2007" t="s">
        <v>4898</v>
      </c>
      <c r="J2007" t="s">
        <v>4909</v>
      </c>
      <c r="K2007" t="s">
        <v>4928</v>
      </c>
      <c r="L2007" t="s">
        <v>4934</v>
      </c>
      <c r="M2007" t="s">
        <v>4942</v>
      </c>
      <c r="N2007" s="11">
        <v>10871.57</v>
      </c>
      <c r="O2007" t="s">
        <v>4950</v>
      </c>
      <c r="P2007" t="s">
        <v>4951</v>
      </c>
      <c r="R2007">
        <v>30</v>
      </c>
      <c r="S2007" t="str">
        <f t="shared" si="94"/>
        <v>Middle-Aged</v>
      </c>
      <c r="T2007" t="str">
        <f t="shared" si="95"/>
        <v>High</v>
      </c>
      <c r="U2007" t="str">
        <f t="shared" si="96"/>
        <v>Short Days</v>
      </c>
    </row>
    <row r="2008" spans="1:21">
      <c r="A2008" t="s">
        <v>2024</v>
      </c>
      <c r="B2008" s="5">
        <v>45620</v>
      </c>
      <c r="C2008" t="s">
        <v>3642</v>
      </c>
      <c r="D2008" t="s">
        <v>4754</v>
      </c>
      <c r="E2008" t="s">
        <v>4866</v>
      </c>
      <c r="F2008">
        <v>46</v>
      </c>
      <c r="G2008" t="s">
        <v>4879</v>
      </c>
      <c r="H2008" t="s">
        <v>4888</v>
      </c>
      <c r="I2008" t="s">
        <v>4897</v>
      </c>
      <c r="J2008" t="s">
        <v>4907</v>
      </c>
      <c r="K2008" t="s">
        <v>4926</v>
      </c>
      <c r="L2008" t="s">
        <v>4939</v>
      </c>
      <c r="M2008" t="s">
        <v>4942</v>
      </c>
      <c r="N2008" s="11">
        <v>11572.79</v>
      </c>
      <c r="O2008" t="s">
        <v>4949</v>
      </c>
      <c r="P2008" t="s">
        <v>4951</v>
      </c>
      <c r="R2008">
        <v>7</v>
      </c>
      <c r="S2008" t="str">
        <f t="shared" si="94"/>
        <v>Middle-Aged</v>
      </c>
      <c r="T2008" t="str">
        <f t="shared" si="95"/>
        <v>High</v>
      </c>
      <c r="U2008" t="str">
        <f t="shared" si="96"/>
        <v>Short Days</v>
      </c>
    </row>
    <row r="2009" spans="1:21">
      <c r="A2009" t="s">
        <v>2025</v>
      </c>
      <c r="B2009" s="5">
        <v>45644</v>
      </c>
      <c r="C2009" t="s">
        <v>4291</v>
      </c>
      <c r="D2009" t="s">
        <v>4845</v>
      </c>
      <c r="E2009" t="s">
        <v>4866</v>
      </c>
      <c r="F2009">
        <v>30</v>
      </c>
      <c r="G2009" t="s">
        <v>4877</v>
      </c>
      <c r="H2009" t="s">
        <v>4888</v>
      </c>
      <c r="I2009" t="s">
        <v>4902</v>
      </c>
      <c r="J2009" t="s">
        <v>4916</v>
      </c>
      <c r="K2009" t="s">
        <v>4928</v>
      </c>
      <c r="L2009" t="s">
        <v>4934</v>
      </c>
      <c r="M2009" t="s">
        <v>4944</v>
      </c>
      <c r="N2009" s="11">
        <v>11191.09</v>
      </c>
      <c r="O2009" t="s">
        <v>4946</v>
      </c>
      <c r="P2009" t="s">
        <v>4951</v>
      </c>
      <c r="S2009" t="str">
        <f t="shared" si="94"/>
        <v>Adult</v>
      </c>
      <c r="T2009" t="str">
        <f t="shared" si="95"/>
        <v>High</v>
      </c>
      <c r="U2009" t="str">
        <f t="shared" si="96"/>
        <v>Short Days</v>
      </c>
    </row>
    <row r="2010" spans="1:21">
      <c r="A2010" t="s">
        <v>2026</v>
      </c>
      <c r="B2010" s="5">
        <v>45919</v>
      </c>
      <c r="C2010" t="s">
        <v>4189</v>
      </c>
      <c r="D2010" t="s">
        <v>4712</v>
      </c>
      <c r="E2010" t="s">
        <v>4867</v>
      </c>
      <c r="F2010">
        <v>34</v>
      </c>
      <c r="G2010" t="s">
        <v>4879</v>
      </c>
      <c r="H2010" t="s">
        <v>4888</v>
      </c>
      <c r="I2010" t="s">
        <v>4894</v>
      </c>
      <c r="J2010" t="s">
        <v>4910</v>
      </c>
      <c r="K2010" t="s">
        <v>4925</v>
      </c>
      <c r="L2010" t="s">
        <v>4935</v>
      </c>
      <c r="M2010" t="s">
        <v>4942</v>
      </c>
      <c r="N2010" s="11">
        <v>1480.03</v>
      </c>
      <c r="O2010" t="s">
        <v>4947</v>
      </c>
      <c r="P2010" t="s">
        <v>4951</v>
      </c>
      <c r="R2010">
        <v>90</v>
      </c>
      <c r="S2010" t="str">
        <f t="shared" si="94"/>
        <v>Adult</v>
      </c>
      <c r="T2010" t="str">
        <f t="shared" si="95"/>
        <v>Low</v>
      </c>
      <c r="U2010" t="str">
        <f t="shared" si="96"/>
        <v>Short Days</v>
      </c>
    </row>
    <row r="2011" spans="1:21">
      <c r="A2011" t="s">
        <v>2027</v>
      </c>
      <c r="B2011" s="5">
        <v>45460</v>
      </c>
      <c r="C2011" t="s">
        <v>3780</v>
      </c>
      <c r="D2011" t="s">
        <v>4780</v>
      </c>
      <c r="E2011" t="s">
        <v>4866</v>
      </c>
      <c r="F2011">
        <v>36</v>
      </c>
      <c r="G2011" t="s">
        <v>4873</v>
      </c>
      <c r="H2011" t="s">
        <v>4888</v>
      </c>
      <c r="I2011" t="s">
        <v>4899</v>
      </c>
      <c r="J2011" t="s">
        <v>4911</v>
      </c>
      <c r="K2011" t="s">
        <v>4928</v>
      </c>
      <c r="L2011" t="s">
        <v>4936</v>
      </c>
      <c r="M2011" t="s">
        <v>4943</v>
      </c>
      <c r="N2011" s="11">
        <v>10256.56</v>
      </c>
      <c r="O2011" t="s">
        <v>4946</v>
      </c>
      <c r="P2011" t="s">
        <v>4951</v>
      </c>
      <c r="R2011">
        <v>30</v>
      </c>
      <c r="S2011" t="str">
        <f t="shared" si="94"/>
        <v>Adult</v>
      </c>
      <c r="T2011" t="str">
        <f t="shared" si="95"/>
        <v>High</v>
      </c>
      <c r="U2011" t="str">
        <f t="shared" si="96"/>
        <v>Short Days</v>
      </c>
    </row>
    <row r="2012" spans="1:21">
      <c r="A2012" t="s">
        <v>2028</v>
      </c>
      <c r="B2012" s="5">
        <v>45786</v>
      </c>
      <c r="C2012" t="s">
        <v>4292</v>
      </c>
      <c r="D2012" t="s">
        <v>4825</v>
      </c>
      <c r="E2012" t="s">
        <v>4866</v>
      </c>
      <c r="F2012">
        <v>33</v>
      </c>
      <c r="G2012" t="s">
        <v>4881</v>
      </c>
      <c r="H2012" t="s">
        <v>4881</v>
      </c>
      <c r="I2012" t="s">
        <v>4894</v>
      </c>
      <c r="J2012" t="s">
        <v>4910</v>
      </c>
      <c r="K2012" t="s">
        <v>4932</v>
      </c>
      <c r="L2012" t="s">
        <v>4940</v>
      </c>
      <c r="M2012" t="s">
        <v>4942</v>
      </c>
      <c r="N2012" s="11">
        <v>4391.4399999999996</v>
      </c>
      <c r="O2012" t="s">
        <v>4946</v>
      </c>
      <c r="P2012" t="s">
        <v>4951</v>
      </c>
      <c r="R2012">
        <v>7</v>
      </c>
      <c r="S2012" t="str">
        <f t="shared" si="94"/>
        <v>Adult</v>
      </c>
      <c r="T2012" t="str">
        <f t="shared" si="95"/>
        <v>Low</v>
      </c>
      <c r="U2012" t="str">
        <f t="shared" si="96"/>
        <v>Short Days</v>
      </c>
    </row>
    <row r="2013" spans="1:21">
      <c r="A2013" t="s">
        <v>2029</v>
      </c>
      <c r="B2013" s="5">
        <v>45464</v>
      </c>
      <c r="C2013" t="s">
        <v>4219</v>
      </c>
      <c r="D2013" t="s">
        <v>4617</v>
      </c>
      <c r="E2013" t="s">
        <v>4866</v>
      </c>
      <c r="F2013">
        <v>50</v>
      </c>
      <c r="G2013" t="s">
        <v>4876</v>
      </c>
      <c r="H2013" t="s">
        <v>4888</v>
      </c>
      <c r="I2013" t="s">
        <v>4894</v>
      </c>
      <c r="J2013" t="s">
        <v>4904</v>
      </c>
      <c r="K2013" t="s">
        <v>4930</v>
      </c>
      <c r="L2013" t="s">
        <v>4938</v>
      </c>
      <c r="M2013" t="s">
        <v>4944</v>
      </c>
      <c r="N2013" s="11">
        <v>5877.06</v>
      </c>
      <c r="O2013" t="s">
        <v>4949</v>
      </c>
      <c r="P2013" t="s">
        <v>4951</v>
      </c>
      <c r="S2013" t="str">
        <f t="shared" si="94"/>
        <v>Middle-Aged</v>
      </c>
      <c r="T2013" t="str">
        <f t="shared" si="95"/>
        <v>Medium</v>
      </c>
      <c r="U2013" t="str">
        <f t="shared" si="96"/>
        <v>Short Days</v>
      </c>
    </row>
    <row r="2014" spans="1:21">
      <c r="A2014" t="s">
        <v>2030</v>
      </c>
      <c r="B2014" s="5">
        <v>45581</v>
      </c>
      <c r="C2014" t="s">
        <v>4214</v>
      </c>
      <c r="D2014" t="s">
        <v>4843</v>
      </c>
      <c r="E2014" t="s">
        <v>4866</v>
      </c>
      <c r="F2014">
        <v>6</v>
      </c>
      <c r="G2014" t="s">
        <v>4882</v>
      </c>
      <c r="H2014" t="s">
        <v>4891</v>
      </c>
      <c r="I2014" t="s">
        <v>4893</v>
      </c>
      <c r="J2014" t="s">
        <v>4917</v>
      </c>
      <c r="K2014" t="s">
        <v>4925</v>
      </c>
      <c r="L2014" t="s">
        <v>4935</v>
      </c>
      <c r="M2014" t="s">
        <v>4942</v>
      </c>
      <c r="N2014" s="11">
        <v>6522.1</v>
      </c>
      <c r="O2014" t="s">
        <v>4950</v>
      </c>
      <c r="P2014" t="s">
        <v>4951</v>
      </c>
      <c r="R2014">
        <v>7</v>
      </c>
      <c r="S2014" t="str">
        <f t="shared" si="94"/>
        <v>Child</v>
      </c>
      <c r="T2014" t="str">
        <f t="shared" si="95"/>
        <v>Medium</v>
      </c>
      <c r="U2014" t="str">
        <f t="shared" si="96"/>
        <v>Short Days</v>
      </c>
    </row>
    <row r="2015" spans="1:21">
      <c r="A2015" t="s">
        <v>2031</v>
      </c>
      <c r="B2015" s="5">
        <v>45684</v>
      </c>
      <c r="C2015" t="s">
        <v>4020</v>
      </c>
      <c r="D2015" t="s">
        <v>4795</v>
      </c>
      <c r="E2015" t="s">
        <v>4866</v>
      </c>
      <c r="F2015">
        <v>37</v>
      </c>
      <c r="G2015" t="s">
        <v>4875</v>
      </c>
      <c r="H2015" t="s">
        <v>4889</v>
      </c>
      <c r="I2015" t="s">
        <v>4894</v>
      </c>
      <c r="J2015" t="s">
        <v>4910</v>
      </c>
      <c r="K2015" t="s">
        <v>4953</v>
      </c>
      <c r="L2015" t="s">
        <v>4936</v>
      </c>
      <c r="M2015" t="s">
        <v>4942</v>
      </c>
      <c r="N2015" s="11">
        <v>3647.19</v>
      </c>
      <c r="O2015" t="s">
        <v>15</v>
      </c>
      <c r="P2015" t="s">
        <v>4952</v>
      </c>
      <c r="R2015">
        <v>7</v>
      </c>
      <c r="S2015" t="str">
        <f t="shared" si="94"/>
        <v>Adult</v>
      </c>
      <c r="T2015" t="str">
        <f t="shared" si="95"/>
        <v>Low</v>
      </c>
      <c r="U2015" t="str">
        <f t="shared" si="96"/>
        <v>Short Days</v>
      </c>
    </row>
    <row r="2016" spans="1:21">
      <c r="A2016" t="s">
        <v>2032</v>
      </c>
      <c r="B2016" s="5">
        <v>45448</v>
      </c>
      <c r="C2016" t="s">
        <v>3994</v>
      </c>
      <c r="D2016" t="s">
        <v>4689</v>
      </c>
      <c r="E2016" t="s">
        <v>4866</v>
      </c>
      <c r="F2016">
        <v>11</v>
      </c>
      <c r="G2016" t="s">
        <v>4872</v>
      </c>
      <c r="H2016" t="s">
        <v>4887</v>
      </c>
      <c r="I2016" t="s">
        <v>4900</v>
      </c>
      <c r="J2016" t="s">
        <v>4919</v>
      </c>
      <c r="K2016" t="s">
        <v>4931</v>
      </c>
      <c r="L2016" t="s">
        <v>4934</v>
      </c>
      <c r="M2016" t="s">
        <v>4942</v>
      </c>
      <c r="N2016" s="11">
        <v>10578.07</v>
      </c>
      <c r="O2016" t="s">
        <v>15</v>
      </c>
      <c r="P2016" t="s">
        <v>4952</v>
      </c>
      <c r="R2016">
        <v>14</v>
      </c>
      <c r="S2016" t="str">
        <f t="shared" si="94"/>
        <v>Child</v>
      </c>
      <c r="T2016" t="str">
        <f t="shared" si="95"/>
        <v>High</v>
      </c>
      <c r="U2016" t="str">
        <f t="shared" si="96"/>
        <v>Short Days</v>
      </c>
    </row>
    <row r="2017" spans="1:21">
      <c r="A2017" t="s">
        <v>2033</v>
      </c>
      <c r="B2017" s="5">
        <v>45653</v>
      </c>
      <c r="C2017" t="s">
        <v>3882</v>
      </c>
      <c r="D2017" t="s">
        <v>4693</v>
      </c>
      <c r="E2017" t="s">
        <v>4866</v>
      </c>
      <c r="F2017">
        <v>30</v>
      </c>
      <c r="G2017" t="s">
        <v>4882</v>
      </c>
      <c r="H2017" t="s">
        <v>4891</v>
      </c>
      <c r="I2017" t="s">
        <v>4894</v>
      </c>
      <c r="J2017" t="s">
        <v>4910</v>
      </c>
      <c r="K2017" t="s">
        <v>4933</v>
      </c>
      <c r="L2017" t="s">
        <v>4940</v>
      </c>
      <c r="M2017" t="s">
        <v>4944</v>
      </c>
      <c r="N2017" s="11">
        <v>7891.95</v>
      </c>
      <c r="O2017" t="s">
        <v>4946</v>
      </c>
      <c r="P2017" t="s">
        <v>4951</v>
      </c>
      <c r="S2017" t="str">
        <f t="shared" si="94"/>
        <v>Adult</v>
      </c>
      <c r="T2017" t="str">
        <f t="shared" si="95"/>
        <v>Medium</v>
      </c>
      <c r="U2017" t="str">
        <f t="shared" si="96"/>
        <v>Short Days</v>
      </c>
    </row>
    <row r="2018" spans="1:21">
      <c r="A2018" t="s">
        <v>2034</v>
      </c>
      <c r="B2018" s="5">
        <v>45529</v>
      </c>
      <c r="C2018" t="s">
        <v>4282</v>
      </c>
      <c r="D2018" t="s">
        <v>4742</v>
      </c>
      <c r="E2018" t="s">
        <v>4866</v>
      </c>
      <c r="F2018">
        <v>57</v>
      </c>
      <c r="G2018" t="s">
        <v>4878</v>
      </c>
      <c r="H2018" t="s">
        <v>4889</v>
      </c>
      <c r="I2018" t="s">
        <v>4894</v>
      </c>
      <c r="J2018" t="s">
        <v>4910</v>
      </c>
      <c r="K2018" t="s">
        <v>4933</v>
      </c>
      <c r="L2018" t="s">
        <v>4935</v>
      </c>
      <c r="M2018" t="s">
        <v>4942</v>
      </c>
      <c r="N2018" s="11">
        <v>729.98</v>
      </c>
      <c r="O2018" t="s">
        <v>4950</v>
      </c>
      <c r="P2018" t="s">
        <v>4951</v>
      </c>
      <c r="S2018" t="str">
        <f t="shared" si="94"/>
        <v>Middle-Aged</v>
      </c>
      <c r="T2018" t="str">
        <f t="shared" si="95"/>
        <v>Low</v>
      </c>
      <c r="U2018" t="str">
        <f t="shared" si="96"/>
        <v>Short Days</v>
      </c>
    </row>
    <row r="2019" spans="1:21">
      <c r="A2019" t="s">
        <v>2035</v>
      </c>
      <c r="B2019" s="5">
        <v>45928</v>
      </c>
      <c r="C2019" t="s">
        <v>4127</v>
      </c>
      <c r="D2019" t="s">
        <v>4848</v>
      </c>
      <c r="E2019" t="s">
        <v>4866</v>
      </c>
      <c r="F2019">
        <v>43</v>
      </c>
      <c r="G2019" t="s">
        <v>4873</v>
      </c>
      <c r="H2019" t="s">
        <v>4888</v>
      </c>
      <c r="I2019" t="s">
        <v>4901</v>
      </c>
      <c r="J2019" t="s">
        <v>4921</v>
      </c>
      <c r="K2019" t="s">
        <v>4929</v>
      </c>
      <c r="L2019" t="s">
        <v>4939</v>
      </c>
      <c r="M2019" t="s">
        <v>4942</v>
      </c>
      <c r="N2019" s="11">
        <v>7961.7</v>
      </c>
      <c r="O2019" t="s">
        <v>4949</v>
      </c>
      <c r="P2019" t="s">
        <v>4951</v>
      </c>
      <c r="R2019">
        <v>30</v>
      </c>
      <c r="S2019" t="str">
        <f t="shared" si="94"/>
        <v>Middle-Aged</v>
      </c>
      <c r="T2019" t="str">
        <f t="shared" si="95"/>
        <v>Medium</v>
      </c>
      <c r="U2019" t="str">
        <f t="shared" si="96"/>
        <v>Short Days</v>
      </c>
    </row>
    <row r="2020" spans="1:21">
      <c r="A2020" t="s">
        <v>2036</v>
      </c>
      <c r="B2020" s="5">
        <v>45638</v>
      </c>
      <c r="C2020" t="s">
        <v>4293</v>
      </c>
      <c r="D2020" t="s">
        <v>4822</v>
      </c>
      <c r="E2020" t="s">
        <v>4868</v>
      </c>
      <c r="F2020">
        <v>68</v>
      </c>
      <c r="G2020" t="s">
        <v>4873</v>
      </c>
      <c r="H2020" t="s">
        <v>4888</v>
      </c>
      <c r="I2020" t="s">
        <v>4896</v>
      </c>
      <c r="J2020" t="s">
        <v>4908</v>
      </c>
      <c r="K2020" t="s">
        <v>4929</v>
      </c>
      <c r="L2020" t="s">
        <v>4934</v>
      </c>
      <c r="M2020" t="s">
        <v>4942</v>
      </c>
      <c r="N2020" s="11">
        <v>1877.95</v>
      </c>
      <c r="O2020" t="s">
        <v>4949</v>
      </c>
      <c r="P2020" t="s">
        <v>4951</v>
      </c>
      <c r="R2020">
        <v>14</v>
      </c>
      <c r="S2020" t="str">
        <f t="shared" si="94"/>
        <v>Senior</v>
      </c>
      <c r="T2020" t="str">
        <f t="shared" si="95"/>
        <v>Low</v>
      </c>
      <c r="U2020" t="str">
        <f t="shared" si="96"/>
        <v>Short Days</v>
      </c>
    </row>
    <row r="2021" spans="1:21">
      <c r="A2021" t="s">
        <v>2037</v>
      </c>
      <c r="B2021" s="5">
        <v>45826</v>
      </c>
      <c r="C2021" t="s">
        <v>3736</v>
      </c>
      <c r="D2021" t="s">
        <v>4851</v>
      </c>
      <c r="E2021" t="s">
        <v>4866</v>
      </c>
      <c r="F2021">
        <v>56</v>
      </c>
      <c r="G2021" t="s">
        <v>4871</v>
      </c>
      <c r="H2021" t="s">
        <v>4886</v>
      </c>
      <c r="I2021" t="s">
        <v>4896</v>
      </c>
      <c r="J2021" t="s">
        <v>4906</v>
      </c>
      <c r="K2021" t="s">
        <v>4931</v>
      </c>
      <c r="L2021" t="s">
        <v>4941</v>
      </c>
      <c r="M2021" t="s">
        <v>4943</v>
      </c>
      <c r="N2021" s="11">
        <v>7095.15</v>
      </c>
      <c r="O2021" t="s">
        <v>4946</v>
      </c>
      <c r="P2021" t="s">
        <v>4951</v>
      </c>
      <c r="S2021" t="str">
        <f t="shared" si="94"/>
        <v>Middle-Aged</v>
      </c>
      <c r="T2021" t="str">
        <f t="shared" si="95"/>
        <v>Medium</v>
      </c>
      <c r="U2021" t="str">
        <f t="shared" si="96"/>
        <v>Short Days</v>
      </c>
    </row>
    <row r="2022" spans="1:21">
      <c r="A2022" t="s">
        <v>2038</v>
      </c>
      <c r="B2022" s="5">
        <v>45716</v>
      </c>
      <c r="C2022" t="s">
        <v>4144</v>
      </c>
      <c r="D2022" t="s">
        <v>4651</v>
      </c>
      <c r="E2022" t="s">
        <v>4867</v>
      </c>
      <c r="F2022">
        <v>53</v>
      </c>
      <c r="G2022" t="s">
        <v>4880</v>
      </c>
      <c r="H2022" t="s">
        <v>4890</v>
      </c>
      <c r="I2022" t="s">
        <v>4898</v>
      </c>
      <c r="J2022" t="s">
        <v>4918</v>
      </c>
      <c r="K2022" t="s">
        <v>4932</v>
      </c>
      <c r="L2022" t="s">
        <v>4934</v>
      </c>
      <c r="M2022" t="s">
        <v>4942</v>
      </c>
      <c r="N2022" s="11">
        <v>3773.33</v>
      </c>
      <c r="O2022" t="s">
        <v>4947</v>
      </c>
      <c r="P2022" t="s">
        <v>4951</v>
      </c>
      <c r="R2022">
        <v>7</v>
      </c>
      <c r="S2022" t="str">
        <f t="shared" si="94"/>
        <v>Middle-Aged</v>
      </c>
      <c r="T2022" t="str">
        <f t="shared" si="95"/>
        <v>Low</v>
      </c>
      <c r="U2022" t="str">
        <f t="shared" si="96"/>
        <v>Short Days</v>
      </c>
    </row>
    <row r="2023" spans="1:21">
      <c r="A2023" t="s">
        <v>2039</v>
      </c>
      <c r="B2023" s="5">
        <v>45957</v>
      </c>
      <c r="C2023" t="s">
        <v>4294</v>
      </c>
      <c r="D2023" t="s">
        <v>4635</v>
      </c>
      <c r="E2023" t="s">
        <v>4866</v>
      </c>
      <c r="F2023">
        <v>43</v>
      </c>
      <c r="G2023" t="s">
        <v>4881</v>
      </c>
      <c r="H2023" t="s">
        <v>4881</v>
      </c>
      <c r="I2023" t="s">
        <v>4894</v>
      </c>
      <c r="J2023" t="s">
        <v>4904</v>
      </c>
      <c r="K2023" t="s">
        <v>4926</v>
      </c>
      <c r="L2023" t="s">
        <v>4940</v>
      </c>
      <c r="M2023" t="s">
        <v>4942</v>
      </c>
      <c r="N2023" s="11">
        <v>806.99</v>
      </c>
      <c r="O2023" t="s">
        <v>4949</v>
      </c>
      <c r="P2023" t="s">
        <v>4951</v>
      </c>
      <c r="R2023">
        <v>30</v>
      </c>
      <c r="S2023" t="str">
        <f t="shared" si="94"/>
        <v>Middle-Aged</v>
      </c>
      <c r="T2023" t="str">
        <f t="shared" si="95"/>
        <v>Low</v>
      </c>
      <c r="U2023" t="str">
        <f t="shared" si="96"/>
        <v>Short Days</v>
      </c>
    </row>
    <row r="2024" spans="1:21">
      <c r="A2024" t="s">
        <v>2040</v>
      </c>
      <c r="B2024" s="5">
        <v>45853</v>
      </c>
      <c r="C2024" t="s">
        <v>4295</v>
      </c>
      <c r="D2024" t="s">
        <v>4757</v>
      </c>
      <c r="E2024" t="s">
        <v>4866</v>
      </c>
      <c r="F2024">
        <v>32</v>
      </c>
      <c r="G2024" t="s">
        <v>4869</v>
      </c>
      <c r="H2024" t="s">
        <v>4884</v>
      </c>
      <c r="I2024" t="s">
        <v>4895</v>
      </c>
      <c r="J2024" t="s">
        <v>4905</v>
      </c>
      <c r="K2024" t="s">
        <v>4928</v>
      </c>
      <c r="L2024" t="s">
        <v>4939</v>
      </c>
      <c r="M2024" t="s">
        <v>4942</v>
      </c>
      <c r="N2024" s="11">
        <v>1336.48</v>
      </c>
      <c r="O2024" t="s">
        <v>4947</v>
      </c>
      <c r="P2024" t="s">
        <v>4951</v>
      </c>
      <c r="S2024" t="str">
        <f t="shared" si="94"/>
        <v>Adult</v>
      </c>
      <c r="T2024" t="str">
        <f t="shared" si="95"/>
        <v>Low</v>
      </c>
      <c r="U2024" t="str">
        <f t="shared" si="96"/>
        <v>Short Days</v>
      </c>
    </row>
    <row r="2025" spans="1:21">
      <c r="A2025" t="s">
        <v>2041</v>
      </c>
      <c r="B2025" s="5">
        <v>45643</v>
      </c>
      <c r="C2025" t="s">
        <v>4296</v>
      </c>
      <c r="D2025" t="s">
        <v>4753</v>
      </c>
      <c r="E2025" t="s">
        <v>4867</v>
      </c>
      <c r="F2025">
        <v>22</v>
      </c>
      <c r="G2025" t="s">
        <v>4882</v>
      </c>
      <c r="H2025" t="s">
        <v>4891</v>
      </c>
      <c r="I2025" t="s">
        <v>4897</v>
      </c>
      <c r="J2025" t="s">
        <v>4907</v>
      </c>
      <c r="K2025" t="s">
        <v>4929</v>
      </c>
      <c r="L2025" t="s">
        <v>4934</v>
      </c>
      <c r="M2025" t="s">
        <v>4944</v>
      </c>
      <c r="N2025" s="11">
        <v>10203.25</v>
      </c>
      <c r="O2025" t="s">
        <v>4948</v>
      </c>
      <c r="P2025" t="s">
        <v>4951</v>
      </c>
      <c r="R2025">
        <v>14</v>
      </c>
      <c r="S2025" t="str">
        <f t="shared" si="94"/>
        <v>Adult</v>
      </c>
      <c r="T2025" t="str">
        <f t="shared" si="95"/>
        <v>High</v>
      </c>
      <c r="U2025" t="str">
        <f t="shared" si="96"/>
        <v>Short Days</v>
      </c>
    </row>
    <row r="2026" spans="1:21">
      <c r="A2026" t="s">
        <v>2042</v>
      </c>
      <c r="B2026" s="5">
        <v>45565</v>
      </c>
      <c r="C2026" t="s">
        <v>4244</v>
      </c>
      <c r="D2026" t="s">
        <v>4590</v>
      </c>
      <c r="E2026" t="s">
        <v>4866</v>
      </c>
      <c r="F2026">
        <v>32</v>
      </c>
      <c r="G2026" t="s">
        <v>4876</v>
      </c>
      <c r="H2026" t="s">
        <v>4888</v>
      </c>
      <c r="I2026" t="s">
        <v>4898</v>
      </c>
      <c r="J2026" t="s">
        <v>4923</v>
      </c>
      <c r="K2026" t="s">
        <v>4932</v>
      </c>
      <c r="L2026" t="s">
        <v>4939</v>
      </c>
      <c r="M2026" t="s">
        <v>4942</v>
      </c>
      <c r="N2026" s="11">
        <v>8277.9</v>
      </c>
      <c r="O2026" t="s">
        <v>4947</v>
      </c>
      <c r="P2026" t="s">
        <v>4951</v>
      </c>
      <c r="S2026" t="str">
        <f t="shared" si="94"/>
        <v>Adult</v>
      </c>
      <c r="T2026" t="str">
        <f t="shared" si="95"/>
        <v>Medium</v>
      </c>
      <c r="U2026" t="str">
        <f t="shared" si="96"/>
        <v>Short Days</v>
      </c>
    </row>
    <row r="2027" spans="1:21">
      <c r="A2027" t="s">
        <v>2043</v>
      </c>
      <c r="B2027" s="5">
        <v>45895</v>
      </c>
      <c r="C2027" t="s">
        <v>3290</v>
      </c>
      <c r="D2027" t="s">
        <v>4778</v>
      </c>
      <c r="E2027" t="s">
        <v>4867</v>
      </c>
      <c r="F2027">
        <v>56</v>
      </c>
      <c r="G2027" t="s">
        <v>4873</v>
      </c>
      <c r="H2027" t="s">
        <v>4888</v>
      </c>
      <c r="I2027" t="s">
        <v>4896</v>
      </c>
      <c r="J2027" t="s">
        <v>4906</v>
      </c>
      <c r="K2027" t="s">
        <v>4931</v>
      </c>
      <c r="L2027" t="s">
        <v>4936</v>
      </c>
      <c r="M2027" t="s">
        <v>4942</v>
      </c>
      <c r="N2027" s="11">
        <v>2393.59</v>
      </c>
      <c r="O2027" t="s">
        <v>4950</v>
      </c>
      <c r="P2027" t="s">
        <v>4951</v>
      </c>
      <c r="R2027">
        <v>90</v>
      </c>
      <c r="S2027" t="str">
        <f t="shared" si="94"/>
        <v>Middle-Aged</v>
      </c>
      <c r="T2027" t="str">
        <f t="shared" si="95"/>
        <v>Low</v>
      </c>
      <c r="U2027" t="str">
        <f t="shared" si="96"/>
        <v>Short Days</v>
      </c>
    </row>
    <row r="2028" spans="1:21">
      <c r="A2028" t="s">
        <v>2044</v>
      </c>
      <c r="B2028" s="5">
        <v>45873</v>
      </c>
      <c r="C2028" t="s">
        <v>4297</v>
      </c>
      <c r="D2028" t="s">
        <v>4793</v>
      </c>
      <c r="E2028" t="s">
        <v>4866</v>
      </c>
      <c r="F2028">
        <v>49</v>
      </c>
      <c r="G2028" t="s">
        <v>4874</v>
      </c>
      <c r="H2028" t="s">
        <v>4886</v>
      </c>
      <c r="I2028" t="s">
        <v>4901</v>
      </c>
      <c r="J2028" t="s">
        <v>4914</v>
      </c>
      <c r="K2028" t="s">
        <v>4930</v>
      </c>
      <c r="L2028" t="s">
        <v>4936</v>
      </c>
      <c r="M2028" t="s">
        <v>4942</v>
      </c>
      <c r="N2028" s="11">
        <v>3186.8</v>
      </c>
      <c r="O2028" t="s">
        <v>4949</v>
      </c>
      <c r="P2028" t="s">
        <v>4951</v>
      </c>
      <c r="R2028">
        <v>7</v>
      </c>
      <c r="S2028" t="str">
        <f t="shared" si="94"/>
        <v>Middle-Aged</v>
      </c>
      <c r="T2028" t="str">
        <f t="shared" si="95"/>
        <v>Low</v>
      </c>
      <c r="U2028" t="str">
        <f t="shared" si="96"/>
        <v>Short Days</v>
      </c>
    </row>
    <row r="2029" spans="1:21">
      <c r="A2029" t="s">
        <v>2045</v>
      </c>
      <c r="B2029" s="5">
        <v>45957</v>
      </c>
      <c r="C2029" t="s">
        <v>3649</v>
      </c>
      <c r="D2029" t="s">
        <v>4806</v>
      </c>
      <c r="E2029" t="s">
        <v>4867</v>
      </c>
      <c r="F2029">
        <v>49</v>
      </c>
      <c r="G2029" t="s">
        <v>4876</v>
      </c>
      <c r="H2029" t="s">
        <v>4888</v>
      </c>
      <c r="I2029" t="s">
        <v>4895</v>
      </c>
      <c r="J2029" t="s">
        <v>4915</v>
      </c>
      <c r="K2029" t="s">
        <v>4924</v>
      </c>
      <c r="L2029" t="s">
        <v>4941</v>
      </c>
      <c r="M2029" t="s">
        <v>4942</v>
      </c>
      <c r="N2029" s="11">
        <v>17632.66</v>
      </c>
      <c r="O2029" t="s">
        <v>4948</v>
      </c>
      <c r="P2029" t="s">
        <v>4951</v>
      </c>
      <c r="R2029">
        <v>30</v>
      </c>
      <c r="S2029" t="str">
        <f t="shared" si="94"/>
        <v>Middle-Aged</v>
      </c>
      <c r="T2029" t="str">
        <f t="shared" si="95"/>
        <v>High</v>
      </c>
      <c r="U2029" t="str">
        <f t="shared" si="96"/>
        <v>Short Days</v>
      </c>
    </row>
    <row r="2030" spans="1:21">
      <c r="A2030" t="s">
        <v>2046</v>
      </c>
      <c r="B2030" s="5">
        <v>45617</v>
      </c>
      <c r="C2030" t="s">
        <v>3432</v>
      </c>
      <c r="D2030" t="s">
        <v>4820</v>
      </c>
      <c r="E2030" t="s">
        <v>4866</v>
      </c>
      <c r="F2030">
        <v>61</v>
      </c>
      <c r="G2030" t="s">
        <v>4871</v>
      </c>
      <c r="H2030" t="s">
        <v>4886</v>
      </c>
      <c r="I2030" t="s">
        <v>4900</v>
      </c>
      <c r="J2030" t="s">
        <v>4919</v>
      </c>
      <c r="K2030" t="s">
        <v>4927</v>
      </c>
      <c r="L2030" t="s">
        <v>4941</v>
      </c>
      <c r="M2030" t="s">
        <v>4942</v>
      </c>
      <c r="N2030" s="11">
        <v>2802.03</v>
      </c>
      <c r="O2030" t="s">
        <v>4946</v>
      </c>
      <c r="P2030" t="s">
        <v>4951</v>
      </c>
      <c r="R2030">
        <v>14</v>
      </c>
      <c r="S2030" t="str">
        <f t="shared" si="94"/>
        <v>Senior</v>
      </c>
      <c r="T2030" t="str">
        <f t="shared" si="95"/>
        <v>Low</v>
      </c>
      <c r="U2030" t="str">
        <f t="shared" si="96"/>
        <v>Short Days</v>
      </c>
    </row>
    <row r="2031" spans="1:21">
      <c r="A2031" t="s">
        <v>2047</v>
      </c>
      <c r="B2031" s="5">
        <v>45713</v>
      </c>
      <c r="C2031" t="s">
        <v>4298</v>
      </c>
      <c r="D2031" t="s">
        <v>4640</v>
      </c>
      <c r="E2031" t="s">
        <v>4868</v>
      </c>
      <c r="F2031">
        <v>21</v>
      </c>
      <c r="G2031" t="s">
        <v>4873</v>
      </c>
      <c r="H2031" t="s">
        <v>4888</v>
      </c>
      <c r="I2031" t="s">
        <v>4897</v>
      </c>
      <c r="J2031" t="s">
        <v>4922</v>
      </c>
      <c r="K2031" t="s">
        <v>4926</v>
      </c>
      <c r="L2031" t="s">
        <v>4934</v>
      </c>
      <c r="M2031" t="s">
        <v>4942</v>
      </c>
      <c r="N2031" s="11">
        <v>10052.33</v>
      </c>
      <c r="O2031" t="s">
        <v>4946</v>
      </c>
      <c r="P2031" t="s">
        <v>4951</v>
      </c>
      <c r="R2031">
        <v>30</v>
      </c>
      <c r="S2031" t="str">
        <f t="shared" si="94"/>
        <v>Adult</v>
      </c>
      <c r="T2031" t="str">
        <f t="shared" si="95"/>
        <v>High</v>
      </c>
      <c r="U2031" t="str">
        <f t="shared" si="96"/>
        <v>Short Days</v>
      </c>
    </row>
    <row r="2032" spans="1:21">
      <c r="A2032" t="s">
        <v>2048</v>
      </c>
      <c r="B2032" s="5">
        <v>45764</v>
      </c>
      <c r="C2032" t="s">
        <v>4299</v>
      </c>
      <c r="D2032" t="s">
        <v>4778</v>
      </c>
      <c r="E2032" t="s">
        <v>4866</v>
      </c>
      <c r="F2032">
        <v>34</v>
      </c>
      <c r="G2032" t="s">
        <v>4877</v>
      </c>
      <c r="H2032" t="s">
        <v>4888</v>
      </c>
      <c r="I2032" t="s">
        <v>4896</v>
      </c>
      <c r="J2032" t="s">
        <v>4908</v>
      </c>
      <c r="K2032" t="s">
        <v>4932</v>
      </c>
      <c r="L2032" t="s">
        <v>4938</v>
      </c>
      <c r="M2032" t="s">
        <v>4942</v>
      </c>
      <c r="N2032" s="11">
        <v>7413.31</v>
      </c>
      <c r="O2032" t="s">
        <v>15</v>
      </c>
      <c r="P2032" t="s">
        <v>4952</v>
      </c>
      <c r="S2032" t="str">
        <f t="shared" si="94"/>
        <v>Adult</v>
      </c>
      <c r="T2032" t="str">
        <f t="shared" si="95"/>
        <v>Medium</v>
      </c>
      <c r="U2032" t="str">
        <f t="shared" si="96"/>
        <v>Short Days</v>
      </c>
    </row>
    <row r="2033" spans="1:21">
      <c r="A2033" t="s">
        <v>2049</v>
      </c>
      <c r="B2033" s="5">
        <v>45372</v>
      </c>
      <c r="C2033" t="s">
        <v>4300</v>
      </c>
      <c r="D2033" t="s">
        <v>4732</v>
      </c>
      <c r="E2033" t="s">
        <v>4867</v>
      </c>
      <c r="F2033">
        <v>50</v>
      </c>
      <c r="G2033" t="s">
        <v>4883</v>
      </c>
      <c r="H2033" t="s">
        <v>4892</v>
      </c>
      <c r="I2033" t="s">
        <v>4902</v>
      </c>
      <c r="J2033" t="s">
        <v>4916</v>
      </c>
      <c r="K2033" t="s">
        <v>4928</v>
      </c>
      <c r="L2033" t="s">
        <v>4934</v>
      </c>
      <c r="M2033" t="s">
        <v>4942</v>
      </c>
      <c r="N2033" s="11">
        <v>1622.28</v>
      </c>
      <c r="O2033" t="s">
        <v>4946</v>
      </c>
      <c r="P2033" t="s">
        <v>4951</v>
      </c>
      <c r="R2033">
        <v>7</v>
      </c>
      <c r="S2033" t="str">
        <f t="shared" si="94"/>
        <v>Middle-Aged</v>
      </c>
      <c r="T2033" t="str">
        <f t="shared" si="95"/>
        <v>Low</v>
      </c>
      <c r="U2033" t="str">
        <f t="shared" si="96"/>
        <v>Short Days</v>
      </c>
    </row>
    <row r="2034" spans="1:21">
      <c r="A2034" t="s">
        <v>2050</v>
      </c>
      <c r="B2034" s="5">
        <v>45732</v>
      </c>
      <c r="C2034" t="s">
        <v>4301</v>
      </c>
      <c r="D2034" t="s">
        <v>4751</v>
      </c>
      <c r="E2034" t="s">
        <v>4866</v>
      </c>
      <c r="F2034">
        <v>26</v>
      </c>
      <c r="G2034" t="s">
        <v>4869</v>
      </c>
      <c r="H2034" t="s">
        <v>4884</v>
      </c>
      <c r="I2034" t="s">
        <v>4898</v>
      </c>
      <c r="J2034" t="s">
        <v>4918</v>
      </c>
      <c r="K2034" t="s">
        <v>4927</v>
      </c>
      <c r="L2034" t="s">
        <v>4939</v>
      </c>
      <c r="M2034" t="s">
        <v>4943</v>
      </c>
      <c r="N2034" s="11">
        <v>16882.79</v>
      </c>
      <c r="O2034" t="s">
        <v>4948</v>
      </c>
      <c r="P2034" t="s">
        <v>4951</v>
      </c>
      <c r="S2034" t="str">
        <f t="shared" si="94"/>
        <v>Adult</v>
      </c>
      <c r="T2034" t="str">
        <f t="shared" si="95"/>
        <v>High</v>
      </c>
      <c r="U2034" t="str">
        <f t="shared" si="96"/>
        <v>Short Days</v>
      </c>
    </row>
    <row r="2035" spans="1:21">
      <c r="A2035" t="s">
        <v>2051</v>
      </c>
      <c r="B2035" s="5">
        <v>45490</v>
      </c>
      <c r="C2035" t="s">
        <v>3436</v>
      </c>
      <c r="D2035" t="s">
        <v>4803</v>
      </c>
      <c r="E2035" t="s">
        <v>4866</v>
      </c>
      <c r="F2035">
        <v>54</v>
      </c>
      <c r="G2035" t="s">
        <v>4879</v>
      </c>
      <c r="H2035" t="s">
        <v>4888</v>
      </c>
      <c r="I2035" t="s">
        <v>4901</v>
      </c>
      <c r="J2035" t="s">
        <v>4921</v>
      </c>
      <c r="K2035" t="s">
        <v>4925</v>
      </c>
      <c r="L2035" t="s">
        <v>4940</v>
      </c>
      <c r="M2035" t="s">
        <v>4942</v>
      </c>
      <c r="N2035" s="11">
        <v>1809.44</v>
      </c>
      <c r="O2035" t="s">
        <v>4948</v>
      </c>
      <c r="P2035" t="s">
        <v>4951</v>
      </c>
      <c r="R2035">
        <v>30</v>
      </c>
      <c r="S2035" t="str">
        <f t="shared" si="94"/>
        <v>Middle-Aged</v>
      </c>
      <c r="T2035" t="str">
        <f t="shared" si="95"/>
        <v>Low</v>
      </c>
      <c r="U2035" t="str">
        <f t="shared" si="96"/>
        <v>Short Days</v>
      </c>
    </row>
    <row r="2036" spans="1:21">
      <c r="A2036" t="s">
        <v>2052</v>
      </c>
      <c r="B2036" s="5">
        <v>45613</v>
      </c>
      <c r="C2036" t="s">
        <v>3452</v>
      </c>
      <c r="D2036" t="s">
        <v>4675</v>
      </c>
      <c r="E2036" t="s">
        <v>4867</v>
      </c>
      <c r="F2036">
        <v>39</v>
      </c>
      <c r="G2036" t="s">
        <v>4871</v>
      </c>
      <c r="H2036" t="s">
        <v>4886</v>
      </c>
      <c r="I2036" t="s">
        <v>4898</v>
      </c>
      <c r="J2036" t="s">
        <v>4923</v>
      </c>
      <c r="K2036" t="s">
        <v>4925</v>
      </c>
      <c r="L2036" t="s">
        <v>4939</v>
      </c>
      <c r="M2036" t="s">
        <v>4942</v>
      </c>
      <c r="N2036" s="11">
        <v>9309.98</v>
      </c>
      <c r="O2036" t="s">
        <v>4946</v>
      </c>
      <c r="P2036" t="s">
        <v>4951</v>
      </c>
      <c r="R2036">
        <v>90</v>
      </c>
      <c r="S2036" t="str">
        <f t="shared" si="94"/>
        <v>Adult</v>
      </c>
      <c r="T2036" t="str">
        <f t="shared" si="95"/>
        <v>Medium</v>
      </c>
      <c r="U2036" t="str">
        <f t="shared" si="96"/>
        <v>Short Days</v>
      </c>
    </row>
    <row r="2037" spans="1:21">
      <c r="A2037" t="s">
        <v>2053</v>
      </c>
      <c r="B2037" s="5">
        <v>45364</v>
      </c>
      <c r="C2037" t="s">
        <v>3969</v>
      </c>
      <c r="D2037" t="s">
        <v>4602</v>
      </c>
      <c r="E2037" t="s">
        <v>4866</v>
      </c>
      <c r="F2037">
        <v>22</v>
      </c>
      <c r="G2037" t="s">
        <v>4876</v>
      </c>
      <c r="H2037" t="s">
        <v>4888</v>
      </c>
      <c r="I2037" t="s">
        <v>4895</v>
      </c>
      <c r="J2037" t="s">
        <v>4915</v>
      </c>
      <c r="K2037" t="s">
        <v>4925</v>
      </c>
      <c r="L2037" t="s">
        <v>4937</v>
      </c>
      <c r="M2037" t="s">
        <v>4942</v>
      </c>
      <c r="N2037" s="11">
        <v>3151.47</v>
      </c>
      <c r="O2037" t="s">
        <v>15</v>
      </c>
      <c r="P2037" t="s">
        <v>4952</v>
      </c>
      <c r="R2037">
        <v>14</v>
      </c>
      <c r="S2037" t="str">
        <f t="shared" si="94"/>
        <v>Adult</v>
      </c>
      <c r="T2037" t="str">
        <f t="shared" si="95"/>
        <v>Low</v>
      </c>
      <c r="U2037" t="str">
        <f t="shared" si="96"/>
        <v>Short Days</v>
      </c>
    </row>
    <row r="2038" spans="1:21">
      <c r="A2038" t="s">
        <v>2054</v>
      </c>
      <c r="B2038" s="5">
        <v>45738</v>
      </c>
      <c r="C2038" t="s">
        <v>4302</v>
      </c>
      <c r="D2038" t="s">
        <v>4709</v>
      </c>
      <c r="E2038" t="s">
        <v>4867</v>
      </c>
      <c r="F2038">
        <v>38</v>
      </c>
      <c r="G2038" t="s">
        <v>4882</v>
      </c>
      <c r="H2038" t="s">
        <v>4891</v>
      </c>
      <c r="I2038" t="s">
        <v>4901</v>
      </c>
      <c r="J2038" t="s">
        <v>4914</v>
      </c>
      <c r="K2038" t="s">
        <v>4924</v>
      </c>
      <c r="L2038" t="s">
        <v>4941</v>
      </c>
      <c r="M2038" t="s">
        <v>4942</v>
      </c>
      <c r="N2038" s="11">
        <v>16719.689999999999</v>
      </c>
      <c r="O2038" t="s">
        <v>4946</v>
      </c>
      <c r="P2038" t="s">
        <v>4951</v>
      </c>
      <c r="S2038" t="str">
        <f t="shared" si="94"/>
        <v>Adult</v>
      </c>
      <c r="T2038" t="str">
        <f t="shared" si="95"/>
        <v>High</v>
      </c>
      <c r="U2038" t="str">
        <f t="shared" si="96"/>
        <v>Short Days</v>
      </c>
    </row>
    <row r="2039" spans="1:21">
      <c r="A2039" t="s">
        <v>2055</v>
      </c>
      <c r="B2039" s="5">
        <v>45520</v>
      </c>
      <c r="C2039" t="s">
        <v>3628</v>
      </c>
      <c r="D2039" t="s">
        <v>4816</v>
      </c>
      <c r="E2039" t="s">
        <v>4866</v>
      </c>
      <c r="F2039">
        <v>45</v>
      </c>
      <c r="G2039" t="s">
        <v>4870</v>
      </c>
      <c r="H2039" t="s">
        <v>4885</v>
      </c>
      <c r="I2039" t="s">
        <v>4895</v>
      </c>
      <c r="J2039" t="s">
        <v>4905</v>
      </c>
      <c r="K2039" t="s">
        <v>4927</v>
      </c>
      <c r="L2039" t="s">
        <v>4940</v>
      </c>
      <c r="M2039" t="s">
        <v>4942</v>
      </c>
      <c r="N2039" s="11">
        <v>3812.56</v>
      </c>
      <c r="O2039" t="s">
        <v>15</v>
      </c>
      <c r="P2039" t="s">
        <v>4952</v>
      </c>
      <c r="S2039" t="str">
        <f t="shared" si="94"/>
        <v>Middle-Aged</v>
      </c>
      <c r="T2039" t="str">
        <f t="shared" si="95"/>
        <v>Low</v>
      </c>
      <c r="U2039" t="str">
        <f t="shared" si="96"/>
        <v>Short Days</v>
      </c>
    </row>
    <row r="2040" spans="1:21">
      <c r="A2040" t="s">
        <v>2056</v>
      </c>
      <c r="B2040" s="5">
        <v>45800</v>
      </c>
      <c r="C2040" t="s">
        <v>4303</v>
      </c>
      <c r="D2040" t="s">
        <v>4602</v>
      </c>
      <c r="E2040" t="s">
        <v>4867</v>
      </c>
      <c r="F2040">
        <v>42</v>
      </c>
      <c r="G2040" t="s">
        <v>4872</v>
      </c>
      <c r="H2040" t="s">
        <v>4887</v>
      </c>
      <c r="I2040" t="s">
        <v>4895</v>
      </c>
      <c r="J2040" t="s">
        <v>4915</v>
      </c>
      <c r="K2040" t="s">
        <v>4928</v>
      </c>
      <c r="L2040" t="s">
        <v>4937</v>
      </c>
      <c r="M2040" t="s">
        <v>4944</v>
      </c>
      <c r="N2040" s="11">
        <v>19969.509999999998</v>
      </c>
      <c r="O2040" t="s">
        <v>4949</v>
      </c>
      <c r="P2040" t="s">
        <v>4951</v>
      </c>
      <c r="R2040">
        <v>30</v>
      </c>
      <c r="S2040" t="str">
        <f t="shared" si="94"/>
        <v>Middle-Aged</v>
      </c>
      <c r="T2040" t="str">
        <f t="shared" si="95"/>
        <v>High</v>
      </c>
      <c r="U2040" t="str">
        <f t="shared" si="96"/>
        <v>Short Days</v>
      </c>
    </row>
    <row r="2041" spans="1:21">
      <c r="A2041" t="s">
        <v>2057</v>
      </c>
      <c r="B2041" s="5">
        <v>45774</v>
      </c>
      <c r="C2041" t="s">
        <v>4304</v>
      </c>
      <c r="D2041" t="s">
        <v>4725</v>
      </c>
      <c r="E2041" t="s">
        <v>4867</v>
      </c>
      <c r="F2041">
        <v>0</v>
      </c>
      <c r="G2041" t="s">
        <v>4881</v>
      </c>
      <c r="H2041" t="s">
        <v>4881</v>
      </c>
      <c r="I2041" t="s">
        <v>4895</v>
      </c>
      <c r="J2041" t="s">
        <v>4915</v>
      </c>
      <c r="K2041" t="s">
        <v>4929</v>
      </c>
      <c r="L2041" t="s">
        <v>4937</v>
      </c>
      <c r="M2041" t="s">
        <v>4942</v>
      </c>
      <c r="N2041" s="11">
        <v>1339.69</v>
      </c>
      <c r="O2041" t="s">
        <v>4948</v>
      </c>
      <c r="P2041" t="s">
        <v>4951</v>
      </c>
      <c r="S2041" t="str">
        <f t="shared" si="94"/>
        <v>Child</v>
      </c>
      <c r="T2041" t="str">
        <f t="shared" si="95"/>
        <v>Low</v>
      </c>
      <c r="U2041" t="str">
        <f t="shared" si="96"/>
        <v>Short Days</v>
      </c>
    </row>
    <row r="2042" spans="1:21">
      <c r="A2042" t="s">
        <v>2058</v>
      </c>
      <c r="B2042" s="5">
        <v>45349</v>
      </c>
      <c r="C2042" t="s">
        <v>4305</v>
      </c>
      <c r="D2042" t="s">
        <v>4624</v>
      </c>
      <c r="E2042" t="s">
        <v>4867</v>
      </c>
      <c r="F2042">
        <v>45</v>
      </c>
      <c r="G2042" t="s">
        <v>4869</v>
      </c>
      <c r="H2042" t="s">
        <v>4884</v>
      </c>
      <c r="I2042" t="s">
        <v>4896</v>
      </c>
      <c r="J2042" t="s">
        <v>4906</v>
      </c>
      <c r="K2042" t="s">
        <v>4925</v>
      </c>
      <c r="L2042" t="s">
        <v>4939</v>
      </c>
      <c r="M2042" t="s">
        <v>4942</v>
      </c>
      <c r="N2042" s="11">
        <v>149.04</v>
      </c>
      <c r="O2042" t="s">
        <v>4946</v>
      </c>
      <c r="P2042" t="s">
        <v>4951</v>
      </c>
      <c r="R2042">
        <v>90</v>
      </c>
      <c r="S2042" t="str">
        <f t="shared" si="94"/>
        <v>Middle-Aged</v>
      </c>
      <c r="T2042" t="str">
        <f t="shared" si="95"/>
        <v>Low</v>
      </c>
      <c r="U2042" t="str">
        <f t="shared" si="96"/>
        <v>Short Days</v>
      </c>
    </row>
    <row r="2043" spans="1:21">
      <c r="A2043" t="s">
        <v>2059</v>
      </c>
      <c r="B2043" s="5">
        <v>45842</v>
      </c>
      <c r="C2043" t="s">
        <v>3172</v>
      </c>
      <c r="D2043" t="s">
        <v>4719</v>
      </c>
      <c r="E2043" t="s">
        <v>4867</v>
      </c>
      <c r="F2043">
        <v>59</v>
      </c>
      <c r="G2043" t="s">
        <v>4873</v>
      </c>
      <c r="H2043" t="s">
        <v>4888</v>
      </c>
      <c r="I2043" t="s">
        <v>4893</v>
      </c>
      <c r="J2043" t="s">
        <v>4917</v>
      </c>
      <c r="K2043" t="s">
        <v>4932</v>
      </c>
      <c r="L2043" t="s">
        <v>4936</v>
      </c>
      <c r="M2043" t="s">
        <v>4942</v>
      </c>
      <c r="N2043" s="11">
        <v>978.14</v>
      </c>
      <c r="O2043" t="s">
        <v>15</v>
      </c>
      <c r="P2043" t="s">
        <v>4952</v>
      </c>
      <c r="S2043" t="str">
        <f t="shared" si="94"/>
        <v>Middle-Aged</v>
      </c>
      <c r="T2043" t="str">
        <f t="shared" si="95"/>
        <v>Low</v>
      </c>
      <c r="U2043" t="str">
        <f t="shared" si="96"/>
        <v>Short Days</v>
      </c>
    </row>
    <row r="2044" spans="1:21">
      <c r="A2044" t="s">
        <v>2060</v>
      </c>
      <c r="B2044" s="5">
        <v>45426</v>
      </c>
      <c r="C2044" t="s">
        <v>4306</v>
      </c>
      <c r="D2044" t="s">
        <v>4689</v>
      </c>
      <c r="E2044" t="s">
        <v>4867</v>
      </c>
      <c r="F2044">
        <v>16</v>
      </c>
      <c r="G2044" t="s">
        <v>4871</v>
      </c>
      <c r="H2044" t="s">
        <v>4886</v>
      </c>
      <c r="I2044" t="s">
        <v>4895</v>
      </c>
      <c r="J2044" t="s">
        <v>4915</v>
      </c>
      <c r="K2044" t="s">
        <v>4930</v>
      </c>
      <c r="L2044" t="s">
        <v>4935</v>
      </c>
      <c r="M2044" t="s">
        <v>4942</v>
      </c>
      <c r="N2044" s="11">
        <v>3698.79</v>
      </c>
      <c r="O2044" t="s">
        <v>4946</v>
      </c>
      <c r="P2044" t="s">
        <v>4951</v>
      </c>
      <c r="R2044">
        <v>90</v>
      </c>
      <c r="S2044" t="str">
        <f t="shared" si="94"/>
        <v>Child</v>
      </c>
      <c r="T2044" t="str">
        <f t="shared" si="95"/>
        <v>Low</v>
      </c>
      <c r="U2044" t="str">
        <f t="shared" si="96"/>
        <v>Short Days</v>
      </c>
    </row>
    <row r="2045" spans="1:21">
      <c r="A2045" t="s">
        <v>2061</v>
      </c>
      <c r="B2045" s="5">
        <v>45327</v>
      </c>
      <c r="C2045" t="s">
        <v>3420</v>
      </c>
      <c r="D2045" t="s">
        <v>4817</v>
      </c>
      <c r="E2045" t="s">
        <v>4867</v>
      </c>
      <c r="F2045">
        <v>73</v>
      </c>
      <c r="G2045" t="s">
        <v>4872</v>
      </c>
      <c r="H2045" t="s">
        <v>4887</v>
      </c>
      <c r="I2045" t="s">
        <v>4902</v>
      </c>
      <c r="J2045" t="s">
        <v>4920</v>
      </c>
      <c r="K2045" t="s">
        <v>4926</v>
      </c>
      <c r="L2045" t="s">
        <v>4938</v>
      </c>
      <c r="M2045" t="s">
        <v>4944</v>
      </c>
      <c r="N2045" s="11">
        <v>16260.93</v>
      </c>
      <c r="O2045" t="s">
        <v>4948</v>
      </c>
      <c r="P2045" t="s">
        <v>4951</v>
      </c>
      <c r="R2045">
        <v>7</v>
      </c>
      <c r="S2045" t="str">
        <f t="shared" si="94"/>
        <v>Senior</v>
      </c>
      <c r="T2045" t="str">
        <f t="shared" si="95"/>
        <v>High</v>
      </c>
      <c r="U2045" t="str">
        <f t="shared" si="96"/>
        <v>Short Days</v>
      </c>
    </row>
    <row r="2046" spans="1:21">
      <c r="A2046" t="s">
        <v>2062</v>
      </c>
      <c r="B2046" s="5">
        <v>45512</v>
      </c>
      <c r="C2046" t="s">
        <v>4307</v>
      </c>
      <c r="D2046" t="s">
        <v>4746</v>
      </c>
      <c r="E2046" t="s">
        <v>4867</v>
      </c>
      <c r="F2046">
        <v>38</v>
      </c>
      <c r="G2046" t="s">
        <v>4872</v>
      </c>
      <c r="H2046" t="s">
        <v>4887</v>
      </c>
      <c r="I2046" t="s">
        <v>4894</v>
      </c>
      <c r="J2046" t="s">
        <v>4904</v>
      </c>
      <c r="K2046" t="s">
        <v>4926</v>
      </c>
      <c r="L2046" t="s">
        <v>4934</v>
      </c>
      <c r="M2046" t="s">
        <v>4943</v>
      </c>
      <c r="N2046" s="11">
        <v>8691.94</v>
      </c>
      <c r="O2046" t="s">
        <v>4948</v>
      </c>
      <c r="P2046" t="s">
        <v>4951</v>
      </c>
      <c r="S2046" t="str">
        <f t="shared" si="94"/>
        <v>Adult</v>
      </c>
      <c r="T2046" t="str">
        <f t="shared" si="95"/>
        <v>Medium</v>
      </c>
      <c r="U2046" t="str">
        <f t="shared" si="96"/>
        <v>Short Days</v>
      </c>
    </row>
    <row r="2047" spans="1:21">
      <c r="A2047" t="s">
        <v>2063</v>
      </c>
      <c r="B2047" s="5">
        <v>45413</v>
      </c>
      <c r="C2047" t="s">
        <v>3143</v>
      </c>
      <c r="D2047" t="s">
        <v>4863</v>
      </c>
      <c r="E2047" t="s">
        <v>4867</v>
      </c>
      <c r="F2047">
        <v>37</v>
      </c>
      <c r="G2047" t="s">
        <v>4873</v>
      </c>
      <c r="H2047" t="s">
        <v>4888</v>
      </c>
      <c r="I2047" t="s">
        <v>4893</v>
      </c>
      <c r="J2047" t="s">
        <v>4917</v>
      </c>
      <c r="K2047" t="s">
        <v>4927</v>
      </c>
      <c r="L2047" t="s">
        <v>4938</v>
      </c>
      <c r="M2047" t="s">
        <v>4942</v>
      </c>
      <c r="N2047" s="11">
        <v>2689.92</v>
      </c>
      <c r="O2047" t="s">
        <v>4946</v>
      </c>
      <c r="P2047" t="s">
        <v>4951</v>
      </c>
      <c r="R2047">
        <v>14</v>
      </c>
      <c r="S2047" t="str">
        <f t="shared" si="94"/>
        <v>Adult</v>
      </c>
      <c r="T2047" t="str">
        <f t="shared" si="95"/>
        <v>Low</v>
      </c>
      <c r="U2047" t="str">
        <f t="shared" si="96"/>
        <v>Short Days</v>
      </c>
    </row>
    <row r="2048" spans="1:21">
      <c r="A2048" t="s">
        <v>2064</v>
      </c>
      <c r="B2048" s="5">
        <v>45700</v>
      </c>
      <c r="C2048" t="s">
        <v>3362</v>
      </c>
      <c r="D2048" t="s">
        <v>4711</v>
      </c>
      <c r="E2048" t="s">
        <v>4866</v>
      </c>
      <c r="F2048">
        <v>50</v>
      </c>
      <c r="G2048" t="s">
        <v>4869</v>
      </c>
      <c r="H2048" t="s">
        <v>4884</v>
      </c>
      <c r="I2048" t="s">
        <v>4900</v>
      </c>
      <c r="J2048" t="s">
        <v>4919</v>
      </c>
      <c r="K2048" t="s">
        <v>4953</v>
      </c>
      <c r="L2048" t="s">
        <v>4938</v>
      </c>
      <c r="M2048" t="s">
        <v>4944</v>
      </c>
      <c r="N2048" s="11">
        <v>10918.6</v>
      </c>
      <c r="O2048" t="s">
        <v>15</v>
      </c>
      <c r="P2048" t="s">
        <v>4952</v>
      </c>
      <c r="R2048">
        <v>30</v>
      </c>
      <c r="S2048" t="str">
        <f t="shared" si="94"/>
        <v>Middle-Aged</v>
      </c>
      <c r="T2048" t="str">
        <f t="shared" si="95"/>
        <v>High</v>
      </c>
      <c r="U2048" t="str">
        <f t="shared" si="96"/>
        <v>Short Days</v>
      </c>
    </row>
    <row r="2049" spans="1:21">
      <c r="A2049" t="s">
        <v>2065</v>
      </c>
      <c r="B2049" s="5">
        <v>45762</v>
      </c>
      <c r="C2049" t="s">
        <v>4308</v>
      </c>
      <c r="D2049" t="s">
        <v>4766</v>
      </c>
      <c r="E2049" t="s">
        <v>4867</v>
      </c>
      <c r="F2049">
        <v>27</v>
      </c>
      <c r="G2049" t="s">
        <v>4878</v>
      </c>
      <c r="H2049" t="s">
        <v>4889</v>
      </c>
      <c r="I2049" t="s">
        <v>4900</v>
      </c>
      <c r="J2049" t="s">
        <v>4919</v>
      </c>
      <c r="K2049" t="s">
        <v>4930</v>
      </c>
      <c r="L2049" t="s">
        <v>4936</v>
      </c>
      <c r="M2049" t="s">
        <v>4942</v>
      </c>
      <c r="N2049" s="11">
        <v>3802.06</v>
      </c>
      <c r="O2049" t="s">
        <v>4950</v>
      </c>
      <c r="P2049" t="s">
        <v>4951</v>
      </c>
      <c r="R2049">
        <v>30</v>
      </c>
      <c r="S2049" t="str">
        <f t="shared" si="94"/>
        <v>Adult</v>
      </c>
      <c r="T2049" t="str">
        <f t="shared" si="95"/>
        <v>Low</v>
      </c>
      <c r="U2049" t="str">
        <f t="shared" si="96"/>
        <v>Short Days</v>
      </c>
    </row>
    <row r="2050" spans="1:21">
      <c r="A2050" t="s">
        <v>2066</v>
      </c>
      <c r="B2050" s="5">
        <v>45803</v>
      </c>
      <c r="C2050" t="s">
        <v>3673</v>
      </c>
      <c r="D2050" t="s">
        <v>4615</v>
      </c>
      <c r="E2050" t="s">
        <v>4867</v>
      </c>
      <c r="F2050">
        <v>25</v>
      </c>
      <c r="G2050" t="s">
        <v>4874</v>
      </c>
      <c r="H2050" t="s">
        <v>4886</v>
      </c>
      <c r="I2050" t="s">
        <v>4901</v>
      </c>
      <c r="J2050" t="s">
        <v>4921</v>
      </c>
      <c r="K2050" t="s">
        <v>4953</v>
      </c>
      <c r="L2050" t="s">
        <v>4940</v>
      </c>
      <c r="M2050" t="s">
        <v>4942</v>
      </c>
      <c r="N2050" s="11">
        <v>9765.93</v>
      </c>
      <c r="O2050" t="s">
        <v>4946</v>
      </c>
      <c r="P2050" t="s">
        <v>4951</v>
      </c>
      <c r="R2050">
        <v>30</v>
      </c>
      <c r="S2050" t="str">
        <f t="shared" si="94"/>
        <v>Adult</v>
      </c>
      <c r="T2050" t="str">
        <f t="shared" si="95"/>
        <v>Medium</v>
      </c>
      <c r="U2050" t="str">
        <f t="shared" si="96"/>
        <v>Short Days</v>
      </c>
    </row>
    <row r="2051" spans="1:21">
      <c r="A2051" t="s">
        <v>2067</v>
      </c>
      <c r="B2051" s="5">
        <v>45606</v>
      </c>
      <c r="C2051" t="s">
        <v>3604</v>
      </c>
      <c r="D2051" t="s">
        <v>4621</v>
      </c>
      <c r="E2051" t="s">
        <v>4867</v>
      </c>
      <c r="F2051">
        <v>12</v>
      </c>
      <c r="G2051" t="s">
        <v>4882</v>
      </c>
      <c r="H2051" t="s">
        <v>4891</v>
      </c>
      <c r="I2051" t="s">
        <v>4901</v>
      </c>
      <c r="J2051" t="s">
        <v>4921</v>
      </c>
      <c r="K2051" t="s">
        <v>4929</v>
      </c>
      <c r="L2051" t="s">
        <v>4936</v>
      </c>
      <c r="M2051" t="s">
        <v>4942</v>
      </c>
      <c r="N2051" s="11">
        <v>408.11</v>
      </c>
      <c r="O2051" t="s">
        <v>4946</v>
      </c>
      <c r="P2051" t="s">
        <v>4951</v>
      </c>
      <c r="S2051" t="str">
        <f t="shared" ref="S2051:S2114" si="97">IF(F2051&lt;18,"Child",IF(F2051&lt;=40,"Adult",IF(F2051&lt;=60,"Middle-Aged",IF(F2051,"Senior"))))</f>
        <v>Child</v>
      </c>
      <c r="T2051" t="str">
        <f t="shared" ref="T2051:T2114" si="98">IF(N2051&lt;=5000,"Low",IF(N2051&lt;=10000,"Medium","High"))</f>
        <v>Low</v>
      </c>
      <c r="U2051" t="str">
        <f t="shared" ref="U2051:U2114" si="99">IF(Q2051&lt;=5,"Short Days","Long Days")</f>
        <v>Short Days</v>
      </c>
    </row>
    <row r="2052" spans="1:21">
      <c r="A2052" t="s">
        <v>2068</v>
      </c>
      <c r="B2052" s="5">
        <v>45884</v>
      </c>
      <c r="C2052" t="s">
        <v>4309</v>
      </c>
      <c r="D2052" t="s">
        <v>4750</v>
      </c>
      <c r="E2052" t="s">
        <v>4866</v>
      </c>
      <c r="F2052">
        <v>28</v>
      </c>
      <c r="G2052" t="s">
        <v>4873</v>
      </c>
      <c r="H2052" t="s">
        <v>4888</v>
      </c>
      <c r="I2052" t="s">
        <v>4895</v>
      </c>
      <c r="J2052" t="s">
        <v>4905</v>
      </c>
      <c r="K2052" t="s">
        <v>4930</v>
      </c>
      <c r="L2052" t="s">
        <v>4940</v>
      </c>
      <c r="M2052" t="s">
        <v>4942</v>
      </c>
      <c r="N2052" s="11">
        <v>16373.16</v>
      </c>
      <c r="O2052" t="s">
        <v>4950</v>
      </c>
      <c r="P2052" t="s">
        <v>4951</v>
      </c>
      <c r="R2052">
        <v>90</v>
      </c>
      <c r="S2052" t="str">
        <f t="shared" si="97"/>
        <v>Adult</v>
      </c>
      <c r="T2052" t="str">
        <f t="shared" si="98"/>
        <v>High</v>
      </c>
      <c r="U2052" t="str">
        <f t="shared" si="99"/>
        <v>Short Days</v>
      </c>
    </row>
    <row r="2053" spans="1:21">
      <c r="A2053" t="s">
        <v>2069</v>
      </c>
      <c r="B2053" s="5">
        <v>45442</v>
      </c>
      <c r="C2053" t="s">
        <v>4310</v>
      </c>
      <c r="D2053" t="s">
        <v>4656</v>
      </c>
      <c r="E2053" t="s">
        <v>4868</v>
      </c>
      <c r="F2053">
        <v>31</v>
      </c>
      <c r="G2053" t="s">
        <v>4880</v>
      </c>
      <c r="H2053" t="s">
        <v>4890</v>
      </c>
      <c r="I2053" t="s">
        <v>4898</v>
      </c>
      <c r="J2053" t="s">
        <v>4909</v>
      </c>
      <c r="K2053" t="s">
        <v>4926</v>
      </c>
      <c r="L2053" t="s">
        <v>4936</v>
      </c>
      <c r="M2053" t="s">
        <v>4943</v>
      </c>
      <c r="N2053" s="11">
        <v>7671.52</v>
      </c>
      <c r="O2053" t="s">
        <v>4948</v>
      </c>
      <c r="P2053" t="s">
        <v>4951</v>
      </c>
      <c r="S2053" t="str">
        <f t="shared" si="97"/>
        <v>Adult</v>
      </c>
      <c r="T2053" t="str">
        <f t="shared" si="98"/>
        <v>Medium</v>
      </c>
      <c r="U2053" t="str">
        <f t="shared" si="99"/>
        <v>Short Days</v>
      </c>
    </row>
    <row r="2054" spans="1:21">
      <c r="A2054" t="s">
        <v>2070</v>
      </c>
      <c r="B2054" s="5">
        <v>45491</v>
      </c>
      <c r="C2054" t="s">
        <v>4304</v>
      </c>
      <c r="D2054" t="s">
        <v>4670</v>
      </c>
      <c r="E2054" t="s">
        <v>4866</v>
      </c>
      <c r="F2054">
        <v>64</v>
      </c>
      <c r="G2054" t="s">
        <v>4875</v>
      </c>
      <c r="H2054" t="s">
        <v>4889</v>
      </c>
      <c r="I2054" t="s">
        <v>4901</v>
      </c>
      <c r="J2054" t="s">
        <v>4921</v>
      </c>
      <c r="K2054" t="s">
        <v>4926</v>
      </c>
      <c r="L2054" t="s">
        <v>4935</v>
      </c>
      <c r="M2054" t="s">
        <v>4942</v>
      </c>
      <c r="N2054" s="11">
        <v>1127.3599999999999</v>
      </c>
      <c r="O2054" t="s">
        <v>4947</v>
      </c>
      <c r="P2054" t="s">
        <v>4951</v>
      </c>
      <c r="S2054" t="str">
        <f t="shared" si="97"/>
        <v>Senior</v>
      </c>
      <c r="T2054" t="str">
        <f t="shared" si="98"/>
        <v>Low</v>
      </c>
      <c r="U2054" t="str">
        <f t="shared" si="99"/>
        <v>Short Days</v>
      </c>
    </row>
    <row r="2055" spans="1:21">
      <c r="A2055" t="s">
        <v>2071</v>
      </c>
      <c r="B2055" s="5">
        <v>45445</v>
      </c>
      <c r="C2055" t="s">
        <v>3875</v>
      </c>
      <c r="D2055" t="s">
        <v>4712</v>
      </c>
      <c r="E2055" t="s">
        <v>4866</v>
      </c>
      <c r="F2055">
        <v>43</v>
      </c>
      <c r="G2055" t="s">
        <v>4878</v>
      </c>
      <c r="H2055" t="s">
        <v>4889</v>
      </c>
      <c r="I2055" t="s">
        <v>4900</v>
      </c>
      <c r="J2055" t="s">
        <v>4913</v>
      </c>
      <c r="K2055" t="s">
        <v>4926</v>
      </c>
      <c r="L2055" t="s">
        <v>4938</v>
      </c>
      <c r="M2055" t="s">
        <v>4942</v>
      </c>
      <c r="N2055" s="11">
        <v>1781.73</v>
      </c>
      <c r="O2055" t="s">
        <v>4947</v>
      </c>
      <c r="P2055" t="s">
        <v>4951</v>
      </c>
      <c r="S2055" t="str">
        <f t="shared" si="97"/>
        <v>Middle-Aged</v>
      </c>
      <c r="T2055" t="str">
        <f t="shared" si="98"/>
        <v>Low</v>
      </c>
      <c r="U2055" t="str">
        <f t="shared" si="99"/>
        <v>Short Days</v>
      </c>
    </row>
    <row r="2056" spans="1:21">
      <c r="A2056" t="s">
        <v>2072</v>
      </c>
      <c r="B2056" s="5">
        <v>45564</v>
      </c>
      <c r="C2056" t="s">
        <v>3738</v>
      </c>
      <c r="D2056" t="s">
        <v>4776</v>
      </c>
      <c r="E2056" t="s">
        <v>4866</v>
      </c>
      <c r="F2056">
        <v>68</v>
      </c>
      <c r="G2056" t="s">
        <v>4877</v>
      </c>
      <c r="H2056" t="s">
        <v>4888</v>
      </c>
      <c r="I2056" t="s">
        <v>4902</v>
      </c>
      <c r="J2056" t="s">
        <v>4916</v>
      </c>
      <c r="K2056" t="s">
        <v>4925</v>
      </c>
      <c r="L2056" t="s">
        <v>4936</v>
      </c>
      <c r="M2056" t="s">
        <v>4944</v>
      </c>
      <c r="N2056" s="11">
        <v>7121.87</v>
      </c>
      <c r="O2056" t="s">
        <v>4947</v>
      </c>
      <c r="P2056" t="s">
        <v>4951</v>
      </c>
      <c r="R2056">
        <v>14</v>
      </c>
      <c r="S2056" t="str">
        <f t="shared" si="97"/>
        <v>Senior</v>
      </c>
      <c r="T2056" t="str">
        <f t="shared" si="98"/>
        <v>Medium</v>
      </c>
      <c r="U2056" t="str">
        <f t="shared" si="99"/>
        <v>Short Days</v>
      </c>
    </row>
    <row r="2057" spans="1:21">
      <c r="A2057" t="s">
        <v>2073</v>
      </c>
      <c r="B2057" s="5">
        <v>45699</v>
      </c>
      <c r="C2057" t="s">
        <v>4311</v>
      </c>
      <c r="D2057" t="s">
        <v>4591</v>
      </c>
      <c r="E2057" t="s">
        <v>4867</v>
      </c>
      <c r="F2057">
        <v>50</v>
      </c>
      <c r="G2057" t="s">
        <v>4875</v>
      </c>
      <c r="H2057" t="s">
        <v>4889</v>
      </c>
      <c r="I2057" t="s">
        <v>4900</v>
      </c>
      <c r="J2057" t="s">
        <v>4913</v>
      </c>
      <c r="K2057" t="s">
        <v>4932</v>
      </c>
      <c r="L2057" t="s">
        <v>4941</v>
      </c>
      <c r="M2057" t="s">
        <v>4942</v>
      </c>
      <c r="N2057" s="11">
        <v>2363.25</v>
      </c>
      <c r="O2057" t="s">
        <v>4950</v>
      </c>
      <c r="P2057" t="s">
        <v>4951</v>
      </c>
      <c r="R2057">
        <v>30</v>
      </c>
      <c r="S2057" t="str">
        <f t="shared" si="97"/>
        <v>Middle-Aged</v>
      </c>
      <c r="T2057" t="str">
        <f t="shared" si="98"/>
        <v>Low</v>
      </c>
      <c r="U2057" t="str">
        <f t="shared" si="99"/>
        <v>Short Days</v>
      </c>
    </row>
    <row r="2058" spans="1:21">
      <c r="A2058" t="s">
        <v>2074</v>
      </c>
      <c r="B2058" s="5">
        <v>45526</v>
      </c>
      <c r="C2058" t="s">
        <v>3339</v>
      </c>
      <c r="D2058" t="s">
        <v>4664</v>
      </c>
      <c r="E2058" t="s">
        <v>4866</v>
      </c>
      <c r="F2058">
        <v>36</v>
      </c>
      <c r="G2058" t="s">
        <v>4883</v>
      </c>
      <c r="H2058" t="s">
        <v>4892</v>
      </c>
      <c r="I2058" t="s">
        <v>4895</v>
      </c>
      <c r="J2058" t="s">
        <v>4905</v>
      </c>
      <c r="K2058" t="s">
        <v>4932</v>
      </c>
      <c r="L2058" t="s">
        <v>4934</v>
      </c>
      <c r="M2058" t="s">
        <v>4942</v>
      </c>
      <c r="N2058" s="11">
        <v>4209.6099999999997</v>
      </c>
      <c r="O2058" t="s">
        <v>4947</v>
      </c>
      <c r="P2058" t="s">
        <v>4951</v>
      </c>
      <c r="R2058">
        <v>30</v>
      </c>
      <c r="S2058" t="str">
        <f t="shared" si="97"/>
        <v>Adult</v>
      </c>
      <c r="T2058" t="str">
        <f t="shared" si="98"/>
        <v>Low</v>
      </c>
      <c r="U2058" t="str">
        <f t="shared" si="99"/>
        <v>Short Days</v>
      </c>
    </row>
    <row r="2059" spans="1:21">
      <c r="A2059" t="s">
        <v>2075</v>
      </c>
      <c r="B2059" s="5">
        <v>45683</v>
      </c>
      <c r="C2059" t="s">
        <v>3427</v>
      </c>
      <c r="D2059" t="s">
        <v>4731</v>
      </c>
      <c r="E2059" t="s">
        <v>4867</v>
      </c>
      <c r="F2059">
        <v>46</v>
      </c>
      <c r="G2059" t="s">
        <v>4874</v>
      </c>
      <c r="H2059" t="s">
        <v>4886</v>
      </c>
      <c r="I2059" t="s">
        <v>4893</v>
      </c>
      <c r="J2059" t="s">
        <v>4917</v>
      </c>
      <c r="K2059" t="s">
        <v>4930</v>
      </c>
      <c r="L2059" t="s">
        <v>4935</v>
      </c>
      <c r="M2059" t="s">
        <v>4944</v>
      </c>
      <c r="N2059" s="11">
        <v>7838.97</v>
      </c>
      <c r="O2059" t="s">
        <v>4946</v>
      </c>
      <c r="P2059" t="s">
        <v>4951</v>
      </c>
      <c r="R2059">
        <v>30</v>
      </c>
      <c r="S2059" t="str">
        <f t="shared" si="97"/>
        <v>Middle-Aged</v>
      </c>
      <c r="T2059" t="str">
        <f t="shared" si="98"/>
        <v>Medium</v>
      </c>
      <c r="U2059" t="str">
        <f t="shared" si="99"/>
        <v>Short Days</v>
      </c>
    </row>
    <row r="2060" spans="1:21">
      <c r="A2060" t="s">
        <v>2076</v>
      </c>
      <c r="B2060" s="5">
        <v>45892</v>
      </c>
      <c r="C2060" t="s">
        <v>4312</v>
      </c>
      <c r="D2060" t="s">
        <v>4617</v>
      </c>
      <c r="E2060" t="s">
        <v>4866</v>
      </c>
      <c r="F2060">
        <v>39</v>
      </c>
      <c r="G2060" t="s">
        <v>4877</v>
      </c>
      <c r="H2060" t="s">
        <v>4888</v>
      </c>
      <c r="I2060" t="s">
        <v>4901</v>
      </c>
      <c r="J2060" t="s">
        <v>4914</v>
      </c>
      <c r="K2060" t="s">
        <v>4929</v>
      </c>
      <c r="L2060" t="s">
        <v>4934</v>
      </c>
      <c r="M2060" t="s">
        <v>4942</v>
      </c>
      <c r="N2060" s="11">
        <v>11414.96</v>
      </c>
      <c r="O2060" t="s">
        <v>4946</v>
      </c>
      <c r="P2060" t="s">
        <v>4951</v>
      </c>
      <c r="R2060">
        <v>30</v>
      </c>
      <c r="S2060" t="str">
        <f t="shared" si="97"/>
        <v>Adult</v>
      </c>
      <c r="T2060" t="str">
        <f t="shared" si="98"/>
        <v>High</v>
      </c>
      <c r="U2060" t="str">
        <f t="shared" si="99"/>
        <v>Short Days</v>
      </c>
    </row>
    <row r="2061" spans="1:21">
      <c r="A2061" t="s">
        <v>2077</v>
      </c>
      <c r="B2061" s="5">
        <v>45332</v>
      </c>
      <c r="C2061" t="s">
        <v>4313</v>
      </c>
      <c r="D2061" t="s">
        <v>4690</v>
      </c>
      <c r="E2061" t="s">
        <v>4867</v>
      </c>
      <c r="F2061">
        <v>32</v>
      </c>
      <c r="G2061" t="s">
        <v>4870</v>
      </c>
      <c r="H2061" t="s">
        <v>4885</v>
      </c>
      <c r="I2061" t="s">
        <v>4896</v>
      </c>
      <c r="J2061" t="s">
        <v>4906</v>
      </c>
      <c r="K2061" t="s">
        <v>4924</v>
      </c>
      <c r="L2061" t="s">
        <v>4937</v>
      </c>
      <c r="M2061" t="s">
        <v>4942</v>
      </c>
      <c r="N2061" s="11">
        <v>592.83000000000004</v>
      </c>
      <c r="O2061" t="s">
        <v>4950</v>
      </c>
      <c r="P2061" t="s">
        <v>4951</v>
      </c>
      <c r="S2061" t="str">
        <f t="shared" si="97"/>
        <v>Adult</v>
      </c>
      <c r="T2061" t="str">
        <f t="shared" si="98"/>
        <v>Low</v>
      </c>
      <c r="U2061" t="str">
        <f t="shared" si="99"/>
        <v>Short Days</v>
      </c>
    </row>
    <row r="2062" spans="1:21">
      <c r="A2062" t="s">
        <v>2078</v>
      </c>
      <c r="B2062" s="5">
        <v>45460</v>
      </c>
      <c r="C2062" t="s">
        <v>3978</v>
      </c>
      <c r="D2062" t="s">
        <v>4838</v>
      </c>
      <c r="E2062" t="s">
        <v>4867</v>
      </c>
      <c r="F2062">
        <v>54</v>
      </c>
      <c r="G2062" t="s">
        <v>4874</v>
      </c>
      <c r="H2062" t="s">
        <v>4886</v>
      </c>
      <c r="I2062" t="s">
        <v>4894</v>
      </c>
      <c r="J2062" t="s">
        <v>4904</v>
      </c>
      <c r="K2062" t="s">
        <v>4926</v>
      </c>
      <c r="L2062" t="s">
        <v>4938</v>
      </c>
      <c r="M2062" t="s">
        <v>4944</v>
      </c>
      <c r="N2062" s="11">
        <v>7945.08</v>
      </c>
      <c r="O2062" t="s">
        <v>4948</v>
      </c>
      <c r="P2062" t="s">
        <v>4951</v>
      </c>
      <c r="S2062" t="str">
        <f t="shared" si="97"/>
        <v>Middle-Aged</v>
      </c>
      <c r="T2062" t="str">
        <f t="shared" si="98"/>
        <v>Medium</v>
      </c>
      <c r="U2062" t="str">
        <f t="shared" si="99"/>
        <v>Short Days</v>
      </c>
    </row>
    <row r="2063" spans="1:21">
      <c r="A2063" t="s">
        <v>2079</v>
      </c>
      <c r="B2063" s="5">
        <v>45564</v>
      </c>
      <c r="C2063" t="s">
        <v>3559</v>
      </c>
      <c r="D2063" t="s">
        <v>4747</v>
      </c>
      <c r="E2063" t="s">
        <v>4866</v>
      </c>
      <c r="F2063">
        <v>47</v>
      </c>
      <c r="G2063" t="s">
        <v>4878</v>
      </c>
      <c r="H2063" t="s">
        <v>4889</v>
      </c>
      <c r="I2063" t="s">
        <v>4897</v>
      </c>
      <c r="J2063" t="s">
        <v>4907</v>
      </c>
      <c r="K2063" t="s">
        <v>4930</v>
      </c>
      <c r="L2063" t="s">
        <v>4934</v>
      </c>
      <c r="M2063" t="s">
        <v>4943</v>
      </c>
      <c r="N2063" s="11">
        <v>9231.17</v>
      </c>
      <c r="O2063" t="s">
        <v>4947</v>
      </c>
      <c r="P2063" t="s">
        <v>4951</v>
      </c>
      <c r="S2063" t="str">
        <f t="shared" si="97"/>
        <v>Middle-Aged</v>
      </c>
      <c r="T2063" t="str">
        <f t="shared" si="98"/>
        <v>Medium</v>
      </c>
      <c r="U2063" t="str">
        <f t="shared" si="99"/>
        <v>Short Days</v>
      </c>
    </row>
    <row r="2064" spans="1:21">
      <c r="A2064" t="s">
        <v>2080</v>
      </c>
      <c r="B2064" s="5">
        <v>45501</v>
      </c>
      <c r="C2064" t="s">
        <v>3089</v>
      </c>
      <c r="D2064" t="s">
        <v>4693</v>
      </c>
      <c r="E2064" t="s">
        <v>4867</v>
      </c>
      <c r="F2064">
        <v>29</v>
      </c>
      <c r="G2064" t="s">
        <v>4871</v>
      </c>
      <c r="H2064" t="s">
        <v>4886</v>
      </c>
      <c r="I2064" t="s">
        <v>4897</v>
      </c>
      <c r="J2064" t="s">
        <v>4922</v>
      </c>
      <c r="K2064" t="s">
        <v>4925</v>
      </c>
      <c r="L2064" t="s">
        <v>4941</v>
      </c>
      <c r="M2064" t="s">
        <v>4943</v>
      </c>
      <c r="N2064" s="11">
        <v>10910.49</v>
      </c>
      <c r="O2064" t="s">
        <v>4946</v>
      </c>
      <c r="P2064" t="s">
        <v>4951</v>
      </c>
      <c r="S2064" t="str">
        <f t="shared" si="97"/>
        <v>Adult</v>
      </c>
      <c r="T2064" t="str">
        <f t="shared" si="98"/>
        <v>High</v>
      </c>
      <c r="U2064" t="str">
        <f t="shared" si="99"/>
        <v>Short Days</v>
      </c>
    </row>
    <row r="2065" spans="1:21">
      <c r="A2065" t="s">
        <v>2081</v>
      </c>
      <c r="B2065" s="5">
        <v>45651</v>
      </c>
      <c r="C2065" t="s">
        <v>3555</v>
      </c>
      <c r="D2065" t="s">
        <v>4696</v>
      </c>
      <c r="E2065" t="s">
        <v>4866</v>
      </c>
      <c r="F2065">
        <v>45</v>
      </c>
      <c r="G2065" t="s">
        <v>4872</v>
      </c>
      <c r="H2065" t="s">
        <v>4887</v>
      </c>
      <c r="I2065" t="s">
        <v>4902</v>
      </c>
      <c r="J2065" t="s">
        <v>4920</v>
      </c>
      <c r="K2065" t="s">
        <v>4931</v>
      </c>
      <c r="L2065" t="s">
        <v>4934</v>
      </c>
      <c r="M2065" t="s">
        <v>4942</v>
      </c>
      <c r="N2065" s="11">
        <v>12831.32</v>
      </c>
      <c r="O2065" t="s">
        <v>4948</v>
      </c>
      <c r="P2065" t="s">
        <v>4951</v>
      </c>
      <c r="R2065">
        <v>14</v>
      </c>
      <c r="S2065" t="str">
        <f t="shared" si="97"/>
        <v>Middle-Aged</v>
      </c>
      <c r="T2065" t="str">
        <f t="shared" si="98"/>
        <v>High</v>
      </c>
      <c r="U2065" t="str">
        <f t="shared" si="99"/>
        <v>Short Days</v>
      </c>
    </row>
    <row r="2066" spans="1:21">
      <c r="A2066" t="s">
        <v>2082</v>
      </c>
      <c r="B2066" s="5">
        <v>45565</v>
      </c>
      <c r="C2066" t="s">
        <v>3298</v>
      </c>
      <c r="D2066" t="s">
        <v>4712</v>
      </c>
      <c r="E2066" t="s">
        <v>4866</v>
      </c>
      <c r="F2066">
        <v>35</v>
      </c>
      <c r="G2066" t="s">
        <v>4872</v>
      </c>
      <c r="H2066" t="s">
        <v>4887</v>
      </c>
      <c r="I2066" t="s">
        <v>4895</v>
      </c>
      <c r="J2066" t="s">
        <v>4905</v>
      </c>
      <c r="K2066" t="s">
        <v>4926</v>
      </c>
      <c r="L2066" t="s">
        <v>4940</v>
      </c>
      <c r="M2066" t="s">
        <v>4944</v>
      </c>
      <c r="N2066" s="11">
        <v>8609.6299999999992</v>
      </c>
      <c r="O2066" t="s">
        <v>4948</v>
      </c>
      <c r="P2066" t="s">
        <v>4951</v>
      </c>
      <c r="S2066" t="str">
        <f t="shared" si="97"/>
        <v>Adult</v>
      </c>
      <c r="T2066" t="str">
        <f t="shared" si="98"/>
        <v>Medium</v>
      </c>
      <c r="U2066" t="str">
        <f t="shared" si="99"/>
        <v>Short Days</v>
      </c>
    </row>
    <row r="2067" spans="1:21">
      <c r="A2067" t="s">
        <v>2083</v>
      </c>
      <c r="B2067" s="5">
        <v>45933</v>
      </c>
      <c r="C2067" t="s">
        <v>3115</v>
      </c>
      <c r="D2067" t="s">
        <v>4626</v>
      </c>
      <c r="E2067" t="s">
        <v>4867</v>
      </c>
      <c r="F2067">
        <v>27</v>
      </c>
      <c r="G2067" t="s">
        <v>4883</v>
      </c>
      <c r="H2067" t="s">
        <v>4892</v>
      </c>
      <c r="I2067" t="s">
        <v>4893</v>
      </c>
      <c r="J2067" t="s">
        <v>4917</v>
      </c>
      <c r="K2067" t="s">
        <v>4933</v>
      </c>
      <c r="L2067" t="s">
        <v>4936</v>
      </c>
      <c r="M2067" t="s">
        <v>4945</v>
      </c>
      <c r="N2067" s="11">
        <v>10289.14</v>
      </c>
      <c r="O2067" t="s">
        <v>4948</v>
      </c>
      <c r="P2067" t="s">
        <v>4951</v>
      </c>
      <c r="Q2067">
        <v>4</v>
      </c>
      <c r="R2067">
        <v>90</v>
      </c>
      <c r="S2067" t="str">
        <f t="shared" si="97"/>
        <v>Adult</v>
      </c>
      <c r="T2067" t="str">
        <f t="shared" si="98"/>
        <v>High</v>
      </c>
      <c r="U2067" t="str">
        <f t="shared" si="99"/>
        <v>Short Days</v>
      </c>
    </row>
    <row r="2068" spans="1:21">
      <c r="A2068" t="s">
        <v>2084</v>
      </c>
      <c r="B2068" s="5">
        <v>45315</v>
      </c>
      <c r="C2068" t="s">
        <v>3023</v>
      </c>
      <c r="D2068" t="s">
        <v>4622</v>
      </c>
      <c r="E2068" t="s">
        <v>4867</v>
      </c>
      <c r="F2068">
        <v>42</v>
      </c>
      <c r="G2068" t="s">
        <v>4879</v>
      </c>
      <c r="H2068" t="s">
        <v>4888</v>
      </c>
      <c r="I2068" t="s">
        <v>4901</v>
      </c>
      <c r="J2068" t="s">
        <v>4921</v>
      </c>
      <c r="K2068" t="s">
        <v>4926</v>
      </c>
      <c r="L2068" t="s">
        <v>4937</v>
      </c>
      <c r="M2068" t="s">
        <v>4942</v>
      </c>
      <c r="N2068" s="11">
        <v>4724.1499999999996</v>
      </c>
      <c r="O2068" t="s">
        <v>4949</v>
      </c>
      <c r="P2068" t="s">
        <v>4951</v>
      </c>
      <c r="R2068">
        <v>30</v>
      </c>
      <c r="S2068" t="str">
        <f t="shared" si="97"/>
        <v>Middle-Aged</v>
      </c>
      <c r="T2068" t="str">
        <f t="shared" si="98"/>
        <v>Low</v>
      </c>
      <c r="U2068" t="str">
        <f t="shared" si="99"/>
        <v>Short Days</v>
      </c>
    </row>
    <row r="2069" spans="1:21">
      <c r="A2069" t="s">
        <v>2085</v>
      </c>
      <c r="B2069" s="5">
        <v>45962</v>
      </c>
      <c r="C2069" t="s">
        <v>3474</v>
      </c>
      <c r="D2069" t="s">
        <v>4778</v>
      </c>
      <c r="E2069" t="s">
        <v>4866</v>
      </c>
      <c r="F2069">
        <v>50</v>
      </c>
      <c r="G2069" t="s">
        <v>4879</v>
      </c>
      <c r="H2069" t="s">
        <v>4888</v>
      </c>
      <c r="I2069" t="s">
        <v>4897</v>
      </c>
      <c r="J2069" t="s">
        <v>4907</v>
      </c>
      <c r="K2069" t="s">
        <v>4925</v>
      </c>
      <c r="L2069" t="s">
        <v>4940</v>
      </c>
      <c r="M2069" t="s">
        <v>4942</v>
      </c>
      <c r="N2069" s="11">
        <v>3025.55</v>
      </c>
      <c r="O2069" t="s">
        <v>15</v>
      </c>
      <c r="P2069" t="s">
        <v>4952</v>
      </c>
      <c r="R2069">
        <v>90</v>
      </c>
      <c r="S2069" t="str">
        <f t="shared" si="97"/>
        <v>Middle-Aged</v>
      </c>
      <c r="T2069" t="str">
        <f t="shared" si="98"/>
        <v>Low</v>
      </c>
      <c r="U2069" t="str">
        <f t="shared" si="99"/>
        <v>Short Days</v>
      </c>
    </row>
    <row r="2070" spans="1:21">
      <c r="A2070" t="s">
        <v>2086</v>
      </c>
      <c r="B2070" s="5">
        <v>45507</v>
      </c>
      <c r="C2070" t="s">
        <v>3356</v>
      </c>
      <c r="D2070" t="s">
        <v>4653</v>
      </c>
      <c r="E2070" t="s">
        <v>4866</v>
      </c>
      <c r="F2070">
        <v>32</v>
      </c>
      <c r="G2070" t="s">
        <v>4869</v>
      </c>
      <c r="H2070" t="s">
        <v>4884</v>
      </c>
      <c r="I2070" t="s">
        <v>4899</v>
      </c>
      <c r="J2070" t="s">
        <v>4912</v>
      </c>
      <c r="K2070" t="s">
        <v>4924</v>
      </c>
      <c r="L2070" t="s">
        <v>4938</v>
      </c>
      <c r="M2070" t="s">
        <v>4943</v>
      </c>
      <c r="N2070" s="11">
        <v>10603.18</v>
      </c>
      <c r="O2070" t="s">
        <v>4948</v>
      </c>
      <c r="P2070" t="s">
        <v>4951</v>
      </c>
      <c r="S2070" t="str">
        <f t="shared" si="97"/>
        <v>Adult</v>
      </c>
      <c r="T2070" t="str">
        <f t="shared" si="98"/>
        <v>High</v>
      </c>
      <c r="U2070" t="str">
        <f t="shared" si="99"/>
        <v>Short Days</v>
      </c>
    </row>
    <row r="2071" spans="1:21">
      <c r="A2071" t="s">
        <v>2087</v>
      </c>
      <c r="B2071" s="5">
        <v>45784</v>
      </c>
      <c r="C2071" t="s">
        <v>4314</v>
      </c>
      <c r="D2071" t="s">
        <v>4642</v>
      </c>
      <c r="E2071" t="s">
        <v>4866</v>
      </c>
      <c r="F2071">
        <v>6</v>
      </c>
      <c r="G2071" t="s">
        <v>4878</v>
      </c>
      <c r="H2071" t="s">
        <v>4889</v>
      </c>
      <c r="I2071" t="s">
        <v>4898</v>
      </c>
      <c r="J2071" t="s">
        <v>4923</v>
      </c>
      <c r="K2071" t="s">
        <v>4930</v>
      </c>
      <c r="L2071" t="s">
        <v>4936</v>
      </c>
      <c r="M2071" t="s">
        <v>4945</v>
      </c>
      <c r="N2071" s="11">
        <v>6064.87</v>
      </c>
      <c r="O2071" t="s">
        <v>4946</v>
      </c>
      <c r="P2071" t="s">
        <v>4951</v>
      </c>
      <c r="Q2071">
        <v>5</v>
      </c>
      <c r="S2071" t="str">
        <f t="shared" si="97"/>
        <v>Child</v>
      </c>
      <c r="T2071" t="str">
        <f t="shared" si="98"/>
        <v>Medium</v>
      </c>
      <c r="U2071" t="str">
        <f t="shared" si="99"/>
        <v>Short Days</v>
      </c>
    </row>
    <row r="2072" spans="1:21">
      <c r="A2072" t="s">
        <v>2088</v>
      </c>
      <c r="B2072" s="5">
        <v>45494</v>
      </c>
      <c r="C2072" t="s">
        <v>4315</v>
      </c>
      <c r="D2072" t="s">
        <v>4810</v>
      </c>
      <c r="E2072" t="s">
        <v>4866</v>
      </c>
      <c r="F2072">
        <v>66</v>
      </c>
      <c r="G2072" t="s">
        <v>4877</v>
      </c>
      <c r="H2072" t="s">
        <v>4888</v>
      </c>
      <c r="I2072" t="s">
        <v>4896</v>
      </c>
      <c r="J2072" t="s">
        <v>4906</v>
      </c>
      <c r="K2072" t="s">
        <v>4926</v>
      </c>
      <c r="L2072" t="s">
        <v>4934</v>
      </c>
      <c r="M2072" t="s">
        <v>4944</v>
      </c>
      <c r="N2072" s="11">
        <v>5431.83</v>
      </c>
      <c r="O2072" t="s">
        <v>4947</v>
      </c>
      <c r="P2072" t="s">
        <v>4951</v>
      </c>
      <c r="S2072" t="str">
        <f t="shared" si="97"/>
        <v>Senior</v>
      </c>
      <c r="T2072" t="str">
        <f t="shared" si="98"/>
        <v>Medium</v>
      </c>
      <c r="U2072" t="str">
        <f t="shared" si="99"/>
        <v>Short Days</v>
      </c>
    </row>
    <row r="2073" spans="1:21">
      <c r="A2073" t="s">
        <v>2089</v>
      </c>
      <c r="B2073" s="5">
        <v>45349</v>
      </c>
      <c r="C2073" t="s">
        <v>4167</v>
      </c>
      <c r="D2073" t="s">
        <v>4669</v>
      </c>
      <c r="E2073" t="s">
        <v>4867</v>
      </c>
      <c r="F2073">
        <v>19</v>
      </c>
      <c r="G2073" t="s">
        <v>4881</v>
      </c>
      <c r="H2073" t="s">
        <v>4881</v>
      </c>
      <c r="I2073" t="s">
        <v>4898</v>
      </c>
      <c r="J2073" t="s">
        <v>4923</v>
      </c>
      <c r="K2073" t="s">
        <v>4926</v>
      </c>
      <c r="L2073" t="s">
        <v>4935</v>
      </c>
      <c r="M2073" t="s">
        <v>4943</v>
      </c>
      <c r="N2073" s="11">
        <v>5722.55</v>
      </c>
      <c r="O2073" t="s">
        <v>15</v>
      </c>
      <c r="P2073" t="s">
        <v>4952</v>
      </c>
      <c r="S2073" t="str">
        <f t="shared" si="97"/>
        <v>Adult</v>
      </c>
      <c r="T2073" t="str">
        <f t="shared" si="98"/>
        <v>Medium</v>
      </c>
      <c r="U2073" t="str">
        <f t="shared" si="99"/>
        <v>Short Days</v>
      </c>
    </row>
    <row r="2074" spans="1:21">
      <c r="A2074" t="s">
        <v>2090</v>
      </c>
      <c r="B2074" s="5">
        <v>45659</v>
      </c>
      <c r="C2074" t="s">
        <v>4316</v>
      </c>
      <c r="D2074" t="s">
        <v>4859</v>
      </c>
      <c r="E2074" t="s">
        <v>4866</v>
      </c>
      <c r="F2074">
        <v>31</v>
      </c>
      <c r="G2074" t="s">
        <v>4875</v>
      </c>
      <c r="H2074" t="s">
        <v>4889</v>
      </c>
      <c r="I2074" t="s">
        <v>4896</v>
      </c>
      <c r="J2074" t="s">
        <v>4908</v>
      </c>
      <c r="K2074" t="s">
        <v>4930</v>
      </c>
      <c r="L2074" t="s">
        <v>4934</v>
      </c>
      <c r="M2074" t="s">
        <v>4942</v>
      </c>
      <c r="N2074" s="11">
        <v>8033.2</v>
      </c>
      <c r="O2074" t="s">
        <v>4946</v>
      </c>
      <c r="P2074" t="s">
        <v>4951</v>
      </c>
      <c r="S2074" t="str">
        <f t="shared" si="97"/>
        <v>Adult</v>
      </c>
      <c r="T2074" t="str">
        <f t="shared" si="98"/>
        <v>Medium</v>
      </c>
      <c r="U2074" t="str">
        <f t="shared" si="99"/>
        <v>Short Days</v>
      </c>
    </row>
    <row r="2075" spans="1:21">
      <c r="A2075" t="s">
        <v>2091</v>
      </c>
      <c r="B2075" s="5">
        <v>45447</v>
      </c>
      <c r="C2075" t="s">
        <v>3553</v>
      </c>
      <c r="D2075" t="s">
        <v>4592</v>
      </c>
      <c r="E2075" t="s">
        <v>4866</v>
      </c>
      <c r="F2075">
        <v>37</v>
      </c>
      <c r="G2075" t="s">
        <v>4870</v>
      </c>
      <c r="H2075" t="s">
        <v>4885</v>
      </c>
      <c r="I2075" t="s">
        <v>4901</v>
      </c>
      <c r="J2075" t="s">
        <v>4921</v>
      </c>
      <c r="K2075" t="s">
        <v>4931</v>
      </c>
      <c r="L2075" t="s">
        <v>4937</v>
      </c>
      <c r="M2075" t="s">
        <v>4944</v>
      </c>
      <c r="N2075" s="11">
        <v>6730.81</v>
      </c>
      <c r="O2075" t="s">
        <v>4946</v>
      </c>
      <c r="P2075" t="s">
        <v>4951</v>
      </c>
      <c r="R2075">
        <v>90</v>
      </c>
      <c r="S2075" t="str">
        <f t="shared" si="97"/>
        <v>Adult</v>
      </c>
      <c r="T2075" t="str">
        <f t="shared" si="98"/>
        <v>Medium</v>
      </c>
      <c r="U2075" t="str">
        <f t="shared" si="99"/>
        <v>Short Days</v>
      </c>
    </row>
    <row r="2076" spans="1:21">
      <c r="A2076" t="s">
        <v>2092</v>
      </c>
      <c r="B2076" s="5">
        <v>45581</v>
      </c>
      <c r="C2076" t="s">
        <v>4317</v>
      </c>
      <c r="D2076" t="s">
        <v>4683</v>
      </c>
      <c r="E2076" t="s">
        <v>4867</v>
      </c>
      <c r="F2076">
        <v>13</v>
      </c>
      <c r="G2076" t="s">
        <v>4875</v>
      </c>
      <c r="H2076" t="s">
        <v>4889</v>
      </c>
      <c r="I2076" t="s">
        <v>4895</v>
      </c>
      <c r="J2076" t="s">
        <v>4915</v>
      </c>
      <c r="K2076" t="s">
        <v>4924</v>
      </c>
      <c r="L2076" t="s">
        <v>4941</v>
      </c>
      <c r="M2076" t="s">
        <v>4943</v>
      </c>
      <c r="N2076" s="11">
        <v>5262.4</v>
      </c>
      <c r="O2076" t="s">
        <v>4949</v>
      </c>
      <c r="P2076" t="s">
        <v>4951</v>
      </c>
      <c r="R2076">
        <v>14</v>
      </c>
      <c r="S2076" t="str">
        <f t="shared" si="97"/>
        <v>Child</v>
      </c>
      <c r="T2076" t="str">
        <f t="shared" si="98"/>
        <v>Medium</v>
      </c>
      <c r="U2076" t="str">
        <f t="shared" si="99"/>
        <v>Short Days</v>
      </c>
    </row>
    <row r="2077" spans="1:21">
      <c r="A2077" t="s">
        <v>2093</v>
      </c>
      <c r="B2077" s="5">
        <v>45538</v>
      </c>
      <c r="C2077" t="s">
        <v>4318</v>
      </c>
      <c r="D2077" t="s">
        <v>4664</v>
      </c>
      <c r="E2077" t="s">
        <v>4867</v>
      </c>
      <c r="F2077">
        <v>62</v>
      </c>
      <c r="G2077" t="s">
        <v>4869</v>
      </c>
      <c r="H2077" t="s">
        <v>4884</v>
      </c>
      <c r="I2077" t="s">
        <v>4899</v>
      </c>
      <c r="J2077" t="s">
        <v>4912</v>
      </c>
      <c r="K2077" t="s">
        <v>4924</v>
      </c>
      <c r="L2077" t="s">
        <v>4939</v>
      </c>
      <c r="M2077" t="s">
        <v>4942</v>
      </c>
      <c r="N2077" s="11">
        <v>1794.36</v>
      </c>
      <c r="O2077" t="s">
        <v>4946</v>
      </c>
      <c r="P2077" t="s">
        <v>4951</v>
      </c>
      <c r="R2077">
        <v>14</v>
      </c>
      <c r="S2077" t="str">
        <f t="shared" si="97"/>
        <v>Senior</v>
      </c>
      <c r="T2077" t="str">
        <f t="shared" si="98"/>
        <v>Low</v>
      </c>
      <c r="U2077" t="str">
        <f t="shared" si="99"/>
        <v>Short Days</v>
      </c>
    </row>
    <row r="2078" spans="1:21">
      <c r="A2078" t="s">
        <v>2094</v>
      </c>
      <c r="B2078" s="5">
        <v>45816</v>
      </c>
      <c r="C2078" t="s">
        <v>4317</v>
      </c>
      <c r="D2078" t="s">
        <v>4602</v>
      </c>
      <c r="E2078" t="s">
        <v>4866</v>
      </c>
      <c r="F2078">
        <v>54</v>
      </c>
      <c r="G2078" t="s">
        <v>4880</v>
      </c>
      <c r="H2078" t="s">
        <v>4890</v>
      </c>
      <c r="I2078" t="s">
        <v>4894</v>
      </c>
      <c r="J2078" t="s">
        <v>4904</v>
      </c>
      <c r="K2078" t="s">
        <v>4933</v>
      </c>
      <c r="L2078" t="s">
        <v>4939</v>
      </c>
      <c r="M2078" t="s">
        <v>4942</v>
      </c>
      <c r="N2078" s="11">
        <v>1155.51</v>
      </c>
      <c r="O2078" t="s">
        <v>4947</v>
      </c>
      <c r="P2078" t="s">
        <v>4951</v>
      </c>
      <c r="S2078" t="str">
        <f t="shared" si="97"/>
        <v>Middle-Aged</v>
      </c>
      <c r="T2078" t="str">
        <f t="shared" si="98"/>
        <v>Low</v>
      </c>
      <c r="U2078" t="str">
        <f t="shared" si="99"/>
        <v>Short Days</v>
      </c>
    </row>
    <row r="2079" spans="1:21">
      <c r="A2079" t="s">
        <v>2095</v>
      </c>
      <c r="B2079" s="5">
        <v>45498</v>
      </c>
      <c r="C2079" t="s">
        <v>3856</v>
      </c>
      <c r="D2079" t="s">
        <v>4829</v>
      </c>
      <c r="E2079" t="s">
        <v>4867</v>
      </c>
      <c r="F2079">
        <v>28</v>
      </c>
      <c r="G2079" t="s">
        <v>4881</v>
      </c>
      <c r="H2079" t="s">
        <v>4881</v>
      </c>
      <c r="I2079" t="s">
        <v>4897</v>
      </c>
      <c r="J2079" t="s">
        <v>4907</v>
      </c>
      <c r="K2079" t="s">
        <v>4929</v>
      </c>
      <c r="L2079" t="s">
        <v>4934</v>
      </c>
      <c r="M2079" t="s">
        <v>4944</v>
      </c>
      <c r="N2079" s="11">
        <v>18635.8</v>
      </c>
      <c r="O2079" t="s">
        <v>4946</v>
      </c>
      <c r="P2079" t="s">
        <v>4951</v>
      </c>
      <c r="S2079" t="str">
        <f t="shared" si="97"/>
        <v>Adult</v>
      </c>
      <c r="T2079" t="str">
        <f t="shared" si="98"/>
        <v>High</v>
      </c>
      <c r="U2079" t="str">
        <f t="shared" si="99"/>
        <v>Short Days</v>
      </c>
    </row>
    <row r="2080" spans="1:21">
      <c r="A2080" t="s">
        <v>2096</v>
      </c>
      <c r="B2080" s="5">
        <v>45509</v>
      </c>
      <c r="C2080" t="s">
        <v>3078</v>
      </c>
      <c r="D2080" t="s">
        <v>4832</v>
      </c>
      <c r="E2080" t="s">
        <v>4867</v>
      </c>
      <c r="F2080">
        <v>44</v>
      </c>
      <c r="G2080" t="s">
        <v>4873</v>
      </c>
      <c r="H2080" t="s">
        <v>4888</v>
      </c>
      <c r="I2080" t="s">
        <v>4895</v>
      </c>
      <c r="J2080" t="s">
        <v>4905</v>
      </c>
      <c r="K2080" t="s">
        <v>4933</v>
      </c>
      <c r="L2080" t="s">
        <v>4937</v>
      </c>
      <c r="M2080" t="s">
        <v>4942</v>
      </c>
      <c r="N2080" s="11">
        <v>15549.84</v>
      </c>
      <c r="O2080" t="s">
        <v>4948</v>
      </c>
      <c r="P2080" t="s">
        <v>4951</v>
      </c>
      <c r="S2080" t="str">
        <f t="shared" si="97"/>
        <v>Middle-Aged</v>
      </c>
      <c r="T2080" t="str">
        <f t="shared" si="98"/>
        <v>High</v>
      </c>
      <c r="U2080" t="str">
        <f t="shared" si="99"/>
        <v>Short Days</v>
      </c>
    </row>
    <row r="2081" spans="1:21">
      <c r="A2081" t="s">
        <v>2097</v>
      </c>
      <c r="B2081" s="5">
        <v>45753</v>
      </c>
      <c r="C2081" t="s">
        <v>4011</v>
      </c>
      <c r="D2081" t="s">
        <v>4701</v>
      </c>
      <c r="E2081" t="s">
        <v>4866</v>
      </c>
      <c r="F2081">
        <v>62</v>
      </c>
      <c r="G2081" t="s">
        <v>4872</v>
      </c>
      <c r="H2081" t="s">
        <v>4887</v>
      </c>
      <c r="I2081" t="s">
        <v>4896</v>
      </c>
      <c r="J2081" t="s">
        <v>4906</v>
      </c>
      <c r="K2081" t="s">
        <v>4926</v>
      </c>
      <c r="L2081" t="s">
        <v>4934</v>
      </c>
      <c r="M2081" t="s">
        <v>4942</v>
      </c>
      <c r="N2081" s="11">
        <v>1021.6</v>
      </c>
      <c r="O2081" t="s">
        <v>4947</v>
      </c>
      <c r="P2081" t="s">
        <v>4951</v>
      </c>
      <c r="R2081">
        <v>14</v>
      </c>
      <c r="S2081" t="str">
        <f t="shared" si="97"/>
        <v>Senior</v>
      </c>
      <c r="T2081" t="str">
        <f t="shared" si="98"/>
        <v>Low</v>
      </c>
      <c r="U2081" t="str">
        <f t="shared" si="99"/>
        <v>Short Days</v>
      </c>
    </row>
    <row r="2082" spans="1:21">
      <c r="A2082" t="s">
        <v>2098</v>
      </c>
      <c r="B2082" s="5">
        <v>45670</v>
      </c>
      <c r="C2082" t="s">
        <v>3904</v>
      </c>
      <c r="D2082" t="s">
        <v>4605</v>
      </c>
      <c r="E2082" t="s">
        <v>4866</v>
      </c>
      <c r="F2082">
        <v>51</v>
      </c>
      <c r="G2082" t="s">
        <v>4872</v>
      </c>
      <c r="H2082" t="s">
        <v>4887</v>
      </c>
      <c r="I2082" t="s">
        <v>4900</v>
      </c>
      <c r="J2082" t="s">
        <v>4913</v>
      </c>
      <c r="K2082" t="s">
        <v>4933</v>
      </c>
      <c r="L2082" t="s">
        <v>4937</v>
      </c>
      <c r="M2082" t="s">
        <v>4942</v>
      </c>
      <c r="N2082" s="11">
        <v>114.42</v>
      </c>
      <c r="O2082" t="s">
        <v>4947</v>
      </c>
      <c r="P2082" t="s">
        <v>4951</v>
      </c>
      <c r="R2082">
        <v>14</v>
      </c>
      <c r="S2082" t="str">
        <f t="shared" si="97"/>
        <v>Middle-Aged</v>
      </c>
      <c r="T2082" t="str">
        <f t="shared" si="98"/>
        <v>Low</v>
      </c>
      <c r="U2082" t="str">
        <f t="shared" si="99"/>
        <v>Short Days</v>
      </c>
    </row>
    <row r="2083" spans="1:21">
      <c r="A2083" t="s">
        <v>2099</v>
      </c>
      <c r="B2083" s="5">
        <v>45465</v>
      </c>
      <c r="C2083" t="s">
        <v>4241</v>
      </c>
      <c r="D2083" t="s">
        <v>4860</v>
      </c>
      <c r="E2083" t="s">
        <v>4867</v>
      </c>
      <c r="F2083">
        <v>70</v>
      </c>
      <c r="G2083" t="s">
        <v>4879</v>
      </c>
      <c r="H2083" t="s">
        <v>4888</v>
      </c>
      <c r="I2083" t="s">
        <v>4900</v>
      </c>
      <c r="J2083" t="s">
        <v>4913</v>
      </c>
      <c r="K2083" t="s">
        <v>4928</v>
      </c>
      <c r="L2083" t="s">
        <v>4939</v>
      </c>
      <c r="M2083" t="s">
        <v>4944</v>
      </c>
      <c r="N2083" s="11">
        <v>8029.63</v>
      </c>
      <c r="O2083" t="s">
        <v>4949</v>
      </c>
      <c r="P2083" t="s">
        <v>4951</v>
      </c>
      <c r="R2083">
        <v>7</v>
      </c>
      <c r="S2083" t="str">
        <f t="shared" si="97"/>
        <v>Senior</v>
      </c>
      <c r="T2083" t="str">
        <f t="shared" si="98"/>
        <v>Medium</v>
      </c>
      <c r="U2083" t="str">
        <f t="shared" si="99"/>
        <v>Short Days</v>
      </c>
    </row>
    <row r="2084" spans="1:21">
      <c r="A2084" t="s">
        <v>2100</v>
      </c>
      <c r="B2084" s="5">
        <v>45354</v>
      </c>
      <c r="C2084" t="s">
        <v>3921</v>
      </c>
      <c r="D2084" t="s">
        <v>4820</v>
      </c>
      <c r="E2084" t="s">
        <v>4866</v>
      </c>
      <c r="F2084">
        <v>32</v>
      </c>
      <c r="G2084" t="s">
        <v>4874</v>
      </c>
      <c r="H2084" t="s">
        <v>4886</v>
      </c>
      <c r="I2084" t="s">
        <v>4899</v>
      </c>
      <c r="J2084" t="s">
        <v>4912</v>
      </c>
      <c r="K2084" t="s">
        <v>4924</v>
      </c>
      <c r="L2084" t="s">
        <v>4934</v>
      </c>
      <c r="M2084" t="s">
        <v>4944</v>
      </c>
      <c r="N2084" s="11">
        <v>6817.55</v>
      </c>
      <c r="O2084" t="s">
        <v>4947</v>
      </c>
      <c r="P2084" t="s">
        <v>4951</v>
      </c>
      <c r="R2084">
        <v>90</v>
      </c>
      <c r="S2084" t="str">
        <f t="shared" si="97"/>
        <v>Adult</v>
      </c>
      <c r="T2084" t="str">
        <f t="shared" si="98"/>
        <v>Medium</v>
      </c>
      <c r="U2084" t="str">
        <f t="shared" si="99"/>
        <v>Short Days</v>
      </c>
    </row>
    <row r="2085" spans="1:21">
      <c r="A2085" t="s">
        <v>2101</v>
      </c>
      <c r="B2085" s="5">
        <v>45448</v>
      </c>
      <c r="C2085" t="s">
        <v>4319</v>
      </c>
      <c r="D2085" t="s">
        <v>4794</v>
      </c>
      <c r="E2085" t="s">
        <v>4867</v>
      </c>
      <c r="F2085">
        <v>41</v>
      </c>
      <c r="G2085" t="s">
        <v>4881</v>
      </c>
      <c r="H2085" t="s">
        <v>4881</v>
      </c>
      <c r="I2085" t="s">
        <v>4895</v>
      </c>
      <c r="J2085" t="s">
        <v>4915</v>
      </c>
      <c r="K2085" t="s">
        <v>4925</v>
      </c>
      <c r="L2085" t="s">
        <v>4940</v>
      </c>
      <c r="M2085" t="s">
        <v>4942</v>
      </c>
      <c r="N2085" s="11">
        <v>6947.54</v>
      </c>
      <c r="O2085" t="s">
        <v>4946</v>
      </c>
      <c r="P2085" t="s">
        <v>4951</v>
      </c>
      <c r="R2085">
        <v>30</v>
      </c>
      <c r="S2085" t="str">
        <f t="shared" si="97"/>
        <v>Middle-Aged</v>
      </c>
      <c r="T2085" t="str">
        <f t="shared" si="98"/>
        <v>Medium</v>
      </c>
      <c r="U2085" t="str">
        <f t="shared" si="99"/>
        <v>Short Days</v>
      </c>
    </row>
    <row r="2086" spans="1:21">
      <c r="A2086" t="s">
        <v>2102</v>
      </c>
      <c r="B2086" s="5">
        <v>45752</v>
      </c>
      <c r="C2086" t="s">
        <v>4228</v>
      </c>
      <c r="D2086" t="s">
        <v>4699</v>
      </c>
      <c r="E2086" t="s">
        <v>4867</v>
      </c>
      <c r="F2086">
        <v>80</v>
      </c>
      <c r="G2086" t="s">
        <v>4883</v>
      </c>
      <c r="H2086" t="s">
        <v>4892</v>
      </c>
      <c r="I2086" t="s">
        <v>4898</v>
      </c>
      <c r="J2086" t="s">
        <v>4918</v>
      </c>
      <c r="K2086" t="s">
        <v>4926</v>
      </c>
      <c r="L2086" t="s">
        <v>4939</v>
      </c>
      <c r="M2086" t="s">
        <v>4942</v>
      </c>
      <c r="N2086" s="11">
        <v>2166.41</v>
      </c>
      <c r="O2086" t="s">
        <v>4947</v>
      </c>
      <c r="P2086" t="s">
        <v>4951</v>
      </c>
      <c r="R2086">
        <v>90</v>
      </c>
      <c r="S2086" t="str">
        <f t="shared" si="97"/>
        <v>Senior</v>
      </c>
      <c r="T2086" t="str">
        <f t="shared" si="98"/>
        <v>Low</v>
      </c>
      <c r="U2086" t="str">
        <f t="shared" si="99"/>
        <v>Short Days</v>
      </c>
    </row>
    <row r="2087" spans="1:21">
      <c r="A2087" t="s">
        <v>2103</v>
      </c>
      <c r="B2087" s="5">
        <v>45396</v>
      </c>
      <c r="C2087" t="s">
        <v>4320</v>
      </c>
      <c r="D2087" t="s">
        <v>4731</v>
      </c>
      <c r="E2087" t="s">
        <v>4866</v>
      </c>
      <c r="F2087">
        <v>49</v>
      </c>
      <c r="G2087" t="s">
        <v>4881</v>
      </c>
      <c r="H2087" t="s">
        <v>4881</v>
      </c>
      <c r="I2087" t="s">
        <v>4899</v>
      </c>
      <c r="J2087" t="s">
        <v>4912</v>
      </c>
      <c r="K2087" t="s">
        <v>4929</v>
      </c>
      <c r="L2087" t="s">
        <v>4934</v>
      </c>
      <c r="M2087" t="s">
        <v>4944</v>
      </c>
      <c r="N2087" s="11">
        <v>11095.53</v>
      </c>
      <c r="O2087" t="s">
        <v>4949</v>
      </c>
      <c r="P2087" t="s">
        <v>4951</v>
      </c>
      <c r="S2087" t="str">
        <f t="shared" si="97"/>
        <v>Middle-Aged</v>
      </c>
      <c r="T2087" t="str">
        <f t="shared" si="98"/>
        <v>High</v>
      </c>
      <c r="U2087" t="str">
        <f t="shared" si="99"/>
        <v>Short Days</v>
      </c>
    </row>
    <row r="2088" spans="1:21">
      <c r="A2088" t="s">
        <v>2104</v>
      </c>
      <c r="B2088" s="5">
        <v>45823</v>
      </c>
      <c r="C2088" t="s">
        <v>3488</v>
      </c>
      <c r="D2088" t="s">
        <v>4864</v>
      </c>
      <c r="E2088" t="s">
        <v>4867</v>
      </c>
      <c r="F2088">
        <v>49</v>
      </c>
      <c r="G2088" t="s">
        <v>4882</v>
      </c>
      <c r="H2088" t="s">
        <v>4891</v>
      </c>
      <c r="I2088" t="s">
        <v>4893</v>
      </c>
      <c r="J2088" t="s">
        <v>4917</v>
      </c>
      <c r="K2088" t="s">
        <v>4931</v>
      </c>
      <c r="L2088" t="s">
        <v>4935</v>
      </c>
      <c r="M2088" t="s">
        <v>4942</v>
      </c>
      <c r="N2088" s="11">
        <v>2714.66</v>
      </c>
      <c r="O2088" t="s">
        <v>4948</v>
      </c>
      <c r="P2088" t="s">
        <v>4951</v>
      </c>
      <c r="S2088" t="str">
        <f t="shared" si="97"/>
        <v>Middle-Aged</v>
      </c>
      <c r="T2088" t="str">
        <f t="shared" si="98"/>
        <v>Low</v>
      </c>
      <c r="U2088" t="str">
        <f t="shared" si="99"/>
        <v>Short Days</v>
      </c>
    </row>
    <row r="2089" spans="1:21">
      <c r="A2089" t="s">
        <v>2105</v>
      </c>
      <c r="B2089" s="5">
        <v>45610</v>
      </c>
      <c r="C2089" t="s">
        <v>4321</v>
      </c>
      <c r="D2089" t="s">
        <v>4671</v>
      </c>
      <c r="E2089" t="s">
        <v>4866</v>
      </c>
      <c r="F2089">
        <v>56</v>
      </c>
      <c r="G2089" t="s">
        <v>4877</v>
      </c>
      <c r="H2089" t="s">
        <v>4888</v>
      </c>
      <c r="I2089" t="s">
        <v>4894</v>
      </c>
      <c r="J2089" t="s">
        <v>4904</v>
      </c>
      <c r="K2089" t="s">
        <v>4925</v>
      </c>
      <c r="L2089" t="s">
        <v>4934</v>
      </c>
      <c r="M2089" t="s">
        <v>4942</v>
      </c>
      <c r="N2089" s="11">
        <v>5522.03</v>
      </c>
      <c r="O2089" t="s">
        <v>4947</v>
      </c>
      <c r="P2089" t="s">
        <v>4951</v>
      </c>
      <c r="S2089" t="str">
        <f t="shared" si="97"/>
        <v>Middle-Aged</v>
      </c>
      <c r="T2089" t="str">
        <f t="shared" si="98"/>
        <v>Medium</v>
      </c>
      <c r="U2089" t="str">
        <f t="shared" si="99"/>
        <v>Short Days</v>
      </c>
    </row>
    <row r="2090" spans="1:21">
      <c r="A2090" t="s">
        <v>2106</v>
      </c>
      <c r="B2090" s="5">
        <v>45664</v>
      </c>
      <c r="C2090" t="s">
        <v>4069</v>
      </c>
      <c r="D2090" t="s">
        <v>4775</v>
      </c>
      <c r="E2090" t="s">
        <v>4866</v>
      </c>
      <c r="F2090">
        <v>45</v>
      </c>
      <c r="G2090" t="s">
        <v>4871</v>
      </c>
      <c r="H2090" t="s">
        <v>4886</v>
      </c>
      <c r="I2090" t="s">
        <v>4902</v>
      </c>
      <c r="J2090" t="s">
        <v>4916</v>
      </c>
      <c r="K2090" t="s">
        <v>4925</v>
      </c>
      <c r="L2090" t="s">
        <v>4936</v>
      </c>
      <c r="M2090" t="s">
        <v>4942</v>
      </c>
      <c r="N2090" s="11">
        <v>1159.1199999999999</v>
      </c>
      <c r="O2090" t="s">
        <v>4949</v>
      </c>
      <c r="P2090" t="s">
        <v>4951</v>
      </c>
      <c r="R2090">
        <v>30</v>
      </c>
      <c r="S2090" t="str">
        <f t="shared" si="97"/>
        <v>Middle-Aged</v>
      </c>
      <c r="T2090" t="str">
        <f t="shared" si="98"/>
        <v>Low</v>
      </c>
      <c r="U2090" t="str">
        <f t="shared" si="99"/>
        <v>Short Days</v>
      </c>
    </row>
    <row r="2091" spans="1:21">
      <c r="A2091" t="s">
        <v>2107</v>
      </c>
      <c r="B2091" s="5">
        <v>45401</v>
      </c>
      <c r="C2091" t="s">
        <v>4322</v>
      </c>
      <c r="D2091" t="s">
        <v>4684</v>
      </c>
      <c r="E2091" t="s">
        <v>4866</v>
      </c>
      <c r="F2091">
        <v>66</v>
      </c>
      <c r="G2091" t="s">
        <v>4883</v>
      </c>
      <c r="H2091" t="s">
        <v>4892</v>
      </c>
      <c r="I2091" t="s">
        <v>4902</v>
      </c>
      <c r="J2091" t="s">
        <v>4920</v>
      </c>
      <c r="K2091" t="s">
        <v>4926</v>
      </c>
      <c r="L2091" t="s">
        <v>4937</v>
      </c>
      <c r="M2091" t="s">
        <v>4944</v>
      </c>
      <c r="N2091" s="11">
        <v>5745.2</v>
      </c>
      <c r="O2091" t="s">
        <v>4946</v>
      </c>
      <c r="P2091" t="s">
        <v>4951</v>
      </c>
      <c r="R2091">
        <v>30</v>
      </c>
      <c r="S2091" t="str">
        <f t="shared" si="97"/>
        <v>Senior</v>
      </c>
      <c r="T2091" t="str">
        <f t="shared" si="98"/>
        <v>Medium</v>
      </c>
      <c r="U2091" t="str">
        <f t="shared" si="99"/>
        <v>Short Days</v>
      </c>
    </row>
    <row r="2092" spans="1:21">
      <c r="A2092" t="s">
        <v>2108</v>
      </c>
      <c r="B2092" s="5">
        <v>45766</v>
      </c>
      <c r="C2092" t="s">
        <v>3875</v>
      </c>
      <c r="D2092" t="s">
        <v>4604</v>
      </c>
      <c r="E2092" t="s">
        <v>4866</v>
      </c>
      <c r="F2092">
        <v>37</v>
      </c>
      <c r="G2092" t="s">
        <v>4879</v>
      </c>
      <c r="H2092" t="s">
        <v>4888</v>
      </c>
      <c r="I2092" t="s">
        <v>4902</v>
      </c>
      <c r="J2092" t="s">
        <v>4920</v>
      </c>
      <c r="K2092" t="s">
        <v>4930</v>
      </c>
      <c r="L2092" t="s">
        <v>4936</v>
      </c>
      <c r="M2092" t="s">
        <v>4942</v>
      </c>
      <c r="N2092" s="11">
        <v>7816.63</v>
      </c>
      <c r="O2092" t="s">
        <v>15</v>
      </c>
      <c r="P2092" t="s">
        <v>4952</v>
      </c>
      <c r="R2092">
        <v>90</v>
      </c>
      <c r="S2092" t="str">
        <f t="shared" si="97"/>
        <v>Adult</v>
      </c>
      <c r="T2092" t="str">
        <f t="shared" si="98"/>
        <v>Medium</v>
      </c>
      <c r="U2092" t="str">
        <f t="shared" si="99"/>
        <v>Short Days</v>
      </c>
    </row>
    <row r="2093" spans="1:21">
      <c r="A2093" t="s">
        <v>2109</v>
      </c>
      <c r="B2093" s="5">
        <v>45590</v>
      </c>
      <c r="C2093" t="s">
        <v>3166</v>
      </c>
      <c r="D2093" t="s">
        <v>4639</v>
      </c>
      <c r="E2093" t="s">
        <v>4866</v>
      </c>
      <c r="F2093">
        <v>54</v>
      </c>
      <c r="G2093" t="s">
        <v>4873</v>
      </c>
      <c r="H2093" t="s">
        <v>4888</v>
      </c>
      <c r="I2093" t="s">
        <v>4902</v>
      </c>
      <c r="J2093" t="s">
        <v>4916</v>
      </c>
      <c r="K2093" t="s">
        <v>4925</v>
      </c>
      <c r="L2093" t="s">
        <v>4934</v>
      </c>
      <c r="M2093" t="s">
        <v>4944</v>
      </c>
      <c r="N2093" s="11">
        <v>9248.5</v>
      </c>
      <c r="O2093" t="s">
        <v>4948</v>
      </c>
      <c r="P2093" t="s">
        <v>4951</v>
      </c>
      <c r="S2093" t="str">
        <f t="shared" si="97"/>
        <v>Middle-Aged</v>
      </c>
      <c r="T2093" t="str">
        <f t="shared" si="98"/>
        <v>Medium</v>
      </c>
      <c r="U2093" t="str">
        <f t="shared" si="99"/>
        <v>Short Days</v>
      </c>
    </row>
    <row r="2094" spans="1:21">
      <c r="A2094" t="s">
        <v>2110</v>
      </c>
      <c r="B2094" s="5">
        <v>45713</v>
      </c>
      <c r="C2094" t="s">
        <v>3612</v>
      </c>
      <c r="D2094" t="s">
        <v>4801</v>
      </c>
      <c r="E2094" t="s">
        <v>4866</v>
      </c>
      <c r="F2094">
        <v>34</v>
      </c>
      <c r="G2094" t="s">
        <v>4881</v>
      </c>
      <c r="H2094" t="s">
        <v>4881</v>
      </c>
      <c r="I2094" t="s">
        <v>4899</v>
      </c>
      <c r="J2094" t="s">
        <v>4911</v>
      </c>
      <c r="K2094" t="s">
        <v>4924</v>
      </c>
      <c r="L2094" t="s">
        <v>4934</v>
      </c>
      <c r="M2094" t="s">
        <v>4942</v>
      </c>
      <c r="N2094" s="11">
        <v>754.87</v>
      </c>
      <c r="O2094" t="s">
        <v>15</v>
      </c>
      <c r="P2094" t="s">
        <v>4952</v>
      </c>
      <c r="R2094">
        <v>30</v>
      </c>
      <c r="S2094" t="str">
        <f t="shared" si="97"/>
        <v>Adult</v>
      </c>
      <c r="T2094" t="str">
        <f t="shared" si="98"/>
        <v>Low</v>
      </c>
      <c r="U2094" t="str">
        <f t="shared" si="99"/>
        <v>Short Days</v>
      </c>
    </row>
    <row r="2095" spans="1:21">
      <c r="A2095" t="s">
        <v>2111</v>
      </c>
      <c r="B2095" s="5">
        <v>45585</v>
      </c>
      <c r="C2095" t="s">
        <v>4323</v>
      </c>
      <c r="D2095" t="s">
        <v>4707</v>
      </c>
      <c r="E2095" t="s">
        <v>4867</v>
      </c>
      <c r="F2095">
        <v>54</v>
      </c>
      <c r="G2095" t="s">
        <v>4883</v>
      </c>
      <c r="H2095" t="s">
        <v>4892</v>
      </c>
      <c r="I2095" t="s">
        <v>4895</v>
      </c>
      <c r="J2095" t="s">
        <v>4915</v>
      </c>
      <c r="K2095" t="s">
        <v>4929</v>
      </c>
      <c r="L2095" t="s">
        <v>4936</v>
      </c>
      <c r="M2095" t="s">
        <v>4942</v>
      </c>
      <c r="N2095" s="11">
        <v>4562.33</v>
      </c>
      <c r="O2095" t="s">
        <v>4946</v>
      </c>
      <c r="P2095" t="s">
        <v>4951</v>
      </c>
      <c r="S2095" t="str">
        <f t="shared" si="97"/>
        <v>Middle-Aged</v>
      </c>
      <c r="T2095" t="str">
        <f t="shared" si="98"/>
        <v>Low</v>
      </c>
      <c r="U2095" t="str">
        <f t="shared" si="99"/>
        <v>Short Days</v>
      </c>
    </row>
    <row r="2096" spans="1:21">
      <c r="A2096" t="s">
        <v>2112</v>
      </c>
      <c r="B2096" s="5">
        <v>45854</v>
      </c>
      <c r="C2096" t="s">
        <v>4324</v>
      </c>
      <c r="D2096" t="s">
        <v>4810</v>
      </c>
      <c r="E2096" t="s">
        <v>4866</v>
      </c>
      <c r="F2096">
        <v>26</v>
      </c>
      <c r="G2096" t="s">
        <v>4870</v>
      </c>
      <c r="H2096" t="s">
        <v>4885</v>
      </c>
      <c r="I2096" t="s">
        <v>4902</v>
      </c>
      <c r="J2096" t="s">
        <v>4916</v>
      </c>
      <c r="K2096" t="s">
        <v>4927</v>
      </c>
      <c r="L2096" t="s">
        <v>4934</v>
      </c>
      <c r="M2096" t="s">
        <v>4942</v>
      </c>
      <c r="N2096" s="11">
        <v>8998.92</v>
      </c>
      <c r="O2096" t="s">
        <v>15</v>
      </c>
      <c r="P2096" t="s">
        <v>4952</v>
      </c>
      <c r="S2096" t="str">
        <f t="shared" si="97"/>
        <v>Adult</v>
      </c>
      <c r="T2096" t="str">
        <f t="shared" si="98"/>
        <v>Medium</v>
      </c>
      <c r="U2096" t="str">
        <f t="shared" si="99"/>
        <v>Short Days</v>
      </c>
    </row>
    <row r="2097" spans="1:21">
      <c r="A2097" t="s">
        <v>2113</v>
      </c>
      <c r="B2097" s="5">
        <v>45633</v>
      </c>
      <c r="C2097" t="s">
        <v>4179</v>
      </c>
      <c r="D2097" t="s">
        <v>4822</v>
      </c>
      <c r="E2097" t="s">
        <v>4867</v>
      </c>
      <c r="F2097">
        <v>31</v>
      </c>
      <c r="G2097" t="s">
        <v>4880</v>
      </c>
      <c r="H2097" t="s">
        <v>4890</v>
      </c>
      <c r="I2097" t="s">
        <v>4900</v>
      </c>
      <c r="J2097" t="s">
        <v>4913</v>
      </c>
      <c r="K2097" t="s">
        <v>4926</v>
      </c>
      <c r="L2097" t="s">
        <v>4939</v>
      </c>
      <c r="M2097" t="s">
        <v>4942</v>
      </c>
      <c r="N2097" s="11">
        <v>5088.84</v>
      </c>
      <c r="O2097" t="s">
        <v>4947</v>
      </c>
      <c r="P2097" t="s">
        <v>4951</v>
      </c>
      <c r="R2097">
        <v>90</v>
      </c>
      <c r="S2097" t="str">
        <f t="shared" si="97"/>
        <v>Adult</v>
      </c>
      <c r="T2097" t="str">
        <f t="shared" si="98"/>
        <v>Medium</v>
      </c>
      <c r="U2097" t="str">
        <f t="shared" si="99"/>
        <v>Short Days</v>
      </c>
    </row>
    <row r="2098" spans="1:21">
      <c r="A2098" t="s">
        <v>2114</v>
      </c>
      <c r="B2098" s="5">
        <v>45575</v>
      </c>
      <c r="C2098" t="s">
        <v>3331</v>
      </c>
      <c r="D2098" t="s">
        <v>4686</v>
      </c>
      <c r="E2098" t="s">
        <v>4866</v>
      </c>
      <c r="F2098">
        <v>56</v>
      </c>
      <c r="G2098" t="s">
        <v>4877</v>
      </c>
      <c r="H2098" t="s">
        <v>4888</v>
      </c>
      <c r="I2098" t="s">
        <v>4902</v>
      </c>
      <c r="J2098" t="s">
        <v>4920</v>
      </c>
      <c r="K2098" t="s">
        <v>4925</v>
      </c>
      <c r="L2098" t="s">
        <v>4937</v>
      </c>
      <c r="M2098" t="s">
        <v>4942</v>
      </c>
      <c r="N2098" s="11">
        <v>1417.54</v>
      </c>
      <c r="O2098" t="s">
        <v>4946</v>
      </c>
      <c r="P2098" t="s">
        <v>4951</v>
      </c>
      <c r="R2098">
        <v>14</v>
      </c>
      <c r="S2098" t="str">
        <f t="shared" si="97"/>
        <v>Middle-Aged</v>
      </c>
      <c r="T2098" t="str">
        <f t="shared" si="98"/>
        <v>Low</v>
      </c>
      <c r="U2098" t="str">
        <f t="shared" si="99"/>
        <v>Short Days</v>
      </c>
    </row>
    <row r="2099" spans="1:21">
      <c r="A2099" t="s">
        <v>2115</v>
      </c>
      <c r="B2099" s="5">
        <v>45420</v>
      </c>
      <c r="C2099" t="s">
        <v>4195</v>
      </c>
      <c r="D2099" t="s">
        <v>4806</v>
      </c>
      <c r="E2099" t="s">
        <v>4866</v>
      </c>
      <c r="F2099">
        <v>42</v>
      </c>
      <c r="G2099" t="s">
        <v>4875</v>
      </c>
      <c r="H2099" t="s">
        <v>4889</v>
      </c>
      <c r="I2099" t="s">
        <v>4897</v>
      </c>
      <c r="J2099" t="s">
        <v>4922</v>
      </c>
      <c r="K2099" t="s">
        <v>4927</v>
      </c>
      <c r="L2099" t="s">
        <v>4939</v>
      </c>
      <c r="M2099" t="s">
        <v>4944</v>
      </c>
      <c r="N2099" s="11">
        <v>6892.83</v>
      </c>
      <c r="O2099" t="s">
        <v>4948</v>
      </c>
      <c r="P2099" t="s">
        <v>4951</v>
      </c>
      <c r="S2099" t="str">
        <f t="shared" si="97"/>
        <v>Middle-Aged</v>
      </c>
      <c r="T2099" t="str">
        <f t="shared" si="98"/>
        <v>Medium</v>
      </c>
      <c r="U2099" t="str">
        <f t="shared" si="99"/>
        <v>Short Days</v>
      </c>
    </row>
    <row r="2100" spans="1:21">
      <c r="A2100" t="s">
        <v>2116</v>
      </c>
      <c r="B2100" s="5">
        <v>45859</v>
      </c>
      <c r="C2100" t="s">
        <v>4125</v>
      </c>
      <c r="D2100" t="s">
        <v>4711</v>
      </c>
      <c r="E2100" t="s">
        <v>4867</v>
      </c>
      <c r="F2100">
        <v>40</v>
      </c>
      <c r="G2100" t="s">
        <v>4882</v>
      </c>
      <c r="H2100" t="s">
        <v>4891</v>
      </c>
      <c r="I2100" t="s">
        <v>4897</v>
      </c>
      <c r="J2100" t="s">
        <v>4907</v>
      </c>
      <c r="K2100" t="s">
        <v>4931</v>
      </c>
      <c r="L2100" t="s">
        <v>4934</v>
      </c>
      <c r="M2100" t="s">
        <v>4942</v>
      </c>
      <c r="N2100" s="11">
        <v>4940.21</v>
      </c>
      <c r="O2100" t="s">
        <v>4949</v>
      </c>
      <c r="P2100" t="s">
        <v>4951</v>
      </c>
      <c r="S2100" t="str">
        <f t="shared" si="97"/>
        <v>Adult</v>
      </c>
      <c r="T2100" t="str">
        <f t="shared" si="98"/>
        <v>Low</v>
      </c>
      <c r="U2100" t="str">
        <f t="shared" si="99"/>
        <v>Short Days</v>
      </c>
    </row>
    <row r="2101" spans="1:21">
      <c r="A2101" t="s">
        <v>2117</v>
      </c>
      <c r="B2101" s="5">
        <v>45406</v>
      </c>
      <c r="C2101" t="s">
        <v>4325</v>
      </c>
      <c r="D2101" t="s">
        <v>4702</v>
      </c>
      <c r="E2101" t="s">
        <v>4867</v>
      </c>
      <c r="F2101">
        <v>26</v>
      </c>
      <c r="G2101" t="s">
        <v>4877</v>
      </c>
      <c r="H2101" t="s">
        <v>4888</v>
      </c>
      <c r="I2101" t="s">
        <v>4897</v>
      </c>
      <c r="J2101" t="s">
        <v>4922</v>
      </c>
      <c r="K2101" t="s">
        <v>4932</v>
      </c>
      <c r="L2101" t="s">
        <v>4941</v>
      </c>
      <c r="M2101" t="s">
        <v>4942</v>
      </c>
      <c r="N2101" s="11">
        <v>3918.24</v>
      </c>
      <c r="O2101" t="s">
        <v>4946</v>
      </c>
      <c r="P2101" t="s">
        <v>4951</v>
      </c>
      <c r="R2101">
        <v>7</v>
      </c>
      <c r="S2101" t="str">
        <f t="shared" si="97"/>
        <v>Adult</v>
      </c>
      <c r="T2101" t="str">
        <f t="shared" si="98"/>
        <v>Low</v>
      </c>
      <c r="U2101" t="str">
        <f t="shared" si="99"/>
        <v>Short Days</v>
      </c>
    </row>
    <row r="2102" spans="1:21">
      <c r="A2102" t="s">
        <v>2118</v>
      </c>
      <c r="B2102" s="5">
        <v>45486</v>
      </c>
      <c r="C2102" t="s">
        <v>4326</v>
      </c>
      <c r="D2102" t="s">
        <v>4702</v>
      </c>
      <c r="E2102" t="s">
        <v>4867</v>
      </c>
      <c r="F2102">
        <v>24</v>
      </c>
      <c r="G2102" t="s">
        <v>4873</v>
      </c>
      <c r="H2102" t="s">
        <v>4888</v>
      </c>
      <c r="I2102" t="s">
        <v>4898</v>
      </c>
      <c r="J2102" t="s">
        <v>4923</v>
      </c>
      <c r="K2102" t="s">
        <v>4931</v>
      </c>
      <c r="L2102" t="s">
        <v>4941</v>
      </c>
      <c r="M2102" t="s">
        <v>4943</v>
      </c>
      <c r="N2102" s="11">
        <v>23330.23</v>
      </c>
      <c r="O2102" t="s">
        <v>4949</v>
      </c>
      <c r="P2102" t="s">
        <v>4951</v>
      </c>
      <c r="R2102">
        <v>7</v>
      </c>
      <c r="S2102" t="str">
        <f t="shared" si="97"/>
        <v>Adult</v>
      </c>
      <c r="T2102" t="str">
        <f t="shared" si="98"/>
        <v>High</v>
      </c>
      <c r="U2102" t="str">
        <f t="shared" si="99"/>
        <v>Short Days</v>
      </c>
    </row>
    <row r="2103" spans="1:21">
      <c r="A2103" t="s">
        <v>2119</v>
      </c>
      <c r="B2103" s="5">
        <v>45669</v>
      </c>
      <c r="C2103" t="s">
        <v>3875</v>
      </c>
      <c r="D2103" t="s">
        <v>4609</v>
      </c>
      <c r="E2103" t="s">
        <v>4866</v>
      </c>
      <c r="F2103">
        <v>57</v>
      </c>
      <c r="G2103" t="s">
        <v>4876</v>
      </c>
      <c r="H2103" t="s">
        <v>4888</v>
      </c>
      <c r="I2103" t="s">
        <v>4898</v>
      </c>
      <c r="J2103" t="s">
        <v>4909</v>
      </c>
      <c r="K2103" t="s">
        <v>4926</v>
      </c>
      <c r="L2103" t="s">
        <v>4941</v>
      </c>
      <c r="M2103" t="s">
        <v>4942</v>
      </c>
      <c r="N2103" s="11">
        <v>844.72</v>
      </c>
      <c r="O2103" t="s">
        <v>4947</v>
      </c>
      <c r="P2103" t="s">
        <v>4951</v>
      </c>
      <c r="S2103" t="str">
        <f t="shared" si="97"/>
        <v>Middle-Aged</v>
      </c>
      <c r="T2103" t="str">
        <f t="shared" si="98"/>
        <v>Low</v>
      </c>
      <c r="U2103" t="str">
        <f t="shared" si="99"/>
        <v>Short Days</v>
      </c>
    </row>
    <row r="2104" spans="1:21">
      <c r="A2104" t="s">
        <v>2120</v>
      </c>
      <c r="B2104" s="5">
        <v>45829</v>
      </c>
      <c r="C2104" t="s">
        <v>4129</v>
      </c>
      <c r="D2104" t="s">
        <v>4593</v>
      </c>
      <c r="E2104" t="s">
        <v>4867</v>
      </c>
      <c r="F2104">
        <v>65</v>
      </c>
      <c r="G2104" t="s">
        <v>4872</v>
      </c>
      <c r="H2104" t="s">
        <v>4887</v>
      </c>
      <c r="I2104" t="s">
        <v>4894</v>
      </c>
      <c r="J2104" t="s">
        <v>4904</v>
      </c>
      <c r="K2104" t="s">
        <v>4924</v>
      </c>
      <c r="L2104" t="s">
        <v>4936</v>
      </c>
      <c r="M2104" t="s">
        <v>4945</v>
      </c>
      <c r="N2104" s="11">
        <v>17924.009999999998</v>
      </c>
      <c r="O2104" t="s">
        <v>4947</v>
      </c>
      <c r="P2104" t="s">
        <v>4951</v>
      </c>
      <c r="Q2104">
        <v>9</v>
      </c>
      <c r="R2104">
        <v>30</v>
      </c>
      <c r="S2104" t="str">
        <f t="shared" si="97"/>
        <v>Senior</v>
      </c>
      <c r="T2104" t="str">
        <f t="shared" si="98"/>
        <v>High</v>
      </c>
      <c r="U2104" t="str">
        <f t="shared" si="99"/>
        <v>Long Days</v>
      </c>
    </row>
    <row r="2105" spans="1:21">
      <c r="A2105" t="s">
        <v>2121</v>
      </c>
      <c r="B2105" s="5">
        <v>45937</v>
      </c>
      <c r="C2105" t="s">
        <v>4327</v>
      </c>
      <c r="D2105" t="s">
        <v>4629</v>
      </c>
      <c r="E2105" t="s">
        <v>4867</v>
      </c>
      <c r="F2105">
        <v>51</v>
      </c>
      <c r="G2105" t="s">
        <v>4881</v>
      </c>
      <c r="H2105" t="s">
        <v>4881</v>
      </c>
      <c r="I2105" t="s">
        <v>4898</v>
      </c>
      <c r="J2105" t="s">
        <v>4918</v>
      </c>
      <c r="K2105" t="s">
        <v>4932</v>
      </c>
      <c r="L2105" t="s">
        <v>4935</v>
      </c>
      <c r="M2105" t="s">
        <v>4944</v>
      </c>
      <c r="N2105" s="11">
        <v>26475.759999999998</v>
      </c>
      <c r="O2105" t="s">
        <v>4949</v>
      </c>
      <c r="P2105" t="s">
        <v>4951</v>
      </c>
      <c r="R2105">
        <v>90</v>
      </c>
      <c r="S2105" t="str">
        <f t="shared" si="97"/>
        <v>Middle-Aged</v>
      </c>
      <c r="T2105" t="str">
        <f t="shared" si="98"/>
        <v>High</v>
      </c>
      <c r="U2105" t="str">
        <f t="shared" si="99"/>
        <v>Short Days</v>
      </c>
    </row>
    <row r="2106" spans="1:21">
      <c r="A2106" t="s">
        <v>2122</v>
      </c>
      <c r="B2106" s="5">
        <v>45947</v>
      </c>
      <c r="C2106" t="s">
        <v>3368</v>
      </c>
      <c r="D2106" t="s">
        <v>4747</v>
      </c>
      <c r="E2106" t="s">
        <v>4866</v>
      </c>
      <c r="F2106">
        <v>29</v>
      </c>
      <c r="G2106" t="s">
        <v>4882</v>
      </c>
      <c r="H2106" t="s">
        <v>4891</v>
      </c>
      <c r="I2106" t="s">
        <v>4900</v>
      </c>
      <c r="J2106" t="s">
        <v>4913</v>
      </c>
      <c r="K2106" t="s">
        <v>4931</v>
      </c>
      <c r="L2106" t="s">
        <v>4937</v>
      </c>
      <c r="M2106" t="s">
        <v>4942</v>
      </c>
      <c r="N2106" s="11">
        <v>1827.21</v>
      </c>
      <c r="O2106" t="s">
        <v>4949</v>
      </c>
      <c r="P2106" t="s">
        <v>4951</v>
      </c>
      <c r="R2106">
        <v>14</v>
      </c>
      <c r="S2106" t="str">
        <f t="shared" si="97"/>
        <v>Adult</v>
      </c>
      <c r="T2106" t="str">
        <f t="shared" si="98"/>
        <v>Low</v>
      </c>
      <c r="U2106" t="str">
        <f t="shared" si="99"/>
        <v>Short Days</v>
      </c>
    </row>
    <row r="2107" spans="1:21">
      <c r="A2107" t="s">
        <v>2123</v>
      </c>
      <c r="B2107" s="5">
        <v>45439</v>
      </c>
      <c r="C2107" t="s">
        <v>4321</v>
      </c>
      <c r="D2107" t="s">
        <v>4611</v>
      </c>
      <c r="E2107" t="s">
        <v>4866</v>
      </c>
      <c r="F2107">
        <v>50</v>
      </c>
      <c r="G2107" t="s">
        <v>4881</v>
      </c>
      <c r="H2107" t="s">
        <v>4881</v>
      </c>
      <c r="I2107" t="s">
        <v>4896</v>
      </c>
      <c r="J2107" t="s">
        <v>4906</v>
      </c>
      <c r="K2107" t="s">
        <v>4930</v>
      </c>
      <c r="L2107" t="s">
        <v>4934</v>
      </c>
      <c r="M2107" t="s">
        <v>4944</v>
      </c>
      <c r="N2107" s="11">
        <v>19477.68</v>
      </c>
      <c r="O2107" t="s">
        <v>15</v>
      </c>
      <c r="P2107" t="s">
        <v>4952</v>
      </c>
      <c r="R2107">
        <v>14</v>
      </c>
      <c r="S2107" t="str">
        <f t="shared" si="97"/>
        <v>Middle-Aged</v>
      </c>
      <c r="T2107" t="str">
        <f t="shared" si="98"/>
        <v>High</v>
      </c>
      <c r="U2107" t="str">
        <f t="shared" si="99"/>
        <v>Short Days</v>
      </c>
    </row>
    <row r="2108" spans="1:21">
      <c r="A2108" t="s">
        <v>2124</v>
      </c>
      <c r="B2108" s="5">
        <v>45743</v>
      </c>
      <c r="C2108" t="s">
        <v>4153</v>
      </c>
      <c r="D2108" t="s">
        <v>4646</v>
      </c>
      <c r="E2108" t="s">
        <v>4867</v>
      </c>
      <c r="F2108">
        <v>28</v>
      </c>
      <c r="G2108" t="s">
        <v>4873</v>
      </c>
      <c r="H2108" t="s">
        <v>4888</v>
      </c>
      <c r="I2108" t="s">
        <v>4894</v>
      </c>
      <c r="J2108" t="s">
        <v>4910</v>
      </c>
      <c r="K2108" t="s">
        <v>4930</v>
      </c>
      <c r="L2108" t="s">
        <v>4939</v>
      </c>
      <c r="M2108" t="s">
        <v>4942</v>
      </c>
      <c r="N2108" s="11">
        <v>2660.17</v>
      </c>
      <c r="O2108" t="s">
        <v>4947</v>
      </c>
      <c r="P2108" t="s">
        <v>4951</v>
      </c>
      <c r="S2108" t="str">
        <f t="shared" si="97"/>
        <v>Adult</v>
      </c>
      <c r="T2108" t="str">
        <f t="shared" si="98"/>
        <v>Low</v>
      </c>
      <c r="U2108" t="str">
        <f t="shared" si="99"/>
        <v>Short Days</v>
      </c>
    </row>
    <row r="2109" spans="1:21">
      <c r="A2109" t="s">
        <v>2125</v>
      </c>
      <c r="B2109" s="5">
        <v>45821</v>
      </c>
      <c r="C2109" t="s">
        <v>4328</v>
      </c>
      <c r="D2109" t="s">
        <v>4775</v>
      </c>
      <c r="E2109" t="s">
        <v>4867</v>
      </c>
      <c r="F2109">
        <v>60</v>
      </c>
      <c r="G2109" t="s">
        <v>4869</v>
      </c>
      <c r="H2109" t="s">
        <v>4884</v>
      </c>
      <c r="I2109" t="s">
        <v>4900</v>
      </c>
      <c r="J2109" t="s">
        <v>4919</v>
      </c>
      <c r="K2109" t="s">
        <v>4930</v>
      </c>
      <c r="L2109" t="s">
        <v>4936</v>
      </c>
      <c r="M2109" t="s">
        <v>4942</v>
      </c>
      <c r="N2109" s="11">
        <v>4886.32</v>
      </c>
      <c r="O2109" t="s">
        <v>4949</v>
      </c>
      <c r="P2109" t="s">
        <v>4951</v>
      </c>
      <c r="R2109">
        <v>90</v>
      </c>
      <c r="S2109" t="str">
        <f t="shared" si="97"/>
        <v>Middle-Aged</v>
      </c>
      <c r="T2109" t="str">
        <f t="shared" si="98"/>
        <v>Low</v>
      </c>
      <c r="U2109" t="str">
        <f t="shared" si="99"/>
        <v>Short Days</v>
      </c>
    </row>
    <row r="2110" spans="1:21">
      <c r="A2110" t="s">
        <v>2126</v>
      </c>
      <c r="B2110" s="5">
        <v>45549</v>
      </c>
      <c r="C2110" t="s">
        <v>3028</v>
      </c>
      <c r="D2110" t="s">
        <v>4652</v>
      </c>
      <c r="E2110" t="s">
        <v>4866</v>
      </c>
      <c r="F2110">
        <v>18</v>
      </c>
      <c r="G2110" t="s">
        <v>4870</v>
      </c>
      <c r="H2110" t="s">
        <v>4885</v>
      </c>
      <c r="I2110" t="s">
        <v>4898</v>
      </c>
      <c r="J2110" t="s">
        <v>4918</v>
      </c>
      <c r="K2110" t="s">
        <v>4933</v>
      </c>
      <c r="L2110" t="s">
        <v>4940</v>
      </c>
      <c r="M2110" t="s">
        <v>4942</v>
      </c>
      <c r="N2110" s="11">
        <v>730.54</v>
      </c>
      <c r="O2110" t="s">
        <v>4949</v>
      </c>
      <c r="P2110" t="s">
        <v>4951</v>
      </c>
      <c r="S2110" t="str">
        <f t="shared" si="97"/>
        <v>Adult</v>
      </c>
      <c r="T2110" t="str">
        <f t="shared" si="98"/>
        <v>Low</v>
      </c>
      <c r="U2110" t="str">
        <f t="shared" si="99"/>
        <v>Short Days</v>
      </c>
    </row>
    <row r="2111" spans="1:21">
      <c r="A2111" t="s">
        <v>2127</v>
      </c>
      <c r="B2111" s="5">
        <v>45706</v>
      </c>
      <c r="C2111" t="s">
        <v>4012</v>
      </c>
      <c r="D2111" t="s">
        <v>4792</v>
      </c>
      <c r="E2111" t="s">
        <v>4867</v>
      </c>
      <c r="F2111">
        <v>59</v>
      </c>
      <c r="G2111" t="s">
        <v>4870</v>
      </c>
      <c r="H2111" t="s">
        <v>4885</v>
      </c>
      <c r="I2111" t="s">
        <v>4899</v>
      </c>
      <c r="J2111" t="s">
        <v>4911</v>
      </c>
      <c r="K2111" t="s">
        <v>4924</v>
      </c>
      <c r="L2111" t="s">
        <v>4939</v>
      </c>
      <c r="M2111" t="s">
        <v>4944</v>
      </c>
      <c r="N2111" s="11">
        <v>22366.240000000002</v>
      </c>
      <c r="O2111" t="s">
        <v>4947</v>
      </c>
      <c r="P2111" t="s">
        <v>4951</v>
      </c>
      <c r="R2111">
        <v>14</v>
      </c>
      <c r="S2111" t="str">
        <f t="shared" si="97"/>
        <v>Middle-Aged</v>
      </c>
      <c r="T2111" t="str">
        <f t="shared" si="98"/>
        <v>High</v>
      </c>
      <c r="U2111" t="str">
        <f t="shared" si="99"/>
        <v>Short Days</v>
      </c>
    </row>
    <row r="2112" spans="1:21">
      <c r="A2112" t="s">
        <v>2128</v>
      </c>
      <c r="B2112" s="5">
        <v>45845</v>
      </c>
      <c r="C2112" t="s">
        <v>3495</v>
      </c>
      <c r="D2112" t="s">
        <v>4764</v>
      </c>
      <c r="E2112" t="s">
        <v>4866</v>
      </c>
      <c r="F2112">
        <v>10</v>
      </c>
      <c r="G2112" t="s">
        <v>4883</v>
      </c>
      <c r="H2112" t="s">
        <v>4892</v>
      </c>
      <c r="I2112" t="s">
        <v>4896</v>
      </c>
      <c r="J2112" t="s">
        <v>4906</v>
      </c>
      <c r="K2112" t="s">
        <v>4925</v>
      </c>
      <c r="L2112" t="s">
        <v>4938</v>
      </c>
      <c r="M2112" t="s">
        <v>4942</v>
      </c>
      <c r="N2112" s="11">
        <v>6685.83</v>
      </c>
      <c r="O2112" t="s">
        <v>4949</v>
      </c>
      <c r="P2112" t="s">
        <v>4951</v>
      </c>
      <c r="S2112" t="str">
        <f t="shared" si="97"/>
        <v>Child</v>
      </c>
      <c r="T2112" t="str">
        <f t="shared" si="98"/>
        <v>Medium</v>
      </c>
      <c r="U2112" t="str">
        <f t="shared" si="99"/>
        <v>Short Days</v>
      </c>
    </row>
    <row r="2113" spans="1:21">
      <c r="A2113" t="s">
        <v>2129</v>
      </c>
      <c r="B2113" s="5">
        <v>45369</v>
      </c>
      <c r="C2113" t="s">
        <v>4329</v>
      </c>
      <c r="D2113" t="s">
        <v>4669</v>
      </c>
      <c r="E2113" t="s">
        <v>4866</v>
      </c>
      <c r="F2113">
        <v>28</v>
      </c>
      <c r="G2113" t="s">
        <v>4875</v>
      </c>
      <c r="H2113" t="s">
        <v>4889</v>
      </c>
      <c r="I2113" t="s">
        <v>4902</v>
      </c>
      <c r="J2113" t="s">
        <v>4920</v>
      </c>
      <c r="K2113" t="s">
        <v>4924</v>
      </c>
      <c r="L2113" t="s">
        <v>4940</v>
      </c>
      <c r="M2113" t="s">
        <v>4942</v>
      </c>
      <c r="N2113" s="11">
        <v>2025.45</v>
      </c>
      <c r="O2113" t="s">
        <v>15</v>
      </c>
      <c r="P2113" t="s">
        <v>4952</v>
      </c>
      <c r="R2113">
        <v>30</v>
      </c>
      <c r="S2113" t="str">
        <f t="shared" si="97"/>
        <v>Adult</v>
      </c>
      <c r="T2113" t="str">
        <f t="shared" si="98"/>
        <v>Low</v>
      </c>
      <c r="U2113" t="str">
        <f t="shared" si="99"/>
        <v>Short Days</v>
      </c>
    </row>
    <row r="2114" spans="1:21">
      <c r="A2114" t="s">
        <v>2130</v>
      </c>
      <c r="B2114" s="5">
        <v>45506</v>
      </c>
      <c r="C2114" t="s">
        <v>4330</v>
      </c>
      <c r="D2114" t="s">
        <v>4806</v>
      </c>
      <c r="E2114" t="s">
        <v>4867</v>
      </c>
      <c r="F2114">
        <v>29</v>
      </c>
      <c r="G2114" t="s">
        <v>4872</v>
      </c>
      <c r="H2114" t="s">
        <v>4887</v>
      </c>
      <c r="I2114" t="s">
        <v>4900</v>
      </c>
      <c r="J2114" t="s">
        <v>4919</v>
      </c>
      <c r="K2114" t="s">
        <v>4928</v>
      </c>
      <c r="L2114" t="s">
        <v>4941</v>
      </c>
      <c r="M2114" t="s">
        <v>4942</v>
      </c>
      <c r="N2114" s="11">
        <v>5920.89</v>
      </c>
      <c r="O2114" t="s">
        <v>4946</v>
      </c>
      <c r="P2114" t="s">
        <v>4951</v>
      </c>
      <c r="S2114" t="str">
        <f t="shared" si="97"/>
        <v>Adult</v>
      </c>
      <c r="T2114" t="str">
        <f t="shared" si="98"/>
        <v>Medium</v>
      </c>
      <c r="U2114" t="str">
        <f t="shared" si="99"/>
        <v>Short Days</v>
      </c>
    </row>
    <row r="2115" spans="1:21">
      <c r="A2115" t="s">
        <v>2131</v>
      </c>
      <c r="B2115" s="5">
        <v>45542</v>
      </c>
      <c r="C2115" t="s">
        <v>3416</v>
      </c>
      <c r="D2115" t="s">
        <v>4660</v>
      </c>
      <c r="E2115" t="s">
        <v>4867</v>
      </c>
      <c r="F2115">
        <v>21</v>
      </c>
      <c r="G2115" t="s">
        <v>4882</v>
      </c>
      <c r="H2115" t="s">
        <v>4891</v>
      </c>
      <c r="I2115" t="s">
        <v>4897</v>
      </c>
      <c r="J2115" t="s">
        <v>4907</v>
      </c>
      <c r="K2115" t="s">
        <v>4931</v>
      </c>
      <c r="L2115" t="s">
        <v>4938</v>
      </c>
      <c r="M2115" t="s">
        <v>4944</v>
      </c>
      <c r="N2115" s="11">
        <v>26555</v>
      </c>
      <c r="O2115" t="s">
        <v>15</v>
      </c>
      <c r="P2115" t="s">
        <v>4952</v>
      </c>
      <c r="S2115" t="str">
        <f t="shared" ref="S2115:S2178" si="100">IF(F2115&lt;18,"Child",IF(F2115&lt;=40,"Adult",IF(F2115&lt;=60,"Middle-Aged",IF(F2115,"Senior"))))</f>
        <v>Adult</v>
      </c>
      <c r="T2115" t="str">
        <f t="shared" ref="T2115:T2178" si="101">IF(N2115&lt;=5000,"Low",IF(N2115&lt;=10000,"Medium","High"))</f>
        <v>High</v>
      </c>
      <c r="U2115" t="str">
        <f t="shared" ref="U2115:U2178" si="102">IF(Q2115&lt;=5,"Short Days","Long Days")</f>
        <v>Short Days</v>
      </c>
    </row>
    <row r="2116" spans="1:21">
      <c r="A2116" t="s">
        <v>2132</v>
      </c>
      <c r="B2116" s="5">
        <v>45806</v>
      </c>
      <c r="C2116" t="s">
        <v>3213</v>
      </c>
      <c r="D2116" t="s">
        <v>4846</v>
      </c>
      <c r="E2116" t="s">
        <v>4867</v>
      </c>
      <c r="F2116">
        <v>32</v>
      </c>
      <c r="G2116" t="s">
        <v>4881</v>
      </c>
      <c r="H2116" t="s">
        <v>4881</v>
      </c>
      <c r="I2116" t="s">
        <v>4893</v>
      </c>
      <c r="J2116" t="s">
        <v>4903</v>
      </c>
      <c r="K2116" t="s">
        <v>4928</v>
      </c>
      <c r="L2116" t="s">
        <v>4937</v>
      </c>
      <c r="M2116" t="s">
        <v>4942</v>
      </c>
      <c r="N2116" s="11">
        <v>153.94999999999999</v>
      </c>
      <c r="O2116" t="s">
        <v>4946</v>
      </c>
      <c r="P2116" t="s">
        <v>4951</v>
      </c>
      <c r="R2116">
        <v>30</v>
      </c>
      <c r="S2116" t="str">
        <f t="shared" si="100"/>
        <v>Adult</v>
      </c>
      <c r="T2116" t="str">
        <f t="shared" si="101"/>
        <v>Low</v>
      </c>
      <c r="U2116" t="str">
        <f t="shared" si="102"/>
        <v>Short Days</v>
      </c>
    </row>
    <row r="2117" spans="1:21">
      <c r="A2117" t="s">
        <v>2133</v>
      </c>
      <c r="B2117" s="5">
        <v>45375</v>
      </c>
      <c r="C2117" t="s">
        <v>3386</v>
      </c>
      <c r="D2117" t="s">
        <v>4641</v>
      </c>
      <c r="E2117" t="s">
        <v>4867</v>
      </c>
      <c r="F2117">
        <v>56</v>
      </c>
      <c r="G2117" t="s">
        <v>4879</v>
      </c>
      <c r="H2117" t="s">
        <v>4888</v>
      </c>
      <c r="I2117" t="s">
        <v>4900</v>
      </c>
      <c r="J2117" t="s">
        <v>4913</v>
      </c>
      <c r="K2117" t="s">
        <v>4929</v>
      </c>
      <c r="L2117" t="s">
        <v>4935</v>
      </c>
      <c r="M2117" t="s">
        <v>4943</v>
      </c>
      <c r="N2117" s="11">
        <v>10773.11</v>
      </c>
      <c r="O2117" t="s">
        <v>4949</v>
      </c>
      <c r="P2117" t="s">
        <v>4951</v>
      </c>
      <c r="S2117" t="str">
        <f t="shared" si="100"/>
        <v>Middle-Aged</v>
      </c>
      <c r="T2117" t="str">
        <f t="shared" si="101"/>
        <v>High</v>
      </c>
      <c r="U2117" t="str">
        <f t="shared" si="102"/>
        <v>Short Days</v>
      </c>
    </row>
    <row r="2118" spans="1:21">
      <c r="A2118" t="s">
        <v>2134</v>
      </c>
      <c r="B2118" s="5">
        <v>45325</v>
      </c>
      <c r="C2118" t="s">
        <v>3375</v>
      </c>
      <c r="D2118" t="s">
        <v>4627</v>
      </c>
      <c r="E2118" t="s">
        <v>4867</v>
      </c>
      <c r="F2118">
        <v>49</v>
      </c>
      <c r="G2118" t="s">
        <v>4879</v>
      </c>
      <c r="H2118" t="s">
        <v>4888</v>
      </c>
      <c r="I2118" t="s">
        <v>4895</v>
      </c>
      <c r="J2118" t="s">
        <v>4915</v>
      </c>
      <c r="K2118" t="s">
        <v>4929</v>
      </c>
      <c r="L2118" t="s">
        <v>4937</v>
      </c>
      <c r="M2118" t="s">
        <v>4942</v>
      </c>
      <c r="N2118" s="11">
        <v>2358.83</v>
      </c>
      <c r="O2118" t="s">
        <v>4950</v>
      </c>
      <c r="P2118" t="s">
        <v>4951</v>
      </c>
      <c r="R2118">
        <v>14</v>
      </c>
      <c r="S2118" t="str">
        <f t="shared" si="100"/>
        <v>Middle-Aged</v>
      </c>
      <c r="T2118" t="str">
        <f t="shared" si="101"/>
        <v>Low</v>
      </c>
      <c r="U2118" t="str">
        <f t="shared" si="102"/>
        <v>Short Days</v>
      </c>
    </row>
    <row r="2119" spans="1:21">
      <c r="A2119" t="s">
        <v>2135</v>
      </c>
      <c r="B2119" s="5">
        <v>45897</v>
      </c>
      <c r="C2119" t="s">
        <v>3596</v>
      </c>
      <c r="D2119" t="s">
        <v>4686</v>
      </c>
      <c r="E2119" t="s">
        <v>4866</v>
      </c>
      <c r="F2119">
        <v>30</v>
      </c>
      <c r="G2119" t="s">
        <v>4882</v>
      </c>
      <c r="H2119" t="s">
        <v>4891</v>
      </c>
      <c r="I2119" t="s">
        <v>4896</v>
      </c>
      <c r="J2119" t="s">
        <v>4906</v>
      </c>
      <c r="K2119" t="s">
        <v>4930</v>
      </c>
      <c r="L2119" t="s">
        <v>4934</v>
      </c>
      <c r="M2119" t="s">
        <v>4944</v>
      </c>
      <c r="N2119" s="11">
        <v>7490.4</v>
      </c>
      <c r="O2119" t="s">
        <v>4947</v>
      </c>
      <c r="P2119" t="s">
        <v>4951</v>
      </c>
      <c r="R2119">
        <v>90</v>
      </c>
      <c r="S2119" t="str">
        <f t="shared" si="100"/>
        <v>Adult</v>
      </c>
      <c r="T2119" t="str">
        <f t="shared" si="101"/>
        <v>Medium</v>
      </c>
      <c r="U2119" t="str">
        <f t="shared" si="102"/>
        <v>Short Days</v>
      </c>
    </row>
    <row r="2120" spans="1:21">
      <c r="A2120" t="s">
        <v>2136</v>
      </c>
      <c r="B2120" s="5">
        <v>45543</v>
      </c>
      <c r="C2120" t="s">
        <v>4331</v>
      </c>
      <c r="D2120" t="s">
        <v>4659</v>
      </c>
      <c r="E2120" t="s">
        <v>4867</v>
      </c>
      <c r="F2120">
        <v>39</v>
      </c>
      <c r="G2120" t="s">
        <v>4876</v>
      </c>
      <c r="H2120" t="s">
        <v>4888</v>
      </c>
      <c r="I2120" t="s">
        <v>4901</v>
      </c>
      <c r="J2120" t="s">
        <v>4921</v>
      </c>
      <c r="K2120" t="s">
        <v>4927</v>
      </c>
      <c r="L2120" t="s">
        <v>4934</v>
      </c>
      <c r="M2120" t="s">
        <v>4944</v>
      </c>
      <c r="N2120" s="11">
        <v>7403.88</v>
      </c>
      <c r="O2120" t="s">
        <v>4947</v>
      </c>
      <c r="P2120" t="s">
        <v>4951</v>
      </c>
      <c r="R2120">
        <v>14</v>
      </c>
      <c r="S2120" t="str">
        <f t="shared" si="100"/>
        <v>Adult</v>
      </c>
      <c r="T2120" t="str">
        <f t="shared" si="101"/>
        <v>Medium</v>
      </c>
      <c r="U2120" t="str">
        <f t="shared" si="102"/>
        <v>Short Days</v>
      </c>
    </row>
    <row r="2121" spans="1:21">
      <c r="A2121" t="s">
        <v>2137</v>
      </c>
      <c r="B2121" s="5">
        <v>45318</v>
      </c>
      <c r="C2121" t="s">
        <v>4332</v>
      </c>
      <c r="D2121" t="s">
        <v>4723</v>
      </c>
      <c r="E2121" t="s">
        <v>4867</v>
      </c>
      <c r="F2121">
        <v>26</v>
      </c>
      <c r="G2121" t="s">
        <v>4882</v>
      </c>
      <c r="H2121" t="s">
        <v>4891</v>
      </c>
      <c r="I2121" t="s">
        <v>4900</v>
      </c>
      <c r="J2121" t="s">
        <v>4913</v>
      </c>
      <c r="K2121" t="s">
        <v>4925</v>
      </c>
      <c r="L2121" t="s">
        <v>4939</v>
      </c>
      <c r="M2121" t="s">
        <v>4942</v>
      </c>
      <c r="N2121" s="11">
        <v>2381.25</v>
      </c>
      <c r="O2121" t="s">
        <v>4946</v>
      </c>
      <c r="P2121" t="s">
        <v>4951</v>
      </c>
      <c r="R2121">
        <v>14</v>
      </c>
      <c r="S2121" t="str">
        <f t="shared" si="100"/>
        <v>Adult</v>
      </c>
      <c r="T2121" t="str">
        <f t="shared" si="101"/>
        <v>Low</v>
      </c>
      <c r="U2121" t="str">
        <f t="shared" si="102"/>
        <v>Short Days</v>
      </c>
    </row>
    <row r="2122" spans="1:21">
      <c r="A2122" t="s">
        <v>2138</v>
      </c>
      <c r="B2122" s="5">
        <v>45358</v>
      </c>
      <c r="C2122" t="s">
        <v>3528</v>
      </c>
      <c r="D2122" t="s">
        <v>4749</v>
      </c>
      <c r="E2122" t="s">
        <v>4867</v>
      </c>
      <c r="F2122">
        <v>59</v>
      </c>
      <c r="G2122" t="s">
        <v>4875</v>
      </c>
      <c r="H2122" t="s">
        <v>4889</v>
      </c>
      <c r="I2122" t="s">
        <v>4894</v>
      </c>
      <c r="J2122" t="s">
        <v>4904</v>
      </c>
      <c r="K2122" t="s">
        <v>4925</v>
      </c>
      <c r="L2122" t="s">
        <v>4939</v>
      </c>
      <c r="M2122" t="s">
        <v>4944</v>
      </c>
      <c r="N2122" s="11">
        <v>12224.61</v>
      </c>
      <c r="O2122" t="s">
        <v>4948</v>
      </c>
      <c r="P2122" t="s">
        <v>4951</v>
      </c>
      <c r="R2122">
        <v>14</v>
      </c>
      <c r="S2122" t="str">
        <f t="shared" si="100"/>
        <v>Middle-Aged</v>
      </c>
      <c r="T2122" t="str">
        <f t="shared" si="101"/>
        <v>High</v>
      </c>
      <c r="U2122" t="str">
        <f t="shared" si="102"/>
        <v>Short Days</v>
      </c>
    </row>
    <row r="2123" spans="1:21">
      <c r="A2123" t="s">
        <v>2139</v>
      </c>
      <c r="B2123" s="5">
        <v>45677</v>
      </c>
      <c r="C2123" t="s">
        <v>3878</v>
      </c>
      <c r="D2123" t="s">
        <v>4606</v>
      </c>
      <c r="E2123" t="s">
        <v>4868</v>
      </c>
      <c r="F2123">
        <v>9</v>
      </c>
      <c r="G2123" t="s">
        <v>4873</v>
      </c>
      <c r="H2123" t="s">
        <v>4888</v>
      </c>
      <c r="I2123" t="s">
        <v>4895</v>
      </c>
      <c r="J2123" t="s">
        <v>4915</v>
      </c>
      <c r="K2123" t="s">
        <v>4932</v>
      </c>
      <c r="L2123" t="s">
        <v>4938</v>
      </c>
      <c r="M2123" t="s">
        <v>4942</v>
      </c>
      <c r="N2123" s="11">
        <v>191.51</v>
      </c>
      <c r="O2123" t="s">
        <v>4946</v>
      </c>
      <c r="P2123" t="s">
        <v>4951</v>
      </c>
      <c r="R2123">
        <v>30</v>
      </c>
      <c r="S2123" t="str">
        <f t="shared" si="100"/>
        <v>Child</v>
      </c>
      <c r="T2123" t="str">
        <f t="shared" si="101"/>
        <v>Low</v>
      </c>
      <c r="U2123" t="str">
        <f t="shared" si="102"/>
        <v>Short Days</v>
      </c>
    </row>
    <row r="2124" spans="1:21">
      <c r="A2124" t="s">
        <v>2140</v>
      </c>
      <c r="B2124" s="5">
        <v>45744</v>
      </c>
      <c r="C2124" t="s">
        <v>4333</v>
      </c>
      <c r="D2124" t="s">
        <v>4626</v>
      </c>
      <c r="E2124" t="s">
        <v>4866</v>
      </c>
      <c r="F2124">
        <v>10</v>
      </c>
      <c r="G2124" t="s">
        <v>4876</v>
      </c>
      <c r="H2124" t="s">
        <v>4888</v>
      </c>
      <c r="I2124" t="s">
        <v>4895</v>
      </c>
      <c r="J2124" t="s">
        <v>4905</v>
      </c>
      <c r="K2124" t="s">
        <v>4932</v>
      </c>
      <c r="L2124" t="s">
        <v>4935</v>
      </c>
      <c r="M2124" t="s">
        <v>4944</v>
      </c>
      <c r="N2124" s="11">
        <v>15767.18</v>
      </c>
      <c r="O2124" t="s">
        <v>4949</v>
      </c>
      <c r="P2124" t="s">
        <v>4951</v>
      </c>
      <c r="R2124">
        <v>30</v>
      </c>
      <c r="S2124" t="str">
        <f t="shared" si="100"/>
        <v>Child</v>
      </c>
      <c r="T2124" t="str">
        <f t="shared" si="101"/>
        <v>High</v>
      </c>
      <c r="U2124" t="str">
        <f t="shared" si="102"/>
        <v>Short Days</v>
      </c>
    </row>
    <row r="2125" spans="1:21">
      <c r="A2125" t="s">
        <v>2141</v>
      </c>
      <c r="B2125" s="5">
        <v>45662</v>
      </c>
      <c r="C2125" t="s">
        <v>3049</v>
      </c>
      <c r="D2125" t="s">
        <v>4621</v>
      </c>
      <c r="E2125" t="s">
        <v>4867</v>
      </c>
      <c r="F2125">
        <v>40</v>
      </c>
      <c r="G2125" t="s">
        <v>4879</v>
      </c>
      <c r="H2125" t="s">
        <v>4888</v>
      </c>
      <c r="I2125" t="s">
        <v>4895</v>
      </c>
      <c r="J2125" t="s">
        <v>4915</v>
      </c>
      <c r="K2125" t="s">
        <v>4931</v>
      </c>
      <c r="L2125" t="s">
        <v>4936</v>
      </c>
      <c r="M2125" t="s">
        <v>4944</v>
      </c>
      <c r="N2125" s="11">
        <v>8702.4699999999993</v>
      </c>
      <c r="O2125" t="s">
        <v>4949</v>
      </c>
      <c r="P2125" t="s">
        <v>4951</v>
      </c>
      <c r="S2125" t="str">
        <f t="shared" si="100"/>
        <v>Adult</v>
      </c>
      <c r="T2125" t="str">
        <f t="shared" si="101"/>
        <v>Medium</v>
      </c>
      <c r="U2125" t="str">
        <f t="shared" si="102"/>
        <v>Short Days</v>
      </c>
    </row>
    <row r="2126" spans="1:21">
      <c r="A2126" t="s">
        <v>2142</v>
      </c>
      <c r="B2126" s="5">
        <v>45427</v>
      </c>
      <c r="C2126" t="s">
        <v>4334</v>
      </c>
      <c r="D2126" t="s">
        <v>4771</v>
      </c>
      <c r="E2126" t="s">
        <v>4866</v>
      </c>
      <c r="F2126">
        <v>59</v>
      </c>
      <c r="G2126" t="s">
        <v>4874</v>
      </c>
      <c r="H2126" t="s">
        <v>4886</v>
      </c>
      <c r="I2126" t="s">
        <v>4902</v>
      </c>
      <c r="J2126" t="s">
        <v>4916</v>
      </c>
      <c r="K2126" t="s">
        <v>4925</v>
      </c>
      <c r="L2126" t="s">
        <v>4941</v>
      </c>
      <c r="M2126" t="s">
        <v>4944</v>
      </c>
      <c r="N2126" s="11">
        <v>7626.52</v>
      </c>
      <c r="O2126" t="s">
        <v>4950</v>
      </c>
      <c r="P2126" t="s">
        <v>4951</v>
      </c>
      <c r="S2126" t="str">
        <f t="shared" si="100"/>
        <v>Middle-Aged</v>
      </c>
      <c r="T2126" t="str">
        <f t="shared" si="101"/>
        <v>Medium</v>
      </c>
      <c r="U2126" t="str">
        <f t="shared" si="102"/>
        <v>Short Days</v>
      </c>
    </row>
    <row r="2127" spans="1:21">
      <c r="A2127" t="s">
        <v>2143</v>
      </c>
      <c r="B2127" s="5">
        <v>45394</v>
      </c>
      <c r="C2127" t="s">
        <v>3283</v>
      </c>
      <c r="D2127" t="s">
        <v>4804</v>
      </c>
      <c r="E2127" t="s">
        <v>4867</v>
      </c>
      <c r="F2127">
        <v>40</v>
      </c>
      <c r="G2127" t="s">
        <v>4878</v>
      </c>
      <c r="H2127" t="s">
        <v>4889</v>
      </c>
      <c r="I2127" t="s">
        <v>4899</v>
      </c>
      <c r="J2127" t="s">
        <v>4912</v>
      </c>
      <c r="K2127" t="s">
        <v>4933</v>
      </c>
      <c r="L2127" t="s">
        <v>4940</v>
      </c>
      <c r="M2127" t="s">
        <v>4943</v>
      </c>
      <c r="N2127" s="11">
        <v>12751.54</v>
      </c>
      <c r="O2127" t="s">
        <v>4948</v>
      </c>
      <c r="P2127" t="s">
        <v>4951</v>
      </c>
      <c r="R2127">
        <v>90</v>
      </c>
      <c r="S2127" t="str">
        <f t="shared" si="100"/>
        <v>Adult</v>
      </c>
      <c r="T2127" t="str">
        <f t="shared" si="101"/>
        <v>High</v>
      </c>
      <c r="U2127" t="str">
        <f t="shared" si="102"/>
        <v>Short Days</v>
      </c>
    </row>
    <row r="2128" spans="1:21">
      <c r="A2128" t="s">
        <v>2144</v>
      </c>
      <c r="B2128" s="5">
        <v>45769</v>
      </c>
      <c r="C2128" t="s">
        <v>4098</v>
      </c>
      <c r="D2128" t="s">
        <v>4627</v>
      </c>
      <c r="E2128" t="s">
        <v>4867</v>
      </c>
      <c r="F2128">
        <v>26</v>
      </c>
      <c r="G2128" t="s">
        <v>4873</v>
      </c>
      <c r="H2128" t="s">
        <v>4888</v>
      </c>
      <c r="I2128" t="s">
        <v>4902</v>
      </c>
      <c r="J2128" t="s">
        <v>4920</v>
      </c>
      <c r="K2128" t="s">
        <v>4931</v>
      </c>
      <c r="L2128" t="s">
        <v>4941</v>
      </c>
      <c r="M2128" t="s">
        <v>4942</v>
      </c>
      <c r="N2128" s="11">
        <v>4277.8900000000003</v>
      </c>
      <c r="O2128" t="s">
        <v>4948</v>
      </c>
      <c r="P2128" t="s">
        <v>4951</v>
      </c>
      <c r="R2128">
        <v>30</v>
      </c>
      <c r="S2128" t="str">
        <f t="shared" si="100"/>
        <v>Adult</v>
      </c>
      <c r="T2128" t="str">
        <f t="shared" si="101"/>
        <v>Low</v>
      </c>
      <c r="U2128" t="str">
        <f t="shared" si="102"/>
        <v>Short Days</v>
      </c>
    </row>
    <row r="2129" spans="1:21">
      <c r="A2129" t="s">
        <v>2145</v>
      </c>
      <c r="B2129" s="5">
        <v>45811</v>
      </c>
      <c r="C2129" t="s">
        <v>4335</v>
      </c>
      <c r="D2129" t="s">
        <v>4737</v>
      </c>
      <c r="E2129" t="s">
        <v>4867</v>
      </c>
      <c r="F2129">
        <v>56</v>
      </c>
      <c r="G2129" t="s">
        <v>4876</v>
      </c>
      <c r="H2129" t="s">
        <v>4888</v>
      </c>
      <c r="I2129" t="s">
        <v>4893</v>
      </c>
      <c r="J2129" t="s">
        <v>4917</v>
      </c>
      <c r="K2129" t="s">
        <v>4930</v>
      </c>
      <c r="L2129" t="s">
        <v>4939</v>
      </c>
      <c r="M2129" t="s">
        <v>4944</v>
      </c>
      <c r="N2129" s="11">
        <v>7132.01</v>
      </c>
      <c r="O2129" t="s">
        <v>4946</v>
      </c>
      <c r="P2129" t="s">
        <v>4951</v>
      </c>
      <c r="R2129">
        <v>14</v>
      </c>
      <c r="S2129" t="str">
        <f t="shared" si="100"/>
        <v>Middle-Aged</v>
      </c>
      <c r="T2129" t="str">
        <f t="shared" si="101"/>
        <v>Medium</v>
      </c>
      <c r="U2129" t="str">
        <f t="shared" si="102"/>
        <v>Short Days</v>
      </c>
    </row>
    <row r="2130" spans="1:21">
      <c r="A2130" t="s">
        <v>2146</v>
      </c>
      <c r="B2130" s="5">
        <v>45902</v>
      </c>
      <c r="C2130" t="s">
        <v>3538</v>
      </c>
      <c r="D2130" t="s">
        <v>4598</v>
      </c>
      <c r="E2130" t="s">
        <v>4867</v>
      </c>
      <c r="F2130">
        <v>25</v>
      </c>
      <c r="G2130" t="s">
        <v>4881</v>
      </c>
      <c r="H2130" t="s">
        <v>4881</v>
      </c>
      <c r="I2130" t="s">
        <v>4894</v>
      </c>
      <c r="J2130" t="s">
        <v>4904</v>
      </c>
      <c r="K2130" t="s">
        <v>4929</v>
      </c>
      <c r="L2130" t="s">
        <v>4938</v>
      </c>
      <c r="M2130" t="s">
        <v>4942</v>
      </c>
      <c r="N2130" s="11">
        <v>4125.3999999999996</v>
      </c>
      <c r="O2130" t="s">
        <v>4947</v>
      </c>
      <c r="P2130" t="s">
        <v>4951</v>
      </c>
      <c r="R2130">
        <v>30</v>
      </c>
      <c r="S2130" t="str">
        <f t="shared" si="100"/>
        <v>Adult</v>
      </c>
      <c r="T2130" t="str">
        <f t="shared" si="101"/>
        <v>Low</v>
      </c>
      <c r="U2130" t="str">
        <f t="shared" si="102"/>
        <v>Short Days</v>
      </c>
    </row>
    <row r="2131" spans="1:21">
      <c r="A2131" t="s">
        <v>2147</v>
      </c>
      <c r="B2131" s="5">
        <v>45582</v>
      </c>
      <c r="C2131" t="s">
        <v>3072</v>
      </c>
      <c r="D2131" t="s">
        <v>4758</v>
      </c>
      <c r="E2131" t="s">
        <v>4866</v>
      </c>
      <c r="F2131">
        <v>31</v>
      </c>
      <c r="G2131" t="s">
        <v>4872</v>
      </c>
      <c r="H2131" t="s">
        <v>4887</v>
      </c>
      <c r="I2131" t="s">
        <v>4895</v>
      </c>
      <c r="J2131" t="s">
        <v>4915</v>
      </c>
      <c r="K2131" t="s">
        <v>4925</v>
      </c>
      <c r="L2131" t="s">
        <v>4934</v>
      </c>
      <c r="M2131" t="s">
        <v>4942</v>
      </c>
      <c r="N2131" s="11">
        <v>4236.47</v>
      </c>
      <c r="O2131" t="s">
        <v>15</v>
      </c>
      <c r="P2131" t="s">
        <v>4952</v>
      </c>
      <c r="R2131">
        <v>30</v>
      </c>
      <c r="S2131" t="str">
        <f t="shared" si="100"/>
        <v>Adult</v>
      </c>
      <c r="T2131" t="str">
        <f t="shared" si="101"/>
        <v>Low</v>
      </c>
      <c r="U2131" t="str">
        <f t="shared" si="102"/>
        <v>Short Days</v>
      </c>
    </row>
    <row r="2132" spans="1:21">
      <c r="A2132" t="s">
        <v>2148</v>
      </c>
      <c r="B2132" s="5">
        <v>45648</v>
      </c>
      <c r="C2132" t="s">
        <v>3290</v>
      </c>
      <c r="D2132" t="s">
        <v>4704</v>
      </c>
      <c r="E2132" t="s">
        <v>4867</v>
      </c>
      <c r="F2132">
        <v>36</v>
      </c>
      <c r="G2132" t="s">
        <v>4875</v>
      </c>
      <c r="H2132" t="s">
        <v>4889</v>
      </c>
      <c r="I2132" t="s">
        <v>4899</v>
      </c>
      <c r="J2132" t="s">
        <v>4912</v>
      </c>
      <c r="K2132" t="s">
        <v>4928</v>
      </c>
      <c r="L2132" t="s">
        <v>4934</v>
      </c>
      <c r="M2132" t="s">
        <v>4945</v>
      </c>
      <c r="N2132" s="11">
        <v>7362.34</v>
      </c>
      <c r="O2132" t="s">
        <v>4947</v>
      </c>
      <c r="P2132" t="s">
        <v>4951</v>
      </c>
      <c r="Q2132">
        <v>11</v>
      </c>
      <c r="S2132" t="str">
        <f t="shared" si="100"/>
        <v>Adult</v>
      </c>
      <c r="T2132" t="str">
        <f t="shared" si="101"/>
        <v>Medium</v>
      </c>
      <c r="U2132" t="str">
        <f t="shared" si="102"/>
        <v>Long Days</v>
      </c>
    </row>
    <row r="2133" spans="1:21">
      <c r="A2133" t="s">
        <v>2149</v>
      </c>
      <c r="B2133" s="5">
        <v>45587</v>
      </c>
      <c r="C2133" t="s">
        <v>4336</v>
      </c>
      <c r="D2133" t="s">
        <v>4614</v>
      </c>
      <c r="E2133" t="s">
        <v>4866</v>
      </c>
      <c r="F2133">
        <v>45</v>
      </c>
      <c r="G2133" t="s">
        <v>4873</v>
      </c>
      <c r="H2133" t="s">
        <v>4888</v>
      </c>
      <c r="I2133" t="s">
        <v>4897</v>
      </c>
      <c r="J2133" t="s">
        <v>4907</v>
      </c>
      <c r="K2133" t="s">
        <v>4928</v>
      </c>
      <c r="L2133" t="s">
        <v>4941</v>
      </c>
      <c r="M2133" t="s">
        <v>4942</v>
      </c>
      <c r="N2133" s="11">
        <v>711.51</v>
      </c>
      <c r="O2133" t="s">
        <v>4949</v>
      </c>
      <c r="P2133" t="s">
        <v>4951</v>
      </c>
      <c r="S2133" t="str">
        <f t="shared" si="100"/>
        <v>Middle-Aged</v>
      </c>
      <c r="T2133" t="str">
        <f t="shared" si="101"/>
        <v>Low</v>
      </c>
      <c r="U2133" t="str">
        <f t="shared" si="102"/>
        <v>Short Days</v>
      </c>
    </row>
    <row r="2134" spans="1:21">
      <c r="A2134" t="s">
        <v>2150</v>
      </c>
      <c r="B2134" s="5">
        <v>45569</v>
      </c>
      <c r="C2134" t="s">
        <v>4337</v>
      </c>
      <c r="D2134" t="s">
        <v>4610</v>
      </c>
      <c r="E2134" t="s">
        <v>4866</v>
      </c>
      <c r="F2134">
        <v>6</v>
      </c>
      <c r="G2134" t="s">
        <v>4869</v>
      </c>
      <c r="H2134" t="s">
        <v>4884</v>
      </c>
      <c r="I2134" t="s">
        <v>4898</v>
      </c>
      <c r="J2134" t="s">
        <v>4918</v>
      </c>
      <c r="K2134" t="s">
        <v>4926</v>
      </c>
      <c r="L2134" t="s">
        <v>4941</v>
      </c>
      <c r="M2134" t="s">
        <v>4944</v>
      </c>
      <c r="N2134" s="11">
        <v>5141.59</v>
      </c>
      <c r="O2134" t="s">
        <v>4950</v>
      </c>
      <c r="P2134" t="s">
        <v>4951</v>
      </c>
      <c r="R2134">
        <v>7</v>
      </c>
      <c r="S2134" t="str">
        <f t="shared" si="100"/>
        <v>Child</v>
      </c>
      <c r="T2134" t="str">
        <f t="shared" si="101"/>
        <v>Medium</v>
      </c>
      <c r="U2134" t="str">
        <f t="shared" si="102"/>
        <v>Short Days</v>
      </c>
    </row>
    <row r="2135" spans="1:21">
      <c r="A2135" t="s">
        <v>2151</v>
      </c>
      <c r="B2135" s="5">
        <v>45384</v>
      </c>
      <c r="C2135" t="s">
        <v>4338</v>
      </c>
      <c r="D2135" t="s">
        <v>4628</v>
      </c>
      <c r="E2135" t="s">
        <v>4867</v>
      </c>
      <c r="F2135">
        <v>21</v>
      </c>
      <c r="G2135" t="s">
        <v>4883</v>
      </c>
      <c r="H2135" t="s">
        <v>4892</v>
      </c>
      <c r="I2135" t="s">
        <v>4894</v>
      </c>
      <c r="J2135" t="s">
        <v>4904</v>
      </c>
      <c r="K2135" t="s">
        <v>4929</v>
      </c>
      <c r="L2135" t="s">
        <v>4936</v>
      </c>
      <c r="M2135" t="s">
        <v>4944</v>
      </c>
      <c r="N2135" s="11">
        <v>15545.78</v>
      </c>
      <c r="O2135" t="s">
        <v>4949</v>
      </c>
      <c r="P2135" t="s">
        <v>4951</v>
      </c>
      <c r="S2135" t="str">
        <f t="shared" si="100"/>
        <v>Adult</v>
      </c>
      <c r="T2135" t="str">
        <f t="shared" si="101"/>
        <v>High</v>
      </c>
      <c r="U2135" t="str">
        <f t="shared" si="102"/>
        <v>Short Days</v>
      </c>
    </row>
    <row r="2136" spans="1:21">
      <c r="A2136" t="s">
        <v>2152</v>
      </c>
      <c r="B2136" s="5">
        <v>45900</v>
      </c>
      <c r="C2136" t="s">
        <v>3531</v>
      </c>
      <c r="D2136" t="s">
        <v>4706</v>
      </c>
      <c r="E2136" t="s">
        <v>4867</v>
      </c>
      <c r="F2136">
        <v>23</v>
      </c>
      <c r="G2136" t="s">
        <v>4872</v>
      </c>
      <c r="H2136" t="s">
        <v>4887</v>
      </c>
      <c r="I2136" t="s">
        <v>4901</v>
      </c>
      <c r="J2136" t="s">
        <v>4921</v>
      </c>
      <c r="K2136" t="s">
        <v>4927</v>
      </c>
      <c r="L2136" t="s">
        <v>4941</v>
      </c>
      <c r="M2136" t="s">
        <v>4942</v>
      </c>
      <c r="N2136" s="11">
        <v>6447.39</v>
      </c>
      <c r="O2136" t="s">
        <v>4946</v>
      </c>
      <c r="P2136" t="s">
        <v>4951</v>
      </c>
      <c r="S2136" t="str">
        <f t="shared" si="100"/>
        <v>Adult</v>
      </c>
      <c r="T2136" t="str">
        <f t="shared" si="101"/>
        <v>Medium</v>
      </c>
      <c r="U2136" t="str">
        <f t="shared" si="102"/>
        <v>Short Days</v>
      </c>
    </row>
    <row r="2137" spans="1:21">
      <c r="A2137" t="s">
        <v>2153</v>
      </c>
      <c r="B2137" s="5">
        <v>45438</v>
      </c>
      <c r="C2137" t="s">
        <v>3209</v>
      </c>
      <c r="D2137" t="s">
        <v>4631</v>
      </c>
      <c r="E2137" t="s">
        <v>4866</v>
      </c>
      <c r="F2137">
        <v>34</v>
      </c>
      <c r="G2137" t="s">
        <v>4878</v>
      </c>
      <c r="H2137" t="s">
        <v>4889</v>
      </c>
      <c r="I2137" t="s">
        <v>4895</v>
      </c>
      <c r="J2137" t="s">
        <v>4905</v>
      </c>
      <c r="K2137" t="s">
        <v>4927</v>
      </c>
      <c r="L2137" t="s">
        <v>4940</v>
      </c>
      <c r="M2137" t="s">
        <v>4942</v>
      </c>
      <c r="N2137" s="11">
        <v>433.2</v>
      </c>
      <c r="O2137" t="s">
        <v>4946</v>
      </c>
      <c r="P2137" t="s">
        <v>4951</v>
      </c>
      <c r="R2137">
        <v>90</v>
      </c>
      <c r="S2137" t="str">
        <f t="shared" si="100"/>
        <v>Adult</v>
      </c>
      <c r="T2137" t="str">
        <f t="shared" si="101"/>
        <v>Low</v>
      </c>
      <c r="U2137" t="str">
        <f t="shared" si="102"/>
        <v>Short Days</v>
      </c>
    </row>
    <row r="2138" spans="1:21">
      <c r="A2138" t="s">
        <v>2154</v>
      </c>
      <c r="B2138" s="5">
        <v>45804</v>
      </c>
      <c r="C2138" t="s">
        <v>3995</v>
      </c>
      <c r="D2138" t="s">
        <v>4740</v>
      </c>
      <c r="E2138" t="s">
        <v>4866</v>
      </c>
      <c r="F2138">
        <v>49</v>
      </c>
      <c r="G2138" t="s">
        <v>4874</v>
      </c>
      <c r="H2138" t="s">
        <v>4886</v>
      </c>
      <c r="I2138" t="s">
        <v>4897</v>
      </c>
      <c r="J2138" t="s">
        <v>4907</v>
      </c>
      <c r="K2138" t="s">
        <v>4930</v>
      </c>
      <c r="L2138" t="s">
        <v>4940</v>
      </c>
      <c r="M2138" t="s">
        <v>4942</v>
      </c>
      <c r="N2138" s="11">
        <v>2824.9</v>
      </c>
      <c r="O2138" t="s">
        <v>15</v>
      </c>
      <c r="P2138" t="s">
        <v>4952</v>
      </c>
      <c r="R2138">
        <v>7</v>
      </c>
      <c r="S2138" t="str">
        <f t="shared" si="100"/>
        <v>Middle-Aged</v>
      </c>
      <c r="T2138" t="str">
        <f t="shared" si="101"/>
        <v>Low</v>
      </c>
      <c r="U2138" t="str">
        <f t="shared" si="102"/>
        <v>Short Days</v>
      </c>
    </row>
    <row r="2139" spans="1:21">
      <c r="A2139" t="s">
        <v>2155</v>
      </c>
      <c r="B2139" s="5">
        <v>45715</v>
      </c>
      <c r="C2139" t="s">
        <v>3408</v>
      </c>
      <c r="D2139" t="s">
        <v>4769</v>
      </c>
      <c r="E2139" t="s">
        <v>4866</v>
      </c>
      <c r="F2139">
        <v>45</v>
      </c>
      <c r="G2139" t="s">
        <v>4882</v>
      </c>
      <c r="H2139" t="s">
        <v>4891</v>
      </c>
      <c r="I2139" t="s">
        <v>4900</v>
      </c>
      <c r="J2139" t="s">
        <v>4913</v>
      </c>
      <c r="K2139" t="s">
        <v>4927</v>
      </c>
      <c r="L2139" t="s">
        <v>4938</v>
      </c>
      <c r="M2139" t="s">
        <v>4942</v>
      </c>
      <c r="N2139" s="11">
        <v>1159.1099999999999</v>
      </c>
      <c r="O2139" t="s">
        <v>4946</v>
      </c>
      <c r="P2139" t="s">
        <v>4951</v>
      </c>
      <c r="R2139">
        <v>90</v>
      </c>
      <c r="S2139" t="str">
        <f t="shared" si="100"/>
        <v>Middle-Aged</v>
      </c>
      <c r="T2139" t="str">
        <f t="shared" si="101"/>
        <v>Low</v>
      </c>
      <c r="U2139" t="str">
        <f t="shared" si="102"/>
        <v>Short Days</v>
      </c>
    </row>
    <row r="2140" spans="1:21">
      <c r="A2140" t="s">
        <v>2156</v>
      </c>
      <c r="B2140" s="5">
        <v>45613</v>
      </c>
      <c r="C2140" t="s">
        <v>4339</v>
      </c>
      <c r="D2140" t="s">
        <v>4660</v>
      </c>
      <c r="E2140" t="s">
        <v>4866</v>
      </c>
      <c r="F2140">
        <v>13</v>
      </c>
      <c r="G2140" t="s">
        <v>4871</v>
      </c>
      <c r="H2140" t="s">
        <v>4886</v>
      </c>
      <c r="I2140" t="s">
        <v>4894</v>
      </c>
      <c r="J2140" t="s">
        <v>4910</v>
      </c>
      <c r="K2140" t="s">
        <v>4927</v>
      </c>
      <c r="L2140" t="s">
        <v>4939</v>
      </c>
      <c r="M2140" t="s">
        <v>4942</v>
      </c>
      <c r="N2140" s="11">
        <v>7699.22</v>
      </c>
      <c r="O2140" t="s">
        <v>4949</v>
      </c>
      <c r="P2140" t="s">
        <v>4951</v>
      </c>
      <c r="R2140">
        <v>14</v>
      </c>
      <c r="S2140" t="str">
        <f t="shared" si="100"/>
        <v>Child</v>
      </c>
      <c r="T2140" t="str">
        <f t="shared" si="101"/>
        <v>Medium</v>
      </c>
      <c r="U2140" t="str">
        <f t="shared" si="102"/>
        <v>Short Days</v>
      </c>
    </row>
    <row r="2141" spans="1:21">
      <c r="A2141" t="s">
        <v>2157</v>
      </c>
      <c r="B2141" s="5">
        <v>45779</v>
      </c>
      <c r="C2141" t="s">
        <v>4075</v>
      </c>
      <c r="D2141" t="s">
        <v>4610</v>
      </c>
      <c r="E2141" t="s">
        <v>4867</v>
      </c>
      <c r="F2141">
        <v>41</v>
      </c>
      <c r="G2141" t="s">
        <v>4880</v>
      </c>
      <c r="H2141" t="s">
        <v>4890</v>
      </c>
      <c r="I2141" t="s">
        <v>4902</v>
      </c>
      <c r="J2141" t="s">
        <v>4916</v>
      </c>
      <c r="K2141" t="s">
        <v>4926</v>
      </c>
      <c r="L2141" t="s">
        <v>4935</v>
      </c>
      <c r="M2141" t="s">
        <v>4942</v>
      </c>
      <c r="N2141" s="11">
        <v>3960.95</v>
      </c>
      <c r="O2141" t="s">
        <v>4949</v>
      </c>
      <c r="P2141" t="s">
        <v>4951</v>
      </c>
      <c r="S2141" t="str">
        <f t="shared" si="100"/>
        <v>Middle-Aged</v>
      </c>
      <c r="T2141" t="str">
        <f t="shared" si="101"/>
        <v>Low</v>
      </c>
      <c r="U2141" t="str">
        <f t="shared" si="102"/>
        <v>Short Days</v>
      </c>
    </row>
    <row r="2142" spans="1:21">
      <c r="A2142" t="s">
        <v>2158</v>
      </c>
      <c r="B2142" s="5">
        <v>45696</v>
      </c>
      <c r="C2142" t="s">
        <v>4340</v>
      </c>
      <c r="D2142" t="s">
        <v>4631</v>
      </c>
      <c r="E2142" t="s">
        <v>4867</v>
      </c>
      <c r="F2142">
        <v>47</v>
      </c>
      <c r="G2142" t="s">
        <v>4878</v>
      </c>
      <c r="H2142" t="s">
        <v>4889</v>
      </c>
      <c r="I2142" t="s">
        <v>4900</v>
      </c>
      <c r="J2142" t="s">
        <v>4913</v>
      </c>
      <c r="K2142" t="s">
        <v>4925</v>
      </c>
      <c r="L2142" t="s">
        <v>4936</v>
      </c>
      <c r="M2142" t="s">
        <v>4942</v>
      </c>
      <c r="N2142" s="11">
        <v>12372.6</v>
      </c>
      <c r="O2142" t="s">
        <v>4946</v>
      </c>
      <c r="P2142" t="s">
        <v>4951</v>
      </c>
      <c r="R2142">
        <v>30</v>
      </c>
      <c r="S2142" t="str">
        <f t="shared" si="100"/>
        <v>Middle-Aged</v>
      </c>
      <c r="T2142" t="str">
        <f t="shared" si="101"/>
        <v>High</v>
      </c>
      <c r="U2142" t="str">
        <f t="shared" si="102"/>
        <v>Short Days</v>
      </c>
    </row>
    <row r="2143" spans="1:21">
      <c r="A2143" t="s">
        <v>2159</v>
      </c>
      <c r="B2143" s="5">
        <v>45592</v>
      </c>
      <c r="C2143" t="s">
        <v>3740</v>
      </c>
      <c r="D2143" t="s">
        <v>4845</v>
      </c>
      <c r="E2143" t="s">
        <v>4866</v>
      </c>
      <c r="F2143">
        <v>35</v>
      </c>
      <c r="G2143" t="s">
        <v>4877</v>
      </c>
      <c r="H2143" t="s">
        <v>4888</v>
      </c>
      <c r="I2143" t="s">
        <v>4894</v>
      </c>
      <c r="J2143" t="s">
        <v>4910</v>
      </c>
      <c r="K2143" t="s">
        <v>4931</v>
      </c>
      <c r="L2143" t="s">
        <v>4935</v>
      </c>
      <c r="M2143" t="s">
        <v>4945</v>
      </c>
      <c r="N2143" s="11">
        <v>5077.3500000000004</v>
      </c>
      <c r="O2143" t="s">
        <v>4947</v>
      </c>
      <c r="P2143" t="s">
        <v>4951</v>
      </c>
      <c r="Q2143">
        <v>6</v>
      </c>
      <c r="R2143">
        <v>90</v>
      </c>
      <c r="S2143" t="str">
        <f t="shared" si="100"/>
        <v>Adult</v>
      </c>
      <c r="T2143" t="str">
        <f t="shared" si="101"/>
        <v>Medium</v>
      </c>
      <c r="U2143" t="str">
        <f t="shared" si="102"/>
        <v>Long Days</v>
      </c>
    </row>
    <row r="2144" spans="1:21">
      <c r="A2144" t="s">
        <v>2160</v>
      </c>
      <c r="B2144" s="5">
        <v>45960</v>
      </c>
      <c r="C2144" t="s">
        <v>3585</v>
      </c>
      <c r="D2144" t="s">
        <v>4717</v>
      </c>
      <c r="E2144" t="s">
        <v>4867</v>
      </c>
      <c r="F2144">
        <v>19</v>
      </c>
      <c r="G2144" t="s">
        <v>4874</v>
      </c>
      <c r="H2144" t="s">
        <v>4886</v>
      </c>
      <c r="I2144" t="s">
        <v>4898</v>
      </c>
      <c r="J2144" t="s">
        <v>4923</v>
      </c>
      <c r="K2144" t="s">
        <v>4927</v>
      </c>
      <c r="L2144" t="s">
        <v>4935</v>
      </c>
      <c r="M2144" t="s">
        <v>4942</v>
      </c>
      <c r="N2144" s="11">
        <v>1283.94</v>
      </c>
      <c r="O2144" t="s">
        <v>15</v>
      </c>
      <c r="P2144" t="s">
        <v>4952</v>
      </c>
      <c r="R2144">
        <v>7</v>
      </c>
      <c r="S2144" t="str">
        <f t="shared" si="100"/>
        <v>Adult</v>
      </c>
      <c r="T2144" t="str">
        <f t="shared" si="101"/>
        <v>Low</v>
      </c>
      <c r="U2144" t="str">
        <f t="shared" si="102"/>
        <v>Short Days</v>
      </c>
    </row>
    <row r="2145" spans="1:21">
      <c r="A2145" t="s">
        <v>2161</v>
      </c>
      <c r="B2145" s="5">
        <v>45442</v>
      </c>
      <c r="C2145" t="s">
        <v>4341</v>
      </c>
      <c r="D2145" t="s">
        <v>4824</v>
      </c>
      <c r="E2145" t="s">
        <v>4867</v>
      </c>
      <c r="F2145">
        <v>53</v>
      </c>
      <c r="G2145" t="s">
        <v>4871</v>
      </c>
      <c r="H2145" t="s">
        <v>4886</v>
      </c>
      <c r="I2145" t="s">
        <v>4893</v>
      </c>
      <c r="J2145" t="s">
        <v>4917</v>
      </c>
      <c r="K2145" t="s">
        <v>4924</v>
      </c>
      <c r="L2145" t="s">
        <v>4936</v>
      </c>
      <c r="M2145" t="s">
        <v>4942</v>
      </c>
      <c r="N2145" s="11">
        <v>2748.13</v>
      </c>
      <c r="O2145" t="s">
        <v>4946</v>
      </c>
      <c r="P2145" t="s">
        <v>4951</v>
      </c>
      <c r="R2145">
        <v>14</v>
      </c>
      <c r="S2145" t="str">
        <f t="shared" si="100"/>
        <v>Middle-Aged</v>
      </c>
      <c r="T2145" t="str">
        <f t="shared" si="101"/>
        <v>Low</v>
      </c>
      <c r="U2145" t="str">
        <f t="shared" si="102"/>
        <v>Short Days</v>
      </c>
    </row>
    <row r="2146" spans="1:21">
      <c r="A2146" t="s">
        <v>2162</v>
      </c>
      <c r="B2146" s="5">
        <v>45344</v>
      </c>
      <c r="C2146" t="s">
        <v>3395</v>
      </c>
      <c r="D2146" t="s">
        <v>4829</v>
      </c>
      <c r="E2146" t="s">
        <v>4866</v>
      </c>
      <c r="F2146">
        <v>79</v>
      </c>
      <c r="G2146" t="s">
        <v>4875</v>
      </c>
      <c r="H2146" t="s">
        <v>4889</v>
      </c>
      <c r="I2146" t="s">
        <v>4896</v>
      </c>
      <c r="J2146" t="s">
        <v>4908</v>
      </c>
      <c r="K2146" t="s">
        <v>4931</v>
      </c>
      <c r="L2146" t="s">
        <v>4939</v>
      </c>
      <c r="M2146" t="s">
        <v>4942</v>
      </c>
      <c r="N2146" s="11">
        <v>2484.34</v>
      </c>
      <c r="O2146" t="s">
        <v>4948</v>
      </c>
      <c r="P2146" t="s">
        <v>4951</v>
      </c>
      <c r="S2146" t="str">
        <f t="shared" si="100"/>
        <v>Senior</v>
      </c>
      <c r="T2146" t="str">
        <f t="shared" si="101"/>
        <v>Low</v>
      </c>
      <c r="U2146" t="str">
        <f t="shared" si="102"/>
        <v>Short Days</v>
      </c>
    </row>
    <row r="2147" spans="1:21">
      <c r="A2147" t="s">
        <v>2163</v>
      </c>
      <c r="B2147" s="5">
        <v>45672</v>
      </c>
      <c r="C2147" t="s">
        <v>3775</v>
      </c>
      <c r="D2147" t="s">
        <v>4781</v>
      </c>
      <c r="E2147" t="s">
        <v>4866</v>
      </c>
      <c r="F2147">
        <v>37</v>
      </c>
      <c r="G2147" t="s">
        <v>4874</v>
      </c>
      <c r="H2147" t="s">
        <v>4886</v>
      </c>
      <c r="I2147" t="s">
        <v>4898</v>
      </c>
      <c r="J2147" t="s">
        <v>4923</v>
      </c>
      <c r="K2147" t="s">
        <v>4932</v>
      </c>
      <c r="L2147" t="s">
        <v>4940</v>
      </c>
      <c r="M2147" t="s">
        <v>4944</v>
      </c>
      <c r="N2147" s="11">
        <v>12218.44</v>
      </c>
      <c r="O2147" t="s">
        <v>4949</v>
      </c>
      <c r="P2147" t="s">
        <v>4951</v>
      </c>
      <c r="R2147">
        <v>7</v>
      </c>
      <c r="S2147" t="str">
        <f t="shared" si="100"/>
        <v>Adult</v>
      </c>
      <c r="T2147" t="str">
        <f t="shared" si="101"/>
        <v>High</v>
      </c>
      <c r="U2147" t="str">
        <f t="shared" si="102"/>
        <v>Short Days</v>
      </c>
    </row>
    <row r="2148" spans="1:21">
      <c r="A2148" t="s">
        <v>2164</v>
      </c>
      <c r="B2148" s="5">
        <v>45869</v>
      </c>
      <c r="C2148" t="s">
        <v>3061</v>
      </c>
      <c r="D2148" t="s">
        <v>4632</v>
      </c>
      <c r="E2148" t="s">
        <v>4866</v>
      </c>
      <c r="F2148">
        <v>34</v>
      </c>
      <c r="G2148" t="s">
        <v>4874</v>
      </c>
      <c r="H2148" t="s">
        <v>4886</v>
      </c>
      <c r="I2148" t="s">
        <v>4893</v>
      </c>
      <c r="J2148" t="s">
        <v>4917</v>
      </c>
      <c r="K2148" t="s">
        <v>4925</v>
      </c>
      <c r="L2148" t="s">
        <v>4940</v>
      </c>
      <c r="M2148" t="s">
        <v>4942</v>
      </c>
      <c r="N2148" s="11">
        <v>9167.84</v>
      </c>
      <c r="O2148" t="s">
        <v>4948</v>
      </c>
      <c r="P2148" t="s">
        <v>4951</v>
      </c>
      <c r="S2148" t="str">
        <f t="shared" si="100"/>
        <v>Adult</v>
      </c>
      <c r="T2148" t="str">
        <f t="shared" si="101"/>
        <v>Medium</v>
      </c>
      <c r="U2148" t="str">
        <f t="shared" si="102"/>
        <v>Short Days</v>
      </c>
    </row>
    <row r="2149" spans="1:21">
      <c r="A2149" t="s">
        <v>2165</v>
      </c>
      <c r="B2149" s="5">
        <v>45741</v>
      </c>
      <c r="C2149" t="s">
        <v>3846</v>
      </c>
      <c r="D2149" t="s">
        <v>4798</v>
      </c>
      <c r="E2149" t="s">
        <v>4867</v>
      </c>
      <c r="F2149">
        <v>29</v>
      </c>
      <c r="G2149" t="s">
        <v>4871</v>
      </c>
      <c r="H2149" t="s">
        <v>4886</v>
      </c>
      <c r="I2149" t="s">
        <v>4901</v>
      </c>
      <c r="J2149" t="s">
        <v>4921</v>
      </c>
      <c r="K2149" t="s">
        <v>4924</v>
      </c>
      <c r="L2149" t="s">
        <v>4939</v>
      </c>
      <c r="M2149" t="s">
        <v>4944</v>
      </c>
      <c r="N2149" s="11">
        <v>10875.26</v>
      </c>
      <c r="O2149" t="s">
        <v>4946</v>
      </c>
      <c r="P2149" t="s">
        <v>4951</v>
      </c>
      <c r="R2149">
        <v>30</v>
      </c>
      <c r="S2149" t="str">
        <f t="shared" si="100"/>
        <v>Adult</v>
      </c>
      <c r="T2149" t="str">
        <f t="shared" si="101"/>
        <v>High</v>
      </c>
      <c r="U2149" t="str">
        <f t="shared" si="102"/>
        <v>Short Days</v>
      </c>
    </row>
    <row r="2150" spans="1:21">
      <c r="A2150" t="s">
        <v>2166</v>
      </c>
      <c r="B2150" s="5">
        <v>45463</v>
      </c>
      <c r="C2150" t="s">
        <v>4236</v>
      </c>
      <c r="D2150" t="s">
        <v>4706</v>
      </c>
      <c r="E2150" t="s">
        <v>4866</v>
      </c>
      <c r="F2150">
        <v>75</v>
      </c>
      <c r="G2150" t="s">
        <v>4878</v>
      </c>
      <c r="H2150" t="s">
        <v>4889</v>
      </c>
      <c r="I2150" t="s">
        <v>4895</v>
      </c>
      <c r="J2150" t="s">
        <v>4905</v>
      </c>
      <c r="K2150" t="s">
        <v>4927</v>
      </c>
      <c r="L2150" t="s">
        <v>4939</v>
      </c>
      <c r="M2150" t="s">
        <v>4942</v>
      </c>
      <c r="N2150" s="11">
        <v>1679.13</v>
      </c>
      <c r="O2150" t="s">
        <v>4947</v>
      </c>
      <c r="P2150" t="s">
        <v>4951</v>
      </c>
      <c r="S2150" t="str">
        <f t="shared" si="100"/>
        <v>Senior</v>
      </c>
      <c r="T2150" t="str">
        <f t="shared" si="101"/>
        <v>Low</v>
      </c>
      <c r="U2150" t="str">
        <f t="shared" si="102"/>
        <v>Short Days</v>
      </c>
    </row>
    <row r="2151" spans="1:21">
      <c r="A2151" t="s">
        <v>2167</v>
      </c>
      <c r="B2151" s="5">
        <v>45867</v>
      </c>
      <c r="C2151" t="s">
        <v>4041</v>
      </c>
      <c r="D2151" t="s">
        <v>4795</v>
      </c>
      <c r="E2151" t="s">
        <v>4866</v>
      </c>
      <c r="F2151">
        <v>39</v>
      </c>
      <c r="G2151" t="s">
        <v>4871</v>
      </c>
      <c r="H2151" t="s">
        <v>4886</v>
      </c>
      <c r="I2151" t="s">
        <v>4897</v>
      </c>
      <c r="J2151" t="s">
        <v>4922</v>
      </c>
      <c r="K2151" t="s">
        <v>4930</v>
      </c>
      <c r="L2151" t="s">
        <v>4938</v>
      </c>
      <c r="M2151" t="s">
        <v>4942</v>
      </c>
      <c r="N2151" s="11">
        <v>12260.54</v>
      </c>
      <c r="O2151" t="s">
        <v>4947</v>
      </c>
      <c r="P2151" t="s">
        <v>4951</v>
      </c>
      <c r="R2151">
        <v>30</v>
      </c>
      <c r="S2151" t="str">
        <f t="shared" si="100"/>
        <v>Adult</v>
      </c>
      <c r="T2151" t="str">
        <f t="shared" si="101"/>
        <v>High</v>
      </c>
      <c r="U2151" t="str">
        <f t="shared" si="102"/>
        <v>Short Days</v>
      </c>
    </row>
    <row r="2152" spans="1:21">
      <c r="A2152" t="s">
        <v>2168</v>
      </c>
      <c r="B2152" s="5">
        <v>45715</v>
      </c>
      <c r="C2152" t="s">
        <v>4342</v>
      </c>
      <c r="D2152" t="s">
        <v>4785</v>
      </c>
      <c r="E2152" t="s">
        <v>4867</v>
      </c>
      <c r="F2152">
        <v>72</v>
      </c>
      <c r="G2152" t="s">
        <v>4876</v>
      </c>
      <c r="H2152" t="s">
        <v>4888</v>
      </c>
      <c r="I2152" t="s">
        <v>4899</v>
      </c>
      <c r="J2152" t="s">
        <v>4911</v>
      </c>
      <c r="K2152" t="s">
        <v>4928</v>
      </c>
      <c r="L2152" t="s">
        <v>4937</v>
      </c>
      <c r="M2152" t="s">
        <v>4942</v>
      </c>
      <c r="N2152" s="11">
        <v>1647.66</v>
      </c>
      <c r="O2152" t="s">
        <v>4948</v>
      </c>
      <c r="P2152" t="s">
        <v>4951</v>
      </c>
      <c r="R2152">
        <v>30</v>
      </c>
      <c r="S2152" t="str">
        <f t="shared" si="100"/>
        <v>Senior</v>
      </c>
      <c r="T2152" t="str">
        <f t="shared" si="101"/>
        <v>Low</v>
      </c>
      <c r="U2152" t="str">
        <f t="shared" si="102"/>
        <v>Short Days</v>
      </c>
    </row>
    <row r="2153" spans="1:21">
      <c r="A2153" t="s">
        <v>2169</v>
      </c>
      <c r="B2153" s="5">
        <v>45567</v>
      </c>
      <c r="C2153" t="s">
        <v>3822</v>
      </c>
      <c r="D2153" t="s">
        <v>4632</v>
      </c>
      <c r="E2153" t="s">
        <v>4866</v>
      </c>
      <c r="F2153">
        <v>44</v>
      </c>
      <c r="G2153" t="s">
        <v>4872</v>
      </c>
      <c r="H2153" t="s">
        <v>4887</v>
      </c>
      <c r="I2153" t="s">
        <v>4900</v>
      </c>
      <c r="J2153" t="s">
        <v>4913</v>
      </c>
      <c r="K2153" t="s">
        <v>4927</v>
      </c>
      <c r="L2153" t="s">
        <v>4937</v>
      </c>
      <c r="M2153" t="s">
        <v>4942</v>
      </c>
      <c r="N2153" s="11">
        <v>22254.61</v>
      </c>
      <c r="O2153" t="s">
        <v>4946</v>
      </c>
      <c r="P2153" t="s">
        <v>4951</v>
      </c>
      <c r="S2153" t="str">
        <f t="shared" si="100"/>
        <v>Middle-Aged</v>
      </c>
      <c r="T2153" t="str">
        <f t="shared" si="101"/>
        <v>High</v>
      </c>
      <c r="U2153" t="str">
        <f t="shared" si="102"/>
        <v>Short Days</v>
      </c>
    </row>
    <row r="2154" spans="1:21">
      <c r="A2154" t="s">
        <v>2170</v>
      </c>
      <c r="B2154" s="5">
        <v>45878</v>
      </c>
      <c r="C2154" t="s">
        <v>3759</v>
      </c>
      <c r="D2154" t="s">
        <v>4774</v>
      </c>
      <c r="E2154" t="s">
        <v>4867</v>
      </c>
      <c r="F2154">
        <v>24</v>
      </c>
      <c r="G2154" t="s">
        <v>4873</v>
      </c>
      <c r="H2154" t="s">
        <v>4888</v>
      </c>
      <c r="I2154" t="s">
        <v>4894</v>
      </c>
      <c r="J2154" t="s">
        <v>4910</v>
      </c>
      <c r="K2154" t="s">
        <v>4927</v>
      </c>
      <c r="L2154" t="s">
        <v>4938</v>
      </c>
      <c r="M2154" t="s">
        <v>4944</v>
      </c>
      <c r="N2154" s="11">
        <v>9425.33</v>
      </c>
      <c r="O2154" t="s">
        <v>4949</v>
      </c>
      <c r="P2154" t="s">
        <v>4951</v>
      </c>
      <c r="R2154">
        <v>90</v>
      </c>
      <c r="S2154" t="str">
        <f t="shared" si="100"/>
        <v>Adult</v>
      </c>
      <c r="T2154" t="str">
        <f t="shared" si="101"/>
        <v>Medium</v>
      </c>
      <c r="U2154" t="str">
        <f t="shared" si="102"/>
        <v>Short Days</v>
      </c>
    </row>
    <row r="2155" spans="1:21">
      <c r="A2155" t="s">
        <v>2171</v>
      </c>
      <c r="B2155" s="5">
        <v>45786</v>
      </c>
      <c r="C2155" t="s">
        <v>3129</v>
      </c>
      <c r="D2155" t="s">
        <v>4663</v>
      </c>
      <c r="E2155" t="s">
        <v>4866</v>
      </c>
      <c r="F2155">
        <v>71</v>
      </c>
      <c r="G2155" t="s">
        <v>4872</v>
      </c>
      <c r="H2155" t="s">
        <v>4887</v>
      </c>
      <c r="I2155" t="s">
        <v>4901</v>
      </c>
      <c r="J2155" t="s">
        <v>4921</v>
      </c>
      <c r="K2155" t="s">
        <v>4928</v>
      </c>
      <c r="L2155" t="s">
        <v>4934</v>
      </c>
      <c r="M2155" t="s">
        <v>4942</v>
      </c>
      <c r="N2155" s="11">
        <v>514.28</v>
      </c>
      <c r="O2155" t="s">
        <v>15</v>
      </c>
      <c r="P2155" t="s">
        <v>4952</v>
      </c>
      <c r="R2155">
        <v>7</v>
      </c>
      <c r="S2155" t="str">
        <f t="shared" si="100"/>
        <v>Senior</v>
      </c>
      <c r="T2155" t="str">
        <f t="shared" si="101"/>
        <v>Low</v>
      </c>
      <c r="U2155" t="str">
        <f t="shared" si="102"/>
        <v>Short Days</v>
      </c>
    </row>
    <row r="2156" spans="1:21">
      <c r="A2156" t="s">
        <v>2172</v>
      </c>
      <c r="B2156" s="5">
        <v>45726</v>
      </c>
      <c r="C2156" t="s">
        <v>4218</v>
      </c>
      <c r="D2156" t="s">
        <v>4724</v>
      </c>
      <c r="E2156" t="s">
        <v>4866</v>
      </c>
      <c r="F2156">
        <v>46</v>
      </c>
      <c r="G2156" t="s">
        <v>4870</v>
      </c>
      <c r="H2156" t="s">
        <v>4885</v>
      </c>
      <c r="I2156" t="s">
        <v>4895</v>
      </c>
      <c r="J2156" t="s">
        <v>4905</v>
      </c>
      <c r="K2156" t="s">
        <v>4933</v>
      </c>
      <c r="L2156" t="s">
        <v>4938</v>
      </c>
      <c r="M2156" t="s">
        <v>4942</v>
      </c>
      <c r="N2156" s="11">
        <v>7137.91</v>
      </c>
      <c r="O2156" t="s">
        <v>4948</v>
      </c>
      <c r="P2156" t="s">
        <v>4951</v>
      </c>
      <c r="R2156">
        <v>90</v>
      </c>
      <c r="S2156" t="str">
        <f t="shared" si="100"/>
        <v>Middle-Aged</v>
      </c>
      <c r="T2156" t="str">
        <f t="shared" si="101"/>
        <v>Medium</v>
      </c>
      <c r="U2156" t="str">
        <f t="shared" si="102"/>
        <v>Short Days</v>
      </c>
    </row>
    <row r="2157" spans="1:21">
      <c r="A2157" t="s">
        <v>2173</v>
      </c>
      <c r="B2157" s="5">
        <v>45515</v>
      </c>
      <c r="C2157" t="s">
        <v>3051</v>
      </c>
      <c r="D2157" t="s">
        <v>4709</v>
      </c>
      <c r="E2157" t="s">
        <v>4866</v>
      </c>
      <c r="F2157">
        <v>26</v>
      </c>
      <c r="G2157" t="s">
        <v>4872</v>
      </c>
      <c r="H2157" t="s">
        <v>4887</v>
      </c>
      <c r="I2157" t="s">
        <v>4899</v>
      </c>
      <c r="J2157" t="s">
        <v>4912</v>
      </c>
      <c r="K2157" t="s">
        <v>4931</v>
      </c>
      <c r="L2157" t="s">
        <v>4936</v>
      </c>
      <c r="M2157" t="s">
        <v>4943</v>
      </c>
      <c r="N2157" s="11">
        <v>6300.95</v>
      </c>
      <c r="O2157" t="s">
        <v>4947</v>
      </c>
      <c r="P2157" t="s">
        <v>4951</v>
      </c>
      <c r="R2157">
        <v>30</v>
      </c>
      <c r="S2157" t="str">
        <f t="shared" si="100"/>
        <v>Adult</v>
      </c>
      <c r="T2157" t="str">
        <f t="shared" si="101"/>
        <v>Medium</v>
      </c>
      <c r="U2157" t="str">
        <f t="shared" si="102"/>
        <v>Short Days</v>
      </c>
    </row>
    <row r="2158" spans="1:21">
      <c r="A2158" t="s">
        <v>2174</v>
      </c>
      <c r="B2158" s="5">
        <v>45585</v>
      </c>
      <c r="C2158" t="s">
        <v>4093</v>
      </c>
      <c r="D2158" t="s">
        <v>4742</v>
      </c>
      <c r="E2158" t="s">
        <v>4866</v>
      </c>
      <c r="F2158">
        <v>30</v>
      </c>
      <c r="G2158" t="s">
        <v>4875</v>
      </c>
      <c r="H2158" t="s">
        <v>4889</v>
      </c>
      <c r="I2158" t="s">
        <v>4898</v>
      </c>
      <c r="J2158" t="s">
        <v>4923</v>
      </c>
      <c r="K2158" t="s">
        <v>4925</v>
      </c>
      <c r="L2158" t="s">
        <v>4936</v>
      </c>
      <c r="M2158" t="s">
        <v>4943</v>
      </c>
      <c r="N2158" s="11">
        <v>13385.68</v>
      </c>
      <c r="O2158" t="s">
        <v>4946</v>
      </c>
      <c r="P2158" t="s">
        <v>4951</v>
      </c>
      <c r="R2158">
        <v>30</v>
      </c>
      <c r="S2158" t="str">
        <f t="shared" si="100"/>
        <v>Adult</v>
      </c>
      <c r="T2158" t="str">
        <f t="shared" si="101"/>
        <v>High</v>
      </c>
      <c r="U2158" t="str">
        <f t="shared" si="102"/>
        <v>Short Days</v>
      </c>
    </row>
    <row r="2159" spans="1:21">
      <c r="A2159" t="s">
        <v>2175</v>
      </c>
      <c r="B2159" s="5">
        <v>45455</v>
      </c>
      <c r="C2159" t="s">
        <v>3238</v>
      </c>
      <c r="D2159" t="s">
        <v>4837</v>
      </c>
      <c r="E2159" t="s">
        <v>4867</v>
      </c>
      <c r="F2159">
        <v>2</v>
      </c>
      <c r="G2159" t="s">
        <v>4883</v>
      </c>
      <c r="H2159" t="s">
        <v>4892</v>
      </c>
      <c r="I2159" t="s">
        <v>4893</v>
      </c>
      <c r="J2159" t="s">
        <v>4903</v>
      </c>
      <c r="K2159" t="s">
        <v>4933</v>
      </c>
      <c r="L2159" t="s">
        <v>4939</v>
      </c>
      <c r="M2159" t="s">
        <v>4942</v>
      </c>
      <c r="N2159" s="11">
        <v>2004.05</v>
      </c>
      <c r="O2159" t="s">
        <v>4948</v>
      </c>
      <c r="P2159" t="s">
        <v>4951</v>
      </c>
      <c r="S2159" t="str">
        <f t="shared" si="100"/>
        <v>Child</v>
      </c>
      <c r="T2159" t="str">
        <f t="shared" si="101"/>
        <v>Low</v>
      </c>
      <c r="U2159" t="str">
        <f t="shared" si="102"/>
        <v>Short Days</v>
      </c>
    </row>
    <row r="2160" spans="1:21">
      <c r="A2160" t="s">
        <v>2176</v>
      </c>
      <c r="B2160" s="5">
        <v>45861</v>
      </c>
      <c r="C2160" t="s">
        <v>4343</v>
      </c>
      <c r="D2160" t="s">
        <v>4830</v>
      </c>
      <c r="E2160" t="s">
        <v>4866</v>
      </c>
      <c r="F2160">
        <v>15</v>
      </c>
      <c r="G2160" t="s">
        <v>4880</v>
      </c>
      <c r="H2160" t="s">
        <v>4890</v>
      </c>
      <c r="I2160" t="s">
        <v>4896</v>
      </c>
      <c r="J2160" t="s">
        <v>4906</v>
      </c>
      <c r="K2160" t="s">
        <v>4926</v>
      </c>
      <c r="L2160" t="s">
        <v>4938</v>
      </c>
      <c r="M2160" t="s">
        <v>4942</v>
      </c>
      <c r="N2160" s="11">
        <v>3371.01</v>
      </c>
      <c r="O2160" t="s">
        <v>4947</v>
      </c>
      <c r="P2160" t="s">
        <v>4951</v>
      </c>
      <c r="R2160">
        <v>14</v>
      </c>
      <c r="S2160" t="str">
        <f t="shared" si="100"/>
        <v>Child</v>
      </c>
      <c r="T2160" t="str">
        <f t="shared" si="101"/>
        <v>Low</v>
      </c>
      <c r="U2160" t="str">
        <f t="shared" si="102"/>
        <v>Short Days</v>
      </c>
    </row>
    <row r="2161" spans="1:21">
      <c r="A2161" t="s">
        <v>2177</v>
      </c>
      <c r="B2161" s="5">
        <v>45614</v>
      </c>
      <c r="C2161" t="s">
        <v>4088</v>
      </c>
      <c r="D2161" t="s">
        <v>4809</v>
      </c>
      <c r="E2161" t="s">
        <v>4867</v>
      </c>
      <c r="F2161">
        <v>14</v>
      </c>
      <c r="G2161" t="s">
        <v>4880</v>
      </c>
      <c r="H2161" t="s">
        <v>4890</v>
      </c>
      <c r="I2161" t="s">
        <v>4901</v>
      </c>
      <c r="J2161" t="s">
        <v>4914</v>
      </c>
      <c r="K2161" t="s">
        <v>4930</v>
      </c>
      <c r="L2161" t="s">
        <v>4935</v>
      </c>
      <c r="M2161" t="s">
        <v>4945</v>
      </c>
      <c r="N2161" s="11">
        <v>26709.09</v>
      </c>
      <c r="O2161" t="s">
        <v>15</v>
      </c>
      <c r="P2161" t="s">
        <v>4952</v>
      </c>
      <c r="Q2161">
        <v>10</v>
      </c>
      <c r="S2161" t="str">
        <f t="shared" si="100"/>
        <v>Child</v>
      </c>
      <c r="T2161" t="str">
        <f t="shared" si="101"/>
        <v>High</v>
      </c>
      <c r="U2161" t="str">
        <f t="shared" si="102"/>
        <v>Long Days</v>
      </c>
    </row>
    <row r="2162" spans="1:21">
      <c r="A2162" t="s">
        <v>2178</v>
      </c>
      <c r="B2162" s="5">
        <v>45662</v>
      </c>
      <c r="C2162" t="s">
        <v>3902</v>
      </c>
      <c r="D2162" t="s">
        <v>4822</v>
      </c>
      <c r="E2162" t="s">
        <v>4867</v>
      </c>
      <c r="F2162">
        <v>35</v>
      </c>
      <c r="G2162" t="s">
        <v>4874</v>
      </c>
      <c r="H2162" t="s">
        <v>4886</v>
      </c>
      <c r="I2162" t="s">
        <v>4894</v>
      </c>
      <c r="J2162" t="s">
        <v>4904</v>
      </c>
      <c r="K2162" t="s">
        <v>4931</v>
      </c>
      <c r="L2162" t="s">
        <v>4941</v>
      </c>
      <c r="M2162" t="s">
        <v>4942</v>
      </c>
      <c r="N2162" s="11">
        <v>31179.25</v>
      </c>
      <c r="O2162" t="s">
        <v>15</v>
      </c>
      <c r="P2162" t="s">
        <v>4952</v>
      </c>
      <c r="R2162">
        <v>7</v>
      </c>
      <c r="S2162" t="str">
        <f t="shared" si="100"/>
        <v>Adult</v>
      </c>
      <c r="T2162" t="str">
        <f t="shared" si="101"/>
        <v>High</v>
      </c>
      <c r="U2162" t="str">
        <f t="shared" si="102"/>
        <v>Short Days</v>
      </c>
    </row>
    <row r="2163" spans="1:21">
      <c r="A2163" t="s">
        <v>2179</v>
      </c>
      <c r="B2163" s="5">
        <v>45710</v>
      </c>
      <c r="C2163" t="s">
        <v>4237</v>
      </c>
      <c r="D2163" t="s">
        <v>4767</v>
      </c>
      <c r="E2163" t="s">
        <v>4866</v>
      </c>
      <c r="F2163">
        <v>30</v>
      </c>
      <c r="G2163" t="s">
        <v>4881</v>
      </c>
      <c r="H2163" t="s">
        <v>4881</v>
      </c>
      <c r="I2163" t="s">
        <v>4897</v>
      </c>
      <c r="J2163" t="s">
        <v>4907</v>
      </c>
      <c r="K2163" t="s">
        <v>4930</v>
      </c>
      <c r="L2163" t="s">
        <v>4938</v>
      </c>
      <c r="M2163" t="s">
        <v>4942</v>
      </c>
      <c r="N2163" s="11">
        <v>5095.93</v>
      </c>
      <c r="O2163" t="s">
        <v>4947</v>
      </c>
      <c r="P2163" t="s">
        <v>4951</v>
      </c>
      <c r="S2163" t="str">
        <f t="shared" si="100"/>
        <v>Adult</v>
      </c>
      <c r="T2163" t="str">
        <f t="shared" si="101"/>
        <v>Medium</v>
      </c>
      <c r="U2163" t="str">
        <f t="shared" si="102"/>
        <v>Short Days</v>
      </c>
    </row>
    <row r="2164" spans="1:21">
      <c r="A2164" t="s">
        <v>2180</v>
      </c>
      <c r="B2164" s="5">
        <v>45862</v>
      </c>
      <c r="C2164" t="s">
        <v>3968</v>
      </c>
      <c r="D2164" t="s">
        <v>4753</v>
      </c>
      <c r="E2164" t="s">
        <v>4866</v>
      </c>
      <c r="F2164">
        <v>15</v>
      </c>
      <c r="G2164" t="s">
        <v>4874</v>
      </c>
      <c r="H2164" t="s">
        <v>4886</v>
      </c>
      <c r="I2164" t="s">
        <v>4899</v>
      </c>
      <c r="J2164" t="s">
        <v>4912</v>
      </c>
      <c r="K2164" t="s">
        <v>4933</v>
      </c>
      <c r="L2164" t="s">
        <v>4934</v>
      </c>
      <c r="M2164" t="s">
        <v>4943</v>
      </c>
      <c r="N2164" s="11">
        <v>21420.74</v>
      </c>
      <c r="O2164" t="s">
        <v>4947</v>
      </c>
      <c r="P2164" t="s">
        <v>4951</v>
      </c>
      <c r="R2164">
        <v>7</v>
      </c>
      <c r="S2164" t="str">
        <f t="shared" si="100"/>
        <v>Child</v>
      </c>
      <c r="T2164" t="str">
        <f t="shared" si="101"/>
        <v>High</v>
      </c>
      <c r="U2164" t="str">
        <f t="shared" si="102"/>
        <v>Short Days</v>
      </c>
    </row>
    <row r="2165" spans="1:21">
      <c r="A2165" t="s">
        <v>2181</v>
      </c>
      <c r="B2165" s="5">
        <v>45510</v>
      </c>
      <c r="C2165" t="s">
        <v>3820</v>
      </c>
      <c r="D2165" t="s">
        <v>4821</v>
      </c>
      <c r="E2165" t="s">
        <v>4866</v>
      </c>
      <c r="F2165">
        <v>47</v>
      </c>
      <c r="G2165" t="s">
        <v>4879</v>
      </c>
      <c r="H2165" t="s">
        <v>4888</v>
      </c>
      <c r="I2165" t="s">
        <v>4898</v>
      </c>
      <c r="J2165" t="s">
        <v>4923</v>
      </c>
      <c r="K2165" t="s">
        <v>4924</v>
      </c>
      <c r="L2165" t="s">
        <v>4941</v>
      </c>
      <c r="M2165" t="s">
        <v>4942</v>
      </c>
      <c r="N2165" s="11">
        <v>2088.61</v>
      </c>
      <c r="O2165" t="s">
        <v>4946</v>
      </c>
      <c r="P2165" t="s">
        <v>4951</v>
      </c>
      <c r="R2165">
        <v>90</v>
      </c>
      <c r="S2165" t="str">
        <f t="shared" si="100"/>
        <v>Middle-Aged</v>
      </c>
      <c r="T2165" t="str">
        <f t="shared" si="101"/>
        <v>Low</v>
      </c>
      <c r="U2165" t="str">
        <f t="shared" si="102"/>
        <v>Short Days</v>
      </c>
    </row>
    <row r="2166" spans="1:21">
      <c r="A2166" t="s">
        <v>2182</v>
      </c>
      <c r="B2166" s="5">
        <v>45304</v>
      </c>
      <c r="C2166" t="s">
        <v>3176</v>
      </c>
      <c r="D2166" t="s">
        <v>4703</v>
      </c>
      <c r="E2166" t="s">
        <v>4866</v>
      </c>
      <c r="F2166">
        <v>18</v>
      </c>
      <c r="G2166" t="s">
        <v>4883</v>
      </c>
      <c r="H2166" t="s">
        <v>4892</v>
      </c>
      <c r="I2166" t="s">
        <v>4896</v>
      </c>
      <c r="J2166" t="s">
        <v>4908</v>
      </c>
      <c r="K2166" t="s">
        <v>4932</v>
      </c>
      <c r="L2166" t="s">
        <v>4936</v>
      </c>
      <c r="M2166" t="s">
        <v>4942</v>
      </c>
      <c r="N2166" s="11">
        <v>13726.93</v>
      </c>
      <c r="O2166" t="s">
        <v>4947</v>
      </c>
      <c r="P2166" t="s">
        <v>4951</v>
      </c>
      <c r="S2166" t="str">
        <f t="shared" si="100"/>
        <v>Adult</v>
      </c>
      <c r="T2166" t="str">
        <f t="shared" si="101"/>
        <v>High</v>
      </c>
      <c r="U2166" t="str">
        <f t="shared" si="102"/>
        <v>Short Days</v>
      </c>
    </row>
    <row r="2167" spans="1:21">
      <c r="A2167" t="s">
        <v>2183</v>
      </c>
      <c r="B2167" s="5">
        <v>45589</v>
      </c>
      <c r="C2167" t="s">
        <v>4305</v>
      </c>
      <c r="D2167" t="s">
        <v>4608</v>
      </c>
      <c r="E2167" t="s">
        <v>4866</v>
      </c>
      <c r="F2167">
        <v>33</v>
      </c>
      <c r="G2167" t="s">
        <v>4871</v>
      </c>
      <c r="H2167" t="s">
        <v>4886</v>
      </c>
      <c r="I2167" t="s">
        <v>4899</v>
      </c>
      <c r="J2167" t="s">
        <v>4912</v>
      </c>
      <c r="K2167" t="s">
        <v>4932</v>
      </c>
      <c r="L2167" t="s">
        <v>4937</v>
      </c>
      <c r="M2167" t="s">
        <v>4942</v>
      </c>
      <c r="N2167" s="11">
        <v>3309.06</v>
      </c>
      <c r="O2167" t="s">
        <v>15</v>
      </c>
      <c r="P2167" t="s">
        <v>4952</v>
      </c>
      <c r="R2167">
        <v>7</v>
      </c>
      <c r="S2167" t="str">
        <f t="shared" si="100"/>
        <v>Adult</v>
      </c>
      <c r="T2167" t="str">
        <f t="shared" si="101"/>
        <v>Low</v>
      </c>
      <c r="U2167" t="str">
        <f t="shared" si="102"/>
        <v>Short Days</v>
      </c>
    </row>
    <row r="2168" spans="1:21">
      <c r="A2168" t="s">
        <v>2184</v>
      </c>
      <c r="B2168" s="5">
        <v>45450</v>
      </c>
      <c r="C2168" t="s">
        <v>4344</v>
      </c>
      <c r="D2168" t="s">
        <v>4801</v>
      </c>
      <c r="E2168" t="s">
        <v>4867</v>
      </c>
      <c r="F2168">
        <v>43</v>
      </c>
      <c r="G2168" t="s">
        <v>4878</v>
      </c>
      <c r="H2168" t="s">
        <v>4889</v>
      </c>
      <c r="I2168" t="s">
        <v>4900</v>
      </c>
      <c r="J2168" t="s">
        <v>4919</v>
      </c>
      <c r="K2168" t="s">
        <v>4932</v>
      </c>
      <c r="L2168" t="s">
        <v>4936</v>
      </c>
      <c r="M2168" t="s">
        <v>4944</v>
      </c>
      <c r="N2168" s="11">
        <v>11763.9</v>
      </c>
      <c r="O2168" t="s">
        <v>15</v>
      </c>
      <c r="P2168" t="s">
        <v>4952</v>
      </c>
      <c r="R2168">
        <v>14</v>
      </c>
      <c r="S2168" t="str">
        <f t="shared" si="100"/>
        <v>Middle-Aged</v>
      </c>
      <c r="T2168" t="str">
        <f t="shared" si="101"/>
        <v>High</v>
      </c>
      <c r="U2168" t="str">
        <f t="shared" si="102"/>
        <v>Short Days</v>
      </c>
    </row>
    <row r="2169" spans="1:21">
      <c r="A2169" t="s">
        <v>2185</v>
      </c>
      <c r="B2169" s="5">
        <v>45610</v>
      </c>
      <c r="C2169" t="s">
        <v>4205</v>
      </c>
      <c r="D2169" t="s">
        <v>4814</v>
      </c>
      <c r="E2169" t="s">
        <v>4867</v>
      </c>
      <c r="F2169">
        <f>AVERAGE(F2162,F2168)</f>
        <v>39</v>
      </c>
      <c r="G2169" t="s">
        <v>4881</v>
      </c>
      <c r="H2169" t="s">
        <v>4888</v>
      </c>
      <c r="I2169" t="s">
        <v>4898</v>
      </c>
      <c r="J2169" t="s">
        <v>4923</v>
      </c>
      <c r="K2169" t="s">
        <v>4953</v>
      </c>
      <c r="L2169" t="s">
        <v>4939</v>
      </c>
      <c r="M2169" t="s">
        <v>4942</v>
      </c>
      <c r="N2169" s="11">
        <v>2070.5300000000002</v>
      </c>
      <c r="O2169" t="s">
        <v>15</v>
      </c>
      <c r="P2169" t="s">
        <v>4952</v>
      </c>
      <c r="S2169" t="str">
        <f t="shared" si="100"/>
        <v>Adult</v>
      </c>
      <c r="T2169" t="str">
        <f t="shared" si="101"/>
        <v>Low</v>
      </c>
      <c r="U2169" t="str">
        <f t="shared" si="102"/>
        <v>Short Days</v>
      </c>
    </row>
    <row r="2170" spans="1:21">
      <c r="A2170" t="s">
        <v>2186</v>
      </c>
      <c r="B2170" s="5">
        <v>45641</v>
      </c>
      <c r="C2170" t="s">
        <v>3846</v>
      </c>
      <c r="D2170" t="s">
        <v>4674</v>
      </c>
      <c r="E2170" t="s">
        <v>4866</v>
      </c>
      <c r="F2170">
        <v>32</v>
      </c>
      <c r="G2170" t="s">
        <v>4871</v>
      </c>
      <c r="H2170" t="s">
        <v>4886</v>
      </c>
      <c r="I2170" t="s">
        <v>4894</v>
      </c>
      <c r="J2170" t="s">
        <v>4910</v>
      </c>
      <c r="K2170" t="s">
        <v>4926</v>
      </c>
      <c r="L2170" t="s">
        <v>4940</v>
      </c>
      <c r="M2170" t="s">
        <v>4942</v>
      </c>
      <c r="N2170" s="11">
        <v>27486.6</v>
      </c>
      <c r="O2170" t="s">
        <v>4948</v>
      </c>
      <c r="P2170" t="s">
        <v>4951</v>
      </c>
      <c r="R2170">
        <v>14</v>
      </c>
      <c r="S2170" t="str">
        <f t="shared" si="100"/>
        <v>Adult</v>
      </c>
      <c r="T2170" t="str">
        <f t="shared" si="101"/>
        <v>High</v>
      </c>
      <c r="U2170" t="str">
        <f t="shared" si="102"/>
        <v>Short Days</v>
      </c>
    </row>
    <row r="2171" spans="1:21">
      <c r="A2171" t="s">
        <v>2187</v>
      </c>
      <c r="B2171" s="5">
        <v>45425</v>
      </c>
      <c r="C2171" t="s">
        <v>4063</v>
      </c>
      <c r="D2171" t="s">
        <v>4659</v>
      </c>
      <c r="E2171" t="s">
        <v>4866</v>
      </c>
      <c r="F2171">
        <v>20</v>
      </c>
      <c r="G2171" t="s">
        <v>4878</v>
      </c>
      <c r="H2171" t="s">
        <v>4889</v>
      </c>
      <c r="I2171" t="s">
        <v>4894</v>
      </c>
      <c r="J2171" t="s">
        <v>4910</v>
      </c>
      <c r="K2171" t="s">
        <v>4927</v>
      </c>
      <c r="L2171" t="s">
        <v>4940</v>
      </c>
      <c r="M2171" t="s">
        <v>4942</v>
      </c>
      <c r="N2171" s="11">
        <v>1721.91</v>
      </c>
      <c r="O2171" t="s">
        <v>4946</v>
      </c>
      <c r="P2171" t="s">
        <v>4951</v>
      </c>
      <c r="S2171" t="str">
        <f t="shared" si="100"/>
        <v>Adult</v>
      </c>
      <c r="T2171" t="str">
        <f t="shared" si="101"/>
        <v>Low</v>
      </c>
      <c r="U2171" t="str">
        <f t="shared" si="102"/>
        <v>Short Days</v>
      </c>
    </row>
    <row r="2172" spans="1:21">
      <c r="A2172" t="s">
        <v>2188</v>
      </c>
      <c r="B2172" s="5">
        <v>45852</v>
      </c>
      <c r="C2172" t="s">
        <v>4345</v>
      </c>
      <c r="D2172" t="s">
        <v>4661</v>
      </c>
      <c r="E2172" t="s">
        <v>4866</v>
      </c>
      <c r="F2172">
        <v>64</v>
      </c>
      <c r="G2172" t="s">
        <v>4870</v>
      </c>
      <c r="H2172" t="s">
        <v>4885</v>
      </c>
      <c r="I2172" t="s">
        <v>4899</v>
      </c>
      <c r="J2172" t="s">
        <v>4912</v>
      </c>
      <c r="K2172" t="s">
        <v>4929</v>
      </c>
      <c r="L2172" t="s">
        <v>4939</v>
      </c>
      <c r="M2172" t="s">
        <v>4942</v>
      </c>
      <c r="N2172" s="11">
        <v>5416.02</v>
      </c>
      <c r="O2172" t="s">
        <v>4950</v>
      </c>
      <c r="P2172" t="s">
        <v>4951</v>
      </c>
      <c r="R2172">
        <v>7</v>
      </c>
      <c r="S2172" t="str">
        <f t="shared" si="100"/>
        <v>Senior</v>
      </c>
      <c r="T2172" t="str">
        <f t="shared" si="101"/>
        <v>Medium</v>
      </c>
      <c r="U2172" t="str">
        <f t="shared" si="102"/>
        <v>Short Days</v>
      </c>
    </row>
    <row r="2173" spans="1:21">
      <c r="A2173" t="s">
        <v>2189</v>
      </c>
      <c r="B2173" s="5">
        <v>45692</v>
      </c>
      <c r="C2173" t="s">
        <v>4346</v>
      </c>
      <c r="D2173" t="s">
        <v>4727</v>
      </c>
      <c r="E2173" t="s">
        <v>4867</v>
      </c>
      <c r="F2173">
        <v>39</v>
      </c>
      <c r="G2173" t="s">
        <v>4882</v>
      </c>
      <c r="H2173" t="s">
        <v>4891</v>
      </c>
      <c r="I2173" t="s">
        <v>4899</v>
      </c>
      <c r="J2173" t="s">
        <v>4911</v>
      </c>
      <c r="K2173" t="s">
        <v>4926</v>
      </c>
      <c r="L2173" t="s">
        <v>4934</v>
      </c>
      <c r="M2173" t="s">
        <v>4942</v>
      </c>
      <c r="N2173" s="11">
        <v>265.16000000000003</v>
      </c>
      <c r="O2173" t="s">
        <v>4946</v>
      </c>
      <c r="P2173" t="s">
        <v>4951</v>
      </c>
      <c r="R2173">
        <v>90</v>
      </c>
      <c r="S2173" t="str">
        <f t="shared" si="100"/>
        <v>Adult</v>
      </c>
      <c r="T2173" t="str">
        <f t="shared" si="101"/>
        <v>Low</v>
      </c>
      <c r="U2173" t="str">
        <f t="shared" si="102"/>
        <v>Short Days</v>
      </c>
    </row>
    <row r="2174" spans="1:21">
      <c r="A2174" t="s">
        <v>2190</v>
      </c>
      <c r="B2174" s="5">
        <v>45943</v>
      </c>
      <c r="C2174" t="s">
        <v>3124</v>
      </c>
      <c r="D2174" t="s">
        <v>4696</v>
      </c>
      <c r="E2174" t="s">
        <v>4866</v>
      </c>
      <c r="F2174">
        <v>14</v>
      </c>
      <c r="G2174" t="s">
        <v>4881</v>
      </c>
      <c r="H2174" t="s">
        <v>4881</v>
      </c>
      <c r="I2174" t="s">
        <v>4901</v>
      </c>
      <c r="J2174" t="s">
        <v>4914</v>
      </c>
      <c r="K2174" t="s">
        <v>4928</v>
      </c>
      <c r="L2174" t="s">
        <v>4934</v>
      </c>
      <c r="M2174" t="s">
        <v>4944</v>
      </c>
      <c r="N2174" s="11">
        <v>28542.51</v>
      </c>
      <c r="O2174" t="s">
        <v>4948</v>
      </c>
      <c r="P2174" t="s">
        <v>4951</v>
      </c>
      <c r="S2174" t="str">
        <f t="shared" si="100"/>
        <v>Child</v>
      </c>
      <c r="T2174" t="str">
        <f t="shared" si="101"/>
        <v>High</v>
      </c>
      <c r="U2174" t="str">
        <f t="shared" si="102"/>
        <v>Short Days</v>
      </c>
    </row>
    <row r="2175" spans="1:21">
      <c r="A2175" t="s">
        <v>2191</v>
      </c>
      <c r="B2175" s="5">
        <v>45888</v>
      </c>
      <c r="C2175" t="s">
        <v>4194</v>
      </c>
      <c r="D2175" t="s">
        <v>4727</v>
      </c>
      <c r="E2175" t="s">
        <v>4866</v>
      </c>
      <c r="F2175">
        <v>2</v>
      </c>
      <c r="G2175" t="s">
        <v>4874</v>
      </c>
      <c r="H2175" t="s">
        <v>4886</v>
      </c>
      <c r="I2175" t="s">
        <v>4902</v>
      </c>
      <c r="J2175" t="s">
        <v>4916</v>
      </c>
      <c r="K2175" t="s">
        <v>4926</v>
      </c>
      <c r="L2175" t="s">
        <v>4935</v>
      </c>
      <c r="M2175" t="s">
        <v>4945</v>
      </c>
      <c r="N2175" s="11">
        <v>5330.08</v>
      </c>
      <c r="O2175" t="s">
        <v>4947</v>
      </c>
      <c r="P2175" t="s">
        <v>4951</v>
      </c>
      <c r="Q2175">
        <v>5</v>
      </c>
      <c r="R2175">
        <v>30</v>
      </c>
      <c r="S2175" t="str">
        <f t="shared" si="100"/>
        <v>Child</v>
      </c>
      <c r="T2175" t="str">
        <f t="shared" si="101"/>
        <v>Medium</v>
      </c>
      <c r="U2175" t="str">
        <f t="shared" si="102"/>
        <v>Short Days</v>
      </c>
    </row>
    <row r="2176" spans="1:21">
      <c r="A2176" t="s">
        <v>2192</v>
      </c>
      <c r="B2176" s="5">
        <v>45720</v>
      </c>
      <c r="C2176" t="s">
        <v>4347</v>
      </c>
      <c r="D2176" t="s">
        <v>4815</v>
      </c>
      <c r="E2176" t="s">
        <v>4866</v>
      </c>
      <c r="F2176">
        <v>27</v>
      </c>
      <c r="G2176" t="s">
        <v>4881</v>
      </c>
      <c r="H2176" t="s">
        <v>4881</v>
      </c>
      <c r="I2176" t="s">
        <v>4900</v>
      </c>
      <c r="J2176" t="s">
        <v>4919</v>
      </c>
      <c r="K2176" t="s">
        <v>4930</v>
      </c>
      <c r="L2176" t="s">
        <v>4940</v>
      </c>
      <c r="M2176" t="s">
        <v>4942</v>
      </c>
      <c r="N2176" s="11">
        <v>3067.35</v>
      </c>
      <c r="O2176" t="s">
        <v>4949</v>
      </c>
      <c r="P2176" t="s">
        <v>4951</v>
      </c>
      <c r="R2176">
        <v>30</v>
      </c>
      <c r="S2176" t="str">
        <f t="shared" si="100"/>
        <v>Adult</v>
      </c>
      <c r="T2176" t="str">
        <f t="shared" si="101"/>
        <v>Low</v>
      </c>
      <c r="U2176" t="str">
        <f t="shared" si="102"/>
        <v>Short Days</v>
      </c>
    </row>
    <row r="2177" spans="1:21">
      <c r="A2177" t="s">
        <v>2193</v>
      </c>
      <c r="B2177" s="5">
        <v>45627</v>
      </c>
      <c r="C2177" t="s">
        <v>3686</v>
      </c>
      <c r="D2177" t="s">
        <v>4790</v>
      </c>
      <c r="E2177" t="s">
        <v>4867</v>
      </c>
      <c r="F2177">
        <v>34</v>
      </c>
      <c r="G2177" t="s">
        <v>4878</v>
      </c>
      <c r="H2177" t="s">
        <v>4889</v>
      </c>
      <c r="I2177" t="s">
        <v>4893</v>
      </c>
      <c r="J2177" t="s">
        <v>4903</v>
      </c>
      <c r="K2177" t="s">
        <v>4932</v>
      </c>
      <c r="L2177" t="s">
        <v>4938</v>
      </c>
      <c r="M2177" t="s">
        <v>4944</v>
      </c>
      <c r="N2177" s="11">
        <v>11558.41</v>
      </c>
      <c r="O2177" t="s">
        <v>4949</v>
      </c>
      <c r="P2177" t="s">
        <v>4951</v>
      </c>
      <c r="S2177" t="str">
        <f t="shared" si="100"/>
        <v>Adult</v>
      </c>
      <c r="T2177" t="str">
        <f t="shared" si="101"/>
        <v>High</v>
      </c>
      <c r="U2177" t="str">
        <f t="shared" si="102"/>
        <v>Short Days</v>
      </c>
    </row>
    <row r="2178" spans="1:21">
      <c r="A2178" t="s">
        <v>2194</v>
      </c>
      <c r="B2178" s="5">
        <v>45480</v>
      </c>
      <c r="C2178" t="s">
        <v>3690</v>
      </c>
      <c r="D2178" t="s">
        <v>4630</v>
      </c>
      <c r="E2178" t="s">
        <v>4866</v>
      </c>
      <c r="F2178">
        <v>60</v>
      </c>
      <c r="G2178" t="s">
        <v>4871</v>
      </c>
      <c r="H2178" t="s">
        <v>4886</v>
      </c>
      <c r="I2178" t="s">
        <v>4894</v>
      </c>
      <c r="J2178" t="s">
        <v>4910</v>
      </c>
      <c r="K2178" t="s">
        <v>4928</v>
      </c>
      <c r="L2178" t="s">
        <v>4939</v>
      </c>
      <c r="M2178" t="s">
        <v>4944</v>
      </c>
      <c r="N2178" s="11">
        <v>20617.82</v>
      </c>
      <c r="O2178" t="s">
        <v>15</v>
      </c>
      <c r="P2178" t="s">
        <v>4952</v>
      </c>
      <c r="R2178">
        <v>14</v>
      </c>
      <c r="S2178" t="str">
        <f t="shared" si="100"/>
        <v>Middle-Aged</v>
      </c>
      <c r="T2178" t="str">
        <f t="shared" si="101"/>
        <v>High</v>
      </c>
      <c r="U2178" t="str">
        <f t="shared" si="102"/>
        <v>Short Days</v>
      </c>
    </row>
    <row r="2179" spans="1:21">
      <c r="A2179" t="s">
        <v>2195</v>
      </c>
      <c r="B2179" s="5">
        <v>45740</v>
      </c>
      <c r="C2179" t="s">
        <v>3500</v>
      </c>
      <c r="D2179" t="s">
        <v>4800</v>
      </c>
      <c r="E2179" t="s">
        <v>4866</v>
      </c>
      <c r="F2179">
        <v>34</v>
      </c>
      <c r="G2179" t="s">
        <v>4876</v>
      </c>
      <c r="H2179" t="s">
        <v>4888</v>
      </c>
      <c r="I2179" t="s">
        <v>4894</v>
      </c>
      <c r="J2179" t="s">
        <v>4904</v>
      </c>
      <c r="K2179" t="s">
        <v>4925</v>
      </c>
      <c r="L2179" t="s">
        <v>4937</v>
      </c>
      <c r="M2179" t="s">
        <v>4945</v>
      </c>
      <c r="N2179" s="11">
        <v>12136.54</v>
      </c>
      <c r="O2179" t="s">
        <v>4946</v>
      </c>
      <c r="P2179" t="s">
        <v>4951</v>
      </c>
      <c r="Q2179">
        <v>5</v>
      </c>
      <c r="R2179">
        <v>14</v>
      </c>
      <c r="S2179" t="str">
        <f t="shared" ref="S2179:S2242" si="103">IF(F2179&lt;18,"Child",IF(F2179&lt;=40,"Adult",IF(F2179&lt;=60,"Middle-Aged",IF(F2179,"Senior"))))</f>
        <v>Adult</v>
      </c>
      <c r="T2179" t="str">
        <f t="shared" ref="T2179:T2242" si="104">IF(N2179&lt;=5000,"Low",IF(N2179&lt;=10000,"Medium","High"))</f>
        <v>High</v>
      </c>
      <c r="U2179" t="str">
        <f t="shared" ref="U2179:U2242" si="105">IF(Q2179&lt;=5,"Short Days","Long Days")</f>
        <v>Short Days</v>
      </c>
    </row>
    <row r="2180" spans="1:21">
      <c r="A2180" t="s">
        <v>2196</v>
      </c>
      <c r="B2180" s="5">
        <v>45349</v>
      </c>
      <c r="C2180" t="s">
        <v>4035</v>
      </c>
      <c r="D2180" t="s">
        <v>4819</v>
      </c>
      <c r="E2180" t="s">
        <v>4867</v>
      </c>
      <c r="F2180">
        <v>31</v>
      </c>
      <c r="G2180" t="s">
        <v>4872</v>
      </c>
      <c r="H2180" t="s">
        <v>4887</v>
      </c>
      <c r="I2180" t="s">
        <v>4900</v>
      </c>
      <c r="J2180" t="s">
        <v>4913</v>
      </c>
      <c r="K2180" t="s">
        <v>4926</v>
      </c>
      <c r="L2180" t="s">
        <v>4934</v>
      </c>
      <c r="M2180" t="s">
        <v>4942</v>
      </c>
      <c r="N2180" s="11">
        <v>10325.709999999999</v>
      </c>
      <c r="O2180" t="s">
        <v>15</v>
      </c>
      <c r="P2180" t="s">
        <v>4952</v>
      </c>
      <c r="S2180" t="str">
        <f t="shared" si="103"/>
        <v>Adult</v>
      </c>
      <c r="T2180" t="str">
        <f t="shared" si="104"/>
        <v>High</v>
      </c>
      <c r="U2180" t="str">
        <f t="shared" si="105"/>
        <v>Short Days</v>
      </c>
    </row>
    <row r="2181" spans="1:21">
      <c r="A2181" t="s">
        <v>2197</v>
      </c>
      <c r="B2181" s="5">
        <v>45302</v>
      </c>
      <c r="C2181" t="s">
        <v>4348</v>
      </c>
      <c r="D2181" t="s">
        <v>4654</v>
      </c>
      <c r="E2181" t="s">
        <v>4866</v>
      </c>
      <c r="F2181">
        <v>48</v>
      </c>
      <c r="G2181" t="s">
        <v>4877</v>
      </c>
      <c r="H2181" t="s">
        <v>4888</v>
      </c>
      <c r="I2181" t="s">
        <v>4897</v>
      </c>
      <c r="J2181" t="s">
        <v>4907</v>
      </c>
      <c r="K2181" t="s">
        <v>4926</v>
      </c>
      <c r="L2181" t="s">
        <v>4939</v>
      </c>
      <c r="M2181" t="s">
        <v>4944</v>
      </c>
      <c r="N2181" s="11">
        <v>6869.96</v>
      </c>
      <c r="O2181" t="s">
        <v>4950</v>
      </c>
      <c r="P2181" t="s">
        <v>4951</v>
      </c>
      <c r="S2181" t="str">
        <f t="shared" si="103"/>
        <v>Middle-Aged</v>
      </c>
      <c r="T2181" t="str">
        <f t="shared" si="104"/>
        <v>Medium</v>
      </c>
      <c r="U2181" t="str">
        <f t="shared" si="105"/>
        <v>Short Days</v>
      </c>
    </row>
    <row r="2182" spans="1:21">
      <c r="A2182" t="s">
        <v>2198</v>
      </c>
      <c r="B2182" s="5">
        <v>45470</v>
      </c>
      <c r="C2182" t="s">
        <v>3891</v>
      </c>
      <c r="D2182" t="s">
        <v>4597</v>
      </c>
      <c r="E2182" t="s">
        <v>4867</v>
      </c>
      <c r="F2182">
        <v>14</v>
      </c>
      <c r="G2182" t="s">
        <v>4879</v>
      </c>
      <c r="H2182" t="s">
        <v>4888</v>
      </c>
      <c r="I2182" t="s">
        <v>4896</v>
      </c>
      <c r="J2182" t="s">
        <v>4906</v>
      </c>
      <c r="K2182" t="s">
        <v>4928</v>
      </c>
      <c r="L2182" t="s">
        <v>4939</v>
      </c>
      <c r="M2182" t="s">
        <v>4942</v>
      </c>
      <c r="N2182" s="11">
        <v>651.98</v>
      </c>
      <c r="O2182" t="s">
        <v>4948</v>
      </c>
      <c r="P2182" t="s">
        <v>4951</v>
      </c>
      <c r="R2182">
        <v>7</v>
      </c>
      <c r="S2182" t="str">
        <f t="shared" si="103"/>
        <v>Child</v>
      </c>
      <c r="T2182" t="str">
        <f t="shared" si="104"/>
        <v>Low</v>
      </c>
      <c r="U2182" t="str">
        <f t="shared" si="105"/>
        <v>Short Days</v>
      </c>
    </row>
    <row r="2183" spans="1:21">
      <c r="A2183" t="s">
        <v>2199</v>
      </c>
      <c r="B2183" s="5">
        <v>45944</v>
      </c>
      <c r="C2183" t="s">
        <v>3375</v>
      </c>
      <c r="D2183" t="s">
        <v>4779</v>
      </c>
      <c r="E2183" t="s">
        <v>4866</v>
      </c>
      <c r="F2183">
        <v>46</v>
      </c>
      <c r="G2183" t="s">
        <v>4879</v>
      </c>
      <c r="H2183" t="s">
        <v>4888</v>
      </c>
      <c r="I2183" t="s">
        <v>4897</v>
      </c>
      <c r="J2183" t="s">
        <v>4922</v>
      </c>
      <c r="K2183" t="s">
        <v>4932</v>
      </c>
      <c r="L2183" t="s">
        <v>4934</v>
      </c>
      <c r="M2183" t="s">
        <v>4942</v>
      </c>
      <c r="N2183" s="11">
        <v>4737.59</v>
      </c>
      <c r="O2183" t="s">
        <v>15</v>
      </c>
      <c r="P2183" t="s">
        <v>4952</v>
      </c>
      <c r="R2183">
        <v>30</v>
      </c>
      <c r="S2183" t="str">
        <f t="shared" si="103"/>
        <v>Middle-Aged</v>
      </c>
      <c r="T2183" t="str">
        <f t="shared" si="104"/>
        <v>Low</v>
      </c>
      <c r="U2183" t="str">
        <f t="shared" si="105"/>
        <v>Short Days</v>
      </c>
    </row>
    <row r="2184" spans="1:21">
      <c r="A2184" t="s">
        <v>2200</v>
      </c>
      <c r="B2184" s="5">
        <v>45461</v>
      </c>
      <c r="C2184" t="s">
        <v>4349</v>
      </c>
      <c r="D2184" t="s">
        <v>4687</v>
      </c>
      <c r="E2184" t="s">
        <v>4867</v>
      </c>
      <c r="F2184">
        <v>48</v>
      </c>
      <c r="G2184" t="s">
        <v>4872</v>
      </c>
      <c r="H2184" t="s">
        <v>4887</v>
      </c>
      <c r="I2184" t="s">
        <v>4901</v>
      </c>
      <c r="J2184" t="s">
        <v>4921</v>
      </c>
      <c r="K2184" t="s">
        <v>4931</v>
      </c>
      <c r="L2184" t="s">
        <v>4941</v>
      </c>
      <c r="M2184" t="s">
        <v>4942</v>
      </c>
      <c r="N2184" s="11">
        <v>1955.18</v>
      </c>
      <c r="O2184" t="s">
        <v>15</v>
      </c>
      <c r="P2184" t="s">
        <v>4952</v>
      </c>
      <c r="R2184">
        <v>30</v>
      </c>
      <c r="S2184" t="str">
        <f t="shared" si="103"/>
        <v>Middle-Aged</v>
      </c>
      <c r="T2184" t="str">
        <f t="shared" si="104"/>
        <v>Low</v>
      </c>
      <c r="U2184" t="str">
        <f t="shared" si="105"/>
        <v>Short Days</v>
      </c>
    </row>
    <row r="2185" spans="1:21">
      <c r="A2185" t="s">
        <v>2201</v>
      </c>
      <c r="B2185" s="5">
        <v>45579</v>
      </c>
      <c r="C2185" t="s">
        <v>3898</v>
      </c>
      <c r="D2185" t="s">
        <v>4667</v>
      </c>
      <c r="E2185" t="s">
        <v>4866</v>
      </c>
      <c r="F2185">
        <v>57</v>
      </c>
      <c r="G2185" t="s">
        <v>4881</v>
      </c>
      <c r="H2185" t="s">
        <v>4881</v>
      </c>
      <c r="I2185" t="s">
        <v>4899</v>
      </c>
      <c r="J2185" t="s">
        <v>4911</v>
      </c>
      <c r="K2185" t="s">
        <v>4931</v>
      </c>
      <c r="L2185" t="s">
        <v>4935</v>
      </c>
      <c r="M2185" t="s">
        <v>4942</v>
      </c>
      <c r="N2185" s="11">
        <v>9179.84</v>
      </c>
      <c r="O2185" t="s">
        <v>4949</v>
      </c>
      <c r="P2185" t="s">
        <v>4951</v>
      </c>
      <c r="R2185">
        <v>7</v>
      </c>
      <c r="S2185" t="str">
        <f t="shared" si="103"/>
        <v>Middle-Aged</v>
      </c>
      <c r="T2185" t="str">
        <f t="shared" si="104"/>
        <v>Medium</v>
      </c>
      <c r="U2185" t="str">
        <f t="shared" si="105"/>
        <v>Short Days</v>
      </c>
    </row>
    <row r="2186" spans="1:21">
      <c r="A2186" t="s">
        <v>2202</v>
      </c>
      <c r="B2186" s="5">
        <v>45625</v>
      </c>
      <c r="C2186" t="s">
        <v>4350</v>
      </c>
      <c r="D2186" t="s">
        <v>4809</v>
      </c>
      <c r="E2186" t="s">
        <v>4866</v>
      </c>
      <c r="F2186">
        <v>15</v>
      </c>
      <c r="G2186" t="s">
        <v>4876</v>
      </c>
      <c r="H2186" t="s">
        <v>4888</v>
      </c>
      <c r="I2186" t="s">
        <v>4893</v>
      </c>
      <c r="J2186" t="s">
        <v>4903</v>
      </c>
      <c r="K2186" t="s">
        <v>4924</v>
      </c>
      <c r="L2186" t="s">
        <v>4940</v>
      </c>
      <c r="M2186" t="s">
        <v>4942</v>
      </c>
      <c r="N2186" s="11">
        <v>3405.56</v>
      </c>
      <c r="O2186" t="s">
        <v>4948</v>
      </c>
      <c r="P2186" t="s">
        <v>4951</v>
      </c>
      <c r="S2186" t="str">
        <f t="shared" si="103"/>
        <v>Child</v>
      </c>
      <c r="T2186" t="str">
        <f t="shared" si="104"/>
        <v>Low</v>
      </c>
      <c r="U2186" t="str">
        <f t="shared" si="105"/>
        <v>Short Days</v>
      </c>
    </row>
    <row r="2187" spans="1:21">
      <c r="A2187" t="s">
        <v>2203</v>
      </c>
      <c r="B2187" s="5">
        <v>45525</v>
      </c>
      <c r="C2187" t="s">
        <v>4351</v>
      </c>
      <c r="D2187" t="s">
        <v>4694</v>
      </c>
      <c r="E2187" t="s">
        <v>4867</v>
      </c>
      <c r="F2187">
        <v>19</v>
      </c>
      <c r="G2187" t="s">
        <v>4869</v>
      </c>
      <c r="H2187" t="s">
        <v>4884</v>
      </c>
      <c r="I2187" t="s">
        <v>4895</v>
      </c>
      <c r="J2187" t="s">
        <v>4905</v>
      </c>
      <c r="K2187" t="s">
        <v>4930</v>
      </c>
      <c r="L2187" t="s">
        <v>4934</v>
      </c>
      <c r="M2187" t="s">
        <v>4942</v>
      </c>
      <c r="N2187" s="11">
        <v>5316.43</v>
      </c>
      <c r="O2187" t="s">
        <v>4949</v>
      </c>
      <c r="P2187" t="s">
        <v>4951</v>
      </c>
      <c r="R2187">
        <v>90</v>
      </c>
      <c r="S2187" t="str">
        <f t="shared" si="103"/>
        <v>Adult</v>
      </c>
      <c r="T2187" t="str">
        <f t="shared" si="104"/>
        <v>Medium</v>
      </c>
      <c r="U2187" t="str">
        <f t="shared" si="105"/>
        <v>Short Days</v>
      </c>
    </row>
    <row r="2188" spans="1:21">
      <c r="A2188" t="s">
        <v>2204</v>
      </c>
      <c r="B2188" s="5">
        <v>45341</v>
      </c>
      <c r="C2188" t="s">
        <v>3548</v>
      </c>
      <c r="D2188" t="s">
        <v>4671</v>
      </c>
      <c r="E2188" t="s">
        <v>4868</v>
      </c>
      <c r="F2188">
        <v>42</v>
      </c>
      <c r="G2188" t="s">
        <v>4875</v>
      </c>
      <c r="H2188" t="s">
        <v>4889</v>
      </c>
      <c r="I2188" t="s">
        <v>4897</v>
      </c>
      <c r="J2188" t="s">
        <v>4922</v>
      </c>
      <c r="K2188" t="s">
        <v>4924</v>
      </c>
      <c r="L2188" t="s">
        <v>4937</v>
      </c>
      <c r="M2188" t="s">
        <v>4942</v>
      </c>
      <c r="N2188" s="11">
        <v>2427.0500000000002</v>
      </c>
      <c r="O2188" t="s">
        <v>4947</v>
      </c>
      <c r="P2188" t="s">
        <v>4951</v>
      </c>
      <c r="R2188">
        <v>14</v>
      </c>
      <c r="S2188" t="str">
        <f t="shared" si="103"/>
        <v>Middle-Aged</v>
      </c>
      <c r="T2188" t="str">
        <f t="shared" si="104"/>
        <v>Low</v>
      </c>
      <c r="U2188" t="str">
        <f t="shared" si="105"/>
        <v>Short Days</v>
      </c>
    </row>
    <row r="2189" spans="1:21">
      <c r="A2189" t="s">
        <v>2205</v>
      </c>
      <c r="B2189" s="5">
        <v>45324</v>
      </c>
      <c r="C2189" t="s">
        <v>4069</v>
      </c>
      <c r="D2189" t="s">
        <v>4743</v>
      </c>
      <c r="E2189" t="s">
        <v>4867</v>
      </c>
      <c r="F2189">
        <v>27</v>
      </c>
      <c r="G2189" t="s">
        <v>4874</v>
      </c>
      <c r="H2189" t="s">
        <v>4886</v>
      </c>
      <c r="I2189" t="s">
        <v>4901</v>
      </c>
      <c r="J2189" t="s">
        <v>4921</v>
      </c>
      <c r="K2189" t="s">
        <v>4924</v>
      </c>
      <c r="L2189" t="s">
        <v>4941</v>
      </c>
      <c r="M2189" t="s">
        <v>4943</v>
      </c>
      <c r="N2189" s="11">
        <v>11624.91</v>
      </c>
      <c r="O2189" t="s">
        <v>4946</v>
      </c>
      <c r="P2189" t="s">
        <v>4951</v>
      </c>
      <c r="S2189" t="str">
        <f t="shared" si="103"/>
        <v>Adult</v>
      </c>
      <c r="T2189" t="str">
        <f t="shared" si="104"/>
        <v>High</v>
      </c>
      <c r="U2189" t="str">
        <f t="shared" si="105"/>
        <v>Short Days</v>
      </c>
    </row>
    <row r="2190" spans="1:21">
      <c r="A2190" t="s">
        <v>2206</v>
      </c>
      <c r="B2190" s="5">
        <v>45327</v>
      </c>
      <c r="C2190" t="s">
        <v>3821</v>
      </c>
      <c r="D2190" t="s">
        <v>4748</v>
      </c>
      <c r="E2190" t="s">
        <v>4866</v>
      </c>
      <c r="F2190">
        <v>11</v>
      </c>
      <c r="G2190" t="s">
        <v>4883</v>
      </c>
      <c r="H2190" t="s">
        <v>4892</v>
      </c>
      <c r="I2190" t="s">
        <v>4897</v>
      </c>
      <c r="J2190" t="s">
        <v>4907</v>
      </c>
      <c r="K2190" t="s">
        <v>4931</v>
      </c>
      <c r="L2190" t="s">
        <v>4938</v>
      </c>
      <c r="M2190" t="s">
        <v>4942</v>
      </c>
      <c r="N2190" s="11">
        <v>10051.82</v>
      </c>
      <c r="O2190" t="s">
        <v>4949</v>
      </c>
      <c r="P2190" t="s">
        <v>4951</v>
      </c>
      <c r="R2190">
        <v>14</v>
      </c>
      <c r="S2190" t="str">
        <f t="shared" si="103"/>
        <v>Child</v>
      </c>
      <c r="T2190" t="str">
        <f t="shared" si="104"/>
        <v>High</v>
      </c>
      <c r="U2190" t="str">
        <f t="shared" si="105"/>
        <v>Short Days</v>
      </c>
    </row>
    <row r="2191" spans="1:21">
      <c r="A2191" t="s">
        <v>2207</v>
      </c>
      <c r="B2191" s="5">
        <v>45881</v>
      </c>
      <c r="C2191" t="s">
        <v>3288</v>
      </c>
      <c r="D2191" t="s">
        <v>4668</v>
      </c>
      <c r="E2191" t="s">
        <v>4866</v>
      </c>
      <c r="F2191">
        <v>25</v>
      </c>
      <c r="G2191" t="s">
        <v>4870</v>
      </c>
      <c r="H2191" t="s">
        <v>4885</v>
      </c>
      <c r="I2191" t="s">
        <v>4899</v>
      </c>
      <c r="J2191" t="s">
        <v>4912</v>
      </c>
      <c r="K2191" t="s">
        <v>4928</v>
      </c>
      <c r="L2191" t="s">
        <v>4941</v>
      </c>
      <c r="M2191" t="s">
        <v>4944</v>
      </c>
      <c r="N2191" s="11">
        <v>6595</v>
      </c>
      <c r="O2191" t="s">
        <v>4947</v>
      </c>
      <c r="P2191" t="s">
        <v>4951</v>
      </c>
      <c r="R2191">
        <v>30</v>
      </c>
      <c r="S2191" t="str">
        <f t="shared" si="103"/>
        <v>Adult</v>
      </c>
      <c r="T2191" t="str">
        <f t="shared" si="104"/>
        <v>Medium</v>
      </c>
      <c r="U2191" t="str">
        <f t="shared" si="105"/>
        <v>Short Days</v>
      </c>
    </row>
    <row r="2192" spans="1:21">
      <c r="A2192" t="s">
        <v>2208</v>
      </c>
      <c r="B2192" s="5">
        <v>45933</v>
      </c>
      <c r="C2192" t="s">
        <v>4196</v>
      </c>
      <c r="D2192" t="s">
        <v>4832</v>
      </c>
      <c r="E2192" t="s">
        <v>4868</v>
      </c>
      <c r="F2192">
        <v>20</v>
      </c>
      <c r="G2192" t="s">
        <v>4877</v>
      </c>
      <c r="H2192" t="s">
        <v>4888</v>
      </c>
      <c r="I2192" t="s">
        <v>4900</v>
      </c>
      <c r="J2192" t="s">
        <v>4913</v>
      </c>
      <c r="K2192" t="s">
        <v>4925</v>
      </c>
      <c r="L2192" t="s">
        <v>4939</v>
      </c>
      <c r="M2192" t="s">
        <v>4943</v>
      </c>
      <c r="N2192" s="11">
        <v>6280.42</v>
      </c>
      <c r="O2192" t="s">
        <v>4946</v>
      </c>
      <c r="P2192" t="s">
        <v>4951</v>
      </c>
      <c r="R2192">
        <v>90</v>
      </c>
      <c r="S2192" t="str">
        <f t="shared" si="103"/>
        <v>Adult</v>
      </c>
      <c r="T2192" t="str">
        <f t="shared" si="104"/>
        <v>Medium</v>
      </c>
      <c r="U2192" t="str">
        <f t="shared" si="105"/>
        <v>Short Days</v>
      </c>
    </row>
    <row r="2193" spans="1:21">
      <c r="A2193" t="s">
        <v>2209</v>
      </c>
      <c r="B2193" s="5">
        <v>45870</v>
      </c>
      <c r="C2193" t="s">
        <v>4352</v>
      </c>
      <c r="D2193" t="s">
        <v>4841</v>
      </c>
      <c r="E2193" t="s">
        <v>4866</v>
      </c>
      <c r="F2193">
        <v>42</v>
      </c>
      <c r="G2193" t="s">
        <v>4880</v>
      </c>
      <c r="H2193" t="s">
        <v>4890</v>
      </c>
      <c r="I2193" t="s">
        <v>4895</v>
      </c>
      <c r="J2193" t="s">
        <v>4915</v>
      </c>
      <c r="K2193" t="s">
        <v>4931</v>
      </c>
      <c r="L2193" t="s">
        <v>4934</v>
      </c>
      <c r="M2193" t="s">
        <v>4944</v>
      </c>
      <c r="N2193" s="11">
        <v>6751.17</v>
      </c>
      <c r="O2193" t="s">
        <v>15</v>
      </c>
      <c r="P2193" t="s">
        <v>4952</v>
      </c>
      <c r="S2193" t="str">
        <f t="shared" si="103"/>
        <v>Middle-Aged</v>
      </c>
      <c r="T2193" t="str">
        <f t="shared" si="104"/>
        <v>Medium</v>
      </c>
      <c r="U2193" t="str">
        <f t="shared" si="105"/>
        <v>Short Days</v>
      </c>
    </row>
    <row r="2194" spans="1:21">
      <c r="A2194" t="s">
        <v>2210</v>
      </c>
      <c r="B2194" s="5">
        <v>45421</v>
      </c>
      <c r="C2194" t="s">
        <v>4353</v>
      </c>
      <c r="D2194" t="s">
        <v>4781</v>
      </c>
      <c r="E2194" t="s">
        <v>4866</v>
      </c>
      <c r="F2194">
        <v>33</v>
      </c>
      <c r="G2194" t="s">
        <v>4881</v>
      </c>
      <c r="H2194" t="s">
        <v>4881</v>
      </c>
      <c r="I2194" t="s">
        <v>4898</v>
      </c>
      <c r="J2194" t="s">
        <v>4923</v>
      </c>
      <c r="K2194" t="s">
        <v>4932</v>
      </c>
      <c r="L2194" t="s">
        <v>4935</v>
      </c>
      <c r="M2194" t="s">
        <v>4945</v>
      </c>
      <c r="N2194" s="11">
        <v>8978.7999999999993</v>
      </c>
      <c r="O2194" t="s">
        <v>15</v>
      </c>
      <c r="P2194" t="s">
        <v>4952</v>
      </c>
      <c r="Q2194">
        <v>6</v>
      </c>
      <c r="R2194">
        <v>7</v>
      </c>
      <c r="S2194" t="str">
        <f t="shared" si="103"/>
        <v>Adult</v>
      </c>
      <c r="T2194" t="str">
        <f t="shared" si="104"/>
        <v>Medium</v>
      </c>
      <c r="U2194" t="str">
        <f t="shared" si="105"/>
        <v>Long Days</v>
      </c>
    </row>
    <row r="2195" spans="1:21">
      <c r="A2195" t="s">
        <v>2211</v>
      </c>
      <c r="B2195" s="5">
        <v>45363</v>
      </c>
      <c r="C2195" t="s">
        <v>4257</v>
      </c>
      <c r="D2195" t="s">
        <v>4781</v>
      </c>
      <c r="E2195" t="s">
        <v>4866</v>
      </c>
      <c r="F2195">
        <v>56</v>
      </c>
      <c r="G2195" t="s">
        <v>4878</v>
      </c>
      <c r="H2195" t="s">
        <v>4889</v>
      </c>
      <c r="I2195" t="s">
        <v>4900</v>
      </c>
      <c r="J2195" t="s">
        <v>4913</v>
      </c>
      <c r="K2195" t="s">
        <v>4932</v>
      </c>
      <c r="L2195" t="s">
        <v>4937</v>
      </c>
      <c r="M2195" t="s">
        <v>4942</v>
      </c>
      <c r="N2195" s="11">
        <v>2702.48</v>
      </c>
      <c r="O2195" t="s">
        <v>4946</v>
      </c>
      <c r="P2195" t="s">
        <v>4951</v>
      </c>
      <c r="R2195">
        <v>30</v>
      </c>
      <c r="S2195" t="str">
        <f t="shared" si="103"/>
        <v>Middle-Aged</v>
      </c>
      <c r="T2195" t="str">
        <f t="shared" si="104"/>
        <v>Low</v>
      </c>
      <c r="U2195" t="str">
        <f t="shared" si="105"/>
        <v>Short Days</v>
      </c>
    </row>
    <row r="2196" spans="1:21">
      <c r="A2196" t="s">
        <v>2212</v>
      </c>
      <c r="B2196" s="5">
        <v>45644</v>
      </c>
      <c r="C2196" t="s">
        <v>3589</v>
      </c>
      <c r="D2196" t="s">
        <v>4817</v>
      </c>
      <c r="E2196" t="s">
        <v>4867</v>
      </c>
      <c r="F2196">
        <v>45</v>
      </c>
      <c r="G2196" t="s">
        <v>4875</v>
      </c>
      <c r="H2196" t="s">
        <v>4889</v>
      </c>
      <c r="I2196" t="s">
        <v>4902</v>
      </c>
      <c r="J2196" t="s">
        <v>4920</v>
      </c>
      <c r="K2196" t="s">
        <v>4928</v>
      </c>
      <c r="L2196" t="s">
        <v>4934</v>
      </c>
      <c r="M2196" t="s">
        <v>4942</v>
      </c>
      <c r="N2196" s="11">
        <v>137.51</v>
      </c>
      <c r="O2196" t="s">
        <v>4947</v>
      </c>
      <c r="P2196" t="s">
        <v>4951</v>
      </c>
      <c r="R2196">
        <v>30</v>
      </c>
      <c r="S2196" t="str">
        <f t="shared" si="103"/>
        <v>Middle-Aged</v>
      </c>
      <c r="T2196" t="str">
        <f t="shared" si="104"/>
        <v>Low</v>
      </c>
      <c r="U2196" t="str">
        <f t="shared" si="105"/>
        <v>Short Days</v>
      </c>
    </row>
    <row r="2197" spans="1:21">
      <c r="A2197" t="s">
        <v>2213</v>
      </c>
      <c r="B2197" s="5">
        <v>45744</v>
      </c>
      <c r="C2197" t="s">
        <v>3128</v>
      </c>
      <c r="D2197" t="s">
        <v>4711</v>
      </c>
      <c r="E2197" t="s">
        <v>4867</v>
      </c>
      <c r="F2197">
        <v>33</v>
      </c>
      <c r="G2197" t="s">
        <v>4872</v>
      </c>
      <c r="H2197" t="s">
        <v>4887</v>
      </c>
      <c r="I2197" t="s">
        <v>4898</v>
      </c>
      <c r="J2197" t="s">
        <v>4918</v>
      </c>
      <c r="K2197" t="s">
        <v>4930</v>
      </c>
      <c r="L2197" t="s">
        <v>4934</v>
      </c>
      <c r="M2197" t="s">
        <v>4944</v>
      </c>
      <c r="N2197" s="11">
        <v>5245.42</v>
      </c>
      <c r="O2197" t="s">
        <v>4948</v>
      </c>
      <c r="P2197" t="s">
        <v>4951</v>
      </c>
      <c r="S2197" t="str">
        <f t="shared" si="103"/>
        <v>Adult</v>
      </c>
      <c r="T2197" t="str">
        <f t="shared" si="104"/>
        <v>Medium</v>
      </c>
      <c r="U2197" t="str">
        <f t="shared" si="105"/>
        <v>Short Days</v>
      </c>
    </row>
    <row r="2198" spans="1:21">
      <c r="A2198" t="s">
        <v>2214</v>
      </c>
      <c r="B2198" s="5">
        <v>45915</v>
      </c>
      <c r="C2198" t="s">
        <v>4354</v>
      </c>
      <c r="D2198" t="s">
        <v>4711</v>
      </c>
      <c r="E2198" t="s">
        <v>4867</v>
      </c>
      <c r="F2198">
        <v>53</v>
      </c>
      <c r="G2198" t="s">
        <v>4872</v>
      </c>
      <c r="H2198" t="s">
        <v>4887</v>
      </c>
      <c r="I2198" t="s">
        <v>4895</v>
      </c>
      <c r="J2198" t="s">
        <v>4905</v>
      </c>
      <c r="K2198" t="s">
        <v>4928</v>
      </c>
      <c r="L2198" t="s">
        <v>4935</v>
      </c>
      <c r="M2198" t="s">
        <v>4942</v>
      </c>
      <c r="N2198" s="11">
        <v>1908.08</v>
      </c>
      <c r="O2198" t="s">
        <v>4948</v>
      </c>
      <c r="P2198" t="s">
        <v>4951</v>
      </c>
      <c r="S2198" t="str">
        <f t="shared" si="103"/>
        <v>Middle-Aged</v>
      </c>
      <c r="T2198" t="str">
        <f t="shared" si="104"/>
        <v>Low</v>
      </c>
      <c r="U2198" t="str">
        <f t="shared" si="105"/>
        <v>Short Days</v>
      </c>
    </row>
    <row r="2199" spans="1:21">
      <c r="A2199" t="s">
        <v>2215</v>
      </c>
      <c r="B2199" s="5">
        <v>45658</v>
      </c>
      <c r="C2199" t="s">
        <v>4355</v>
      </c>
      <c r="D2199" t="s">
        <v>4716</v>
      </c>
      <c r="E2199" t="s">
        <v>4866</v>
      </c>
      <c r="F2199">
        <f>AVERAGE(F2192,F2198)</f>
        <v>36.5</v>
      </c>
      <c r="G2199" t="s">
        <v>4881</v>
      </c>
      <c r="H2199" t="s">
        <v>4886</v>
      </c>
      <c r="I2199" t="s">
        <v>4900</v>
      </c>
      <c r="J2199" t="s">
        <v>4913</v>
      </c>
      <c r="K2199" t="s">
        <v>4953</v>
      </c>
      <c r="L2199" t="s">
        <v>4938</v>
      </c>
      <c r="M2199" t="s">
        <v>4944</v>
      </c>
      <c r="N2199" s="11">
        <v>8696.4699999999993</v>
      </c>
      <c r="O2199" t="s">
        <v>4946</v>
      </c>
      <c r="P2199" t="s">
        <v>4951</v>
      </c>
      <c r="R2199">
        <v>90</v>
      </c>
      <c r="S2199" t="str">
        <f t="shared" si="103"/>
        <v>Adult</v>
      </c>
      <c r="T2199" t="str">
        <f t="shared" si="104"/>
        <v>Medium</v>
      </c>
      <c r="U2199" t="str">
        <f t="shared" si="105"/>
        <v>Short Days</v>
      </c>
    </row>
    <row r="2200" spans="1:21">
      <c r="A2200" t="s">
        <v>2216</v>
      </c>
      <c r="B2200" s="5">
        <v>45659</v>
      </c>
      <c r="C2200" t="s">
        <v>3944</v>
      </c>
      <c r="D2200" t="s">
        <v>4768</v>
      </c>
      <c r="E2200" t="s">
        <v>4866</v>
      </c>
      <c r="F2200">
        <v>76</v>
      </c>
      <c r="G2200" t="s">
        <v>4875</v>
      </c>
      <c r="H2200" t="s">
        <v>4889</v>
      </c>
      <c r="I2200" t="s">
        <v>4900</v>
      </c>
      <c r="J2200" t="s">
        <v>4919</v>
      </c>
      <c r="K2200" t="s">
        <v>4926</v>
      </c>
      <c r="L2200" t="s">
        <v>4940</v>
      </c>
      <c r="M2200" t="s">
        <v>4944</v>
      </c>
      <c r="N2200" s="11">
        <v>9640.0400000000009</v>
      </c>
      <c r="O2200" t="s">
        <v>4947</v>
      </c>
      <c r="P2200" t="s">
        <v>4951</v>
      </c>
      <c r="R2200">
        <v>7</v>
      </c>
      <c r="S2200" t="str">
        <f t="shared" si="103"/>
        <v>Senior</v>
      </c>
      <c r="T2200" t="str">
        <f t="shared" si="104"/>
        <v>Medium</v>
      </c>
      <c r="U2200" t="str">
        <f t="shared" si="105"/>
        <v>Short Days</v>
      </c>
    </row>
    <row r="2201" spans="1:21">
      <c r="A2201" t="s">
        <v>2217</v>
      </c>
      <c r="B2201" s="5">
        <v>45906</v>
      </c>
      <c r="C2201" t="s">
        <v>4356</v>
      </c>
      <c r="D2201" t="s">
        <v>4715</v>
      </c>
      <c r="E2201" t="s">
        <v>4866</v>
      </c>
      <c r="F2201">
        <v>25</v>
      </c>
      <c r="G2201" t="s">
        <v>4879</v>
      </c>
      <c r="H2201" t="s">
        <v>4888</v>
      </c>
      <c r="I2201" t="s">
        <v>4898</v>
      </c>
      <c r="J2201" t="s">
        <v>4918</v>
      </c>
      <c r="K2201" t="s">
        <v>4926</v>
      </c>
      <c r="L2201" t="s">
        <v>4937</v>
      </c>
      <c r="M2201" t="s">
        <v>4942</v>
      </c>
      <c r="N2201" s="11">
        <v>707.98</v>
      </c>
      <c r="O2201" t="s">
        <v>4946</v>
      </c>
      <c r="P2201" t="s">
        <v>4951</v>
      </c>
      <c r="R2201">
        <v>14</v>
      </c>
      <c r="S2201" t="str">
        <f t="shared" si="103"/>
        <v>Adult</v>
      </c>
      <c r="T2201" t="str">
        <f t="shared" si="104"/>
        <v>Low</v>
      </c>
      <c r="U2201" t="str">
        <f t="shared" si="105"/>
        <v>Short Days</v>
      </c>
    </row>
    <row r="2202" spans="1:21">
      <c r="A2202" t="s">
        <v>2218</v>
      </c>
      <c r="B2202" s="5">
        <v>45937</v>
      </c>
      <c r="C2202" t="s">
        <v>4120</v>
      </c>
      <c r="D2202" t="s">
        <v>4607</v>
      </c>
      <c r="E2202" t="s">
        <v>4867</v>
      </c>
      <c r="F2202">
        <v>63</v>
      </c>
      <c r="G2202" t="s">
        <v>4873</v>
      </c>
      <c r="H2202" t="s">
        <v>4888</v>
      </c>
      <c r="I2202" t="s">
        <v>4893</v>
      </c>
      <c r="J2202" t="s">
        <v>4903</v>
      </c>
      <c r="K2202" t="s">
        <v>4925</v>
      </c>
      <c r="L2202" t="s">
        <v>4935</v>
      </c>
      <c r="M2202" t="s">
        <v>4944</v>
      </c>
      <c r="N2202" s="11">
        <v>8436.2900000000009</v>
      </c>
      <c r="O2202" t="s">
        <v>4946</v>
      </c>
      <c r="P2202" t="s">
        <v>4951</v>
      </c>
      <c r="S2202" t="str">
        <f t="shared" si="103"/>
        <v>Senior</v>
      </c>
      <c r="T2202" t="str">
        <f t="shared" si="104"/>
        <v>Medium</v>
      </c>
      <c r="U2202" t="str">
        <f t="shared" si="105"/>
        <v>Short Days</v>
      </c>
    </row>
    <row r="2203" spans="1:21">
      <c r="A2203" t="s">
        <v>2219</v>
      </c>
      <c r="B2203" s="5">
        <v>45646</v>
      </c>
      <c r="C2203" t="s">
        <v>3837</v>
      </c>
      <c r="D2203" t="s">
        <v>4819</v>
      </c>
      <c r="E2203" t="s">
        <v>4866</v>
      </c>
      <c r="F2203">
        <v>65</v>
      </c>
      <c r="G2203" t="s">
        <v>4880</v>
      </c>
      <c r="H2203" t="s">
        <v>4890</v>
      </c>
      <c r="I2203" t="s">
        <v>4900</v>
      </c>
      <c r="J2203" t="s">
        <v>4919</v>
      </c>
      <c r="K2203" t="s">
        <v>4931</v>
      </c>
      <c r="L2203" t="s">
        <v>4937</v>
      </c>
      <c r="M2203" t="s">
        <v>4942</v>
      </c>
      <c r="N2203" s="11">
        <v>1583.18</v>
      </c>
      <c r="O2203" t="s">
        <v>4947</v>
      </c>
      <c r="P2203" t="s">
        <v>4951</v>
      </c>
      <c r="R2203">
        <v>30</v>
      </c>
      <c r="S2203" t="str">
        <f t="shared" si="103"/>
        <v>Senior</v>
      </c>
      <c r="T2203" t="str">
        <f t="shared" si="104"/>
        <v>Low</v>
      </c>
      <c r="U2203" t="str">
        <f t="shared" si="105"/>
        <v>Short Days</v>
      </c>
    </row>
    <row r="2204" spans="1:21">
      <c r="A2204" t="s">
        <v>2220</v>
      </c>
      <c r="B2204" s="5">
        <v>45529</v>
      </c>
      <c r="C2204" t="s">
        <v>3731</v>
      </c>
      <c r="D2204" t="s">
        <v>4835</v>
      </c>
      <c r="E2204" t="s">
        <v>4866</v>
      </c>
      <c r="F2204">
        <v>50</v>
      </c>
      <c r="G2204" t="s">
        <v>4880</v>
      </c>
      <c r="H2204" t="s">
        <v>4890</v>
      </c>
      <c r="I2204" t="s">
        <v>4902</v>
      </c>
      <c r="J2204" t="s">
        <v>4920</v>
      </c>
      <c r="K2204" t="s">
        <v>4925</v>
      </c>
      <c r="L2204" t="s">
        <v>4939</v>
      </c>
      <c r="M2204" t="s">
        <v>4942</v>
      </c>
      <c r="N2204" s="11">
        <v>5216.05</v>
      </c>
      <c r="O2204" t="s">
        <v>4946</v>
      </c>
      <c r="P2204" t="s">
        <v>4951</v>
      </c>
      <c r="S2204" t="str">
        <f t="shared" si="103"/>
        <v>Middle-Aged</v>
      </c>
      <c r="T2204" t="str">
        <f t="shared" si="104"/>
        <v>Medium</v>
      </c>
      <c r="U2204" t="str">
        <f t="shared" si="105"/>
        <v>Short Days</v>
      </c>
    </row>
    <row r="2205" spans="1:21">
      <c r="A2205" t="s">
        <v>2221</v>
      </c>
      <c r="B2205" s="5">
        <v>45690</v>
      </c>
      <c r="C2205" t="s">
        <v>4357</v>
      </c>
      <c r="D2205" t="s">
        <v>4836</v>
      </c>
      <c r="E2205" t="s">
        <v>4866</v>
      </c>
      <c r="F2205">
        <v>13</v>
      </c>
      <c r="G2205" t="s">
        <v>4876</v>
      </c>
      <c r="H2205" t="s">
        <v>4888</v>
      </c>
      <c r="I2205" t="s">
        <v>4900</v>
      </c>
      <c r="J2205" t="s">
        <v>4913</v>
      </c>
      <c r="K2205" t="s">
        <v>4928</v>
      </c>
      <c r="L2205" t="s">
        <v>4938</v>
      </c>
      <c r="M2205" t="s">
        <v>4942</v>
      </c>
      <c r="N2205" s="11">
        <v>6568.37</v>
      </c>
      <c r="O2205" t="s">
        <v>4949</v>
      </c>
      <c r="P2205" t="s">
        <v>4951</v>
      </c>
      <c r="R2205">
        <v>14</v>
      </c>
      <c r="S2205" t="str">
        <f t="shared" si="103"/>
        <v>Child</v>
      </c>
      <c r="T2205" t="str">
        <f t="shared" si="104"/>
        <v>Medium</v>
      </c>
      <c r="U2205" t="str">
        <f t="shared" si="105"/>
        <v>Short Days</v>
      </c>
    </row>
    <row r="2206" spans="1:21">
      <c r="A2206" t="s">
        <v>2222</v>
      </c>
      <c r="B2206" s="5">
        <v>45475</v>
      </c>
      <c r="C2206" t="s">
        <v>3101</v>
      </c>
      <c r="D2206" t="s">
        <v>4602</v>
      </c>
      <c r="E2206" t="s">
        <v>4867</v>
      </c>
      <c r="F2206">
        <v>45</v>
      </c>
      <c r="G2206" t="s">
        <v>4880</v>
      </c>
      <c r="H2206" t="s">
        <v>4890</v>
      </c>
      <c r="I2206" t="s">
        <v>4894</v>
      </c>
      <c r="J2206" t="s">
        <v>4904</v>
      </c>
      <c r="K2206" t="s">
        <v>4931</v>
      </c>
      <c r="L2206" t="s">
        <v>4936</v>
      </c>
      <c r="M2206" t="s">
        <v>4942</v>
      </c>
      <c r="N2206" s="11">
        <v>1942.19</v>
      </c>
      <c r="O2206" t="s">
        <v>4949</v>
      </c>
      <c r="P2206" t="s">
        <v>4951</v>
      </c>
      <c r="S2206" t="str">
        <f t="shared" si="103"/>
        <v>Middle-Aged</v>
      </c>
      <c r="T2206" t="str">
        <f t="shared" si="104"/>
        <v>Low</v>
      </c>
      <c r="U2206" t="str">
        <f t="shared" si="105"/>
        <v>Short Days</v>
      </c>
    </row>
    <row r="2207" spans="1:21">
      <c r="A2207" t="s">
        <v>2223</v>
      </c>
      <c r="B2207" s="5">
        <v>45661</v>
      </c>
      <c r="C2207" t="s">
        <v>4358</v>
      </c>
      <c r="D2207" t="s">
        <v>4677</v>
      </c>
      <c r="E2207" t="s">
        <v>4866</v>
      </c>
      <c r="F2207">
        <v>20</v>
      </c>
      <c r="G2207" t="s">
        <v>4871</v>
      </c>
      <c r="H2207" t="s">
        <v>4886</v>
      </c>
      <c r="I2207" t="s">
        <v>4894</v>
      </c>
      <c r="J2207" t="s">
        <v>4910</v>
      </c>
      <c r="K2207" t="s">
        <v>4925</v>
      </c>
      <c r="L2207" t="s">
        <v>4941</v>
      </c>
      <c r="M2207" t="s">
        <v>4945</v>
      </c>
      <c r="N2207" s="11">
        <v>7103.83</v>
      </c>
      <c r="O2207" t="s">
        <v>4946</v>
      </c>
      <c r="P2207" t="s">
        <v>4951</v>
      </c>
      <c r="Q2207">
        <v>4</v>
      </c>
      <c r="R2207">
        <v>30</v>
      </c>
      <c r="S2207" t="str">
        <f t="shared" si="103"/>
        <v>Adult</v>
      </c>
      <c r="T2207" t="str">
        <f t="shared" si="104"/>
        <v>Medium</v>
      </c>
      <c r="U2207" t="str">
        <f t="shared" si="105"/>
        <v>Short Days</v>
      </c>
    </row>
    <row r="2208" spans="1:21">
      <c r="A2208" t="s">
        <v>2224</v>
      </c>
      <c r="B2208" s="5">
        <v>45307</v>
      </c>
      <c r="C2208" t="s">
        <v>3499</v>
      </c>
      <c r="D2208" t="s">
        <v>4605</v>
      </c>
      <c r="E2208" t="s">
        <v>4866</v>
      </c>
      <c r="F2208">
        <v>42</v>
      </c>
      <c r="G2208" t="s">
        <v>4879</v>
      </c>
      <c r="H2208" t="s">
        <v>4888</v>
      </c>
      <c r="I2208" t="s">
        <v>4899</v>
      </c>
      <c r="J2208" t="s">
        <v>4911</v>
      </c>
      <c r="K2208" t="s">
        <v>4931</v>
      </c>
      <c r="L2208" t="s">
        <v>4941</v>
      </c>
      <c r="M2208" t="s">
        <v>4943</v>
      </c>
      <c r="N2208" s="11">
        <v>7077.16</v>
      </c>
      <c r="O2208" t="s">
        <v>4947</v>
      </c>
      <c r="P2208" t="s">
        <v>4951</v>
      </c>
      <c r="R2208">
        <v>90</v>
      </c>
      <c r="S2208" t="str">
        <f t="shared" si="103"/>
        <v>Middle-Aged</v>
      </c>
      <c r="T2208" t="str">
        <f t="shared" si="104"/>
        <v>Medium</v>
      </c>
      <c r="U2208" t="str">
        <f t="shared" si="105"/>
        <v>Short Days</v>
      </c>
    </row>
    <row r="2209" spans="1:21">
      <c r="A2209" t="s">
        <v>2225</v>
      </c>
      <c r="B2209" s="5">
        <v>45447</v>
      </c>
      <c r="C2209" t="s">
        <v>3217</v>
      </c>
      <c r="D2209" t="s">
        <v>4643</v>
      </c>
      <c r="E2209" t="s">
        <v>4866</v>
      </c>
      <c r="F2209">
        <v>49</v>
      </c>
      <c r="G2209" t="s">
        <v>4877</v>
      </c>
      <c r="H2209" t="s">
        <v>4888</v>
      </c>
      <c r="I2209" t="s">
        <v>4893</v>
      </c>
      <c r="J2209" t="s">
        <v>4903</v>
      </c>
      <c r="K2209" t="s">
        <v>4931</v>
      </c>
      <c r="L2209" t="s">
        <v>4941</v>
      </c>
      <c r="M2209" t="s">
        <v>4944</v>
      </c>
      <c r="N2209" s="11">
        <v>31936.07</v>
      </c>
      <c r="O2209" t="s">
        <v>4947</v>
      </c>
      <c r="P2209" t="s">
        <v>4951</v>
      </c>
      <c r="R2209">
        <v>30</v>
      </c>
      <c r="S2209" t="str">
        <f t="shared" si="103"/>
        <v>Middle-Aged</v>
      </c>
      <c r="T2209" t="str">
        <f t="shared" si="104"/>
        <v>High</v>
      </c>
      <c r="U2209" t="str">
        <f t="shared" si="105"/>
        <v>Short Days</v>
      </c>
    </row>
    <row r="2210" spans="1:21">
      <c r="A2210" t="s">
        <v>2226</v>
      </c>
      <c r="B2210" s="5">
        <v>45362</v>
      </c>
      <c r="C2210" t="s">
        <v>4359</v>
      </c>
      <c r="D2210" t="s">
        <v>4729</v>
      </c>
      <c r="E2210" t="s">
        <v>4866</v>
      </c>
      <c r="F2210">
        <v>51</v>
      </c>
      <c r="G2210" t="s">
        <v>4879</v>
      </c>
      <c r="H2210" t="s">
        <v>4888</v>
      </c>
      <c r="I2210" t="s">
        <v>4898</v>
      </c>
      <c r="J2210" t="s">
        <v>4923</v>
      </c>
      <c r="K2210" t="s">
        <v>4925</v>
      </c>
      <c r="L2210" t="s">
        <v>4940</v>
      </c>
      <c r="M2210" t="s">
        <v>4944</v>
      </c>
      <c r="N2210" s="11">
        <v>6000.34</v>
      </c>
      <c r="O2210" t="s">
        <v>4946</v>
      </c>
      <c r="P2210" t="s">
        <v>4951</v>
      </c>
      <c r="R2210">
        <v>90</v>
      </c>
      <c r="S2210" t="str">
        <f t="shared" si="103"/>
        <v>Middle-Aged</v>
      </c>
      <c r="T2210" t="str">
        <f t="shared" si="104"/>
        <v>Medium</v>
      </c>
      <c r="U2210" t="str">
        <f t="shared" si="105"/>
        <v>Short Days</v>
      </c>
    </row>
    <row r="2211" spans="1:21">
      <c r="A2211" t="s">
        <v>2227</v>
      </c>
      <c r="B2211" s="5">
        <v>45497</v>
      </c>
      <c r="C2211" t="s">
        <v>3527</v>
      </c>
      <c r="D2211" t="s">
        <v>4669</v>
      </c>
      <c r="E2211" t="s">
        <v>4866</v>
      </c>
      <c r="F2211">
        <v>39</v>
      </c>
      <c r="G2211" t="s">
        <v>4879</v>
      </c>
      <c r="H2211" t="s">
        <v>4888</v>
      </c>
      <c r="I2211" t="s">
        <v>4895</v>
      </c>
      <c r="J2211" t="s">
        <v>4905</v>
      </c>
      <c r="K2211" t="s">
        <v>4932</v>
      </c>
      <c r="L2211" t="s">
        <v>4939</v>
      </c>
      <c r="M2211" t="s">
        <v>4942</v>
      </c>
      <c r="N2211" s="11">
        <v>2718.06</v>
      </c>
      <c r="O2211" t="s">
        <v>15</v>
      </c>
      <c r="P2211" t="s">
        <v>4952</v>
      </c>
      <c r="S2211" t="str">
        <f t="shared" si="103"/>
        <v>Adult</v>
      </c>
      <c r="T2211" t="str">
        <f t="shared" si="104"/>
        <v>Low</v>
      </c>
      <c r="U2211" t="str">
        <f t="shared" si="105"/>
        <v>Short Days</v>
      </c>
    </row>
    <row r="2212" spans="1:21">
      <c r="A2212" t="s">
        <v>2228</v>
      </c>
      <c r="B2212" s="5">
        <v>45944</v>
      </c>
      <c r="C2212" t="s">
        <v>3919</v>
      </c>
      <c r="D2212" t="s">
        <v>4827</v>
      </c>
      <c r="E2212" t="s">
        <v>4867</v>
      </c>
      <c r="F2212">
        <v>58</v>
      </c>
      <c r="G2212" t="s">
        <v>4879</v>
      </c>
      <c r="H2212" t="s">
        <v>4888</v>
      </c>
      <c r="I2212" t="s">
        <v>4901</v>
      </c>
      <c r="J2212" t="s">
        <v>4921</v>
      </c>
      <c r="K2212" t="s">
        <v>4926</v>
      </c>
      <c r="L2212" t="s">
        <v>4940</v>
      </c>
      <c r="M2212" t="s">
        <v>4943</v>
      </c>
      <c r="N2212" s="11">
        <v>7359.05</v>
      </c>
      <c r="O2212" t="s">
        <v>4948</v>
      </c>
      <c r="P2212" t="s">
        <v>4951</v>
      </c>
      <c r="S2212" t="str">
        <f t="shared" si="103"/>
        <v>Middle-Aged</v>
      </c>
      <c r="T2212" t="str">
        <f t="shared" si="104"/>
        <v>Medium</v>
      </c>
      <c r="U2212" t="str">
        <f t="shared" si="105"/>
        <v>Short Days</v>
      </c>
    </row>
    <row r="2213" spans="1:21">
      <c r="A2213" t="s">
        <v>2229</v>
      </c>
      <c r="B2213" s="5">
        <v>45938</v>
      </c>
      <c r="C2213" t="s">
        <v>4360</v>
      </c>
      <c r="D2213" t="s">
        <v>4679</v>
      </c>
      <c r="E2213" t="s">
        <v>4866</v>
      </c>
      <c r="F2213">
        <v>44</v>
      </c>
      <c r="G2213" t="s">
        <v>4881</v>
      </c>
      <c r="H2213" t="s">
        <v>4881</v>
      </c>
      <c r="I2213" t="s">
        <v>4894</v>
      </c>
      <c r="J2213" t="s">
        <v>4910</v>
      </c>
      <c r="K2213" t="s">
        <v>4928</v>
      </c>
      <c r="L2213" t="s">
        <v>4937</v>
      </c>
      <c r="M2213" t="s">
        <v>4942</v>
      </c>
      <c r="N2213" s="11">
        <v>5236.54</v>
      </c>
      <c r="O2213" t="s">
        <v>4946</v>
      </c>
      <c r="P2213" t="s">
        <v>4951</v>
      </c>
      <c r="S2213" t="str">
        <f t="shared" si="103"/>
        <v>Middle-Aged</v>
      </c>
      <c r="T2213" t="str">
        <f t="shared" si="104"/>
        <v>Medium</v>
      </c>
      <c r="U2213" t="str">
        <f t="shared" si="105"/>
        <v>Short Days</v>
      </c>
    </row>
    <row r="2214" spans="1:21">
      <c r="A2214" t="s">
        <v>2230</v>
      </c>
      <c r="B2214" s="5">
        <v>45909</v>
      </c>
      <c r="C2214" t="s">
        <v>3478</v>
      </c>
      <c r="D2214" t="s">
        <v>4674</v>
      </c>
      <c r="E2214" t="s">
        <v>4866</v>
      </c>
      <c r="F2214">
        <v>3</v>
      </c>
      <c r="G2214" t="s">
        <v>4876</v>
      </c>
      <c r="H2214" t="s">
        <v>4888</v>
      </c>
      <c r="I2214" t="s">
        <v>4894</v>
      </c>
      <c r="J2214" t="s">
        <v>4904</v>
      </c>
      <c r="K2214" t="s">
        <v>4929</v>
      </c>
      <c r="L2214" t="s">
        <v>4935</v>
      </c>
      <c r="M2214" t="s">
        <v>4942</v>
      </c>
      <c r="N2214" s="11">
        <v>186.24</v>
      </c>
      <c r="O2214" t="s">
        <v>4947</v>
      </c>
      <c r="P2214" t="s">
        <v>4951</v>
      </c>
      <c r="S2214" t="str">
        <f t="shared" si="103"/>
        <v>Child</v>
      </c>
      <c r="T2214" t="str">
        <f t="shared" si="104"/>
        <v>Low</v>
      </c>
      <c r="U2214" t="str">
        <f t="shared" si="105"/>
        <v>Short Days</v>
      </c>
    </row>
    <row r="2215" spans="1:21">
      <c r="A2215" t="s">
        <v>2231</v>
      </c>
      <c r="B2215" s="5">
        <v>45852</v>
      </c>
      <c r="C2215" t="s">
        <v>4334</v>
      </c>
      <c r="D2215" t="s">
        <v>4763</v>
      </c>
      <c r="E2215" t="s">
        <v>4867</v>
      </c>
      <c r="F2215">
        <v>43</v>
      </c>
      <c r="G2215" t="s">
        <v>4877</v>
      </c>
      <c r="H2215" t="s">
        <v>4888</v>
      </c>
      <c r="I2215" t="s">
        <v>4896</v>
      </c>
      <c r="J2215" t="s">
        <v>4908</v>
      </c>
      <c r="K2215" t="s">
        <v>4930</v>
      </c>
      <c r="L2215" t="s">
        <v>4934</v>
      </c>
      <c r="M2215" t="s">
        <v>4942</v>
      </c>
      <c r="N2215" s="11">
        <v>9421.64</v>
      </c>
      <c r="O2215" t="s">
        <v>15</v>
      </c>
      <c r="P2215" t="s">
        <v>4952</v>
      </c>
      <c r="R2215">
        <v>30</v>
      </c>
      <c r="S2215" t="str">
        <f t="shared" si="103"/>
        <v>Middle-Aged</v>
      </c>
      <c r="T2215" t="str">
        <f t="shared" si="104"/>
        <v>Medium</v>
      </c>
      <c r="U2215" t="str">
        <f t="shared" si="105"/>
        <v>Short Days</v>
      </c>
    </row>
    <row r="2216" spans="1:21">
      <c r="A2216" t="s">
        <v>2232</v>
      </c>
      <c r="B2216" s="5">
        <v>45415</v>
      </c>
      <c r="C2216" t="s">
        <v>4361</v>
      </c>
      <c r="D2216" t="s">
        <v>4843</v>
      </c>
      <c r="E2216" t="s">
        <v>4867</v>
      </c>
      <c r="F2216">
        <v>55</v>
      </c>
      <c r="G2216" t="s">
        <v>4875</v>
      </c>
      <c r="H2216" t="s">
        <v>4889</v>
      </c>
      <c r="I2216" t="s">
        <v>4901</v>
      </c>
      <c r="J2216" t="s">
        <v>4914</v>
      </c>
      <c r="K2216" t="s">
        <v>4932</v>
      </c>
      <c r="L2216" t="s">
        <v>4939</v>
      </c>
      <c r="M2216" t="s">
        <v>4942</v>
      </c>
      <c r="N2216" s="11">
        <v>6776.49</v>
      </c>
      <c r="O2216" t="s">
        <v>4947</v>
      </c>
      <c r="P2216" t="s">
        <v>4951</v>
      </c>
      <c r="R2216">
        <v>7</v>
      </c>
      <c r="S2216" t="str">
        <f t="shared" si="103"/>
        <v>Middle-Aged</v>
      </c>
      <c r="T2216" t="str">
        <f t="shared" si="104"/>
        <v>Medium</v>
      </c>
      <c r="U2216" t="str">
        <f t="shared" si="105"/>
        <v>Short Days</v>
      </c>
    </row>
    <row r="2217" spans="1:21">
      <c r="A2217" t="s">
        <v>2233</v>
      </c>
      <c r="B2217" s="5">
        <v>45850</v>
      </c>
      <c r="C2217" t="s">
        <v>3569</v>
      </c>
      <c r="D2217" t="s">
        <v>4658</v>
      </c>
      <c r="E2217" t="s">
        <v>4867</v>
      </c>
      <c r="F2217">
        <v>46</v>
      </c>
      <c r="G2217" t="s">
        <v>4879</v>
      </c>
      <c r="H2217" t="s">
        <v>4888</v>
      </c>
      <c r="I2217" t="s">
        <v>4901</v>
      </c>
      <c r="J2217" t="s">
        <v>4914</v>
      </c>
      <c r="K2217" t="s">
        <v>4928</v>
      </c>
      <c r="L2217" t="s">
        <v>4938</v>
      </c>
      <c r="M2217" t="s">
        <v>4942</v>
      </c>
      <c r="N2217" s="11">
        <v>3106.04</v>
      </c>
      <c r="O2217" t="s">
        <v>4946</v>
      </c>
      <c r="P2217" t="s">
        <v>4951</v>
      </c>
      <c r="R2217">
        <v>7</v>
      </c>
      <c r="S2217" t="str">
        <f t="shared" si="103"/>
        <v>Middle-Aged</v>
      </c>
      <c r="T2217" t="str">
        <f t="shared" si="104"/>
        <v>Low</v>
      </c>
      <c r="U2217" t="str">
        <f t="shared" si="105"/>
        <v>Short Days</v>
      </c>
    </row>
    <row r="2218" spans="1:21">
      <c r="A2218" t="s">
        <v>2234</v>
      </c>
      <c r="B2218" s="5">
        <v>45841</v>
      </c>
      <c r="C2218" t="s">
        <v>4362</v>
      </c>
      <c r="D2218" t="s">
        <v>4786</v>
      </c>
      <c r="E2218" t="s">
        <v>4866</v>
      </c>
      <c r="F2218">
        <v>22</v>
      </c>
      <c r="G2218" t="s">
        <v>4871</v>
      </c>
      <c r="H2218" t="s">
        <v>4886</v>
      </c>
      <c r="I2218" t="s">
        <v>4893</v>
      </c>
      <c r="J2218" t="s">
        <v>4917</v>
      </c>
      <c r="K2218" t="s">
        <v>4925</v>
      </c>
      <c r="L2218" t="s">
        <v>4939</v>
      </c>
      <c r="M2218" t="s">
        <v>4942</v>
      </c>
      <c r="N2218" s="11">
        <v>333.25</v>
      </c>
      <c r="O2218" t="s">
        <v>4949</v>
      </c>
      <c r="P2218" t="s">
        <v>4951</v>
      </c>
      <c r="R2218">
        <v>14</v>
      </c>
      <c r="S2218" t="str">
        <f t="shared" si="103"/>
        <v>Adult</v>
      </c>
      <c r="T2218" t="str">
        <f t="shared" si="104"/>
        <v>Low</v>
      </c>
      <c r="U2218" t="str">
        <f t="shared" si="105"/>
        <v>Short Days</v>
      </c>
    </row>
    <row r="2219" spans="1:21">
      <c r="A2219" t="s">
        <v>2235</v>
      </c>
      <c r="B2219" s="5">
        <v>45512</v>
      </c>
      <c r="C2219" t="s">
        <v>3865</v>
      </c>
      <c r="D2219" t="s">
        <v>4823</v>
      </c>
      <c r="E2219" t="s">
        <v>4866</v>
      </c>
      <c r="F2219">
        <v>43</v>
      </c>
      <c r="G2219" t="s">
        <v>4879</v>
      </c>
      <c r="H2219" t="s">
        <v>4888</v>
      </c>
      <c r="I2219" t="s">
        <v>4897</v>
      </c>
      <c r="J2219" t="s">
        <v>4922</v>
      </c>
      <c r="K2219" t="s">
        <v>4930</v>
      </c>
      <c r="L2219" t="s">
        <v>4937</v>
      </c>
      <c r="M2219" t="s">
        <v>4942</v>
      </c>
      <c r="N2219" s="11">
        <v>7049.07</v>
      </c>
      <c r="O2219" t="s">
        <v>4947</v>
      </c>
      <c r="P2219" t="s">
        <v>4951</v>
      </c>
      <c r="S2219" t="str">
        <f t="shared" si="103"/>
        <v>Middle-Aged</v>
      </c>
      <c r="T2219" t="str">
        <f t="shared" si="104"/>
        <v>Medium</v>
      </c>
      <c r="U2219" t="str">
        <f t="shared" si="105"/>
        <v>Short Days</v>
      </c>
    </row>
    <row r="2220" spans="1:21">
      <c r="A2220" t="s">
        <v>2236</v>
      </c>
      <c r="B2220" s="5">
        <v>45956</v>
      </c>
      <c r="C2220" t="s">
        <v>4018</v>
      </c>
      <c r="D2220" t="s">
        <v>4756</v>
      </c>
      <c r="E2220" t="s">
        <v>4867</v>
      </c>
      <c r="F2220">
        <v>50</v>
      </c>
      <c r="G2220" t="s">
        <v>4878</v>
      </c>
      <c r="H2220" t="s">
        <v>4889</v>
      </c>
      <c r="I2220" t="s">
        <v>4898</v>
      </c>
      <c r="J2220" t="s">
        <v>4909</v>
      </c>
      <c r="K2220" t="s">
        <v>4924</v>
      </c>
      <c r="L2220" t="s">
        <v>4935</v>
      </c>
      <c r="M2220" t="s">
        <v>4944</v>
      </c>
      <c r="N2220" s="11">
        <v>6498.28</v>
      </c>
      <c r="O2220" t="s">
        <v>4946</v>
      </c>
      <c r="P2220" t="s">
        <v>4951</v>
      </c>
      <c r="R2220">
        <v>90</v>
      </c>
      <c r="S2220" t="str">
        <f t="shared" si="103"/>
        <v>Middle-Aged</v>
      </c>
      <c r="T2220" t="str">
        <f t="shared" si="104"/>
        <v>Medium</v>
      </c>
      <c r="U2220" t="str">
        <f t="shared" si="105"/>
        <v>Short Days</v>
      </c>
    </row>
    <row r="2221" spans="1:21">
      <c r="A2221" t="s">
        <v>2237</v>
      </c>
      <c r="B2221" s="5">
        <v>45776</v>
      </c>
      <c r="C2221" t="s">
        <v>4363</v>
      </c>
      <c r="D2221" t="s">
        <v>4738</v>
      </c>
      <c r="E2221" t="s">
        <v>4867</v>
      </c>
      <c r="F2221">
        <v>33</v>
      </c>
      <c r="G2221" t="s">
        <v>4870</v>
      </c>
      <c r="H2221" t="s">
        <v>4885</v>
      </c>
      <c r="I2221" t="s">
        <v>4901</v>
      </c>
      <c r="J2221" t="s">
        <v>4921</v>
      </c>
      <c r="K2221" t="s">
        <v>4933</v>
      </c>
      <c r="L2221" t="s">
        <v>4937</v>
      </c>
      <c r="M2221" t="s">
        <v>4944</v>
      </c>
      <c r="N2221" s="11">
        <v>5476.88</v>
      </c>
      <c r="O2221" t="s">
        <v>4946</v>
      </c>
      <c r="P2221" t="s">
        <v>4951</v>
      </c>
      <c r="S2221" t="str">
        <f t="shared" si="103"/>
        <v>Adult</v>
      </c>
      <c r="T2221" t="str">
        <f t="shared" si="104"/>
        <v>Medium</v>
      </c>
      <c r="U2221" t="str">
        <f t="shared" si="105"/>
        <v>Short Days</v>
      </c>
    </row>
    <row r="2222" spans="1:21">
      <c r="A2222" t="s">
        <v>2238</v>
      </c>
      <c r="B2222" s="5">
        <v>45598</v>
      </c>
      <c r="C2222" t="s">
        <v>4325</v>
      </c>
      <c r="D2222" t="s">
        <v>4857</v>
      </c>
      <c r="E2222" t="s">
        <v>4867</v>
      </c>
      <c r="F2222">
        <v>41</v>
      </c>
      <c r="G2222" t="s">
        <v>4873</v>
      </c>
      <c r="H2222" t="s">
        <v>4888</v>
      </c>
      <c r="I2222" t="s">
        <v>4893</v>
      </c>
      <c r="J2222" t="s">
        <v>4903</v>
      </c>
      <c r="K2222" t="s">
        <v>4924</v>
      </c>
      <c r="L2222" t="s">
        <v>4941</v>
      </c>
      <c r="M2222" t="s">
        <v>4944</v>
      </c>
      <c r="N2222" s="11">
        <v>14360.09</v>
      </c>
      <c r="O2222" t="s">
        <v>4949</v>
      </c>
      <c r="P2222" t="s">
        <v>4951</v>
      </c>
      <c r="R2222">
        <v>30</v>
      </c>
      <c r="S2222" t="str">
        <f t="shared" si="103"/>
        <v>Middle-Aged</v>
      </c>
      <c r="T2222" t="str">
        <f t="shared" si="104"/>
        <v>High</v>
      </c>
      <c r="U2222" t="str">
        <f t="shared" si="105"/>
        <v>Short Days</v>
      </c>
    </row>
    <row r="2223" spans="1:21">
      <c r="A2223" t="s">
        <v>2239</v>
      </c>
      <c r="B2223" s="5">
        <v>45945</v>
      </c>
      <c r="C2223" t="s">
        <v>3235</v>
      </c>
      <c r="D2223" t="s">
        <v>4735</v>
      </c>
      <c r="E2223" t="s">
        <v>4867</v>
      </c>
      <c r="F2223">
        <v>51</v>
      </c>
      <c r="G2223" t="s">
        <v>4875</v>
      </c>
      <c r="H2223" t="s">
        <v>4889</v>
      </c>
      <c r="I2223" t="s">
        <v>4898</v>
      </c>
      <c r="J2223" t="s">
        <v>4918</v>
      </c>
      <c r="K2223" t="s">
        <v>4926</v>
      </c>
      <c r="L2223" t="s">
        <v>4941</v>
      </c>
      <c r="M2223" t="s">
        <v>4942</v>
      </c>
      <c r="N2223" s="11">
        <v>905.21</v>
      </c>
      <c r="O2223" t="s">
        <v>4946</v>
      </c>
      <c r="P2223" t="s">
        <v>4951</v>
      </c>
      <c r="R2223">
        <v>7</v>
      </c>
      <c r="S2223" t="str">
        <f t="shared" si="103"/>
        <v>Middle-Aged</v>
      </c>
      <c r="T2223" t="str">
        <f t="shared" si="104"/>
        <v>Low</v>
      </c>
      <c r="U2223" t="str">
        <f t="shared" si="105"/>
        <v>Short Days</v>
      </c>
    </row>
    <row r="2224" spans="1:21">
      <c r="A2224" t="s">
        <v>2240</v>
      </c>
      <c r="B2224" s="5">
        <v>45757</v>
      </c>
      <c r="C2224" t="s">
        <v>3396</v>
      </c>
      <c r="D2224" t="s">
        <v>4620</v>
      </c>
      <c r="E2224" t="s">
        <v>4867</v>
      </c>
      <c r="F2224">
        <v>38</v>
      </c>
      <c r="G2224" t="s">
        <v>4877</v>
      </c>
      <c r="H2224" t="s">
        <v>4888</v>
      </c>
      <c r="I2224" t="s">
        <v>4893</v>
      </c>
      <c r="J2224" t="s">
        <v>4917</v>
      </c>
      <c r="K2224" t="s">
        <v>4930</v>
      </c>
      <c r="L2224" t="s">
        <v>4937</v>
      </c>
      <c r="M2224" t="s">
        <v>4944</v>
      </c>
      <c r="N2224" s="11">
        <v>5406.52</v>
      </c>
      <c r="O2224" t="s">
        <v>4946</v>
      </c>
      <c r="P2224" t="s">
        <v>4951</v>
      </c>
      <c r="R2224">
        <v>30</v>
      </c>
      <c r="S2224" t="str">
        <f t="shared" si="103"/>
        <v>Adult</v>
      </c>
      <c r="T2224" t="str">
        <f t="shared" si="104"/>
        <v>Medium</v>
      </c>
      <c r="U2224" t="str">
        <f t="shared" si="105"/>
        <v>Short Days</v>
      </c>
    </row>
    <row r="2225" spans="1:21">
      <c r="A2225" t="s">
        <v>2241</v>
      </c>
      <c r="B2225" s="5">
        <v>45712</v>
      </c>
      <c r="C2225" t="s">
        <v>4364</v>
      </c>
      <c r="D2225" t="s">
        <v>4792</v>
      </c>
      <c r="E2225" t="s">
        <v>4867</v>
      </c>
      <c r="F2225">
        <v>32</v>
      </c>
      <c r="G2225" t="s">
        <v>4880</v>
      </c>
      <c r="H2225" t="s">
        <v>4890</v>
      </c>
      <c r="I2225" t="s">
        <v>4900</v>
      </c>
      <c r="J2225" t="s">
        <v>4919</v>
      </c>
      <c r="K2225" t="s">
        <v>4928</v>
      </c>
      <c r="L2225" t="s">
        <v>4938</v>
      </c>
      <c r="M2225" t="s">
        <v>4942</v>
      </c>
      <c r="N2225" s="11">
        <v>3963.46</v>
      </c>
      <c r="O2225" t="s">
        <v>15</v>
      </c>
      <c r="P2225" t="s">
        <v>4952</v>
      </c>
      <c r="R2225">
        <v>7</v>
      </c>
      <c r="S2225" t="str">
        <f t="shared" si="103"/>
        <v>Adult</v>
      </c>
      <c r="T2225" t="str">
        <f t="shared" si="104"/>
        <v>Low</v>
      </c>
      <c r="U2225" t="str">
        <f t="shared" si="105"/>
        <v>Short Days</v>
      </c>
    </row>
    <row r="2226" spans="1:21">
      <c r="A2226" t="s">
        <v>2242</v>
      </c>
      <c r="B2226" s="5">
        <v>45841</v>
      </c>
      <c r="C2226" t="s">
        <v>3154</v>
      </c>
      <c r="D2226" t="s">
        <v>4772</v>
      </c>
      <c r="E2226" t="s">
        <v>4867</v>
      </c>
      <c r="F2226">
        <v>61</v>
      </c>
      <c r="G2226" t="s">
        <v>4876</v>
      </c>
      <c r="H2226" t="s">
        <v>4888</v>
      </c>
      <c r="I2226" t="s">
        <v>4895</v>
      </c>
      <c r="J2226" t="s">
        <v>4905</v>
      </c>
      <c r="K2226" t="s">
        <v>4927</v>
      </c>
      <c r="L2226" t="s">
        <v>4936</v>
      </c>
      <c r="M2226" t="s">
        <v>4943</v>
      </c>
      <c r="N2226" s="11">
        <v>9650.99</v>
      </c>
      <c r="O2226" t="s">
        <v>4949</v>
      </c>
      <c r="P2226" t="s">
        <v>4951</v>
      </c>
      <c r="R2226">
        <v>30</v>
      </c>
      <c r="S2226" t="str">
        <f t="shared" si="103"/>
        <v>Senior</v>
      </c>
      <c r="T2226" t="str">
        <f t="shared" si="104"/>
        <v>Medium</v>
      </c>
      <c r="U2226" t="str">
        <f t="shared" si="105"/>
        <v>Short Days</v>
      </c>
    </row>
    <row r="2227" spans="1:21">
      <c r="A2227" t="s">
        <v>2243</v>
      </c>
      <c r="B2227" s="5">
        <v>45606</v>
      </c>
      <c r="C2227" t="s">
        <v>3082</v>
      </c>
      <c r="D2227" t="s">
        <v>4656</v>
      </c>
      <c r="E2227" t="s">
        <v>4867</v>
      </c>
      <c r="F2227">
        <v>30</v>
      </c>
      <c r="G2227" t="s">
        <v>4872</v>
      </c>
      <c r="H2227" t="s">
        <v>4887</v>
      </c>
      <c r="I2227" t="s">
        <v>4893</v>
      </c>
      <c r="J2227" t="s">
        <v>4917</v>
      </c>
      <c r="K2227" t="s">
        <v>4928</v>
      </c>
      <c r="L2227" t="s">
        <v>4940</v>
      </c>
      <c r="M2227" t="s">
        <v>4942</v>
      </c>
      <c r="N2227" s="11">
        <v>7655.79</v>
      </c>
      <c r="O2227" t="s">
        <v>4947</v>
      </c>
      <c r="P2227" t="s">
        <v>4951</v>
      </c>
      <c r="R2227">
        <v>30</v>
      </c>
      <c r="S2227" t="str">
        <f t="shared" si="103"/>
        <v>Adult</v>
      </c>
      <c r="T2227" t="str">
        <f t="shared" si="104"/>
        <v>Medium</v>
      </c>
      <c r="U2227" t="str">
        <f t="shared" si="105"/>
        <v>Short Days</v>
      </c>
    </row>
    <row r="2228" spans="1:21">
      <c r="A2228" t="s">
        <v>2244</v>
      </c>
      <c r="B2228" s="5">
        <v>45920</v>
      </c>
      <c r="C2228" t="s">
        <v>4138</v>
      </c>
      <c r="D2228" t="s">
        <v>4641</v>
      </c>
      <c r="E2228" t="s">
        <v>4866</v>
      </c>
      <c r="F2228">
        <v>37</v>
      </c>
      <c r="G2228" t="s">
        <v>4878</v>
      </c>
      <c r="H2228" t="s">
        <v>4889</v>
      </c>
      <c r="I2228" t="s">
        <v>4900</v>
      </c>
      <c r="J2228" t="s">
        <v>4913</v>
      </c>
      <c r="K2228" t="s">
        <v>4924</v>
      </c>
      <c r="L2228" t="s">
        <v>4936</v>
      </c>
      <c r="M2228" t="s">
        <v>4944</v>
      </c>
      <c r="N2228" s="11">
        <v>9389.7800000000007</v>
      </c>
      <c r="O2228" t="s">
        <v>4949</v>
      </c>
      <c r="P2228" t="s">
        <v>4951</v>
      </c>
      <c r="R2228">
        <v>14</v>
      </c>
      <c r="S2228" t="str">
        <f t="shared" si="103"/>
        <v>Adult</v>
      </c>
      <c r="T2228" t="str">
        <f t="shared" si="104"/>
        <v>Medium</v>
      </c>
      <c r="U2228" t="str">
        <f t="shared" si="105"/>
        <v>Short Days</v>
      </c>
    </row>
    <row r="2229" spans="1:21">
      <c r="A2229" t="s">
        <v>2245</v>
      </c>
      <c r="B2229" s="5">
        <v>45366</v>
      </c>
      <c r="C2229" t="s">
        <v>3304</v>
      </c>
      <c r="D2229" t="s">
        <v>4611</v>
      </c>
      <c r="E2229" t="s">
        <v>4867</v>
      </c>
      <c r="F2229">
        <v>36</v>
      </c>
      <c r="G2229" t="s">
        <v>4870</v>
      </c>
      <c r="H2229" t="s">
        <v>4885</v>
      </c>
      <c r="I2229" t="s">
        <v>4897</v>
      </c>
      <c r="J2229" t="s">
        <v>4922</v>
      </c>
      <c r="K2229" t="s">
        <v>4925</v>
      </c>
      <c r="L2229" t="s">
        <v>4941</v>
      </c>
      <c r="M2229" t="s">
        <v>4942</v>
      </c>
      <c r="N2229" s="11">
        <v>889.77</v>
      </c>
      <c r="O2229" t="s">
        <v>15</v>
      </c>
      <c r="P2229" t="s">
        <v>4952</v>
      </c>
      <c r="R2229">
        <v>30</v>
      </c>
      <c r="S2229" t="str">
        <f t="shared" si="103"/>
        <v>Adult</v>
      </c>
      <c r="T2229" t="str">
        <f t="shared" si="104"/>
        <v>Low</v>
      </c>
      <c r="U2229" t="str">
        <f t="shared" si="105"/>
        <v>Short Days</v>
      </c>
    </row>
    <row r="2230" spans="1:21">
      <c r="A2230" t="s">
        <v>2246</v>
      </c>
      <c r="B2230" s="5">
        <v>45855</v>
      </c>
      <c r="C2230" t="s">
        <v>3715</v>
      </c>
      <c r="D2230" t="s">
        <v>4653</v>
      </c>
      <c r="E2230" t="s">
        <v>4867</v>
      </c>
      <c r="F2230">
        <v>46</v>
      </c>
      <c r="G2230" t="s">
        <v>4880</v>
      </c>
      <c r="H2230" t="s">
        <v>4890</v>
      </c>
      <c r="I2230" t="s">
        <v>4894</v>
      </c>
      <c r="J2230" t="s">
        <v>4904</v>
      </c>
      <c r="K2230" t="s">
        <v>4924</v>
      </c>
      <c r="L2230" t="s">
        <v>4941</v>
      </c>
      <c r="M2230" t="s">
        <v>4944</v>
      </c>
      <c r="N2230" s="11">
        <v>5016.5</v>
      </c>
      <c r="O2230" t="s">
        <v>15</v>
      </c>
      <c r="P2230" t="s">
        <v>4952</v>
      </c>
      <c r="R2230">
        <v>14</v>
      </c>
      <c r="S2230" t="str">
        <f t="shared" si="103"/>
        <v>Middle-Aged</v>
      </c>
      <c r="T2230" t="str">
        <f t="shared" si="104"/>
        <v>Medium</v>
      </c>
      <c r="U2230" t="str">
        <f t="shared" si="105"/>
        <v>Short Days</v>
      </c>
    </row>
    <row r="2231" spans="1:21">
      <c r="A2231" t="s">
        <v>2247</v>
      </c>
      <c r="B2231" s="5">
        <v>45308</v>
      </c>
      <c r="C2231" t="s">
        <v>3702</v>
      </c>
      <c r="D2231" t="s">
        <v>4611</v>
      </c>
      <c r="E2231" t="s">
        <v>4867</v>
      </c>
      <c r="F2231">
        <v>47</v>
      </c>
      <c r="G2231" t="s">
        <v>4877</v>
      </c>
      <c r="H2231" t="s">
        <v>4888</v>
      </c>
      <c r="I2231" t="s">
        <v>4893</v>
      </c>
      <c r="J2231" t="s">
        <v>4903</v>
      </c>
      <c r="K2231" t="s">
        <v>4927</v>
      </c>
      <c r="L2231" t="s">
        <v>4941</v>
      </c>
      <c r="M2231" t="s">
        <v>4942</v>
      </c>
      <c r="N2231" s="11">
        <v>3983.98</v>
      </c>
      <c r="O2231" t="s">
        <v>4946</v>
      </c>
      <c r="P2231" t="s">
        <v>4951</v>
      </c>
      <c r="R2231">
        <v>30</v>
      </c>
      <c r="S2231" t="str">
        <f t="shared" si="103"/>
        <v>Middle-Aged</v>
      </c>
      <c r="T2231" t="str">
        <f t="shared" si="104"/>
        <v>Low</v>
      </c>
      <c r="U2231" t="str">
        <f t="shared" si="105"/>
        <v>Short Days</v>
      </c>
    </row>
    <row r="2232" spans="1:21">
      <c r="A2232" t="s">
        <v>2248</v>
      </c>
      <c r="B2232" s="5">
        <v>45690</v>
      </c>
      <c r="C2232" t="s">
        <v>4365</v>
      </c>
      <c r="D2232" t="s">
        <v>4706</v>
      </c>
      <c r="E2232" t="s">
        <v>4867</v>
      </c>
      <c r="F2232">
        <v>38</v>
      </c>
      <c r="G2232" t="s">
        <v>4881</v>
      </c>
      <c r="H2232" t="s">
        <v>4881</v>
      </c>
      <c r="I2232" t="s">
        <v>4894</v>
      </c>
      <c r="J2232" t="s">
        <v>4904</v>
      </c>
      <c r="K2232" t="s">
        <v>4925</v>
      </c>
      <c r="L2232" t="s">
        <v>4934</v>
      </c>
      <c r="M2232" t="s">
        <v>4942</v>
      </c>
      <c r="N2232" s="11">
        <v>6752.31</v>
      </c>
      <c r="O2232" t="s">
        <v>4949</v>
      </c>
      <c r="P2232" t="s">
        <v>4951</v>
      </c>
      <c r="R2232">
        <v>7</v>
      </c>
      <c r="S2232" t="str">
        <f t="shared" si="103"/>
        <v>Adult</v>
      </c>
      <c r="T2232" t="str">
        <f t="shared" si="104"/>
        <v>Medium</v>
      </c>
      <c r="U2232" t="str">
        <f t="shared" si="105"/>
        <v>Short Days</v>
      </c>
    </row>
    <row r="2233" spans="1:21">
      <c r="A2233" t="s">
        <v>2249</v>
      </c>
      <c r="B2233" s="5">
        <v>45806</v>
      </c>
      <c r="C2233" t="s">
        <v>3973</v>
      </c>
      <c r="D2233" t="s">
        <v>4745</v>
      </c>
      <c r="E2233" t="s">
        <v>4867</v>
      </c>
      <c r="F2233">
        <v>71</v>
      </c>
      <c r="G2233" t="s">
        <v>4871</v>
      </c>
      <c r="H2233" t="s">
        <v>4886</v>
      </c>
      <c r="I2233" t="s">
        <v>4893</v>
      </c>
      <c r="J2233" t="s">
        <v>4903</v>
      </c>
      <c r="K2233" t="s">
        <v>4933</v>
      </c>
      <c r="L2233" t="s">
        <v>4940</v>
      </c>
      <c r="M2233" t="s">
        <v>4943</v>
      </c>
      <c r="N2233" s="11">
        <v>19997.43</v>
      </c>
      <c r="O2233" t="s">
        <v>4946</v>
      </c>
      <c r="P2233" t="s">
        <v>4951</v>
      </c>
      <c r="R2233">
        <v>90</v>
      </c>
      <c r="S2233" t="str">
        <f t="shared" si="103"/>
        <v>Senior</v>
      </c>
      <c r="T2233" t="str">
        <f t="shared" si="104"/>
        <v>High</v>
      </c>
      <c r="U2233" t="str">
        <f t="shared" si="105"/>
        <v>Short Days</v>
      </c>
    </row>
    <row r="2234" spans="1:21">
      <c r="A2234" t="s">
        <v>2250</v>
      </c>
      <c r="B2234" s="5">
        <v>45941</v>
      </c>
      <c r="C2234" t="s">
        <v>3371</v>
      </c>
      <c r="D2234" t="s">
        <v>4673</v>
      </c>
      <c r="E2234" t="s">
        <v>4866</v>
      </c>
      <c r="F2234">
        <v>95</v>
      </c>
      <c r="G2234" t="s">
        <v>4881</v>
      </c>
      <c r="H2234" t="s">
        <v>4881</v>
      </c>
      <c r="I2234" t="s">
        <v>4900</v>
      </c>
      <c r="J2234" t="s">
        <v>4919</v>
      </c>
      <c r="K2234" t="s">
        <v>4928</v>
      </c>
      <c r="L2234" t="s">
        <v>4940</v>
      </c>
      <c r="M2234" t="s">
        <v>4942</v>
      </c>
      <c r="N2234" s="11">
        <v>1130.08</v>
      </c>
      <c r="O2234" t="s">
        <v>4947</v>
      </c>
      <c r="P2234" t="s">
        <v>4951</v>
      </c>
      <c r="R2234">
        <v>7</v>
      </c>
      <c r="S2234" t="str">
        <f t="shared" si="103"/>
        <v>Senior</v>
      </c>
      <c r="T2234" t="str">
        <f t="shared" si="104"/>
        <v>Low</v>
      </c>
      <c r="U2234" t="str">
        <f t="shared" si="105"/>
        <v>Short Days</v>
      </c>
    </row>
    <row r="2235" spans="1:21">
      <c r="A2235" t="s">
        <v>2251</v>
      </c>
      <c r="B2235" s="5">
        <v>45819</v>
      </c>
      <c r="C2235" t="s">
        <v>3973</v>
      </c>
      <c r="D2235" t="s">
        <v>4662</v>
      </c>
      <c r="E2235" t="s">
        <v>4867</v>
      </c>
      <c r="F2235">
        <v>48</v>
      </c>
      <c r="G2235" t="s">
        <v>4873</v>
      </c>
      <c r="H2235" t="s">
        <v>4888</v>
      </c>
      <c r="I2235" t="s">
        <v>4894</v>
      </c>
      <c r="J2235" t="s">
        <v>4904</v>
      </c>
      <c r="K2235" t="s">
        <v>4931</v>
      </c>
      <c r="L2235" t="s">
        <v>4939</v>
      </c>
      <c r="M2235" t="s">
        <v>4942</v>
      </c>
      <c r="N2235" s="11">
        <v>2484.79</v>
      </c>
      <c r="O2235" t="s">
        <v>4948</v>
      </c>
      <c r="P2235" t="s">
        <v>4951</v>
      </c>
      <c r="S2235" t="str">
        <f t="shared" si="103"/>
        <v>Middle-Aged</v>
      </c>
      <c r="T2235" t="str">
        <f t="shared" si="104"/>
        <v>Low</v>
      </c>
      <c r="U2235" t="str">
        <f t="shared" si="105"/>
        <v>Short Days</v>
      </c>
    </row>
    <row r="2236" spans="1:21">
      <c r="A2236" t="s">
        <v>2252</v>
      </c>
      <c r="B2236" s="5">
        <v>45421</v>
      </c>
      <c r="C2236" t="s">
        <v>3690</v>
      </c>
      <c r="D2236" t="s">
        <v>4825</v>
      </c>
      <c r="E2236" t="s">
        <v>4866</v>
      </c>
      <c r="F2236">
        <v>27</v>
      </c>
      <c r="G2236" t="s">
        <v>4870</v>
      </c>
      <c r="H2236" t="s">
        <v>4885</v>
      </c>
      <c r="I2236" t="s">
        <v>4900</v>
      </c>
      <c r="J2236" t="s">
        <v>4913</v>
      </c>
      <c r="K2236" t="s">
        <v>4930</v>
      </c>
      <c r="L2236" t="s">
        <v>4941</v>
      </c>
      <c r="M2236" t="s">
        <v>4942</v>
      </c>
      <c r="N2236" s="11">
        <v>1547.72</v>
      </c>
      <c r="O2236" t="s">
        <v>15</v>
      </c>
      <c r="P2236" t="s">
        <v>4952</v>
      </c>
      <c r="R2236">
        <v>7</v>
      </c>
      <c r="S2236" t="str">
        <f t="shared" si="103"/>
        <v>Adult</v>
      </c>
      <c r="T2236" t="str">
        <f t="shared" si="104"/>
        <v>Low</v>
      </c>
      <c r="U2236" t="str">
        <f t="shared" si="105"/>
        <v>Short Days</v>
      </c>
    </row>
    <row r="2237" spans="1:21">
      <c r="A2237" t="s">
        <v>2253</v>
      </c>
      <c r="B2237" s="5">
        <v>45945</v>
      </c>
      <c r="C2237" t="s">
        <v>3504</v>
      </c>
      <c r="D2237" t="s">
        <v>4750</v>
      </c>
      <c r="E2237" t="s">
        <v>4867</v>
      </c>
      <c r="F2237">
        <v>8</v>
      </c>
      <c r="G2237" t="s">
        <v>4874</v>
      </c>
      <c r="H2237" t="s">
        <v>4886</v>
      </c>
      <c r="I2237" t="s">
        <v>4893</v>
      </c>
      <c r="J2237" t="s">
        <v>4917</v>
      </c>
      <c r="K2237" t="s">
        <v>4925</v>
      </c>
      <c r="L2237" t="s">
        <v>4940</v>
      </c>
      <c r="M2237" t="s">
        <v>4942</v>
      </c>
      <c r="N2237" s="11">
        <v>812.44</v>
      </c>
      <c r="O2237" t="s">
        <v>4946</v>
      </c>
      <c r="P2237" t="s">
        <v>4951</v>
      </c>
      <c r="R2237">
        <v>14</v>
      </c>
      <c r="S2237" t="str">
        <f t="shared" si="103"/>
        <v>Child</v>
      </c>
      <c r="T2237" t="str">
        <f t="shared" si="104"/>
        <v>Low</v>
      </c>
      <c r="U2237" t="str">
        <f t="shared" si="105"/>
        <v>Short Days</v>
      </c>
    </row>
    <row r="2238" spans="1:21">
      <c r="A2238" t="s">
        <v>2254</v>
      </c>
      <c r="B2238" s="5">
        <v>45373</v>
      </c>
      <c r="C2238" t="s">
        <v>4366</v>
      </c>
      <c r="D2238" t="s">
        <v>4865</v>
      </c>
      <c r="E2238" t="s">
        <v>4866</v>
      </c>
      <c r="F2238">
        <v>32</v>
      </c>
      <c r="G2238" t="s">
        <v>4873</v>
      </c>
      <c r="H2238" t="s">
        <v>4888</v>
      </c>
      <c r="I2238" t="s">
        <v>4899</v>
      </c>
      <c r="J2238" t="s">
        <v>4912</v>
      </c>
      <c r="K2238" t="s">
        <v>4930</v>
      </c>
      <c r="L2238" t="s">
        <v>4939</v>
      </c>
      <c r="M2238" t="s">
        <v>4942</v>
      </c>
      <c r="N2238" s="11">
        <v>1724.21</v>
      </c>
      <c r="O2238" t="s">
        <v>4947</v>
      </c>
      <c r="P2238" t="s">
        <v>4951</v>
      </c>
      <c r="R2238">
        <v>30</v>
      </c>
      <c r="S2238" t="str">
        <f t="shared" si="103"/>
        <v>Adult</v>
      </c>
      <c r="T2238" t="str">
        <f t="shared" si="104"/>
        <v>Low</v>
      </c>
      <c r="U2238" t="str">
        <f t="shared" si="105"/>
        <v>Short Days</v>
      </c>
    </row>
    <row r="2239" spans="1:21">
      <c r="A2239" t="s">
        <v>2255</v>
      </c>
      <c r="B2239" s="5">
        <v>45554</v>
      </c>
      <c r="C2239" t="s">
        <v>4367</v>
      </c>
      <c r="D2239" t="s">
        <v>4757</v>
      </c>
      <c r="E2239" t="s">
        <v>4867</v>
      </c>
      <c r="F2239">
        <v>17</v>
      </c>
      <c r="G2239" t="s">
        <v>4869</v>
      </c>
      <c r="H2239" t="s">
        <v>4884</v>
      </c>
      <c r="I2239" t="s">
        <v>4899</v>
      </c>
      <c r="J2239" t="s">
        <v>4911</v>
      </c>
      <c r="K2239" t="s">
        <v>4926</v>
      </c>
      <c r="L2239" t="s">
        <v>4936</v>
      </c>
      <c r="M2239" t="s">
        <v>4943</v>
      </c>
      <c r="N2239" s="11">
        <v>6471.84</v>
      </c>
      <c r="O2239" t="s">
        <v>4946</v>
      </c>
      <c r="P2239" t="s">
        <v>4951</v>
      </c>
      <c r="S2239" t="str">
        <f t="shared" si="103"/>
        <v>Child</v>
      </c>
      <c r="T2239" t="str">
        <f t="shared" si="104"/>
        <v>Medium</v>
      </c>
      <c r="U2239" t="str">
        <f t="shared" si="105"/>
        <v>Short Days</v>
      </c>
    </row>
    <row r="2240" spans="1:21">
      <c r="A2240" t="s">
        <v>2256</v>
      </c>
      <c r="B2240" s="5">
        <v>45467</v>
      </c>
      <c r="C2240" t="s">
        <v>3984</v>
      </c>
      <c r="D2240" t="s">
        <v>4827</v>
      </c>
      <c r="E2240" t="s">
        <v>4867</v>
      </c>
      <c r="F2240">
        <v>52</v>
      </c>
      <c r="G2240" t="s">
        <v>4874</v>
      </c>
      <c r="H2240" t="s">
        <v>4886</v>
      </c>
      <c r="I2240" t="s">
        <v>4896</v>
      </c>
      <c r="J2240" t="s">
        <v>4908</v>
      </c>
      <c r="K2240" t="s">
        <v>4927</v>
      </c>
      <c r="L2240" t="s">
        <v>4936</v>
      </c>
      <c r="M2240" t="s">
        <v>4942</v>
      </c>
      <c r="N2240" s="11">
        <v>204.44</v>
      </c>
      <c r="O2240" t="s">
        <v>4949</v>
      </c>
      <c r="P2240" t="s">
        <v>4951</v>
      </c>
      <c r="R2240">
        <v>7</v>
      </c>
      <c r="S2240" t="str">
        <f t="shared" si="103"/>
        <v>Middle-Aged</v>
      </c>
      <c r="T2240" t="str">
        <f t="shared" si="104"/>
        <v>Low</v>
      </c>
      <c r="U2240" t="str">
        <f t="shared" si="105"/>
        <v>Short Days</v>
      </c>
    </row>
    <row r="2241" spans="1:21">
      <c r="A2241" t="s">
        <v>2257</v>
      </c>
      <c r="B2241" s="5">
        <v>45670</v>
      </c>
      <c r="C2241" t="s">
        <v>3316</v>
      </c>
      <c r="D2241" t="s">
        <v>4829</v>
      </c>
      <c r="E2241" t="s">
        <v>4867</v>
      </c>
      <c r="F2241">
        <v>62</v>
      </c>
      <c r="G2241" t="s">
        <v>4877</v>
      </c>
      <c r="H2241" t="s">
        <v>4888</v>
      </c>
      <c r="I2241" t="s">
        <v>4897</v>
      </c>
      <c r="J2241" t="s">
        <v>4907</v>
      </c>
      <c r="K2241" t="s">
        <v>4931</v>
      </c>
      <c r="L2241" t="s">
        <v>4934</v>
      </c>
      <c r="M2241" t="s">
        <v>4945</v>
      </c>
      <c r="N2241" s="11">
        <v>22000.53</v>
      </c>
      <c r="O2241" t="s">
        <v>4949</v>
      </c>
      <c r="P2241" t="s">
        <v>4951</v>
      </c>
      <c r="Q2241">
        <v>2</v>
      </c>
      <c r="S2241" t="str">
        <f t="shared" si="103"/>
        <v>Senior</v>
      </c>
      <c r="T2241" t="str">
        <f t="shared" si="104"/>
        <v>High</v>
      </c>
      <c r="U2241" t="str">
        <f t="shared" si="105"/>
        <v>Short Days</v>
      </c>
    </row>
    <row r="2242" spans="1:21">
      <c r="A2242" t="s">
        <v>2258</v>
      </c>
      <c r="B2242" s="5">
        <v>45738</v>
      </c>
      <c r="C2242" t="s">
        <v>3910</v>
      </c>
      <c r="D2242" t="s">
        <v>4643</v>
      </c>
      <c r="E2242" t="s">
        <v>4867</v>
      </c>
      <c r="F2242">
        <v>28</v>
      </c>
      <c r="G2242" t="s">
        <v>4871</v>
      </c>
      <c r="H2242" t="s">
        <v>4886</v>
      </c>
      <c r="I2242" t="s">
        <v>4899</v>
      </c>
      <c r="J2242" t="s">
        <v>4911</v>
      </c>
      <c r="K2242" t="s">
        <v>4930</v>
      </c>
      <c r="L2242" t="s">
        <v>4937</v>
      </c>
      <c r="M2242" t="s">
        <v>4942</v>
      </c>
      <c r="N2242" s="11">
        <v>5302.16</v>
      </c>
      <c r="O2242" t="s">
        <v>4947</v>
      </c>
      <c r="P2242" t="s">
        <v>4951</v>
      </c>
      <c r="S2242" t="str">
        <f t="shared" si="103"/>
        <v>Adult</v>
      </c>
      <c r="T2242" t="str">
        <f t="shared" si="104"/>
        <v>Medium</v>
      </c>
      <c r="U2242" t="str">
        <f t="shared" si="105"/>
        <v>Short Days</v>
      </c>
    </row>
    <row r="2243" spans="1:21">
      <c r="A2243" t="s">
        <v>2259</v>
      </c>
      <c r="B2243" s="5">
        <v>45937</v>
      </c>
      <c r="C2243" t="s">
        <v>3057</v>
      </c>
      <c r="D2243" t="s">
        <v>4680</v>
      </c>
      <c r="E2243" t="s">
        <v>4866</v>
      </c>
      <c r="F2243">
        <v>39</v>
      </c>
      <c r="G2243" t="s">
        <v>4877</v>
      </c>
      <c r="H2243" t="s">
        <v>4888</v>
      </c>
      <c r="I2243" t="s">
        <v>4893</v>
      </c>
      <c r="J2243" t="s">
        <v>4917</v>
      </c>
      <c r="K2243" t="s">
        <v>4931</v>
      </c>
      <c r="L2243" t="s">
        <v>4937</v>
      </c>
      <c r="M2243" t="s">
        <v>4942</v>
      </c>
      <c r="N2243" s="11">
        <v>2949.64</v>
      </c>
      <c r="O2243" t="s">
        <v>4947</v>
      </c>
      <c r="P2243" t="s">
        <v>4951</v>
      </c>
      <c r="S2243" t="str">
        <f t="shared" ref="S2243:S2306" si="106">IF(F2243&lt;18,"Child",IF(F2243&lt;=40,"Adult",IF(F2243&lt;=60,"Middle-Aged",IF(F2243,"Senior"))))</f>
        <v>Adult</v>
      </c>
      <c r="T2243" t="str">
        <f t="shared" ref="T2243:T2306" si="107">IF(N2243&lt;=5000,"Low",IF(N2243&lt;=10000,"Medium","High"))</f>
        <v>Low</v>
      </c>
      <c r="U2243" t="str">
        <f t="shared" ref="U2243:U2306" si="108">IF(Q2243&lt;=5,"Short Days","Long Days")</f>
        <v>Short Days</v>
      </c>
    </row>
    <row r="2244" spans="1:21">
      <c r="A2244" t="s">
        <v>2260</v>
      </c>
      <c r="B2244" s="5">
        <v>45826</v>
      </c>
      <c r="C2244" t="s">
        <v>4368</v>
      </c>
      <c r="D2244" t="s">
        <v>4609</v>
      </c>
      <c r="E2244" t="s">
        <v>4867</v>
      </c>
      <c r="F2244">
        <v>53</v>
      </c>
      <c r="G2244" t="s">
        <v>4875</v>
      </c>
      <c r="H2244" t="s">
        <v>4889</v>
      </c>
      <c r="I2244" t="s">
        <v>4896</v>
      </c>
      <c r="J2244" t="s">
        <v>4906</v>
      </c>
      <c r="K2244" t="s">
        <v>4925</v>
      </c>
      <c r="L2244" t="s">
        <v>4935</v>
      </c>
      <c r="M2244" t="s">
        <v>4942</v>
      </c>
      <c r="N2244" s="11">
        <v>4259.46</v>
      </c>
      <c r="O2244" t="s">
        <v>4946</v>
      </c>
      <c r="P2244" t="s">
        <v>4951</v>
      </c>
      <c r="R2244">
        <v>14</v>
      </c>
      <c r="S2244" t="str">
        <f t="shared" si="106"/>
        <v>Middle-Aged</v>
      </c>
      <c r="T2244" t="str">
        <f t="shared" si="107"/>
        <v>Low</v>
      </c>
      <c r="U2244" t="str">
        <f t="shared" si="108"/>
        <v>Short Days</v>
      </c>
    </row>
    <row r="2245" spans="1:21">
      <c r="A2245" t="s">
        <v>2261</v>
      </c>
      <c r="B2245" s="5">
        <v>45337</v>
      </c>
      <c r="C2245" t="s">
        <v>4254</v>
      </c>
      <c r="D2245" t="s">
        <v>4688</v>
      </c>
      <c r="E2245" t="s">
        <v>4867</v>
      </c>
      <c r="F2245">
        <v>11</v>
      </c>
      <c r="G2245" t="s">
        <v>4874</v>
      </c>
      <c r="H2245" t="s">
        <v>4886</v>
      </c>
      <c r="I2245" t="s">
        <v>4894</v>
      </c>
      <c r="J2245" t="s">
        <v>4904</v>
      </c>
      <c r="K2245" t="s">
        <v>4932</v>
      </c>
      <c r="L2245" t="s">
        <v>4938</v>
      </c>
      <c r="M2245" t="s">
        <v>4942</v>
      </c>
      <c r="N2245" s="11">
        <v>1614.51</v>
      </c>
      <c r="O2245" t="s">
        <v>4949</v>
      </c>
      <c r="P2245" t="s">
        <v>4951</v>
      </c>
      <c r="R2245">
        <v>90</v>
      </c>
      <c r="S2245" t="str">
        <f t="shared" si="106"/>
        <v>Child</v>
      </c>
      <c r="T2245" t="str">
        <f t="shared" si="107"/>
        <v>Low</v>
      </c>
      <c r="U2245" t="str">
        <f t="shared" si="108"/>
        <v>Short Days</v>
      </c>
    </row>
    <row r="2246" spans="1:21">
      <c r="A2246" t="s">
        <v>2262</v>
      </c>
      <c r="B2246" s="5">
        <v>45377</v>
      </c>
      <c r="C2246" t="s">
        <v>4348</v>
      </c>
      <c r="D2246" t="s">
        <v>4740</v>
      </c>
      <c r="E2246" t="s">
        <v>4866</v>
      </c>
      <c r="F2246">
        <v>33</v>
      </c>
      <c r="G2246" t="s">
        <v>4878</v>
      </c>
      <c r="H2246" t="s">
        <v>4889</v>
      </c>
      <c r="I2246" t="s">
        <v>4901</v>
      </c>
      <c r="J2246" t="s">
        <v>4921</v>
      </c>
      <c r="K2246" t="s">
        <v>4928</v>
      </c>
      <c r="L2246" t="s">
        <v>4934</v>
      </c>
      <c r="M2246" t="s">
        <v>4942</v>
      </c>
      <c r="N2246" s="11">
        <v>1954.75</v>
      </c>
      <c r="O2246" t="s">
        <v>4947</v>
      </c>
      <c r="P2246" t="s">
        <v>4951</v>
      </c>
      <c r="R2246">
        <v>30</v>
      </c>
      <c r="S2246" t="str">
        <f t="shared" si="106"/>
        <v>Adult</v>
      </c>
      <c r="T2246" t="str">
        <f t="shared" si="107"/>
        <v>Low</v>
      </c>
      <c r="U2246" t="str">
        <f t="shared" si="108"/>
        <v>Short Days</v>
      </c>
    </row>
    <row r="2247" spans="1:21">
      <c r="A2247" t="s">
        <v>2263</v>
      </c>
      <c r="B2247" s="5">
        <v>45846</v>
      </c>
      <c r="C2247" t="s">
        <v>3066</v>
      </c>
      <c r="D2247" t="s">
        <v>4799</v>
      </c>
      <c r="E2247" t="s">
        <v>4866</v>
      </c>
      <c r="F2247">
        <v>69</v>
      </c>
      <c r="G2247" t="s">
        <v>4879</v>
      </c>
      <c r="H2247" t="s">
        <v>4888</v>
      </c>
      <c r="I2247" t="s">
        <v>4897</v>
      </c>
      <c r="J2247" t="s">
        <v>4922</v>
      </c>
      <c r="K2247" t="s">
        <v>4924</v>
      </c>
      <c r="L2247" t="s">
        <v>4935</v>
      </c>
      <c r="M2247" t="s">
        <v>4942</v>
      </c>
      <c r="N2247" s="11">
        <v>3073.19</v>
      </c>
      <c r="O2247" t="s">
        <v>15</v>
      </c>
      <c r="P2247" t="s">
        <v>4952</v>
      </c>
      <c r="R2247">
        <v>90</v>
      </c>
      <c r="S2247" t="str">
        <f t="shared" si="106"/>
        <v>Senior</v>
      </c>
      <c r="T2247" t="str">
        <f t="shared" si="107"/>
        <v>Low</v>
      </c>
      <c r="U2247" t="str">
        <f t="shared" si="108"/>
        <v>Short Days</v>
      </c>
    </row>
    <row r="2248" spans="1:21">
      <c r="A2248" t="s">
        <v>2264</v>
      </c>
      <c r="B2248" s="5">
        <v>45790</v>
      </c>
      <c r="C2248" t="s">
        <v>3588</v>
      </c>
      <c r="D2248" t="s">
        <v>4718</v>
      </c>
      <c r="E2248" t="s">
        <v>4867</v>
      </c>
      <c r="F2248">
        <v>21</v>
      </c>
      <c r="G2248" t="s">
        <v>4875</v>
      </c>
      <c r="H2248" t="s">
        <v>4889</v>
      </c>
      <c r="I2248" t="s">
        <v>4899</v>
      </c>
      <c r="J2248" t="s">
        <v>4912</v>
      </c>
      <c r="K2248" t="s">
        <v>4928</v>
      </c>
      <c r="L2248" t="s">
        <v>4940</v>
      </c>
      <c r="M2248" t="s">
        <v>4943</v>
      </c>
      <c r="N2248" s="11">
        <v>5871.5</v>
      </c>
      <c r="O2248" t="s">
        <v>4946</v>
      </c>
      <c r="P2248" t="s">
        <v>4951</v>
      </c>
      <c r="S2248" t="str">
        <f t="shared" si="106"/>
        <v>Adult</v>
      </c>
      <c r="T2248" t="str">
        <f t="shared" si="107"/>
        <v>Medium</v>
      </c>
      <c r="U2248" t="str">
        <f t="shared" si="108"/>
        <v>Short Days</v>
      </c>
    </row>
    <row r="2249" spans="1:21">
      <c r="A2249" t="s">
        <v>2265</v>
      </c>
      <c r="B2249" s="5">
        <v>45444</v>
      </c>
      <c r="C2249" t="s">
        <v>4240</v>
      </c>
      <c r="D2249" t="s">
        <v>4604</v>
      </c>
      <c r="E2249" t="s">
        <v>4867</v>
      </c>
      <c r="F2249">
        <v>75</v>
      </c>
      <c r="G2249" t="s">
        <v>4872</v>
      </c>
      <c r="H2249" t="s">
        <v>4887</v>
      </c>
      <c r="I2249" t="s">
        <v>4895</v>
      </c>
      <c r="J2249" t="s">
        <v>4905</v>
      </c>
      <c r="K2249" t="s">
        <v>4929</v>
      </c>
      <c r="L2249" t="s">
        <v>4937</v>
      </c>
      <c r="M2249" t="s">
        <v>4944</v>
      </c>
      <c r="N2249" s="11">
        <v>11731.65</v>
      </c>
      <c r="O2249" t="s">
        <v>15</v>
      </c>
      <c r="P2249" t="s">
        <v>4952</v>
      </c>
      <c r="R2249">
        <v>90</v>
      </c>
      <c r="S2249" t="str">
        <f t="shared" si="106"/>
        <v>Senior</v>
      </c>
      <c r="T2249" t="str">
        <f t="shared" si="107"/>
        <v>High</v>
      </c>
      <c r="U2249" t="str">
        <f t="shared" si="108"/>
        <v>Short Days</v>
      </c>
    </row>
    <row r="2250" spans="1:21">
      <c r="A2250" t="s">
        <v>2266</v>
      </c>
      <c r="B2250" s="5">
        <v>45742</v>
      </c>
      <c r="C2250" t="s">
        <v>4369</v>
      </c>
      <c r="D2250" t="s">
        <v>4820</v>
      </c>
      <c r="E2250" t="s">
        <v>4866</v>
      </c>
      <c r="F2250">
        <v>51</v>
      </c>
      <c r="G2250" t="s">
        <v>4880</v>
      </c>
      <c r="H2250" t="s">
        <v>4890</v>
      </c>
      <c r="I2250" t="s">
        <v>4893</v>
      </c>
      <c r="J2250" t="s">
        <v>4903</v>
      </c>
      <c r="K2250" t="s">
        <v>4928</v>
      </c>
      <c r="L2250" t="s">
        <v>4938</v>
      </c>
      <c r="M2250" t="s">
        <v>4944</v>
      </c>
      <c r="N2250" s="11">
        <v>13316.38</v>
      </c>
      <c r="O2250" t="s">
        <v>4946</v>
      </c>
      <c r="P2250" t="s">
        <v>4951</v>
      </c>
      <c r="R2250">
        <v>14</v>
      </c>
      <c r="S2250" t="str">
        <f t="shared" si="106"/>
        <v>Middle-Aged</v>
      </c>
      <c r="T2250" t="str">
        <f t="shared" si="107"/>
        <v>High</v>
      </c>
      <c r="U2250" t="str">
        <f t="shared" si="108"/>
        <v>Short Days</v>
      </c>
    </row>
    <row r="2251" spans="1:21">
      <c r="A2251" t="s">
        <v>2267</v>
      </c>
      <c r="B2251" s="5">
        <v>45639</v>
      </c>
      <c r="C2251" t="s">
        <v>4204</v>
      </c>
      <c r="D2251" t="s">
        <v>4614</v>
      </c>
      <c r="E2251" t="s">
        <v>4867</v>
      </c>
      <c r="F2251">
        <v>31</v>
      </c>
      <c r="G2251" t="s">
        <v>4880</v>
      </c>
      <c r="H2251" t="s">
        <v>4890</v>
      </c>
      <c r="I2251" t="s">
        <v>4899</v>
      </c>
      <c r="J2251" t="s">
        <v>4911</v>
      </c>
      <c r="K2251" t="s">
        <v>4932</v>
      </c>
      <c r="L2251" t="s">
        <v>4936</v>
      </c>
      <c r="M2251" t="s">
        <v>4942</v>
      </c>
      <c r="N2251" s="11">
        <v>954.97</v>
      </c>
      <c r="O2251" t="s">
        <v>4949</v>
      </c>
      <c r="P2251" t="s">
        <v>4951</v>
      </c>
      <c r="R2251">
        <v>90</v>
      </c>
      <c r="S2251" t="str">
        <f t="shared" si="106"/>
        <v>Adult</v>
      </c>
      <c r="T2251" t="str">
        <f t="shared" si="107"/>
        <v>Low</v>
      </c>
      <c r="U2251" t="str">
        <f t="shared" si="108"/>
        <v>Short Days</v>
      </c>
    </row>
    <row r="2252" spans="1:21">
      <c r="A2252" t="s">
        <v>2268</v>
      </c>
      <c r="B2252" s="5">
        <v>45954</v>
      </c>
      <c r="C2252" t="s">
        <v>4370</v>
      </c>
      <c r="D2252" t="s">
        <v>4743</v>
      </c>
      <c r="E2252" t="s">
        <v>4867</v>
      </c>
      <c r="F2252">
        <v>24</v>
      </c>
      <c r="G2252" t="s">
        <v>4875</v>
      </c>
      <c r="H2252" t="s">
        <v>4889</v>
      </c>
      <c r="I2252" t="s">
        <v>4902</v>
      </c>
      <c r="J2252" t="s">
        <v>4920</v>
      </c>
      <c r="K2252" t="s">
        <v>4930</v>
      </c>
      <c r="L2252" t="s">
        <v>4938</v>
      </c>
      <c r="M2252" t="s">
        <v>4942</v>
      </c>
      <c r="N2252" s="11">
        <v>15585.73</v>
      </c>
      <c r="O2252" t="s">
        <v>4948</v>
      </c>
      <c r="P2252" t="s">
        <v>4951</v>
      </c>
      <c r="S2252" t="str">
        <f t="shared" si="106"/>
        <v>Adult</v>
      </c>
      <c r="T2252" t="str">
        <f t="shared" si="107"/>
        <v>High</v>
      </c>
      <c r="U2252" t="str">
        <f t="shared" si="108"/>
        <v>Short Days</v>
      </c>
    </row>
    <row r="2253" spans="1:21">
      <c r="A2253" t="s">
        <v>2269</v>
      </c>
      <c r="B2253" s="5">
        <v>45465</v>
      </c>
      <c r="C2253" t="s">
        <v>3907</v>
      </c>
      <c r="D2253" t="s">
        <v>4640</v>
      </c>
      <c r="E2253" t="s">
        <v>4866</v>
      </c>
      <c r="F2253">
        <v>53</v>
      </c>
      <c r="G2253" t="s">
        <v>4875</v>
      </c>
      <c r="H2253" t="s">
        <v>4889</v>
      </c>
      <c r="I2253" t="s">
        <v>4896</v>
      </c>
      <c r="J2253" t="s">
        <v>4906</v>
      </c>
      <c r="K2253" t="s">
        <v>4928</v>
      </c>
      <c r="L2253" t="s">
        <v>4941</v>
      </c>
      <c r="M2253" t="s">
        <v>4942</v>
      </c>
      <c r="N2253" s="11">
        <v>389.46</v>
      </c>
      <c r="O2253" t="s">
        <v>15</v>
      </c>
      <c r="P2253" t="s">
        <v>4952</v>
      </c>
      <c r="R2253">
        <v>7</v>
      </c>
      <c r="S2253" t="str">
        <f t="shared" si="106"/>
        <v>Middle-Aged</v>
      </c>
      <c r="T2253" t="str">
        <f t="shared" si="107"/>
        <v>Low</v>
      </c>
      <c r="U2253" t="str">
        <f t="shared" si="108"/>
        <v>Short Days</v>
      </c>
    </row>
    <row r="2254" spans="1:21">
      <c r="A2254" t="s">
        <v>2270</v>
      </c>
      <c r="B2254" s="5">
        <v>45763</v>
      </c>
      <c r="C2254" t="s">
        <v>3984</v>
      </c>
      <c r="D2254" t="s">
        <v>4587</v>
      </c>
      <c r="E2254" t="s">
        <v>4866</v>
      </c>
      <c r="F2254">
        <v>58</v>
      </c>
      <c r="G2254" t="s">
        <v>4882</v>
      </c>
      <c r="H2254" t="s">
        <v>4891</v>
      </c>
      <c r="I2254" t="s">
        <v>4900</v>
      </c>
      <c r="J2254" t="s">
        <v>4913</v>
      </c>
      <c r="K2254" t="s">
        <v>4930</v>
      </c>
      <c r="L2254" t="s">
        <v>4941</v>
      </c>
      <c r="M2254" t="s">
        <v>4942</v>
      </c>
      <c r="N2254" s="11">
        <v>915.8</v>
      </c>
      <c r="O2254" t="s">
        <v>4946</v>
      </c>
      <c r="P2254" t="s">
        <v>4951</v>
      </c>
      <c r="R2254">
        <v>7</v>
      </c>
      <c r="S2254" t="str">
        <f t="shared" si="106"/>
        <v>Middle-Aged</v>
      </c>
      <c r="T2254" t="str">
        <f t="shared" si="107"/>
        <v>Low</v>
      </c>
      <c r="U2254" t="str">
        <f t="shared" si="108"/>
        <v>Short Days</v>
      </c>
    </row>
    <row r="2255" spans="1:21">
      <c r="A2255" t="s">
        <v>2271</v>
      </c>
      <c r="B2255" s="5">
        <v>45394</v>
      </c>
      <c r="C2255" t="s">
        <v>3667</v>
      </c>
      <c r="D2255" t="s">
        <v>4805</v>
      </c>
      <c r="E2255" t="s">
        <v>4867</v>
      </c>
      <c r="F2255">
        <v>16</v>
      </c>
      <c r="G2255" t="s">
        <v>4881</v>
      </c>
      <c r="H2255" t="s">
        <v>4881</v>
      </c>
      <c r="I2255" t="s">
        <v>4902</v>
      </c>
      <c r="J2255" t="s">
        <v>4916</v>
      </c>
      <c r="K2255" t="s">
        <v>4924</v>
      </c>
      <c r="L2255" t="s">
        <v>4936</v>
      </c>
      <c r="M2255" t="s">
        <v>4942</v>
      </c>
      <c r="N2255" s="11">
        <v>3161.15</v>
      </c>
      <c r="O2255" t="s">
        <v>4947</v>
      </c>
      <c r="P2255" t="s">
        <v>4951</v>
      </c>
      <c r="R2255">
        <v>90</v>
      </c>
      <c r="S2255" t="str">
        <f t="shared" si="106"/>
        <v>Child</v>
      </c>
      <c r="T2255" t="str">
        <f t="shared" si="107"/>
        <v>Low</v>
      </c>
      <c r="U2255" t="str">
        <f t="shared" si="108"/>
        <v>Short Days</v>
      </c>
    </row>
    <row r="2256" spans="1:21">
      <c r="A2256" t="s">
        <v>2272</v>
      </c>
      <c r="B2256" s="5">
        <v>45302</v>
      </c>
      <c r="C2256" t="s">
        <v>3469</v>
      </c>
      <c r="D2256" t="s">
        <v>4775</v>
      </c>
      <c r="E2256" t="s">
        <v>4867</v>
      </c>
      <c r="F2256">
        <v>43</v>
      </c>
      <c r="G2256" t="s">
        <v>4882</v>
      </c>
      <c r="H2256" t="s">
        <v>4891</v>
      </c>
      <c r="I2256" t="s">
        <v>4898</v>
      </c>
      <c r="J2256" t="s">
        <v>4918</v>
      </c>
      <c r="K2256" t="s">
        <v>4933</v>
      </c>
      <c r="L2256" t="s">
        <v>4937</v>
      </c>
      <c r="M2256" t="s">
        <v>4944</v>
      </c>
      <c r="N2256" s="11">
        <v>7917.15</v>
      </c>
      <c r="O2256" t="s">
        <v>4948</v>
      </c>
      <c r="P2256" t="s">
        <v>4951</v>
      </c>
      <c r="R2256">
        <v>90</v>
      </c>
      <c r="S2256" t="str">
        <f t="shared" si="106"/>
        <v>Middle-Aged</v>
      </c>
      <c r="T2256" t="str">
        <f t="shared" si="107"/>
        <v>Medium</v>
      </c>
      <c r="U2256" t="str">
        <f t="shared" si="108"/>
        <v>Short Days</v>
      </c>
    </row>
    <row r="2257" spans="1:21">
      <c r="A2257" t="s">
        <v>2273</v>
      </c>
      <c r="B2257" s="5">
        <v>45561</v>
      </c>
      <c r="C2257" t="s">
        <v>3115</v>
      </c>
      <c r="D2257" t="s">
        <v>4774</v>
      </c>
      <c r="E2257" t="s">
        <v>4866</v>
      </c>
      <c r="F2257">
        <v>46</v>
      </c>
      <c r="G2257" t="s">
        <v>4878</v>
      </c>
      <c r="H2257" t="s">
        <v>4889</v>
      </c>
      <c r="I2257" t="s">
        <v>4901</v>
      </c>
      <c r="J2257" t="s">
        <v>4921</v>
      </c>
      <c r="K2257" t="s">
        <v>4931</v>
      </c>
      <c r="L2257" t="s">
        <v>4941</v>
      </c>
      <c r="M2257" t="s">
        <v>4942</v>
      </c>
      <c r="N2257" s="11">
        <v>1094.21</v>
      </c>
      <c r="O2257" t="s">
        <v>4949</v>
      </c>
      <c r="P2257" t="s">
        <v>4951</v>
      </c>
      <c r="R2257">
        <v>90</v>
      </c>
      <c r="S2257" t="str">
        <f t="shared" si="106"/>
        <v>Middle-Aged</v>
      </c>
      <c r="T2257" t="str">
        <f t="shared" si="107"/>
        <v>Low</v>
      </c>
      <c r="U2257" t="str">
        <f t="shared" si="108"/>
        <v>Short Days</v>
      </c>
    </row>
    <row r="2258" spans="1:21">
      <c r="A2258" t="s">
        <v>2274</v>
      </c>
      <c r="B2258" s="5">
        <v>45690</v>
      </c>
      <c r="C2258" t="s">
        <v>3853</v>
      </c>
      <c r="D2258" t="s">
        <v>4708</v>
      </c>
      <c r="E2258" t="s">
        <v>4866</v>
      </c>
      <c r="F2258">
        <v>44</v>
      </c>
      <c r="G2258" t="s">
        <v>4873</v>
      </c>
      <c r="H2258" t="s">
        <v>4888</v>
      </c>
      <c r="I2258" t="s">
        <v>4896</v>
      </c>
      <c r="J2258" t="s">
        <v>4906</v>
      </c>
      <c r="K2258" t="s">
        <v>4926</v>
      </c>
      <c r="L2258" t="s">
        <v>4938</v>
      </c>
      <c r="M2258" t="s">
        <v>4944</v>
      </c>
      <c r="N2258" s="11">
        <v>7274.75</v>
      </c>
      <c r="O2258" t="s">
        <v>4948</v>
      </c>
      <c r="P2258" t="s">
        <v>4951</v>
      </c>
      <c r="S2258" t="str">
        <f t="shared" si="106"/>
        <v>Middle-Aged</v>
      </c>
      <c r="T2258" t="str">
        <f t="shared" si="107"/>
        <v>Medium</v>
      </c>
      <c r="U2258" t="str">
        <f t="shared" si="108"/>
        <v>Short Days</v>
      </c>
    </row>
    <row r="2259" spans="1:21">
      <c r="A2259" t="s">
        <v>2275</v>
      </c>
      <c r="B2259" s="5">
        <v>45845</v>
      </c>
      <c r="C2259" t="s">
        <v>4371</v>
      </c>
      <c r="D2259" t="s">
        <v>4665</v>
      </c>
      <c r="E2259" t="s">
        <v>4867</v>
      </c>
      <c r="F2259">
        <v>34</v>
      </c>
      <c r="G2259" t="s">
        <v>4873</v>
      </c>
      <c r="H2259" t="s">
        <v>4888</v>
      </c>
      <c r="I2259" t="s">
        <v>4897</v>
      </c>
      <c r="J2259" t="s">
        <v>4922</v>
      </c>
      <c r="K2259" t="s">
        <v>4924</v>
      </c>
      <c r="L2259" t="s">
        <v>4935</v>
      </c>
      <c r="M2259" t="s">
        <v>4943</v>
      </c>
      <c r="N2259" s="11">
        <v>10087.02</v>
      </c>
      <c r="O2259" t="s">
        <v>4947</v>
      </c>
      <c r="P2259" t="s">
        <v>4951</v>
      </c>
      <c r="R2259">
        <v>30</v>
      </c>
      <c r="S2259" t="str">
        <f t="shared" si="106"/>
        <v>Adult</v>
      </c>
      <c r="T2259" t="str">
        <f t="shared" si="107"/>
        <v>High</v>
      </c>
      <c r="U2259" t="str">
        <f t="shared" si="108"/>
        <v>Short Days</v>
      </c>
    </row>
    <row r="2260" spans="1:21">
      <c r="A2260" t="s">
        <v>2276</v>
      </c>
      <c r="B2260" s="5">
        <v>45738</v>
      </c>
      <c r="C2260" t="s">
        <v>3914</v>
      </c>
      <c r="D2260" t="s">
        <v>4791</v>
      </c>
      <c r="E2260" t="s">
        <v>4867</v>
      </c>
      <c r="F2260">
        <v>63</v>
      </c>
      <c r="G2260" t="s">
        <v>4877</v>
      </c>
      <c r="H2260" t="s">
        <v>4888</v>
      </c>
      <c r="I2260" t="s">
        <v>4899</v>
      </c>
      <c r="J2260" t="s">
        <v>4911</v>
      </c>
      <c r="K2260" t="s">
        <v>4925</v>
      </c>
      <c r="L2260" t="s">
        <v>4941</v>
      </c>
      <c r="M2260" t="s">
        <v>4942</v>
      </c>
      <c r="N2260" s="11">
        <v>1497.74</v>
      </c>
      <c r="O2260" t="s">
        <v>4946</v>
      </c>
      <c r="P2260" t="s">
        <v>4951</v>
      </c>
      <c r="R2260">
        <v>90</v>
      </c>
      <c r="S2260" t="str">
        <f t="shared" si="106"/>
        <v>Senior</v>
      </c>
      <c r="T2260" t="str">
        <f t="shared" si="107"/>
        <v>Low</v>
      </c>
      <c r="U2260" t="str">
        <f t="shared" si="108"/>
        <v>Short Days</v>
      </c>
    </row>
    <row r="2261" spans="1:21">
      <c r="A2261" t="s">
        <v>2277</v>
      </c>
      <c r="B2261" s="5">
        <v>45868</v>
      </c>
      <c r="C2261" t="s">
        <v>4129</v>
      </c>
      <c r="D2261" t="s">
        <v>4735</v>
      </c>
      <c r="E2261" t="s">
        <v>4868</v>
      </c>
      <c r="F2261">
        <v>10</v>
      </c>
      <c r="G2261" t="s">
        <v>4871</v>
      </c>
      <c r="H2261" t="s">
        <v>4886</v>
      </c>
      <c r="I2261" t="s">
        <v>4901</v>
      </c>
      <c r="J2261" t="s">
        <v>4914</v>
      </c>
      <c r="K2261" t="s">
        <v>4925</v>
      </c>
      <c r="L2261" t="s">
        <v>4941</v>
      </c>
      <c r="M2261" t="s">
        <v>4944</v>
      </c>
      <c r="N2261" s="11">
        <v>9202.9599999999991</v>
      </c>
      <c r="O2261" t="s">
        <v>4946</v>
      </c>
      <c r="P2261" t="s">
        <v>4951</v>
      </c>
      <c r="R2261">
        <v>7</v>
      </c>
      <c r="S2261" t="str">
        <f t="shared" si="106"/>
        <v>Child</v>
      </c>
      <c r="T2261" t="str">
        <f t="shared" si="107"/>
        <v>Medium</v>
      </c>
      <c r="U2261" t="str">
        <f t="shared" si="108"/>
        <v>Short Days</v>
      </c>
    </row>
    <row r="2262" spans="1:21">
      <c r="A2262" t="s">
        <v>2278</v>
      </c>
      <c r="B2262" s="5">
        <v>45395</v>
      </c>
      <c r="C2262" t="s">
        <v>3238</v>
      </c>
      <c r="D2262" t="s">
        <v>4660</v>
      </c>
      <c r="E2262" t="s">
        <v>4867</v>
      </c>
      <c r="F2262">
        <v>31</v>
      </c>
      <c r="G2262" t="s">
        <v>4881</v>
      </c>
      <c r="H2262" t="s">
        <v>4881</v>
      </c>
      <c r="I2262" t="s">
        <v>4899</v>
      </c>
      <c r="J2262" t="s">
        <v>4912</v>
      </c>
      <c r="K2262" t="s">
        <v>4933</v>
      </c>
      <c r="L2262" t="s">
        <v>4938</v>
      </c>
      <c r="M2262" t="s">
        <v>4942</v>
      </c>
      <c r="N2262" s="11">
        <v>4507.8100000000004</v>
      </c>
      <c r="O2262" t="s">
        <v>15</v>
      </c>
      <c r="P2262" t="s">
        <v>4952</v>
      </c>
      <c r="R2262">
        <v>30</v>
      </c>
      <c r="S2262" t="str">
        <f t="shared" si="106"/>
        <v>Adult</v>
      </c>
      <c r="T2262" t="str">
        <f t="shared" si="107"/>
        <v>Low</v>
      </c>
      <c r="U2262" t="str">
        <f t="shared" si="108"/>
        <v>Short Days</v>
      </c>
    </row>
    <row r="2263" spans="1:21">
      <c r="A2263" t="s">
        <v>2279</v>
      </c>
      <c r="B2263" s="5">
        <v>45538</v>
      </c>
      <c r="C2263" t="s">
        <v>4258</v>
      </c>
      <c r="D2263" t="s">
        <v>4588</v>
      </c>
      <c r="E2263" t="s">
        <v>4867</v>
      </c>
      <c r="F2263">
        <v>31</v>
      </c>
      <c r="G2263" t="s">
        <v>4869</v>
      </c>
      <c r="H2263" t="s">
        <v>4884</v>
      </c>
      <c r="I2263" t="s">
        <v>4901</v>
      </c>
      <c r="J2263" t="s">
        <v>4914</v>
      </c>
      <c r="K2263" t="s">
        <v>4926</v>
      </c>
      <c r="L2263" t="s">
        <v>4935</v>
      </c>
      <c r="M2263" t="s">
        <v>4942</v>
      </c>
      <c r="N2263" s="11">
        <v>3662.5</v>
      </c>
      <c r="O2263" t="s">
        <v>4947</v>
      </c>
      <c r="P2263" t="s">
        <v>4951</v>
      </c>
      <c r="R2263">
        <v>7</v>
      </c>
      <c r="S2263" t="str">
        <f t="shared" si="106"/>
        <v>Adult</v>
      </c>
      <c r="T2263" t="str">
        <f t="shared" si="107"/>
        <v>Low</v>
      </c>
      <c r="U2263" t="str">
        <f t="shared" si="108"/>
        <v>Short Days</v>
      </c>
    </row>
    <row r="2264" spans="1:21">
      <c r="A2264" t="s">
        <v>2280</v>
      </c>
      <c r="B2264" s="5">
        <v>45477</v>
      </c>
      <c r="C2264" t="s">
        <v>3305</v>
      </c>
      <c r="D2264" t="s">
        <v>4801</v>
      </c>
      <c r="E2264" t="s">
        <v>4866</v>
      </c>
      <c r="F2264">
        <v>47</v>
      </c>
      <c r="G2264" t="s">
        <v>4878</v>
      </c>
      <c r="H2264" t="s">
        <v>4889</v>
      </c>
      <c r="I2264" t="s">
        <v>4901</v>
      </c>
      <c r="J2264" t="s">
        <v>4914</v>
      </c>
      <c r="K2264" t="s">
        <v>4929</v>
      </c>
      <c r="L2264" t="s">
        <v>4940</v>
      </c>
      <c r="M2264" t="s">
        <v>4945</v>
      </c>
      <c r="N2264" s="11">
        <v>14429.43</v>
      </c>
      <c r="O2264" t="s">
        <v>4949</v>
      </c>
      <c r="P2264" t="s">
        <v>4951</v>
      </c>
      <c r="Q2264">
        <v>7</v>
      </c>
      <c r="R2264">
        <v>90</v>
      </c>
      <c r="S2264" t="str">
        <f t="shared" si="106"/>
        <v>Middle-Aged</v>
      </c>
      <c r="T2264" t="str">
        <f t="shared" si="107"/>
        <v>High</v>
      </c>
      <c r="U2264" t="str">
        <f t="shared" si="108"/>
        <v>Long Days</v>
      </c>
    </row>
    <row r="2265" spans="1:21">
      <c r="A2265" t="s">
        <v>2281</v>
      </c>
      <c r="B2265" s="5">
        <v>45769</v>
      </c>
      <c r="C2265" t="s">
        <v>3422</v>
      </c>
      <c r="D2265" t="s">
        <v>4586</v>
      </c>
      <c r="E2265" t="s">
        <v>4866</v>
      </c>
      <c r="F2265">
        <v>62</v>
      </c>
      <c r="G2265" t="s">
        <v>4880</v>
      </c>
      <c r="H2265" t="s">
        <v>4890</v>
      </c>
      <c r="I2265" t="s">
        <v>4894</v>
      </c>
      <c r="J2265" t="s">
        <v>4910</v>
      </c>
      <c r="K2265" t="s">
        <v>4928</v>
      </c>
      <c r="L2265" t="s">
        <v>4935</v>
      </c>
      <c r="M2265" t="s">
        <v>4944</v>
      </c>
      <c r="N2265" s="11">
        <v>10901.4</v>
      </c>
      <c r="O2265" t="s">
        <v>4949</v>
      </c>
      <c r="P2265" t="s">
        <v>4951</v>
      </c>
      <c r="S2265" t="str">
        <f t="shared" si="106"/>
        <v>Senior</v>
      </c>
      <c r="T2265" t="str">
        <f t="shared" si="107"/>
        <v>High</v>
      </c>
      <c r="U2265" t="str">
        <f t="shared" si="108"/>
        <v>Short Days</v>
      </c>
    </row>
    <row r="2266" spans="1:21">
      <c r="A2266" t="s">
        <v>2282</v>
      </c>
      <c r="B2266" s="5">
        <v>45659</v>
      </c>
      <c r="C2266" t="s">
        <v>4095</v>
      </c>
      <c r="D2266" t="s">
        <v>4632</v>
      </c>
      <c r="E2266" t="s">
        <v>4867</v>
      </c>
      <c r="F2266">
        <v>27</v>
      </c>
      <c r="G2266" t="s">
        <v>4878</v>
      </c>
      <c r="H2266" t="s">
        <v>4889</v>
      </c>
      <c r="I2266" t="s">
        <v>4894</v>
      </c>
      <c r="J2266" t="s">
        <v>4904</v>
      </c>
      <c r="K2266" t="s">
        <v>4926</v>
      </c>
      <c r="L2266" t="s">
        <v>4939</v>
      </c>
      <c r="M2266" t="s">
        <v>4944</v>
      </c>
      <c r="N2266" s="11">
        <v>14417.22</v>
      </c>
      <c r="O2266" t="s">
        <v>4949</v>
      </c>
      <c r="P2266" t="s">
        <v>4951</v>
      </c>
      <c r="R2266">
        <v>90</v>
      </c>
      <c r="S2266" t="str">
        <f t="shared" si="106"/>
        <v>Adult</v>
      </c>
      <c r="T2266" t="str">
        <f t="shared" si="107"/>
        <v>High</v>
      </c>
      <c r="U2266" t="str">
        <f t="shared" si="108"/>
        <v>Short Days</v>
      </c>
    </row>
    <row r="2267" spans="1:21">
      <c r="A2267" t="s">
        <v>2283</v>
      </c>
      <c r="B2267" s="5">
        <v>45421</v>
      </c>
      <c r="C2267" t="s">
        <v>3164</v>
      </c>
      <c r="D2267" t="s">
        <v>4790</v>
      </c>
      <c r="E2267" t="s">
        <v>4866</v>
      </c>
      <c r="F2267">
        <v>49</v>
      </c>
      <c r="G2267" t="s">
        <v>4883</v>
      </c>
      <c r="H2267" t="s">
        <v>4892</v>
      </c>
      <c r="I2267" t="s">
        <v>4901</v>
      </c>
      <c r="J2267" t="s">
        <v>4921</v>
      </c>
      <c r="K2267" t="s">
        <v>4932</v>
      </c>
      <c r="L2267" t="s">
        <v>4941</v>
      </c>
      <c r="M2267" t="s">
        <v>4945</v>
      </c>
      <c r="N2267" s="11">
        <v>18202.07</v>
      </c>
      <c r="O2267" t="s">
        <v>15</v>
      </c>
      <c r="P2267" t="s">
        <v>4952</v>
      </c>
      <c r="Q2267">
        <v>4</v>
      </c>
      <c r="R2267">
        <v>30</v>
      </c>
      <c r="S2267" t="str">
        <f t="shared" si="106"/>
        <v>Middle-Aged</v>
      </c>
      <c r="T2267" t="str">
        <f t="shared" si="107"/>
        <v>High</v>
      </c>
      <c r="U2267" t="str">
        <f t="shared" si="108"/>
        <v>Short Days</v>
      </c>
    </row>
    <row r="2268" spans="1:21">
      <c r="A2268" t="s">
        <v>2284</v>
      </c>
      <c r="B2268" s="5">
        <v>45697</v>
      </c>
      <c r="C2268" t="s">
        <v>3768</v>
      </c>
      <c r="D2268" t="s">
        <v>4698</v>
      </c>
      <c r="E2268" t="s">
        <v>4866</v>
      </c>
      <c r="F2268">
        <v>22</v>
      </c>
      <c r="G2268" t="s">
        <v>4871</v>
      </c>
      <c r="H2268" t="s">
        <v>4886</v>
      </c>
      <c r="I2268" t="s">
        <v>4897</v>
      </c>
      <c r="J2268" t="s">
        <v>4907</v>
      </c>
      <c r="K2268" t="s">
        <v>4924</v>
      </c>
      <c r="L2268" t="s">
        <v>4940</v>
      </c>
      <c r="M2268" t="s">
        <v>4942</v>
      </c>
      <c r="N2268" s="11">
        <v>4264.78</v>
      </c>
      <c r="O2268" t="s">
        <v>4946</v>
      </c>
      <c r="P2268" t="s">
        <v>4951</v>
      </c>
      <c r="R2268">
        <v>30</v>
      </c>
      <c r="S2268" t="str">
        <f t="shared" si="106"/>
        <v>Adult</v>
      </c>
      <c r="T2268" t="str">
        <f t="shared" si="107"/>
        <v>Low</v>
      </c>
      <c r="U2268" t="str">
        <f t="shared" si="108"/>
        <v>Short Days</v>
      </c>
    </row>
    <row r="2269" spans="1:21">
      <c r="A2269" t="s">
        <v>2285</v>
      </c>
      <c r="B2269" s="5">
        <v>45653</v>
      </c>
      <c r="C2269" t="s">
        <v>4033</v>
      </c>
      <c r="D2269" t="s">
        <v>4806</v>
      </c>
      <c r="E2269" t="s">
        <v>4866</v>
      </c>
      <c r="F2269">
        <v>18</v>
      </c>
      <c r="G2269" t="s">
        <v>4877</v>
      </c>
      <c r="H2269" t="s">
        <v>4888</v>
      </c>
      <c r="I2269" t="s">
        <v>4894</v>
      </c>
      <c r="J2269" t="s">
        <v>4904</v>
      </c>
      <c r="K2269" t="s">
        <v>4933</v>
      </c>
      <c r="L2269" t="s">
        <v>4936</v>
      </c>
      <c r="M2269" t="s">
        <v>4944</v>
      </c>
      <c r="N2269" s="11">
        <v>5830.69</v>
      </c>
      <c r="O2269" t="s">
        <v>4948</v>
      </c>
      <c r="P2269" t="s">
        <v>4951</v>
      </c>
      <c r="R2269">
        <v>14</v>
      </c>
      <c r="S2269" t="str">
        <f t="shared" si="106"/>
        <v>Adult</v>
      </c>
      <c r="T2269" t="str">
        <f t="shared" si="107"/>
        <v>Medium</v>
      </c>
      <c r="U2269" t="str">
        <f t="shared" si="108"/>
        <v>Short Days</v>
      </c>
    </row>
    <row r="2270" spans="1:21">
      <c r="A2270" t="s">
        <v>2286</v>
      </c>
      <c r="B2270" s="5">
        <v>45294</v>
      </c>
      <c r="C2270" t="s">
        <v>3594</v>
      </c>
      <c r="D2270" t="s">
        <v>4657</v>
      </c>
      <c r="E2270" t="s">
        <v>4867</v>
      </c>
      <c r="F2270">
        <v>31</v>
      </c>
      <c r="G2270" t="s">
        <v>4873</v>
      </c>
      <c r="H2270" t="s">
        <v>4888</v>
      </c>
      <c r="I2270" t="s">
        <v>4895</v>
      </c>
      <c r="J2270" t="s">
        <v>4915</v>
      </c>
      <c r="K2270" t="s">
        <v>4926</v>
      </c>
      <c r="L2270" t="s">
        <v>4941</v>
      </c>
      <c r="M2270" t="s">
        <v>4942</v>
      </c>
      <c r="N2270" s="11">
        <v>523.58000000000004</v>
      </c>
      <c r="O2270" t="s">
        <v>15</v>
      </c>
      <c r="P2270" t="s">
        <v>4952</v>
      </c>
      <c r="R2270">
        <v>14</v>
      </c>
      <c r="S2270" t="str">
        <f t="shared" si="106"/>
        <v>Adult</v>
      </c>
      <c r="T2270" t="str">
        <f t="shared" si="107"/>
        <v>Low</v>
      </c>
      <c r="U2270" t="str">
        <f t="shared" si="108"/>
        <v>Short Days</v>
      </c>
    </row>
    <row r="2271" spans="1:21">
      <c r="A2271" t="s">
        <v>2287</v>
      </c>
      <c r="B2271" s="5">
        <v>45402</v>
      </c>
      <c r="C2271" t="s">
        <v>3675</v>
      </c>
      <c r="D2271" t="s">
        <v>4657</v>
      </c>
      <c r="E2271" t="s">
        <v>4867</v>
      </c>
      <c r="F2271">
        <v>35</v>
      </c>
      <c r="G2271" t="s">
        <v>4876</v>
      </c>
      <c r="H2271" t="s">
        <v>4888</v>
      </c>
      <c r="I2271" t="s">
        <v>4902</v>
      </c>
      <c r="J2271" t="s">
        <v>4920</v>
      </c>
      <c r="K2271" t="s">
        <v>4926</v>
      </c>
      <c r="L2271" t="s">
        <v>4934</v>
      </c>
      <c r="M2271" t="s">
        <v>4945</v>
      </c>
      <c r="N2271" s="11">
        <v>5154.8900000000003</v>
      </c>
      <c r="O2271" t="s">
        <v>15</v>
      </c>
      <c r="P2271" t="s">
        <v>4952</v>
      </c>
      <c r="Q2271">
        <v>11</v>
      </c>
      <c r="S2271" t="str">
        <f t="shared" si="106"/>
        <v>Adult</v>
      </c>
      <c r="T2271" t="str">
        <f t="shared" si="107"/>
        <v>Medium</v>
      </c>
      <c r="U2271" t="str">
        <f t="shared" si="108"/>
        <v>Long Days</v>
      </c>
    </row>
    <row r="2272" spans="1:21">
      <c r="A2272" t="s">
        <v>2288</v>
      </c>
      <c r="B2272" s="5">
        <v>45954</v>
      </c>
      <c r="C2272" t="s">
        <v>4372</v>
      </c>
      <c r="D2272" t="s">
        <v>4860</v>
      </c>
      <c r="E2272" t="s">
        <v>4867</v>
      </c>
      <c r="F2272">
        <v>39</v>
      </c>
      <c r="G2272" t="s">
        <v>4875</v>
      </c>
      <c r="H2272" t="s">
        <v>4889</v>
      </c>
      <c r="I2272" t="s">
        <v>4893</v>
      </c>
      <c r="J2272" t="s">
        <v>4903</v>
      </c>
      <c r="K2272" t="s">
        <v>4925</v>
      </c>
      <c r="L2272" t="s">
        <v>4938</v>
      </c>
      <c r="M2272" t="s">
        <v>4942</v>
      </c>
      <c r="N2272" s="11">
        <v>39756.42</v>
      </c>
      <c r="O2272" t="s">
        <v>4946</v>
      </c>
      <c r="P2272" t="s">
        <v>4951</v>
      </c>
      <c r="R2272">
        <v>30</v>
      </c>
      <c r="S2272" t="str">
        <f t="shared" si="106"/>
        <v>Adult</v>
      </c>
      <c r="T2272" t="str">
        <f t="shared" si="107"/>
        <v>High</v>
      </c>
      <c r="U2272" t="str">
        <f t="shared" si="108"/>
        <v>Short Days</v>
      </c>
    </row>
    <row r="2273" spans="1:21">
      <c r="A2273" t="s">
        <v>2289</v>
      </c>
      <c r="B2273" s="5">
        <v>45292</v>
      </c>
      <c r="C2273" t="s">
        <v>3436</v>
      </c>
      <c r="D2273" t="s">
        <v>4746</v>
      </c>
      <c r="E2273" t="s">
        <v>4867</v>
      </c>
      <c r="F2273">
        <v>58</v>
      </c>
      <c r="G2273" t="s">
        <v>4882</v>
      </c>
      <c r="H2273" t="s">
        <v>4891</v>
      </c>
      <c r="I2273" t="s">
        <v>4893</v>
      </c>
      <c r="J2273" t="s">
        <v>4903</v>
      </c>
      <c r="K2273" t="s">
        <v>4924</v>
      </c>
      <c r="L2273" t="s">
        <v>4937</v>
      </c>
      <c r="M2273" t="s">
        <v>4942</v>
      </c>
      <c r="N2273" s="11">
        <v>10565.89</v>
      </c>
      <c r="O2273" t="s">
        <v>4949</v>
      </c>
      <c r="P2273" t="s">
        <v>4951</v>
      </c>
      <c r="S2273" t="str">
        <f t="shared" si="106"/>
        <v>Middle-Aged</v>
      </c>
      <c r="T2273" t="str">
        <f t="shared" si="107"/>
        <v>High</v>
      </c>
      <c r="U2273" t="str">
        <f t="shared" si="108"/>
        <v>Short Days</v>
      </c>
    </row>
    <row r="2274" spans="1:21">
      <c r="A2274" t="s">
        <v>2290</v>
      </c>
      <c r="B2274" s="5">
        <v>45848</v>
      </c>
      <c r="C2274" t="s">
        <v>4282</v>
      </c>
      <c r="D2274" t="s">
        <v>4793</v>
      </c>
      <c r="E2274" t="s">
        <v>4867</v>
      </c>
      <c r="F2274">
        <v>24</v>
      </c>
      <c r="G2274" t="s">
        <v>4875</v>
      </c>
      <c r="H2274" t="s">
        <v>4889</v>
      </c>
      <c r="I2274" t="s">
        <v>4902</v>
      </c>
      <c r="J2274" t="s">
        <v>4916</v>
      </c>
      <c r="K2274" t="s">
        <v>4932</v>
      </c>
      <c r="L2274" t="s">
        <v>4940</v>
      </c>
      <c r="M2274" t="s">
        <v>4944</v>
      </c>
      <c r="N2274" s="11">
        <v>11886.44</v>
      </c>
      <c r="O2274" t="s">
        <v>4946</v>
      </c>
      <c r="P2274" t="s">
        <v>4951</v>
      </c>
      <c r="R2274">
        <v>90</v>
      </c>
      <c r="S2274" t="str">
        <f t="shared" si="106"/>
        <v>Adult</v>
      </c>
      <c r="T2274" t="str">
        <f t="shared" si="107"/>
        <v>High</v>
      </c>
      <c r="U2274" t="str">
        <f t="shared" si="108"/>
        <v>Short Days</v>
      </c>
    </row>
    <row r="2275" spans="1:21">
      <c r="A2275" t="s">
        <v>2291</v>
      </c>
      <c r="B2275" s="5">
        <v>45425</v>
      </c>
      <c r="C2275" t="s">
        <v>4373</v>
      </c>
      <c r="D2275" t="s">
        <v>4760</v>
      </c>
      <c r="E2275" t="s">
        <v>4866</v>
      </c>
      <c r="F2275">
        <v>18</v>
      </c>
      <c r="G2275" t="s">
        <v>4870</v>
      </c>
      <c r="H2275" t="s">
        <v>4885</v>
      </c>
      <c r="I2275" t="s">
        <v>4900</v>
      </c>
      <c r="J2275" t="s">
        <v>4913</v>
      </c>
      <c r="K2275" t="s">
        <v>4929</v>
      </c>
      <c r="L2275" t="s">
        <v>4938</v>
      </c>
      <c r="M2275" t="s">
        <v>4944</v>
      </c>
      <c r="N2275" s="11">
        <v>8677.07</v>
      </c>
      <c r="O2275" t="s">
        <v>15</v>
      </c>
      <c r="P2275" t="s">
        <v>4952</v>
      </c>
      <c r="R2275">
        <v>14</v>
      </c>
      <c r="S2275" t="str">
        <f t="shared" si="106"/>
        <v>Adult</v>
      </c>
      <c r="T2275" t="str">
        <f t="shared" si="107"/>
        <v>Medium</v>
      </c>
      <c r="U2275" t="str">
        <f t="shared" si="108"/>
        <v>Short Days</v>
      </c>
    </row>
    <row r="2276" spans="1:21">
      <c r="A2276" t="s">
        <v>2292</v>
      </c>
      <c r="B2276" s="5">
        <v>45488</v>
      </c>
      <c r="C2276" t="s">
        <v>3849</v>
      </c>
      <c r="D2276" t="s">
        <v>4695</v>
      </c>
      <c r="E2276" t="s">
        <v>4866</v>
      </c>
      <c r="F2276">
        <v>17</v>
      </c>
      <c r="G2276" t="s">
        <v>4878</v>
      </c>
      <c r="H2276" t="s">
        <v>4889</v>
      </c>
      <c r="I2276" t="s">
        <v>4902</v>
      </c>
      <c r="J2276" t="s">
        <v>4920</v>
      </c>
      <c r="K2276" t="s">
        <v>4929</v>
      </c>
      <c r="L2276" t="s">
        <v>4939</v>
      </c>
      <c r="M2276" t="s">
        <v>4944</v>
      </c>
      <c r="N2276" s="11">
        <v>5522.48</v>
      </c>
      <c r="O2276" t="s">
        <v>15</v>
      </c>
      <c r="P2276" t="s">
        <v>4952</v>
      </c>
      <c r="R2276">
        <v>30</v>
      </c>
      <c r="S2276" t="str">
        <f t="shared" si="106"/>
        <v>Child</v>
      </c>
      <c r="T2276" t="str">
        <f t="shared" si="107"/>
        <v>Medium</v>
      </c>
      <c r="U2276" t="str">
        <f t="shared" si="108"/>
        <v>Short Days</v>
      </c>
    </row>
    <row r="2277" spans="1:21">
      <c r="A2277" t="s">
        <v>2293</v>
      </c>
      <c r="B2277" s="5">
        <v>45855</v>
      </c>
      <c r="C2277" t="s">
        <v>3421</v>
      </c>
      <c r="D2277" t="s">
        <v>4731</v>
      </c>
      <c r="E2277" t="s">
        <v>4867</v>
      </c>
      <c r="F2277">
        <v>33</v>
      </c>
      <c r="G2277" t="s">
        <v>4877</v>
      </c>
      <c r="H2277" t="s">
        <v>4888</v>
      </c>
      <c r="I2277" t="s">
        <v>4897</v>
      </c>
      <c r="J2277" t="s">
        <v>4907</v>
      </c>
      <c r="K2277" t="s">
        <v>4931</v>
      </c>
      <c r="L2277" t="s">
        <v>4939</v>
      </c>
      <c r="M2277" t="s">
        <v>4944</v>
      </c>
      <c r="N2277" s="11">
        <v>11267.68</v>
      </c>
      <c r="O2277" t="s">
        <v>4949</v>
      </c>
      <c r="P2277" t="s">
        <v>4951</v>
      </c>
      <c r="R2277">
        <v>90</v>
      </c>
      <c r="S2277" t="str">
        <f t="shared" si="106"/>
        <v>Adult</v>
      </c>
      <c r="T2277" t="str">
        <f t="shared" si="107"/>
        <v>High</v>
      </c>
      <c r="U2277" t="str">
        <f t="shared" si="108"/>
        <v>Short Days</v>
      </c>
    </row>
    <row r="2278" spans="1:21">
      <c r="A2278" t="s">
        <v>2294</v>
      </c>
      <c r="B2278" s="5">
        <v>45618</v>
      </c>
      <c r="C2278" t="s">
        <v>4374</v>
      </c>
      <c r="D2278" t="s">
        <v>4700</v>
      </c>
      <c r="E2278" t="s">
        <v>4866</v>
      </c>
      <c r="F2278">
        <v>16</v>
      </c>
      <c r="G2278" t="s">
        <v>4883</v>
      </c>
      <c r="H2278" t="s">
        <v>4892</v>
      </c>
      <c r="I2278" t="s">
        <v>4898</v>
      </c>
      <c r="J2278" t="s">
        <v>4918</v>
      </c>
      <c r="K2278" t="s">
        <v>4924</v>
      </c>
      <c r="L2278" t="s">
        <v>4937</v>
      </c>
      <c r="M2278" t="s">
        <v>4942</v>
      </c>
      <c r="N2278" s="11">
        <v>4041.43</v>
      </c>
      <c r="O2278" t="s">
        <v>4946</v>
      </c>
      <c r="P2278" t="s">
        <v>4951</v>
      </c>
      <c r="S2278" t="str">
        <f t="shared" si="106"/>
        <v>Child</v>
      </c>
      <c r="T2278" t="str">
        <f t="shared" si="107"/>
        <v>Low</v>
      </c>
      <c r="U2278" t="str">
        <f t="shared" si="108"/>
        <v>Short Days</v>
      </c>
    </row>
    <row r="2279" spans="1:21">
      <c r="A2279" t="s">
        <v>2295</v>
      </c>
      <c r="B2279" s="5">
        <v>45895</v>
      </c>
      <c r="C2279" t="s">
        <v>3680</v>
      </c>
      <c r="D2279" t="s">
        <v>4811</v>
      </c>
      <c r="E2279" t="s">
        <v>4866</v>
      </c>
      <c r="F2279">
        <f>AVERAGE(F2272,F2278)</f>
        <v>27.5</v>
      </c>
      <c r="G2279" t="s">
        <v>4881</v>
      </c>
      <c r="H2279" t="s">
        <v>4884</v>
      </c>
      <c r="I2279" t="s">
        <v>4893</v>
      </c>
      <c r="J2279" t="s">
        <v>4903</v>
      </c>
      <c r="K2279" t="s">
        <v>4953</v>
      </c>
      <c r="L2279" t="s">
        <v>4939</v>
      </c>
      <c r="M2279" t="s">
        <v>4944</v>
      </c>
      <c r="N2279" s="11">
        <v>13021.35</v>
      </c>
      <c r="O2279" t="s">
        <v>4946</v>
      </c>
      <c r="P2279" t="s">
        <v>4951</v>
      </c>
      <c r="R2279">
        <v>14</v>
      </c>
      <c r="S2279" t="str">
        <f t="shared" si="106"/>
        <v>Adult</v>
      </c>
      <c r="T2279" t="str">
        <f t="shared" si="107"/>
        <v>High</v>
      </c>
      <c r="U2279" t="str">
        <f t="shared" si="108"/>
        <v>Short Days</v>
      </c>
    </row>
    <row r="2280" spans="1:21">
      <c r="A2280" t="s">
        <v>2296</v>
      </c>
      <c r="B2280" s="5">
        <v>45514</v>
      </c>
      <c r="C2280" t="s">
        <v>4375</v>
      </c>
      <c r="D2280" t="s">
        <v>4693</v>
      </c>
      <c r="E2280" t="s">
        <v>4867</v>
      </c>
      <c r="F2280">
        <v>31</v>
      </c>
      <c r="G2280" t="s">
        <v>4873</v>
      </c>
      <c r="H2280" t="s">
        <v>4888</v>
      </c>
      <c r="I2280" t="s">
        <v>4898</v>
      </c>
      <c r="J2280" t="s">
        <v>4923</v>
      </c>
      <c r="K2280" t="s">
        <v>4929</v>
      </c>
      <c r="L2280" t="s">
        <v>4937</v>
      </c>
      <c r="M2280" t="s">
        <v>4942</v>
      </c>
      <c r="N2280" s="11">
        <v>7402.06</v>
      </c>
      <c r="O2280" t="s">
        <v>4949</v>
      </c>
      <c r="P2280" t="s">
        <v>4951</v>
      </c>
      <c r="R2280">
        <v>30</v>
      </c>
      <c r="S2280" t="str">
        <f t="shared" si="106"/>
        <v>Adult</v>
      </c>
      <c r="T2280" t="str">
        <f t="shared" si="107"/>
        <v>Medium</v>
      </c>
      <c r="U2280" t="str">
        <f t="shared" si="108"/>
        <v>Short Days</v>
      </c>
    </row>
    <row r="2281" spans="1:21">
      <c r="A2281" t="s">
        <v>2297</v>
      </c>
      <c r="B2281" s="5">
        <v>45337</v>
      </c>
      <c r="C2281" t="s">
        <v>4376</v>
      </c>
      <c r="D2281" t="s">
        <v>4816</v>
      </c>
      <c r="E2281" t="s">
        <v>4867</v>
      </c>
      <c r="F2281">
        <v>44</v>
      </c>
      <c r="G2281" t="s">
        <v>4882</v>
      </c>
      <c r="H2281" t="s">
        <v>4891</v>
      </c>
      <c r="I2281" t="s">
        <v>4895</v>
      </c>
      <c r="J2281" t="s">
        <v>4905</v>
      </c>
      <c r="K2281" t="s">
        <v>4928</v>
      </c>
      <c r="L2281" t="s">
        <v>4941</v>
      </c>
      <c r="M2281" t="s">
        <v>4942</v>
      </c>
      <c r="N2281" s="11">
        <v>6645.07</v>
      </c>
      <c r="O2281" t="s">
        <v>4948</v>
      </c>
      <c r="P2281" t="s">
        <v>4951</v>
      </c>
      <c r="S2281" t="str">
        <f t="shared" si="106"/>
        <v>Middle-Aged</v>
      </c>
      <c r="T2281" t="str">
        <f t="shared" si="107"/>
        <v>Medium</v>
      </c>
      <c r="U2281" t="str">
        <f t="shared" si="108"/>
        <v>Short Days</v>
      </c>
    </row>
    <row r="2282" spans="1:21">
      <c r="A2282" t="s">
        <v>2298</v>
      </c>
      <c r="B2282" s="5">
        <v>45433</v>
      </c>
      <c r="C2282" t="s">
        <v>4377</v>
      </c>
      <c r="D2282" t="s">
        <v>4816</v>
      </c>
      <c r="E2282" t="s">
        <v>4867</v>
      </c>
      <c r="F2282">
        <v>66</v>
      </c>
      <c r="G2282" t="s">
        <v>4880</v>
      </c>
      <c r="H2282" t="s">
        <v>4890</v>
      </c>
      <c r="I2282" t="s">
        <v>4894</v>
      </c>
      <c r="J2282" t="s">
        <v>4910</v>
      </c>
      <c r="K2282" t="s">
        <v>4928</v>
      </c>
      <c r="L2282" t="s">
        <v>4939</v>
      </c>
      <c r="M2282" t="s">
        <v>4942</v>
      </c>
      <c r="N2282" s="11">
        <v>478.39</v>
      </c>
      <c r="O2282" t="s">
        <v>4947</v>
      </c>
      <c r="P2282" t="s">
        <v>4951</v>
      </c>
      <c r="R2282">
        <v>30</v>
      </c>
      <c r="S2282" t="str">
        <f t="shared" si="106"/>
        <v>Senior</v>
      </c>
      <c r="T2282" t="str">
        <f t="shared" si="107"/>
        <v>Low</v>
      </c>
      <c r="U2282" t="str">
        <f t="shared" si="108"/>
        <v>Short Days</v>
      </c>
    </row>
    <row r="2283" spans="1:21">
      <c r="A2283" t="s">
        <v>2299</v>
      </c>
      <c r="B2283" s="5">
        <v>45882</v>
      </c>
      <c r="C2283" t="s">
        <v>3933</v>
      </c>
      <c r="D2283" t="s">
        <v>4768</v>
      </c>
      <c r="E2283" t="s">
        <v>4867</v>
      </c>
      <c r="F2283">
        <v>43</v>
      </c>
      <c r="G2283" t="s">
        <v>4880</v>
      </c>
      <c r="H2283" t="s">
        <v>4890</v>
      </c>
      <c r="I2283" t="s">
        <v>4895</v>
      </c>
      <c r="J2283" t="s">
        <v>4905</v>
      </c>
      <c r="K2283" t="s">
        <v>4926</v>
      </c>
      <c r="L2283" t="s">
        <v>4937</v>
      </c>
      <c r="M2283" t="s">
        <v>4944</v>
      </c>
      <c r="N2283" s="11">
        <v>9452.43</v>
      </c>
      <c r="O2283" t="s">
        <v>4949</v>
      </c>
      <c r="P2283" t="s">
        <v>4951</v>
      </c>
      <c r="R2283">
        <v>90</v>
      </c>
      <c r="S2283" t="str">
        <f t="shared" si="106"/>
        <v>Middle-Aged</v>
      </c>
      <c r="T2283" t="str">
        <f t="shared" si="107"/>
        <v>Medium</v>
      </c>
      <c r="U2283" t="str">
        <f t="shared" si="108"/>
        <v>Short Days</v>
      </c>
    </row>
    <row r="2284" spans="1:21">
      <c r="A2284" t="s">
        <v>2300</v>
      </c>
      <c r="B2284" s="5">
        <v>45848</v>
      </c>
      <c r="C2284" t="s">
        <v>4344</v>
      </c>
      <c r="D2284" t="s">
        <v>4626</v>
      </c>
      <c r="E2284" t="s">
        <v>4866</v>
      </c>
      <c r="F2284">
        <v>40</v>
      </c>
      <c r="G2284" t="s">
        <v>4872</v>
      </c>
      <c r="H2284" t="s">
        <v>4887</v>
      </c>
      <c r="I2284" t="s">
        <v>4902</v>
      </c>
      <c r="J2284" t="s">
        <v>4920</v>
      </c>
      <c r="K2284" t="s">
        <v>4929</v>
      </c>
      <c r="L2284" t="s">
        <v>4938</v>
      </c>
      <c r="M2284" t="s">
        <v>4943</v>
      </c>
      <c r="N2284" s="11">
        <v>6275.61</v>
      </c>
      <c r="O2284" t="s">
        <v>4949</v>
      </c>
      <c r="P2284" t="s">
        <v>4951</v>
      </c>
      <c r="R2284">
        <v>14</v>
      </c>
      <c r="S2284" t="str">
        <f t="shared" si="106"/>
        <v>Adult</v>
      </c>
      <c r="T2284" t="str">
        <f t="shared" si="107"/>
        <v>Medium</v>
      </c>
      <c r="U2284" t="str">
        <f t="shared" si="108"/>
        <v>Short Days</v>
      </c>
    </row>
    <row r="2285" spans="1:21">
      <c r="A2285" t="s">
        <v>2301</v>
      </c>
      <c r="B2285" s="5">
        <v>45784</v>
      </c>
      <c r="C2285" t="s">
        <v>3637</v>
      </c>
      <c r="D2285" t="s">
        <v>4828</v>
      </c>
      <c r="E2285" t="s">
        <v>4866</v>
      </c>
      <c r="F2285">
        <v>28</v>
      </c>
      <c r="G2285" t="s">
        <v>4883</v>
      </c>
      <c r="H2285" t="s">
        <v>4892</v>
      </c>
      <c r="I2285" t="s">
        <v>4894</v>
      </c>
      <c r="J2285" t="s">
        <v>4910</v>
      </c>
      <c r="K2285" t="s">
        <v>4925</v>
      </c>
      <c r="L2285" t="s">
        <v>4941</v>
      </c>
      <c r="M2285" t="s">
        <v>4942</v>
      </c>
      <c r="N2285" s="11">
        <v>825.87</v>
      </c>
      <c r="O2285" t="s">
        <v>4948</v>
      </c>
      <c r="P2285" t="s">
        <v>4951</v>
      </c>
      <c r="R2285">
        <v>90</v>
      </c>
      <c r="S2285" t="str">
        <f t="shared" si="106"/>
        <v>Adult</v>
      </c>
      <c r="T2285" t="str">
        <f t="shared" si="107"/>
        <v>Low</v>
      </c>
      <c r="U2285" t="str">
        <f t="shared" si="108"/>
        <v>Short Days</v>
      </c>
    </row>
    <row r="2286" spans="1:21">
      <c r="A2286" t="s">
        <v>2302</v>
      </c>
      <c r="B2286" s="5">
        <v>45581</v>
      </c>
      <c r="C2286" t="s">
        <v>3979</v>
      </c>
      <c r="D2286" t="s">
        <v>4595</v>
      </c>
      <c r="E2286" t="s">
        <v>4866</v>
      </c>
      <c r="F2286">
        <v>30</v>
      </c>
      <c r="G2286" t="s">
        <v>4871</v>
      </c>
      <c r="H2286" t="s">
        <v>4886</v>
      </c>
      <c r="I2286" t="s">
        <v>4897</v>
      </c>
      <c r="J2286" t="s">
        <v>4907</v>
      </c>
      <c r="K2286" t="s">
        <v>4931</v>
      </c>
      <c r="L2286" t="s">
        <v>4934</v>
      </c>
      <c r="M2286" t="s">
        <v>4942</v>
      </c>
      <c r="N2286" s="11">
        <v>3001.13</v>
      </c>
      <c r="O2286" t="s">
        <v>4947</v>
      </c>
      <c r="P2286" t="s">
        <v>4951</v>
      </c>
      <c r="R2286">
        <v>90</v>
      </c>
      <c r="S2286" t="str">
        <f t="shared" si="106"/>
        <v>Adult</v>
      </c>
      <c r="T2286" t="str">
        <f t="shared" si="107"/>
        <v>Low</v>
      </c>
      <c r="U2286" t="str">
        <f t="shared" si="108"/>
        <v>Short Days</v>
      </c>
    </row>
    <row r="2287" spans="1:21">
      <c r="A2287" t="s">
        <v>2303</v>
      </c>
      <c r="B2287" s="5">
        <v>45553</v>
      </c>
      <c r="C2287" t="s">
        <v>3903</v>
      </c>
      <c r="D2287" t="s">
        <v>4818</v>
      </c>
      <c r="E2287" t="s">
        <v>4867</v>
      </c>
      <c r="F2287">
        <v>47</v>
      </c>
      <c r="G2287" t="s">
        <v>4883</v>
      </c>
      <c r="H2287" t="s">
        <v>4892</v>
      </c>
      <c r="I2287" t="s">
        <v>4899</v>
      </c>
      <c r="J2287" t="s">
        <v>4912</v>
      </c>
      <c r="K2287" t="s">
        <v>4932</v>
      </c>
      <c r="L2287" t="s">
        <v>4941</v>
      </c>
      <c r="M2287" t="s">
        <v>4942</v>
      </c>
      <c r="N2287" s="11">
        <v>928.5</v>
      </c>
      <c r="O2287" t="s">
        <v>4947</v>
      </c>
      <c r="P2287" t="s">
        <v>4951</v>
      </c>
      <c r="S2287" t="str">
        <f t="shared" si="106"/>
        <v>Middle-Aged</v>
      </c>
      <c r="T2287" t="str">
        <f t="shared" si="107"/>
        <v>Low</v>
      </c>
      <c r="U2287" t="str">
        <f t="shared" si="108"/>
        <v>Short Days</v>
      </c>
    </row>
    <row r="2288" spans="1:21">
      <c r="A2288" t="s">
        <v>2304</v>
      </c>
      <c r="B2288" s="5">
        <v>45534</v>
      </c>
      <c r="C2288" t="s">
        <v>3167</v>
      </c>
      <c r="D2288" t="s">
        <v>4769</v>
      </c>
      <c r="E2288" t="s">
        <v>4866</v>
      </c>
      <c r="F2288">
        <v>28</v>
      </c>
      <c r="G2288" t="s">
        <v>4883</v>
      </c>
      <c r="H2288" t="s">
        <v>4892</v>
      </c>
      <c r="I2288" t="s">
        <v>4901</v>
      </c>
      <c r="J2288" t="s">
        <v>4921</v>
      </c>
      <c r="K2288" t="s">
        <v>4924</v>
      </c>
      <c r="L2288" t="s">
        <v>4937</v>
      </c>
      <c r="M2288" t="s">
        <v>4942</v>
      </c>
      <c r="N2288" s="11">
        <v>5126.17</v>
      </c>
      <c r="O2288" t="s">
        <v>4946</v>
      </c>
      <c r="P2288" t="s">
        <v>4951</v>
      </c>
      <c r="R2288">
        <v>14</v>
      </c>
      <c r="S2288" t="str">
        <f t="shared" si="106"/>
        <v>Adult</v>
      </c>
      <c r="T2288" t="str">
        <f t="shared" si="107"/>
        <v>Medium</v>
      </c>
      <c r="U2288" t="str">
        <f t="shared" si="108"/>
        <v>Short Days</v>
      </c>
    </row>
    <row r="2289" spans="1:21">
      <c r="A2289" t="s">
        <v>2305</v>
      </c>
      <c r="B2289" s="5">
        <v>45475</v>
      </c>
      <c r="C2289" t="s">
        <v>3527</v>
      </c>
      <c r="D2289" t="s">
        <v>4630</v>
      </c>
      <c r="E2289" t="s">
        <v>4867</v>
      </c>
      <c r="F2289">
        <v>48</v>
      </c>
      <c r="G2289" t="s">
        <v>4873</v>
      </c>
      <c r="H2289" t="s">
        <v>4888</v>
      </c>
      <c r="I2289" t="s">
        <v>4895</v>
      </c>
      <c r="J2289" t="s">
        <v>4905</v>
      </c>
      <c r="K2289" t="s">
        <v>4927</v>
      </c>
      <c r="L2289" t="s">
        <v>4936</v>
      </c>
      <c r="M2289" t="s">
        <v>4942</v>
      </c>
      <c r="N2289" s="11">
        <v>430.13</v>
      </c>
      <c r="O2289" t="s">
        <v>4946</v>
      </c>
      <c r="P2289" t="s">
        <v>4951</v>
      </c>
      <c r="S2289" t="str">
        <f t="shared" si="106"/>
        <v>Middle-Aged</v>
      </c>
      <c r="T2289" t="str">
        <f t="shared" si="107"/>
        <v>Low</v>
      </c>
      <c r="U2289" t="str">
        <f t="shared" si="108"/>
        <v>Short Days</v>
      </c>
    </row>
    <row r="2290" spans="1:21">
      <c r="A2290" t="s">
        <v>2306</v>
      </c>
      <c r="B2290" s="5">
        <v>45784</v>
      </c>
      <c r="C2290" t="s">
        <v>4309</v>
      </c>
      <c r="D2290" t="s">
        <v>4707</v>
      </c>
      <c r="E2290" t="s">
        <v>4866</v>
      </c>
      <c r="F2290">
        <v>11</v>
      </c>
      <c r="G2290" t="s">
        <v>4879</v>
      </c>
      <c r="H2290" t="s">
        <v>4888</v>
      </c>
      <c r="I2290" t="s">
        <v>4896</v>
      </c>
      <c r="J2290" t="s">
        <v>4906</v>
      </c>
      <c r="K2290" t="s">
        <v>4925</v>
      </c>
      <c r="L2290" t="s">
        <v>4937</v>
      </c>
      <c r="M2290" t="s">
        <v>4943</v>
      </c>
      <c r="N2290" s="11">
        <v>6250.22</v>
      </c>
      <c r="O2290" t="s">
        <v>4949</v>
      </c>
      <c r="P2290" t="s">
        <v>4951</v>
      </c>
      <c r="R2290">
        <v>90</v>
      </c>
      <c r="S2290" t="str">
        <f t="shared" si="106"/>
        <v>Child</v>
      </c>
      <c r="T2290" t="str">
        <f t="shared" si="107"/>
        <v>Medium</v>
      </c>
      <c r="U2290" t="str">
        <f t="shared" si="108"/>
        <v>Short Days</v>
      </c>
    </row>
    <row r="2291" spans="1:21">
      <c r="A2291" t="s">
        <v>2307</v>
      </c>
      <c r="B2291" s="5">
        <v>45491</v>
      </c>
      <c r="C2291" t="s">
        <v>4378</v>
      </c>
      <c r="D2291" t="s">
        <v>4855</v>
      </c>
      <c r="E2291" t="s">
        <v>4867</v>
      </c>
      <c r="F2291">
        <v>85</v>
      </c>
      <c r="G2291" t="s">
        <v>4879</v>
      </c>
      <c r="H2291" t="s">
        <v>4888</v>
      </c>
      <c r="I2291" t="s">
        <v>4899</v>
      </c>
      <c r="J2291" t="s">
        <v>4912</v>
      </c>
      <c r="K2291" t="s">
        <v>4933</v>
      </c>
      <c r="L2291" t="s">
        <v>4939</v>
      </c>
      <c r="M2291" t="s">
        <v>4942</v>
      </c>
      <c r="N2291" s="11">
        <v>861.43</v>
      </c>
      <c r="O2291" t="s">
        <v>15</v>
      </c>
      <c r="P2291" t="s">
        <v>4952</v>
      </c>
      <c r="R2291">
        <v>7</v>
      </c>
      <c r="S2291" t="str">
        <f t="shared" si="106"/>
        <v>Senior</v>
      </c>
      <c r="T2291" t="str">
        <f t="shared" si="107"/>
        <v>Low</v>
      </c>
      <c r="U2291" t="str">
        <f t="shared" si="108"/>
        <v>Short Days</v>
      </c>
    </row>
    <row r="2292" spans="1:21">
      <c r="A2292" t="s">
        <v>2308</v>
      </c>
      <c r="B2292" s="5">
        <v>45454</v>
      </c>
      <c r="C2292" t="s">
        <v>4236</v>
      </c>
      <c r="D2292" t="s">
        <v>4787</v>
      </c>
      <c r="E2292" t="s">
        <v>4866</v>
      </c>
      <c r="F2292">
        <v>52</v>
      </c>
      <c r="G2292" t="s">
        <v>4873</v>
      </c>
      <c r="H2292" t="s">
        <v>4888</v>
      </c>
      <c r="I2292" t="s">
        <v>4896</v>
      </c>
      <c r="J2292" t="s">
        <v>4908</v>
      </c>
      <c r="K2292" t="s">
        <v>4932</v>
      </c>
      <c r="L2292" t="s">
        <v>4935</v>
      </c>
      <c r="M2292" t="s">
        <v>4945</v>
      </c>
      <c r="N2292" s="11">
        <v>12911.65</v>
      </c>
      <c r="O2292" t="s">
        <v>4947</v>
      </c>
      <c r="P2292" t="s">
        <v>4951</v>
      </c>
      <c r="Q2292">
        <v>6</v>
      </c>
      <c r="R2292">
        <v>30</v>
      </c>
      <c r="S2292" t="str">
        <f t="shared" si="106"/>
        <v>Middle-Aged</v>
      </c>
      <c r="T2292" t="str">
        <f t="shared" si="107"/>
        <v>High</v>
      </c>
      <c r="U2292" t="str">
        <f t="shared" si="108"/>
        <v>Long Days</v>
      </c>
    </row>
    <row r="2293" spans="1:21">
      <c r="A2293" t="s">
        <v>2309</v>
      </c>
      <c r="B2293" s="5">
        <v>45459</v>
      </c>
      <c r="C2293" t="s">
        <v>4277</v>
      </c>
      <c r="D2293" t="s">
        <v>4824</v>
      </c>
      <c r="E2293" t="s">
        <v>4866</v>
      </c>
      <c r="F2293">
        <v>70</v>
      </c>
      <c r="G2293" t="s">
        <v>4882</v>
      </c>
      <c r="H2293" t="s">
        <v>4891</v>
      </c>
      <c r="I2293" t="s">
        <v>4894</v>
      </c>
      <c r="J2293" t="s">
        <v>4910</v>
      </c>
      <c r="K2293" t="s">
        <v>4932</v>
      </c>
      <c r="L2293" t="s">
        <v>4935</v>
      </c>
      <c r="M2293" t="s">
        <v>4942</v>
      </c>
      <c r="N2293" s="11">
        <v>6037.04</v>
      </c>
      <c r="O2293" t="s">
        <v>15</v>
      </c>
      <c r="P2293" t="s">
        <v>4952</v>
      </c>
      <c r="R2293">
        <v>7</v>
      </c>
      <c r="S2293" t="str">
        <f t="shared" si="106"/>
        <v>Senior</v>
      </c>
      <c r="T2293" t="str">
        <f t="shared" si="107"/>
        <v>Medium</v>
      </c>
      <c r="U2293" t="str">
        <f t="shared" si="108"/>
        <v>Short Days</v>
      </c>
    </row>
    <row r="2294" spans="1:21">
      <c r="A2294" t="s">
        <v>2310</v>
      </c>
      <c r="B2294" s="5">
        <v>45908</v>
      </c>
      <c r="C2294" t="s">
        <v>4336</v>
      </c>
      <c r="D2294" t="s">
        <v>4728</v>
      </c>
      <c r="E2294" t="s">
        <v>4867</v>
      </c>
      <c r="F2294">
        <v>61</v>
      </c>
      <c r="G2294" t="s">
        <v>4870</v>
      </c>
      <c r="H2294" t="s">
        <v>4885</v>
      </c>
      <c r="I2294" t="s">
        <v>4902</v>
      </c>
      <c r="J2294" t="s">
        <v>4920</v>
      </c>
      <c r="K2294" t="s">
        <v>4927</v>
      </c>
      <c r="L2294" t="s">
        <v>4936</v>
      </c>
      <c r="M2294" t="s">
        <v>4944</v>
      </c>
      <c r="N2294" s="11">
        <v>8453.27</v>
      </c>
      <c r="O2294" t="s">
        <v>4947</v>
      </c>
      <c r="P2294" t="s">
        <v>4951</v>
      </c>
      <c r="R2294">
        <v>14</v>
      </c>
      <c r="S2294" t="str">
        <f t="shared" si="106"/>
        <v>Senior</v>
      </c>
      <c r="T2294" t="str">
        <f t="shared" si="107"/>
        <v>Medium</v>
      </c>
      <c r="U2294" t="str">
        <f t="shared" si="108"/>
        <v>Short Days</v>
      </c>
    </row>
    <row r="2295" spans="1:21">
      <c r="A2295" t="s">
        <v>2311</v>
      </c>
      <c r="B2295" s="5">
        <v>45554</v>
      </c>
      <c r="C2295" t="s">
        <v>3157</v>
      </c>
      <c r="D2295" t="s">
        <v>4770</v>
      </c>
      <c r="E2295" t="s">
        <v>4866</v>
      </c>
      <c r="F2295">
        <v>32</v>
      </c>
      <c r="G2295" t="s">
        <v>4871</v>
      </c>
      <c r="H2295" t="s">
        <v>4886</v>
      </c>
      <c r="I2295" t="s">
        <v>4901</v>
      </c>
      <c r="J2295" t="s">
        <v>4914</v>
      </c>
      <c r="K2295" t="s">
        <v>4928</v>
      </c>
      <c r="L2295" t="s">
        <v>4941</v>
      </c>
      <c r="M2295" t="s">
        <v>4942</v>
      </c>
      <c r="N2295" s="11">
        <v>3841.64</v>
      </c>
      <c r="O2295" t="s">
        <v>4948</v>
      </c>
      <c r="P2295" t="s">
        <v>4951</v>
      </c>
      <c r="R2295">
        <v>7</v>
      </c>
      <c r="S2295" t="str">
        <f t="shared" si="106"/>
        <v>Adult</v>
      </c>
      <c r="T2295" t="str">
        <f t="shared" si="107"/>
        <v>Low</v>
      </c>
      <c r="U2295" t="str">
        <f t="shared" si="108"/>
        <v>Short Days</v>
      </c>
    </row>
    <row r="2296" spans="1:21">
      <c r="A2296" t="s">
        <v>2312</v>
      </c>
      <c r="B2296" s="5">
        <v>45597</v>
      </c>
      <c r="C2296" t="s">
        <v>4222</v>
      </c>
      <c r="D2296" t="s">
        <v>4600</v>
      </c>
      <c r="E2296" t="s">
        <v>4867</v>
      </c>
      <c r="F2296">
        <v>42</v>
      </c>
      <c r="G2296" t="s">
        <v>4882</v>
      </c>
      <c r="H2296" t="s">
        <v>4891</v>
      </c>
      <c r="I2296" t="s">
        <v>4893</v>
      </c>
      <c r="J2296" t="s">
        <v>4917</v>
      </c>
      <c r="K2296" t="s">
        <v>4925</v>
      </c>
      <c r="L2296" t="s">
        <v>4936</v>
      </c>
      <c r="M2296" t="s">
        <v>4942</v>
      </c>
      <c r="N2296" s="11">
        <v>3463.31</v>
      </c>
      <c r="O2296" t="s">
        <v>15</v>
      </c>
      <c r="P2296" t="s">
        <v>4952</v>
      </c>
      <c r="S2296" t="str">
        <f t="shared" si="106"/>
        <v>Middle-Aged</v>
      </c>
      <c r="T2296" t="str">
        <f t="shared" si="107"/>
        <v>Low</v>
      </c>
      <c r="U2296" t="str">
        <f t="shared" si="108"/>
        <v>Short Days</v>
      </c>
    </row>
    <row r="2297" spans="1:21">
      <c r="A2297" t="s">
        <v>2313</v>
      </c>
      <c r="B2297" s="5">
        <v>45822</v>
      </c>
      <c r="C2297" t="s">
        <v>3737</v>
      </c>
      <c r="D2297" t="s">
        <v>4645</v>
      </c>
      <c r="E2297" t="s">
        <v>4866</v>
      </c>
      <c r="F2297">
        <v>30</v>
      </c>
      <c r="G2297" t="s">
        <v>4870</v>
      </c>
      <c r="H2297" t="s">
        <v>4885</v>
      </c>
      <c r="I2297" t="s">
        <v>4899</v>
      </c>
      <c r="J2297" t="s">
        <v>4912</v>
      </c>
      <c r="K2297" t="s">
        <v>4927</v>
      </c>
      <c r="L2297" t="s">
        <v>4937</v>
      </c>
      <c r="M2297" t="s">
        <v>4942</v>
      </c>
      <c r="N2297" s="11">
        <v>2484.9899999999998</v>
      </c>
      <c r="O2297" t="s">
        <v>15</v>
      </c>
      <c r="P2297" t="s">
        <v>4952</v>
      </c>
      <c r="R2297">
        <v>90</v>
      </c>
      <c r="S2297" t="str">
        <f t="shared" si="106"/>
        <v>Adult</v>
      </c>
      <c r="T2297" t="str">
        <f t="shared" si="107"/>
        <v>Low</v>
      </c>
      <c r="U2297" t="str">
        <f t="shared" si="108"/>
        <v>Short Days</v>
      </c>
    </row>
    <row r="2298" spans="1:21">
      <c r="A2298" t="s">
        <v>2314</v>
      </c>
      <c r="B2298" s="5">
        <v>45699</v>
      </c>
      <c r="C2298" t="s">
        <v>3925</v>
      </c>
      <c r="D2298" t="s">
        <v>4711</v>
      </c>
      <c r="E2298" t="s">
        <v>4867</v>
      </c>
      <c r="F2298">
        <v>27</v>
      </c>
      <c r="G2298" t="s">
        <v>4875</v>
      </c>
      <c r="H2298" t="s">
        <v>4889</v>
      </c>
      <c r="I2298" t="s">
        <v>4896</v>
      </c>
      <c r="J2298" t="s">
        <v>4906</v>
      </c>
      <c r="K2298" t="s">
        <v>4932</v>
      </c>
      <c r="L2298" t="s">
        <v>4938</v>
      </c>
      <c r="M2298" t="s">
        <v>4942</v>
      </c>
      <c r="N2298" s="11">
        <v>6858.41</v>
      </c>
      <c r="O2298" t="s">
        <v>4949</v>
      </c>
      <c r="P2298" t="s">
        <v>4951</v>
      </c>
      <c r="R2298">
        <v>14</v>
      </c>
      <c r="S2298" t="str">
        <f t="shared" si="106"/>
        <v>Adult</v>
      </c>
      <c r="T2298" t="str">
        <f t="shared" si="107"/>
        <v>Medium</v>
      </c>
      <c r="U2298" t="str">
        <f t="shared" si="108"/>
        <v>Short Days</v>
      </c>
    </row>
    <row r="2299" spans="1:21">
      <c r="A2299" t="s">
        <v>2315</v>
      </c>
      <c r="B2299" s="5">
        <v>45316</v>
      </c>
      <c r="C2299" t="s">
        <v>4379</v>
      </c>
      <c r="D2299" t="s">
        <v>4750</v>
      </c>
      <c r="E2299" t="s">
        <v>4866</v>
      </c>
      <c r="F2299">
        <v>31</v>
      </c>
      <c r="G2299" t="s">
        <v>4879</v>
      </c>
      <c r="H2299" t="s">
        <v>4888</v>
      </c>
      <c r="I2299" t="s">
        <v>4900</v>
      </c>
      <c r="J2299" t="s">
        <v>4919</v>
      </c>
      <c r="K2299" t="s">
        <v>4931</v>
      </c>
      <c r="L2299" t="s">
        <v>4939</v>
      </c>
      <c r="M2299" t="s">
        <v>4942</v>
      </c>
      <c r="N2299" s="11">
        <v>6875.01</v>
      </c>
      <c r="O2299" t="s">
        <v>15</v>
      </c>
      <c r="P2299" t="s">
        <v>4952</v>
      </c>
      <c r="R2299">
        <v>7</v>
      </c>
      <c r="S2299" t="str">
        <f t="shared" si="106"/>
        <v>Adult</v>
      </c>
      <c r="T2299" t="str">
        <f t="shared" si="107"/>
        <v>Medium</v>
      </c>
      <c r="U2299" t="str">
        <f t="shared" si="108"/>
        <v>Short Days</v>
      </c>
    </row>
    <row r="2300" spans="1:21">
      <c r="A2300" t="s">
        <v>2316</v>
      </c>
      <c r="B2300" s="5">
        <v>45341</v>
      </c>
      <c r="C2300" t="s">
        <v>4380</v>
      </c>
      <c r="D2300" t="s">
        <v>4790</v>
      </c>
      <c r="E2300" t="s">
        <v>4866</v>
      </c>
      <c r="F2300">
        <v>27</v>
      </c>
      <c r="G2300" t="s">
        <v>4881</v>
      </c>
      <c r="H2300" t="s">
        <v>4881</v>
      </c>
      <c r="I2300" t="s">
        <v>4893</v>
      </c>
      <c r="J2300" t="s">
        <v>4903</v>
      </c>
      <c r="K2300" t="s">
        <v>4925</v>
      </c>
      <c r="L2300" t="s">
        <v>4939</v>
      </c>
      <c r="M2300" t="s">
        <v>4943</v>
      </c>
      <c r="N2300" s="11">
        <v>23870.89</v>
      </c>
      <c r="O2300" t="s">
        <v>15</v>
      </c>
      <c r="P2300" t="s">
        <v>4952</v>
      </c>
      <c r="R2300">
        <v>14</v>
      </c>
      <c r="S2300" t="str">
        <f t="shared" si="106"/>
        <v>Adult</v>
      </c>
      <c r="T2300" t="str">
        <f t="shared" si="107"/>
        <v>High</v>
      </c>
      <c r="U2300" t="str">
        <f t="shared" si="108"/>
        <v>Short Days</v>
      </c>
    </row>
    <row r="2301" spans="1:21">
      <c r="A2301" t="s">
        <v>2317</v>
      </c>
      <c r="B2301" s="5">
        <v>45585</v>
      </c>
      <c r="C2301" t="s">
        <v>3612</v>
      </c>
      <c r="D2301" t="s">
        <v>4801</v>
      </c>
      <c r="E2301" t="s">
        <v>4866</v>
      </c>
      <c r="F2301">
        <v>40</v>
      </c>
      <c r="G2301" t="s">
        <v>4880</v>
      </c>
      <c r="H2301" t="s">
        <v>4890</v>
      </c>
      <c r="I2301" t="s">
        <v>4902</v>
      </c>
      <c r="J2301" t="s">
        <v>4916</v>
      </c>
      <c r="K2301" t="s">
        <v>4927</v>
      </c>
      <c r="L2301" t="s">
        <v>4935</v>
      </c>
      <c r="M2301" t="s">
        <v>4942</v>
      </c>
      <c r="N2301" s="11">
        <v>1920.45</v>
      </c>
      <c r="O2301" t="s">
        <v>15</v>
      </c>
      <c r="P2301" t="s">
        <v>4952</v>
      </c>
      <c r="R2301">
        <v>14</v>
      </c>
      <c r="S2301" t="str">
        <f t="shared" si="106"/>
        <v>Adult</v>
      </c>
      <c r="T2301" t="str">
        <f t="shared" si="107"/>
        <v>Low</v>
      </c>
      <c r="U2301" t="str">
        <f t="shared" si="108"/>
        <v>Short Days</v>
      </c>
    </row>
    <row r="2302" spans="1:21">
      <c r="A2302" t="s">
        <v>2318</v>
      </c>
      <c r="B2302" s="5">
        <v>45302</v>
      </c>
      <c r="C2302" t="s">
        <v>4381</v>
      </c>
      <c r="D2302" t="s">
        <v>4690</v>
      </c>
      <c r="E2302" t="s">
        <v>4866</v>
      </c>
      <c r="F2302">
        <v>18</v>
      </c>
      <c r="G2302" t="s">
        <v>4874</v>
      </c>
      <c r="H2302" t="s">
        <v>4886</v>
      </c>
      <c r="I2302" t="s">
        <v>4896</v>
      </c>
      <c r="J2302" t="s">
        <v>4906</v>
      </c>
      <c r="K2302" t="s">
        <v>4929</v>
      </c>
      <c r="L2302" t="s">
        <v>4935</v>
      </c>
      <c r="M2302" t="s">
        <v>4942</v>
      </c>
      <c r="N2302" s="11">
        <v>2019.02</v>
      </c>
      <c r="O2302" t="s">
        <v>4947</v>
      </c>
      <c r="P2302" t="s">
        <v>4951</v>
      </c>
      <c r="R2302">
        <v>7</v>
      </c>
      <c r="S2302" t="str">
        <f t="shared" si="106"/>
        <v>Adult</v>
      </c>
      <c r="T2302" t="str">
        <f t="shared" si="107"/>
        <v>Low</v>
      </c>
      <c r="U2302" t="str">
        <f t="shared" si="108"/>
        <v>Short Days</v>
      </c>
    </row>
    <row r="2303" spans="1:21">
      <c r="A2303" t="s">
        <v>2319</v>
      </c>
      <c r="B2303" s="5">
        <v>45703</v>
      </c>
      <c r="C2303" t="s">
        <v>4124</v>
      </c>
      <c r="D2303" t="s">
        <v>4768</v>
      </c>
      <c r="E2303" t="s">
        <v>4866</v>
      </c>
      <c r="F2303">
        <v>28</v>
      </c>
      <c r="G2303" t="s">
        <v>4880</v>
      </c>
      <c r="H2303" t="s">
        <v>4890</v>
      </c>
      <c r="I2303" t="s">
        <v>4901</v>
      </c>
      <c r="J2303" t="s">
        <v>4921</v>
      </c>
      <c r="K2303" t="s">
        <v>4931</v>
      </c>
      <c r="L2303" t="s">
        <v>4935</v>
      </c>
      <c r="M2303" t="s">
        <v>4942</v>
      </c>
      <c r="N2303" s="11">
        <v>402.8</v>
      </c>
      <c r="O2303" t="s">
        <v>4946</v>
      </c>
      <c r="P2303" t="s">
        <v>4951</v>
      </c>
      <c r="R2303">
        <v>90</v>
      </c>
      <c r="S2303" t="str">
        <f t="shared" si="106"/>
        <v>Adult</v>
      </c>
      <c r="T2303" t="str">
        <f t="shared" si="107"/>
        <v>Low</v>
      </c>
      <c r="U2303" t="str">
        <f t="shared" si="108"/>
        <v>Short Days</v>
      </c>
    </row>
    <row r="2304" spans="1:21">
      <c r="A2304" t="s">
        <v>2320</v>
      </c>
      <c r="B2304" s="5">
        <v>45360</v>
      </c>
      <c r="C2304" t="s">
        <v>4382</v>
      </c>
      <c r="D2304" t="s">
        <v>4771</v>
      </c>
      <c r="E2304" t="s">
        <v>4867</v>
      </c>
      <c r="F2304">
        <v>22</v>
      </c>
      <c r="G2304" t="s">
        <v>4877</v>
      </c>
      <c r="H2304" t="s">
        <v>4888</v>
      </c>
      <c r="I2304" t="s">
        <v>4893</v>
      </c>
      <c r="J2304" t="s">
        <v>4917</v>
      </c>
      <c r="K2304" t="s">
        <v>4924</v>
      </c>
      <c r="L2304" t="s">
        <v>4934</v>
      </c>
      <c r="M2304" t="s">
        <v>4942</v>
      </c>
      <c r="N2304" s="11">
        <v>3283.06</v>
      </c>
      <c r="O2304" t="s">
        <v>4948</v>
      </c>
      <c r="P2304" t="s">
        <v>4951</v>
      </c>
      <c r="S2304" t="str">
        <f t="shared" si="106"/>
        <v>Adult</v>
      </c>
      <c r="T2304" t="str">
        <f t="shared" si="107"/>
        <v>Low</v>
      </c>
      <c r="U2304" t="str">
        <f t="shared" si="108"/>
        <v>Short Days</v>
      </c>
    </row>
    <row r="2305" spans="1:21">
      <c r="A2305" t="s">
        <v>2321</v>
      </c>
      <c r="B2305" s="5">
        <v>45335</v>
      </c>
      <c r="C2305" t="s">
        <v>3518</v>
      </c>
      <c r="D2305" t="s">
        <v>4653</v>
      </c>
      <c r="E2305" t="s">
        <v>4867</v>
      </c>
      <c r="F2305">
        <v>58</v>
      </c>
      <c r="G2305" t="s">
        <v>4876</v>
      </c>
      <c r="H2305" t="s">
        <v>4888</v>
      </c>
      <c r="I2305" t="s">
        <v>4896</v>
      </c>
      <c r="J2305" t="s">
        <v>4906</v>
      </c>
      <c r="K2305" t="s">
        <v>4926</v>
      </c>
      <c r="L2305" t="s">
        <v>4940</v>
      </c>
      <c r="M2305" t="s">
        <v>4944</v>
      </c>
      <c r="N2305" s="11">
        <v>8192.24</v>
      </c>
      <c r="O2305" t="s">
        <v>4949</v>
      </c>
      <c r="P2305" t="s">
        <v>4951</v>
      </c>
      <c r="R2305">
        <v>30</v>
      </c>
      <c r="S2305" t="str">
        <f t="shared" si="106"/>
        <v>Middle-Aged</v>
      </c>
      <c r="T2305" t="str">
        <f t="shared" si="107"/>
        <v>Medium</v>
      </c>
      <c r="U2305" t="str">
        <f t="shared" si="108"/>
        <v>Short Days</v>
      </c>
    </row>
    <row r="2306" spans="1:21">
      <c r="A2306" t="s">
        <v>2322</v>
      </c>
      <c r="B2306" s="5">
        <v>45341</v>
      </c>
      <c r="C2306" t="s">
        <v>3186</v>
      </c>
      <c r="D2306" t="s">
        <v>4709</v>
      </c>
      <c r="E2306" t="s">
        <v>4867</v>
      </c>
      <c r="F2306">
        <v>51</v>
      </c>
      <c r="G2306" t="s">
        <v>4871</v>
      </c>
      <c r="H2306" t="s">
        <v>4886</v>
      </c>
      <c r="I2306" t="s">
        <v>4902</v>
      </c>
      <c r="J2306" t="s">
        <v>4920</v>
      </c>
      <c r="K2306" t="s">
        <v>4925</v>
      </c>
      <c r="L2306" t="s">
        <v>4940</v>
      </c>
      <c r="M2306" t="s">
        <v>4942</v>
      </c>
      <c r="N2306" s="11">
        <v>8107.97</v>
      </c>
      <c r="O2306" t="s">
        <v>4947</v>
      </c>
      <c r="P2306" t="s">
        <v>4951</v>
      </c>
      <c r="R2306">
        <v>90</v>
      </c>
      <c r="S2306" t="str">
        <f t="shared" si="106"/>
        <v>Middle-Aged</v>
      </c>
      <c r="T2306" t="str">
        <f t="shared" si="107"/>
        <v>Medium</v>
      </c>
      <c r="U2306" t="str">
        <f t="shared" si="108"/>
        <v>Short Days</v>
      </c>
    </row>
    <row r="2307" spans="1:21">
      <c r="A2307" t="s">
        <v>2323</v>
      </c>
      <c r="B2307" s="5">
        <v>45367</v>
      </c>
      <c r="C2307" t="s">
        <v>3107</v>
      </c>
      <c r="D2307" t="s">
        <v>4849</v>
      </c>
      <c r="E2307" t="s">
        <v>4866</v>
      </c>
      <c r="F2307">
        <v>47</v>
      </c>
      <c r="G2307" t="s">
        <v>4879</v>
      </c>
      <c r="H2307" t="s">
        <v>4888</v>
      </c>
      <c r="I2307" t="s">
        <v>4902</v>
      </c>
      <c r="J2307" t="s">
        <v>4920</v>
      </c>
      <c r="K2307" t="s">
        <v>4927</v>
      </c>
      <c r="L2307" t="s">
        <v>4940</v>
      </c>
      <c r="M2307" t="s">
        <v>4942</v>
      </c>
      <c r="N2307" s="11">
        <v>6309.88</v>
      </c>
      <c r="O2307" t="s">
        <v>4949</v>
      </c>
      <c r="P2307" t="s">
        <v>4951</v>
      </c>
      <c r="S2307" t="str">
        <f t="shared" ref="S2307:S2370" si="109">IF(F2307&lt;18,"Child",IF(F2307&lt;=40,"Adult",IF(F2307&lt;=60,"Middle-Aged",IF(F2307,"Senior"))))</f>
        <v>Middle-Aged</v>
      </c>
      <c r="T2307" t="str">
        <f t="shared" ref="T2307:T2370" si="110">IF(N2307&lt;=5000,"Low",IF(N2307&lt;=10000,"Medium","High"))</f>
        <v>Medium</v>
      </c>
      <c r="U2307" t="str">
        <f t="shared" ref="U2307:U2370" si="111">IF(Q2307&lt;=5,"Short Days","Long Days")</f>
        <v>Short Days</v>
      </c>
    </row>
    <row r="2308" spans="1:21">
      <c r="A2308" t="s">
        <v>2324</v>
      </c>
      <c r="B2308" s="5">
        <v>45802</v>
      </c>
      <c r="C2308" t="s">
        <v>4383</v>
      </c>
      <c r="D2308" t="s">
        <v>4628</v>
      </c>
      <c r="E2308" t="s">
        <v>4867</v>
      </c>
      <c r="F2308">
        <v>61</v>
      </c>
      <c r="G2308" t="s">
        <v>4869</v>
      </c>
      <c r="H2308" t="s">
        <v>4884</v>
      </c>
      <c r="I2308" t="s">
        <v>4893</v>
      </c>
      <c r="J2308" t="s">
        <v>4917</v>
      </c>
      <c r="K2308" t="s">
        <v>4932</v>
      </c>
      <c r="L2308" t="s">
        <v>4941</v>
      </c>
      <c r="M2308" t="s">
        <v>4945</v>
      </c>
      <c r="N2308" s="11">
        <v>13821.08</v>
      </c>
      <c r="O2308" t="s">
        <v>4948</v>
      </c>
      <c r="P2308" t="s">
        <v>4951</v>
      </c>
      <c r="Q2308">
        <v>4</v>
      </c>
      <c r="S2308" t="str">
        <f t="shared" si="109"/>
        <v>Senior</v>
      </c>
      <c r="T2308" t="str">
        <f t="shared" si="110"/>
        <v>High</v>
      </c>
      <c r="U2308" t="str">
        <f t="shared" si="111"/>
        <v>Short Days</v>
      </c>
    </row>
    <row r="2309" spans="1:21">
      <c r="A2309" t="s">
        <v>2325</v>
      </c>
      <c r="B2309" s="5">
        <v>45754</v>
      </c>
      <c r="C2309" t="s">
        <v>4289</v>
      </c>
      <c r="D2309" t="s">
        <v>4744</v>
      </c>
      <c r="E2309" t="s">
        <v>4867</v>
      </c>
      <c r="F2309">
        <v>55</v>
      </c>
      <c r="G2309" t="s">
        <v>4881</v>
      </c>
      <c r="H2309" t="s">
        <v>4881</v>
      </c>
      <c r="I2309" t="s">
        <v>4895</v>
      </c>
      <c r="J2309" t="s">
        <v>4905</v>
      </c>
      <c r="K2309" t="s">
        <v>4928</v>
      </c>
      <c r="L2309" t="s">
        <v>4940</v>
      </c>
      <c r="M2309" t="s">
        <v>4942</v>
      </c>
      <c r="N2309" s="11">
        <v>1700.3</v>
      </c>
      <c r="O2309" t="s">
        <v>4948</v>
      </c>
      <c r="P2309" t="s">
        <v>4951</v>
      </c>
      <c r="R2309">
        <v>90</v>
      </c>
      <c r="S2309" t="str">
        <f t="shared" si="109"/>
        <v>Middle-Aged</v>
      </c>
      <c r="T2309" t="str">
        <f t="shared" si="110"/>
        <v>Low</v>
      </c>
      <c r="U2309" t="str">
        <f t="shared" si="111"/>
        <v>Short Days</v>
      </c>
    </row>
    <row r="2310" spans="1:21">
      <c r="A2310" t="s">
        <v>2326</v>
      </c>
      <c r="B2310" s="5">
        <v>45694</v>
      </c>
      <c r="C2310" t="s">
        <v>3872</v>
      </c>
      <c r="D2310" t="s">
        <v>4859</v>
      </c>
      <c r="E2310" t="s">
        <v>4867</v>
      </c>
      <c r="F2310">
        <v>27</v>
      </c>
      <c r="G2310" t="s">
        <v>4882</v>
      </c>
      <c r="H2310" t="s">
        <v>4891</v>
      </c>
      <c r="I2310" t="s">
        <v>4895</v>
      </c>
      <c r="J2310" t="s">
        <v>4905</v>
      </c>
      <c r="K2310" t="s">
        <v>4925</v>
      </c>
      <c r="L2310" t="s">
        <v>4941</v>
      </c>
      <c r="M2310" t="s">
        <v>4943</v>
      </c>
      <c r="N2310" s="11">
        <v>10662.37</v>
      </c>
      <c r="O2310" t="s">
        <v>4947</v>
      </c>
      <c r="P2310" t="s">
        <v>4951</v>
      </c>
      <c r="R2310">
        <v>90</v>
      </c>
      <c r="S2310" t="str">
        <f t="shared" si="109"/>
        <v>Adult</v>
      </c>
      <c r="T2310" t="str">
        <f t="shared" si="110"/>
        <v>High</v>
      </c>
      <c r="U2310" t="str">
        <f t="shared" si="111"/>
        <v>Short Days</v>
      </c>
    </row>
    <row r="2311" spans="1:21">
      <c r="A2311" t="s">
        <v>2327</v>
      </c>
      <c r="B2311" s="5">
        <v>45843</v>
      </c>
      <c r="C2311" t="s">
        <v>3198</v>
      </c>
      <c r="D2311" t="s">
        <v>4642</v>
      </c>
      <c r="E2311" t="s">
        <v>4866</v>
      </c>
      <c r="F2311">
        <v>0</v>
      </c>
      <c r="G2311" t="s">
        <v>4873</v>
      </c>
      <c r="H2311" t="s">
        <v>4888</v>
      </c>
      <c r="I2311" t="s">
        <v>4901</v>
      </c>
      <c r="J2311" t="s">
        <v>4921</v>
      </c>
      <c r="K2311" t="s">
        <v>4925</v>
      </c>
      <c r="L2311" t="s">
        <v>4934</v>
      </c>
      <c r="M2311" t="s">
        <v>4944</v>
      </c>
      <c r="N2311" s="11">
        <v>7101.71</v>
      </c>
      <c r="O2311" t="s">
        <v>4947</v>
      </c>
      <c r="P2311" t="s">
        <v>4951</v>
      </c>
      <c r="R2311">
        <v>90</v>
      </c>
      <c r="S2311" t="str">
        <f t="shared" si="109"/>
        <v>Child</v>
      </c>
      <c r="T2311" t="str">
        <f t="shared" si="110"/>
        <v>Medium</v>
      </c>
      <c r="U2311" t="str">
        <f t="shared" si="111"/>
        <v>Short Days</v>
      </c>
    </row>
    <row r="2312" spans="1:21">
      <c r="A2312" t="s">
        <v>2328</v>
      </c>
      <c r="B2312" s="5">
        <v>45565</v>
      </c>
      <c r="C2312" t="s">
        <v>3830</v>
      </c>
      <c r="D2312" t="s">
        <v>4768</v>
      </c>
      <c r="E2312" t="s">
        <v>4866</v>
      </c>
      <c r="F2312">
        <v>24</v>
      </c>
      <c r="G2312" t="s">
        <v>4873</v>
      </c>
      <c r="H2312" t="s">
        <v>4888</v>
      </c>
      <c r="I2312" t="s">
        <v>4899</v>
      </c>
      <c r="J2312" t="s">
        <v>4911</v>
      </c>
      <c r="K2312" t="s">
        <v>4933</v>
      </c>
      <c r="L2312" t="s">
        <v>4937</v>
      </c>
      <c r="M2312" t="s">
        <v>4942</v>
      </c>
      <c r="N2312" s="11">
        <v>7303.43</v>
      </c>
      <c r="O2312" t="s">
        <v>4949</v>
      </c>
      <c r="P2312" t="s">
        <v>4951</v>
      </c>
      <c r="S2312" t="str">
        <f t="shared" si="109"/>
        <v>Adult</v>
      </c>
      <c r="T2312" t="str">
        <f t="shared" si="110"/>
        <v>Medium</v>
      </c>
      <c r="U2312" t="str">
        <f t="shared" si="111"/>
        <v>Short Days</v>
      </c>
    </row>
    <row r="2313" spans="1:21">
      <c r="A2313" t="s">
        <v>2329</v>
      </c>
      <c r="B2313" s="5">
        <v>45383</v>
      </c>
      <c r="C2313" t="s">
        <v>4325</v>
      </c>
      <c r="D2313" t="s">
        <v>4654</v>
      </c>
      <c r="E2313" t="s">
        <v>4866</v>
      </c>
      <c r="F2313">
        <v>53</v>
      </c>
      <c r="G2313" t="s">
        <v>4869</v>
      </c>
      <c r="H2313" t="s">
        <v>4884</v>
      </c>
      <c r="I2313" t="s">
        <v>4897</v>
      </c>
      <c r="J2313" t="s">
        <v>4907</v>
      </c>
      <c r="K2313" t="s">
        <v>4928</v>
      </c>
      <c r="L2313" t="s">
        <v>4941</v>
      </c>
      <c r="M2313" t="s">
        <v>4942</v>
      </c>
      <c r="N2313" s="11">
        <v>6281.34</v>
      </c>
      <c r="O2313" t="s">
        <v>15</v>
      </c>
      <c r="P2313" t="s">
        <v>4952</v>
      </c>
      <c r="S2313" t="str">
        <f t="shared" si="109"/>
        <v>Middle-Aged</v>
      </c>
      <c r="T2313" t="str">
        <f t="shared" si="110"/>
        <v>Medium</v>
      </c>
      <c r="U2313" t="str">
        <f t="shared" si="111"/>
        <v>Short Days</v>
      </c>
    </row>
    <row r="2314" spans="1:21">
      <c r="A2314" t="s">
        <v>2330</v>
      </c>
      <c r="B2314" s="5">
        <v>45363</v>
      </c>
      <c r="C2314" t="s">
        <v>3155</v>
      </c>
      <c r="D2314" t="s">
        <v>4727</v>
      </c>
      <c r="E2314" t="s">
        <v>4866</v>
      </c>
      <c r="F2314">
        <v>29</v>
      </c>
      <c r="G2314" t="s">
        <v>4869</v>
      </c>
      <c r="H2314" t="s">
        <v>4884</v>
      </c>
      <c r="I2314" t="s">
        <v>4900</v>
      </c>
      <c r="J2314" t="s">
        <v>4913</v>
      </c>
      <c r="K2314" t="s">
        <v>4933</v>
      </c>
      <c r="L2314" t="s">
        <v>4934</v>
      </c>
      <c r="M2314" t="s">
        <v>4942</v>
      </c>
      <c r="N2314" s="11">
        <v>9140.4500000000007</v>
      </c>
      <c r="O2314" t="s">
        <v>15</v>
      </c>
      <c r="P2314" t="s">
        <v>4952</v>
      </c>
      <c r="R2314">
        <v>90</v>
      </c>
      <c r="S2314" t="str">
        <f t="shared" si="109"/>
        <v>Adult</v>
      </c>
      <c r="T2314" t="str">
        <f t="shared" si="110"/>
        <v>Medium</v>
      </c>
      <c r="U2314" t="str">
        <f t="shared" si="111"/>
        <v>Short Days</v>
      </c>
    </row>
    <row r="2315" spans="1:21">
      <c r="A2315" t="s">
        <v>2331</v>
      </c>
      <c r="B2315" s="5">
        <v>45394</v>
      </c>
      <c r="C2315" t="s">
        <v>4384</v>
      </c>
      <c r="D2315" t="s">
        <v>4650</v>
      </c>
      <c r="E2315" t="s">
        <v>4866</v>
      </c>
      <c r="F2315">
        <v>43</v>
      </c>
      <c r="G2315" t="s">
        <v>4871</v>
      </c>
      <c r="H2315" t="s">
        <v>4886</v>
      </c>
      <c r="I2315" t="s">
        <v>4900</v>
      </c>
      <c r="J2315" t="s">
        <v>4913</v>
      </c>
      <c r="K2315" t="s">
        <v>4931</v>
      </c>
      <c r="L2315" t="s">
        <v>4936</v>
      </c>
      <c r="M2315" t="s">
        <v>4944</v>
      </c>
      <c r="N2315" s="11">
        <v>6255.06</v>
      </c>
      <c r="O2315" t="s">
        <v>15</v>
      </c>
      <c r="P2315" t="s">
        <v>4952</v>
      </c>
      <c r="S2315" t="str">
        <f t="shared" si="109"/>
        <v>Middle-Aged</v>
      </c>
      <c r="T2315" t="str">
        <f t="shared" si="110"/>
        <v>Medium</v>
      </c>
      <c r="U2315" t="str">
        <f t="shared" si="111"/>
        <v>Short Days</v>
      </c>
    </row>
    <row r="2316" spans="1:21">
      <c r="A2316" t="s">
        <v>2332</v>
      </c>
      <c r="B2316" s="5">
        <v>45669</v>
      </c>
      <c r="C2316" t="s">
        <v>3713</v>
      </c>
      <c r="D2316" t="s">
        <v>4651</v>
      </c>
      <c r="E2316" t="s">
        <v>4866</v>
      </c>
      <c r="F2316">
        <v>8</v>
      </c>
      <c r="G2316" t="s">
        <v>4869</v>
      </c>
      <c r="H2316" t="s">
        <v>4884</v>
      </c>
      <c r="I2316" t="s">
        <v>4900</v>
      </c>
      <c r="J2316" t="s">
        <v>4919</v>
      </c>
      <c r="K2316" t="s">
        <v>4930</v>
      </c>
      <c r="L2316" t="s">
        <v>4936</v>
      </c>
      <c r="M2316" t="s">
        <v>4942</v>
      </c>
      <c r="N2316" s="11">
        <v>2828.69</v>
      </c>
      <c r="O2316" t="s">
        <v>4946</v>
      </c>
      <c r="P2316" t="s">
        <v>4951</v>
      </c>
      <c r="S2316" t="str">
        <f t="shared" si="109"/>
        <v>Child</v>
      </c>
      <c r="T2316" t="str">
        <f t="shared" si="110"/>
        <v>Low</v>
      </c>
      <c r="U2316" t="str">
        <f t="shared" si="111"/>
        <v>Short Days</v>
      </c>
    </row>
    <row r="2317" spans="1:21">
      <c r="A2317" t="s">
        <v>2333</v>
      </c>
      <c r="B2317" s="5">
        <v>45512</v>
      </c>
      <c r="C2317" t="s">
        <v>4385</v>
      </c>
      <c r="D2317" t="s">
        <v>4630</v>
      </c>
      <c r="E2317" t="s">
        <v>4866</v>
      </c>
      <c r="F2317">
        <v>74</v>
      </c>
      <c r="G2317" t="s">
        <v>4870</v>
      </c>
      <c r="H2317" t="s">
        <v>4885</v>
      </c>
      <c r="I2317" t="s">
        <v>4894</v>
      </c>
      <c r="J2317" t="s">
        <v>4904</v>
      </c>
      <c r="K2317" t="s">
        <v>4933</v>
      </c>
      <c r="L2317" t="s">
        <v>4939</v>
      </c>
      <c r="M2317" t="s">
        <v>4944</v>
      </c>
      <c r="N2317" s="11">
        <v>5782.43</v>
      </c>
      <c r="O2317" t="s">
        <v>4947</v>
      </c>
      <c r="P2317" t="s">
        <v>4951</v>
      </c>
      <c r="R2317">
        <v>90</v>
      </c>
      <c r="S2317" t="str">
        <f t="shared" si="109"/>
        <v>Senior</v>
      </c>
      <c r="T2317" t="str">
        <f t="shared" si="110"/>
        <v>Medium</v>
      </c>
      <c r="U2317" t="str">
        <f t="shared" si="111"/>
        <v>Short Days</v>
      </c>
    </row>
    <row r="2318" spans="1:21">
      <c r="A2318" t="s">
        <v>2334</v>
      </c>
      <c r="B2318" s="5">
        <v>45338</v>
      </c>
      <c r="C2318" t="s">
        <v>4386</v>
      </c>
      <c r="D2318" t="s">
        <v>4721</v>
      </c>
      <c r="E2318" t="s">
        <v>4867</v>
      </c>
      <c r="F2318">
        <v>55</v>
      </c>
      <c r="G2318" t="s">
        <v>4883</v>
      </c>
      <c r="H2318" t="s">
        <v>4892</v>
      </c>
      <c r="I2318" t="s">
        <v>4899</v>
      </c>
      <c r="J2318" t="s">
        <v>4911</v>
      </c>
      <c r="K2318" t="s">
        <v>4933</v>
      </c>
      <c r="L2318" t="s">
        <v>4937</v>
      </c>
      <c r="M2318" t="s">
        <v>4944</v>
      </c>
      <c r="N2318" s="11">
        <v>6263.31</v>
      </c>
      <c r="O2318" t="s">
        <v>4946</v>
      </c>
      <c r="P2318" t="s">
        <v>4951</v>
      </c>
      <c r="S2318" t="str">
        <f t="shared" si="109"/>
        <v>Middle-Aged</v>
      </c>
      <c r="T2318" t="str">
        <f t="shared" si="110"/>
        <v>Medium</v>
      </c>
      <c r="U2318" t="str">
        <f t="shared" si="111"/>
        <v>Short Days</v>
      </c>
    </row>
    <row r="2319" spans="1:21">
      <c r="A2319" t="s">
        <v>2335</v>
      </c>
      <c r="B2319" s="5">
        <v>45519</v>
      </c>
      <c r="C2319" t="s">
        <v>3655</v>
      </c>
      <c r="D2319" t="s">
        <v>4831</v>
      </c>
      <c r="E2319" t="s">
        <v>4866</v>
      </c>
      <c r="F2319">
        <v>27</v>
      </c>
      <c r="G2319" t="s">
        <v>4873</v>
      </c>
      <c r="H2319" t="s">
        <v>4888</v>
      </c>
      <c r="I2319" t="s">
        <v>4900</v>
      </c>
      <c r="J2319" t="s">
        <v>4913</v>
      </c>
      <c r="K2319" t="s">
        <v>4927</v>
      </c>
      <c r="L2319" t="s">
        <v>4939</v>
      </c>
      <c r="M2319" t="s">
        <v>4942</v>
      </c>
      <c r="N2319" s="11">
        <v>7072.76</v>
      </c>
      <c r="O2319" t="s">
        <v>4946</v>
      </c>
      <c r="P2319" t="s">
        <v>4951</v>
      </c>
      <c r="R2319">
        <v>30</v>
      </c>
      <c r="S2319" t="str">
        <f t="shared" si="109"/>
        <v>Adult</v>
      </c>
      <c r="T2319" t="str">
        <f t="shared" si="110"/>
        <v>Medium</v>
      </c>
      <c r="U2319" t="str">
        <f t="shared" si="111"/>
        <v>Short Days</v>
      </c>
    </row>
    <row r="2320" spans="1:21">
      <c r="A2320" t="s">
        <v>2336</v>
      </c>
      <c r="B2320" s="5">
        <v>45407</v>
      </c>
      <c r="C2320" t="s">
        <v>4387</v>
      </c>
      <c r="D2320" t="s">
        <v>4804</v>
      </c>
      <c r="E2320" t="s">
        <v>4866</v>
      </c>
      <c r="F2320">
        <v>31</v>
      </c>
      <c r="G2320" t="s">
        <v>4874</v>
      </c>
      <c r="H2320" t="s">
        <v>4886</v>
      </c>
      <c r="I2320" t="s">
        <v>4897</v>
      </c>
      <c r="J2320" t="s">
        <v>4922</v>
      </c>
      <c r="K2320" t="s">
        <v>4924</v>
      </c>
      <c r="L2320" t="s">
        <v>4936</v>
      </c>
      <c r="M2320" t="s">
        <v>4942</v>
      </c>
      <c r="N2320" s="11">
        <v>2010.73</v>
      </c>
      <c r="O2320" t="s">
        <v>4947</v>
      </c>
      <c r="P2320" t="s">
        <v>4951</v>
      </c>
      <c r="R2320">
        <v>90</v>
      </c>
      <c r="S2320" t="str">
        <f t="shared" si="109"/>
        <v>Adult</v>
      </c>
      <c r="T2320" t="str">
        <f t="shared" si="110"/>
        <v>Low</v>
      </c>
      <c r="U2320" t="str">
        <f t="shared" si="111"/>
        <v>Short Days</v>
      </c>
    </row>
    <row r="2321" spans="1:21">
      <c r="A2321" t="s">
        <v>2337</v>
      </c>
      <c r="B2321" s="5">
        <v>45860</v>
      </c>
      <c r="C2321" t="s">
        <v>3734</v>
      </c>
      <c r="D2321" t="s">
        <v>4715</v>
      </c>
      <c r="E2321" t="s">
        <v>4866</v>
      </c>
      <c r="F2321">
        <v>12</v>
      </c>
      <c r="G2321" t="s">
        <v>4873</v>
      </c>
      <c r="H2321" t="s">
        <v>4888</v>
      </c>
      <c r="I2321" t="s">
        <v>4894</v>
      </c>
      <c r="J2321" t="s">
        <v>4904</v>
      </c>
      <c r="K2321" t="s">
        <v>4924</v>
      </c>
      <c r="L2321" t="s">
        <v>4936</v>
      </c>
      <c r="M2321" t="s">
        <v>4942</v>
      </c>
      <c r="N2321" s="11">
        <v>3698.22</v>
      </c>
      <c r="O2321" t="s">
        <v>15</v>
      </c>
      <c r="P2321" t="s">
        <v>4952</v>
      </c>
      <c r="R2321">
        <v>7</v>
      </c>
      <c r="S2321" t="str">
        <f t="shared" si="109"/>
        <v>Child</v>
      </c>
      <c r="T2321" t="str">
        <f t="shared" si="110"/>
        <v>Low</v>
      </c>
      <c r="U2321" t="str">
        <f t="shared" si="111"/>
        <v>Short Days</v>
      </c>
    </row>
    <row r="2322" spans="1:21">
      <c r="A2322" t="s">
        <v>2338</v>
      </c>
      <c r="B2322" s="5">
        <v>45859</v>
      </c>
      <c r="C2322" t="s">
        <v>3880</v>
      </c>
      <c r="D2322" t="s">
        <v>4681</v>
      </c>
      <c r="E2322" t="s">
        <v>4866</v>
      </c>
      <c r="F2322">
        <v>8</v>
      </c>
      <c r="G2322" t="s">
        <v>4880</v>
      </c>
      <c r="H2322" t="s">
        <v>4890</v>
      </c>
      <c r="I2322" t="s">
        <v>4899</v>
      </c>
      <c r="J2322" t="s">
        <v>4911</v>
      </c>
      <c r="K2322" t="s">
        <v>4927</v>
      </c>
      <c r="L2322" t="s">
        <v>4938</v>
      </c>
      <c r="M2322" t="s">
        <v>4942</v>
      </c>
      <c r="N2322" s="11">
        <v>4960.6899999999996</v>
      </c>
      <c r="O2322" t="s">
        <v>15</v>
      </c>
      <c r="P2322" t="s">
        <v>4952</v>
      </c>
      <c r="R2322">
        <v>7</v>
      </c>
      <c r="S2322" t="str">
        <f t="shared" si="109"/>
        <v>Child</v>
      </c>
      <c r="T2322" t="str">
        <f t="shared" si="110"/>
        <v>Low</v>
      </c>
      <c r="U2322" t="str">
        <f t="shared" si="111"/>
        <v>Short Days</v>
      </c>
    </row>
    <row r="2323" spans="1:21">
      <c r="A2323" t="s">
        <v>2339</v>
      </c>
      <c r="B2323" s="5">
        <v>45526</v>
      </c>
      <c r="C2323" t="s">
        <v>3635</v>
      </c>
      <c r="D2323" t="s">
        <v>4815</v>
      </c>
      <c r="E2323" t="s">
        <v>4867</v>
      </c>
      <c r="F2323">
        <v>17</v>
      </c>
      <c r="G2323" t="s">
        <v>4881</v>
      </c>
      <c r="H2323" t="s">
        <v>4881</v>
      </c>
      <c r="I2323" t="s">
        <v>4895</v>
      </c>
      <c r="J2323" t="s">
        <v>4915</v>
      </c>
      <c r="K2323" t="s">
        <v>4930</v>
      </c>
      <c r="L2323" t="s">
        <v>4936</v>
      </c>
      <c r="M2323" t="s">
        <v>4944</v>
      </c>
      <c r="N2323" s="11">
        <v>7521.57</v>
      </c>
      <c r="O2323" t="s">
        <v>4950</v>
      </c>
      <c r="P2323" t="s">
        <v>4951</v>
      </c>
      <c r="R2323">
        <v>7</v>
      </c>
      <c r="S2323" t="str">
        <f t="shared" si="109"/>
        <v>Child</v>
      </c>
      <c r="T2323" t="str">
        <f t="shared" si="110"/>
        <v>Medium</v>
      </c>
      <c r="U2323" t="str">
        <f t="shared" si="111"/>
        <v>Short Days</v>
      </c>
    </row>
    <row r="2324" spans="1:21">
      <c r="A2324" t="s">
        <v>2340</v>
      </c>
      <c r="B2324" s="5">
        <v>45576</v>
      </c>
      <c r="C2324" t="s">
        <v>4388</v>
      </c>
      <c r="D2324" t="s">
        <v>4692</v>
      </c>
      <c r="E2324" t="s">
        <v>4867</v>
      </c>
      <c r="F2324">
        <v>23</v>
      </c>
      <c r="G2324" t="s">
        <v>4874</v>
      </c>
      <c r="H2324" t="s">
        <v>4886</v>
      </c>
      <c r="I2324" t="s">
        <v>4897</v>
      </c>
      <c r="J2324" t="s">
        <v>4907</v>
      </c>
      <c r="K2324" t="s">
        <v>4931</v>
      </c>
      <c r="L2324" t="s">
        <v>4937</v>
      </c>
      <c r="M2324" t="s">
        <v>4944</v>
      </c>
      <c r="N2324" s="11">
        <v>13080.8</v>
      </c>
      <c r="O2324" t="s">
        <v>4946</v>
      </c>
      <c r="P2324" t="s">
        <v>4951</v>
      </c>
      <c r="R2324">
        <v>7</v>
      </c>
      <c r="S2324" t="str">
        <f t="shared" si="109"/>
        <v>Adult</v>
      </c>
      <c r="T2324" t="str">
        <f t="shared" si="110"/>
        <v>High</v>
      </c>
      <c r="U2324" t="str">
        <f t="shared" si="111"/>
        <v>Short Days</v>
      </c>
    </row>
    <row r="2325" spans="1:21">
      <c r="A2325" t="s">
        <v>2341</v>
      </c>
      <c r="B2325" s="5">
        <v>45483</v>
      </c>
      <c r="C2325" t="s">
        <v>4093</v>
      </c>
      <c r="D2325" t="s">
        <v>4627</v>
      </c>
      <c r="E2325" t="s">
        <v>4867</v>
      </c>
      <c r="F2325">
        <v>45</v>
      </c>
      <c r="G2325" t="s">
        <v>4882</v>
      </c>
      <c r="H2325" t="s">
        <v>4891</v>
      </c>
      <c r="I2325" t="s">
        <v>4901</v>
      </c>
      <c r="J2325" t="s">
        <v>4921</v>
      </c>
      <c r="K2325" t="s">
        <v>4933</v>
      </c>
      <c r="L2325" t="s">
        <v>4935</v>
      </c>
      <c r="M2325" t="s">
        <v>4942</v>
      </c>
      <c r="N2325" s="11">
        <v>3508.93</v>
      </c>
      <c r="O2325" t="s">
        <v>15</v>
      </c>
      <c r="P2325" t="s">
        <v>4952</v>
      </c>
      <c r="S2325" t="str">
        <f t="shared" si="109"/>
        <v>Middle-Aged</v>
      </c>
      <c r="T2325" t="str">
        <f t="shared" si="110"/>
        <v>Low</v>
      </c>
      <c r="U2325" t="str">
        <f t="shared" si="111"/>
        <v>Short Days</v>
      </c>
    </row>
    <row r="2326" spans="1:21">
      <c r="A2326" t="s">
        <v>2342</v>
      </c>
      <c r="B2326" s="5">
        <v>45433</v>
      </c>
      <c r="C2326" t="s">
        <v>4389</v>
      </c>
      <c r="D2326" t="s">
        <v>4680</v>
      </c>
      <c r="E2326" t="s">
        <v>4866</v>
      </c>
      <c r="F2326">
        <v>74</v>
      </c>
      <c r="G2326" t="s">
        <v>4872</v>
      </c>
      <c r="H2326" t="s">
        <v>4887</v>
      </c>
      <c r="I2326" t="s">
        <v>4899</v>
      </c>
      <c r="J2326" t="s">
        <v>4911</v>
      </c>
      <c r="K2326" t="s">
        <v>4924</v>
      </c>
      <c r="L2326" t="s">
        <v>4934</v>
      </c>
      <c r="M2326" t="s">
        <v>4942</v>
      </c>
      <c r="N2326" s="11">
        <v>507.96</v>
      </c>
      <c r="O2326" t="s">
        <v>4948</v>
      </c>
      <c r="P2326" t="s">
        <v>4951</v>
      </c>
      <c r="R2326">
        <v>7</v>
      </c>
      <c r="S2326" t="str">
        <f t="shared" si="109"/>
        <v>Senior</v>
      </c>
      <c r="T2326" t="str">
        <f t="shared" si="110"/>
        <v>Low</v>
      </c>
      <c r="U2326" t="str">
        <f t="shared" si="111"/>
        <v>Short Days</v>
      </c>
    </row>
    <row r="2327" spans="1:21">
      <c r="A2327" t="s">
        <v>2343</v>
      </c>
      <c r="B2327" s="5">
        <v>45307</v>
      </c>
      <c r="C2327" t="s">
        <v>4390</v>
      </c>
      <c r="D2327" t="s">
        <v>4849</v>
      </c>
      <c r="E2327" t="s">
        <v>4866</v>
      </c>
      <c r="F2327">
        <v>44</v>
      </c>
      <c r="G2327" t="s">
        <v>4881</v>
      </c>
      <c r="H2327" t="s">
        <v>4881</v>
      </c>
      <c r="I2327" t="s">
        <v>4898</v>
      </c>
      <c r="J2327" t="s">
        <v>4923</v>
      </c>
      <c r="K2327" t="s">
        <v>4924</v>
      </c>
      <c r="L2327" t="s">
        <v>4941</v>
      </c>
      <c r="M2327" t="s">
        <v>4942</v>
      </c>
      <c r="N2327" s="11">
        <v>741.81</v>
      </c>
      <c r="O2327" t="s">
        <v>15</v>
      </c>
      <c r="P2327" t="s">
        <v>4952</v>
      </c>
      <c r="R2327">
        <v>30</v>
      </c>
      <c r="S2327" t="str">
        <f t="shared" si="109"/>
        <v>Middle-Aged</v>
      </c>
      <c r="T2327" t="str">
        <f t="shared" si="110"/>
        <v>Low</v>
      </c>
      <c r="U2327" t="str">
        <f t="shared" si="111"/>
        <v>Short Days</v>
      </c>
    </row>
    <row r="2328" spans="1:21">
      <c r="A2328" t="s">
        <v>2344</v>
      </c>
      <c r="B2328" s="5">
        <v>45640</v>
      </c>
      <c r="C2328" t="s">
        <v>4146</v>
      </c>
      <c r="D2328" t="s">
        <v>4648</v>
      </c>
      <c r="E2328" t="s">
        <v>4867</v>
      </c>
      <c r="F2328">
        <v>46</v>
      </c>
      <c r="G2328" t="s">
        <v>4882</v>
      </c>
      <c r="H2328" t="s">
        <v>4891</v>
      </c>
      <c r="I2328" t="s">
        <v>4893</v>
      </c>
      <c r="J2328" t="s">
        <v>4917</v>
      </c>
      <c r="K2328" t="s">
        <v>4953</v>
      </c>
      <c r="L2328" t="s">
        <v>4935</v>
      </c>
      <c r="M2328" t="s">
        <v>4942</v>
      </c>
      <c r="N2328" s="11">
        <v>7710.1</v>
      </c>
      <c r="O2328" t="s">
        <v>15</v>
      </c>
      <c r="P2328" t="s">
        <v>4952</v>
      </c>
      <c r="R2328">
        <v>90</v>
      </c>
      <c r="S2328" t="str">
        <f t="shared" si="109"/>
        <v>Middle-Aged</v>
      </c>
      <c r="T2328" t="str">
        <f t="shared" si="110"/>
        <v>Medium</v>
      </c>
      <c r="U2328" t="str">
        <f t="shared" si="111"/>
        <v>Short Days</v>
      </c>
    </row>
    <row r="2329" spans="1:21">
      <c r="A2329" t="s">
        <v>2345</v>
      </c>
      <c r="B2329" s="5">
        <v>45460</v>
      </c>
      <c r="C2329" t="s">
        <v>4391</v>
      </c>
      <c r="D2329" t="s">
        <v>4590</v>
      </c>
      <c r="E2329" t="s">
        <v>4867</v>
      </c>
      <c r="F2329">
        <v>43</v>
      </c>
      <c r="G2329" t="s">
        <v>4872</v>
      </c>
      <c r="H2329" t="s">
        <v>4887</v>
      </c>
      <c r="I2329" t="s">
        <v>4896</v>
      </c>
      <c r="J2329" t="s">
        <v>4906</v>
      </c>
      <c r="K2329" t="s">
        <v>4925</v>
      </c>
      <c r="L2329" t="s">
        <v>4936</v>
      </c>
      <c r="M2329" t="s">
        <v>4944</v>
      </c>
      <c r="N2329" s="11">
        <v>7601.46</v>
      </c>
      <c r="O2329" t="s">
        <v>15</v>
      </c>
      <c r="P2329" t="s">
        <v>4952</v>
      </c>
      <c r="S2329" t="str">
        <f t="shared" si="109"/>
        <v>Middle-Aged</v>
      </c>
      <c r="T2329" t="str">
        <f t="shared" si="110"/>
        <v>Medium</v>
      </c>
      <c r="U2329" t="str">
        <f t="shared" si="111"/>
        <v>Short Days</v>
      </c>
    </row>
    <row r="2330" spans="1:21">
      <c r="A2330" t="s">
        <v>2346</v>
      </c>
      <c r="B2330" s="5">
        <v>45522</v>
      </c>
      <c r="C2330" t="s">
        <v>4016</v>
      </c>
      <c r="D2330" t="s">
        <v>4827</v>
      </c>
      <c r="E2330" t="s">
        <v>4867</v>
      </c>
      <c r="F2330">
        <v>30</v>
      </c>
      <c r="G2330" t="s">
        <v>4873</v>
      </c>
      <c r="H2330" t="s">
        <v>4888</v>
      </c>
      <c r="I2330" t="s">
        <v>4898</v>
      </c>
      <c r="J2330" t="s">
        <v>4909</v>
      </c>
      <c r="K2330" t="s">
        <v>4931</v>
      </c>
      <c r="L2330" t="s">
        <v>4936</v>
      </c>
      <c r="M2330" t="s">
        <v>4944</v>
      </c>
      <c r="N2330" s="11">
        <v>6322.95</v>
      </c>
      <c r="O2330" t="s">
        <v>4950</v>
      </c>
      <c r="P2330" t="s">
        <v>4951</v>
      </c>
      <c r="R2330">
        <v>90</v>
      </c>
      <c r="S2330" t="str">
        <f t="shared" si="109"/>
        <v>Adult</v>
      </c>
      <c r="T2330" t="str">
        <f t="shared" si="110"/>
        <v>Medium</v>
      </c>
      <c r="U2330" t="str">
        <f t="shared" si="111"/>
        <v>Short Days</v>
      </c>
    </row>
    <row r="2331" spans="1:21">
      <c r="A2331" t="s">
        <v>2347</v>
      </c>
      <c r="B2331" s="5">
        <v>45422</v>
      </c>
      <c r="C2331" t="s">
        <v>3424</v>
      </c>
      <c r="D2331" t="s">
        <v>4714</v>
      </c>
      <c r="E2331" t="s">
        <v>4866</v>
      </c>
      <c r="F2331">
        <v>47</v>
      </c>
      <c r="G2331" t="s">
        <v>4873</v>
      </c>
      <c r="H2331" t="s">
        <v>4888</v>
      </c>
      <c r="I2331" t="s">
        <v>4897</v>
      </c>
      <c r="J2331" t="s">
        <v>4922</v>
      </c>
      <c r="K2331" t="s">
        <v>4926</v>
      </c>
      <c r="L2331" t="s">
        <v>4937</v>
      </c>
      <c r="M2331" t="s">
        <v>4944</v>
      </c>
      <c r="N2331" s="11">
        <v>7259.45</v>
      </c>
      <c r="O2331" t="s">
        <v>4946</v>
      </c>
      <c r="P2331" t="s">
        <v>4951</v>
      </c>
      <c r="S2331" t="str">
        <f t="shared" si="109"/>
        <v>Middle-Aged</v>
      </c>
      <c r="T2331" t="str">
        <f t="shared" si="110"/>
        <v>Medium</v>
      </c>
      <c r="U2331" t="str">
        <f t="shared" si="111"/>
        <v>Short Days</v>
      </c>
    </row>
    <row r="2332" spans="1:21">
      <c r="A2332" t="s">
        <v>2348</v>
      </c>
      <c r="B2332" s="5">
        <v>45717</v>
      </c>
      <c r="C2332" t="s">
        <v>4392</v>
      </c>
      <c r="D2332" t="s">
        <v>4646</v>
      </c>
      <c r="E2332" t="s">
        <v>4866</v>
      </c>
      <c r="F2332">
        <v>53</v>
      </c>
      <c r="G2332" t="s">
        <v>4877</v>
      </c>
      <c r="H2332" t="s">
        <v>4888</v>
      </c>
      <c r="I2332" t="s">
        <v>4899</v>
      </c>
      <c r="J2332" t="s">
        <v>4912</v>
      </c>
      <c r="K2332" t="s">
        <v>4930</v>
      </c>
      <c r="L2332" t="s">
        <v>4940</v>
      </c>
      <c r="M2332" t="s">
        <v>4944</v>
      </c>
      <c r="N2332" s="11">
        <v>10643.2</v>
      </c>
      <c r="O2332" t="s">
        <v>4946</v>
      </c>
      <c r="P2332" t="s">
        <v>4951</v>
      </c>
      <c r="R2332">
        <v>7</v>
      </c>
      <c r="S2332" t="str">
        <f t="shared" si="109"/>
        <v>Middle-Aged</v>
      </c>
      <c r="T2332" t="str">
        <f t="shared" si="110"/>
        <v>High</v>
      </c>
      <c r="U2332" t="str">
        <f t="shared" si="111"/>
        <v>Short Days</v>
      </c>
    </row>
    <row r="2333" spans="1:21">
      <c r="A2333" t="s">
        <v>2349</v>
      </c>
      <c r="B2333" s="5">
        <v>45763</v>
      </c>
      <c r="C2333" t="s">
        <v>3442</v>
      </c>
      <c r="D2333" t="s">
        <v>4587</v>
      </c>
      <c r="E2333" t="s">
        <v>4866</v>
      </c>
      <c r="F2333">
        <v>56</v>
      </c>
      <c r="G2333" t="s">
        <v>4879</v>
      </c>
      <c r="H2333" t="s">
        <v>4888</v>
      </c>
      <c r="I2333" t="s">
        <v>4898</v>
      </c>
      <c r="J2333" t="s">
        <v>4923</v>
      </c>
      <c r="K2333" t="s">
        <v>4929</v>
      </c>
      <c r="L2333" t="s">
        <v>4936</v>
      </c>
      <c r="M2333" t="s">
        <v>4944</v>
      </c>
      <c r="N2333" s="11">
        <v>6115.4</v>
      </c>
      <c r="O2333" t="s">
        <v>4948</v>
      </c>
      <c r="P2333" t="s">
        <v>4951</v>
      </c>
      <c r="R2333">
        <v>90</v>
      </c>
      <c r="S2333" t="str">
        <f t="shared" si="109"/>
        <v>Middle-Aged</v>
      </c>
      <c r="T2333" t="str">
        <f t="shared" si="110"/>
        <v>Medium</v>
      </c>
      <c r="U2333" t="str">
        <f t="shared" si="111"/>
        <v>Short Days</v>
      </c>
    </row>
    <row r="2334" spans="1:21">
      <c r="A2334" t="s">
        <v>2350</v>
      </c>
      <c r="B2334" s="5">
        <v>45883</v>
      </c>
      <c r="C2334" t="s">
        <v>3985</v>
      </c>
      <c r="D2334" t="s">
        <v>4760</v>
      </c>
      <c r="E2334" t="s">
        <v>4866</v>
      </c>
      <c r="F2334">
        <v>64</v>
      </c>
      <c r="G2334" t="s">
        <v>4873</v>
      </c>
      <c r="H2334" t="s">
        <v>4888</v>
      </c>
      <c r="I2334" t="s">
        <v>4895</v>
      </c>
      <c r="J2334" t="s">
        <v>4915</v>
      </c>
      <c r="K2334" t="s">
        <v>4931</v>
      </c>
      <c r="L2334" t="s">
        <v>4938</v>
      </c>
      <c r="M2334" t="s">
        <v>4942</v>
      </c>
      <c r="N2334" s="11">
        <v>1584.82</v>
      </c>
      <c r="O2334" t="s">
        <v>4950</v>
      </c>
      <c r="P2334" t="s">
        <v>4951</v>
      </c>
      <c r="R2334">
        <v>7</v>
      </c>
      <c r="S2334" t="str">
        <f t="shared" si="109"/>
        <v>Senior</v>
      </c>
      <c r="T2334" t="str">
        <f t="shared" si="110"/>
        <v>Low</v>
      </c>
      <c r="U2334" t="str">
        <f t="shared" si="111"/>
        <v>Short Days</v>
      </c>
    </row>
    <row r="2335" spans="1:21">
      <c r="A2335" t="s">
        <v>2351</v>
      </c>
      <c r="B2335" s="5">
        <v>45435</v>
      </c>
      <c r="C2335" t="s">
        <v>4393</v>
      </c>
      <c r="D2335" t="s">
        <v>4596</v>
      </c>
      <c r="E2335" t="s">
        <v>4866</v>
      </c>
      <c r="F2335">
        <v>65</v>
      </c>
      <c r="G2335" t="s">
        <v>4876</v>
      </c>
      <c r="H2335" t="s">
        <v>4888</v>
      </c>
      <c r="I2335" t="s">
        <v>4897</v>
      </c>
      <c r="J2335" t="s">
        <v>4922</v>
      </c>
      <c r="K2335" t="s">
        <v>4927</v>
      </c>
      <c r="L2335" t="s">
        <v>4935</v>
      </c>
      <c r="M2335" t="s">
        <v>4944</v>
      </c>
      <c r="N2335" s="11">
        <v>10511.61</v>
      </c>
      <c r="O2335" t="s">
        <v>4947</v>
      </c>
      <c r="P2335" t="s">
        <v>4951</v>
      </c>
      <c r="R2335">
        <v>7</v>
      </c>
      <c r="S2335" t="str">
        <f t="shared" si="109"/>
        <v>Senior</v>
      </c>
      <c r="T2335" t="str">
        <f t="shared" si="110"/>
        <v>High</v>
      </c>
      <c r="U2335" t="str">
        <f t="shared" si="111"/>
        <v>Short Days</v>
      </c>
    </row>
    <row r="2336" spans="1:21">
      <c r="A2336" t="s">
        <v>2352</v>
      </c>
      <c r="B2336" s="5">
        <v>45944</v>
      </c>
      <c r="C2336" t="s">
        <v>3069</v>
      </c>
      <c r="D2336" t="s">
        <v>4766</v>
      </c>
      <c r="E2336" t="s">
        <v>4866</v>
      </c>
      <c r="F2336">
        <v>67</v>
      </c>
      <c r="G2336" t="s">
        <v>4878</v>
      </c>
      <c r="H2336" t="s">
        <v>4889</v>
      </c>
      <c r="I2336" t="s">
        <v>4896</v>
      </c>
      <c r="J2336" t="s">
        <v>4908</v>
      </c>
      <c r="K2336" t="s">
        <v>4927</v>
      </c>
      <c r="L2336" t="s">
        <v>4938</v>
      </c>
      <c r="M2336" t="s">
        <v>4942</v>
      </c>
      <c r="N2336" s="11">
        <v>1657.89</v>
      </c>
      <c r="O2336" t="s">
        <v>4947</v>
      </c>
      <c r="P2336" t="s">
        <v>4951</v>
      </c>
      <c r="R2336">
        <v>7</v>
      </c>
      <c r="S2336" t="str">
        <f t="shared" si="109"/>
        <v>Senior</v>
      </c>
      <c r="T2336" t="str">
        <f t="shared" si="110"/>
        <v>Low</v>
      </c>
      <c r="U2336" t="str">
        <f t="shared" si="111"/>
        <v>Short Days</v>
      </c>
    </row>
    <row r="2337" spans="1:21">
      <c r="A2337" t="s">
        <v>2353</v>
      </c>
      <c r="B2337" s="5">
        <v>45643</v>
      </c>
      <c r="C2337" t="s">
        <v>4394</v>
      </c>
      <c r="D2337" t="s">
        <v>4594</v>
      </c>
      <c r="E2337" t="s">
        <v>4867</v>
      </c>
      <c r="F2337">
        <v>69</v>
      </c>
      <c r="G2337" t="s">
        <v>4873</v>
      </c>
      <c r="H2337" t="s">
        <v>4888</v>
      </c>
      <c r="I2337" t="s">
        <v>4900</v>
      </c>
      <c r="J2337" t="s">
        <v>4913</v>
      </c>
      <c r="K2337" t="s">
        <v>4927</v>
      </c>
      <c r="L2337" t="s">
        <v>4935</v>
      </c>
      <c r="M2337" t="s">
        <v>4944</v>
      </c>
      <c r="N2337" s="11">
        <v>10773.21</v>
      </c>
      <c r="O2337" t="s">
        <v>4947</v>
      </c>
      <c r="P2337" t="s">
        <v>4951</v>
      </c>
      <c r="S2337" t="str">
        <f t="shared" si="109"/>
        <v>Senior</v>
      </c>
      <c r="T2337" t="str">
        <f t="shared" si="110"/>
        <v>High</v>
      </c>
      <c r="U2337" t="str">
        <f t="shared" si="111"/>
        <v>Short Days</v>
      </c>
    </row>
    <row r="2338" spans="1:21">
      <c r="A2338" t="s">
        <v>2354</v>
      </c>
      <c r="B2338" s="5">
        <v>45370</v>
      </c>
      <c r="C2338" t="s">
        <v>3172</v>
      </c>
      <c r="D2338" t="s">
        <v>4664</v>
      </c>
      <c r="E2338" t="s">
        <v>4866</v>
      </c>
      <c r="F2338">
        <v>40</v>
      </c>
      <c r="G2338" t="s">
        <v>4883</v>
      </c>
      <c r="H2338" t="s">
        <v>4892</v>
      </c>
      <c r="I2338" t="s">
        <v>4902</v>
      </c>
      <c r="J2338" t="s">
        <v>4916</v>
      </c>
      <c r="K2338" t="s">
        <v>4924</v>
      </c>
      <c r="L2338" t="s">
        <v>4934</v>
      </c>
      <c r="M2338" t="s">
        <v>4945</v>
      </c>
      <c r="N2338" s="11">
        <v>5727.17</v>
      </c>
      <c r="O2338" t="s">
        <v>15</v>
      </c>
      <c r="P2338" t="s">
        <v>4952</v>
      </c>
      <c r="Q2338">
        <v>4</v>
      </c>
      <c r="R2338">
        <v>30</v>
      </c>
      <c r="S2338" t="str">
        <f t="shared" si="109"/>
        <v>Adult</v>
      </c>
      <c r="T2338" t="str">
        <f t="shared" si="110"/>
        <v>Medium</v>
      </c>
      <c r="U2338" t="str">
        <f t="shared" si="111"/>
        <v>Short Days</v>
      </c>
    </row>
    <row r="2339" spans="1:21">
      <c r="A2339" t="s">
        <v>2355</v>
      </c>
      <c r="B2339" s="5">
        <v>45321</v>
      </c>
      <c r="C2339" t="s">
        <v>3085</v>
      </c>
      <c r="D2339" t="s">
        <v>4749</v>
      </c>
      <c r="E2339" t="s">
        <v>4866</v>
      </c>
      <c r="F2339">
        <v>39</v>
      </c>
      <c r="G2339" t="s">
        <v>4871</v>
      </c>
      <c r="H2339" t="s">
        <v>4886</v>
      </c>
      <c r="I2339" t="s">
        <v>4894</v>
      </c>
      <c r="J2339" t="s">
        <v>4910</v>
      </c>
      <c r="K2339" t="s">
        <v>4932</v>
      </c>
      <c r="L2339" t="s">
        <v>4935</v>
      </c>
      <c r="M2339" t="s">
        <v>4942</v>
      </c>
      <c r="N2339" s="11">
        <v>818.51</v>
      </c>
      <c r="O2339" t="s">
        <v>15</v>
      </c>
      <c r="P2339" t="s">
        <v>4952</v>
      </c>
      <c r="S2339" t="str">
        <f t="shared" si="109"/>
        <v>Adult</v>
      </c>
      <c r="T2339" t="str">
        <f t="shared" si="110"/>
        <v>Low</v>
      </c>
      <c r="U2339" t="str">
        <f t="shared" si="111"/>
        <v>Short Days</v>
      </c>
    </row>
    <row r="2340" spans="1:21">
      <c r="A2340" t="s">
        <v>2356</v>
      </c>
      <c r="B2340" s="5">
        <v>45614</v>
      </c>
      <c r="C2340" t="s">
        <v>3835</v>
      </c>
      <c r="D2340" t="s">
        <v>4614</v>
      </c>
      <c r="E2340" t="s">
        <v>4866</v>
      </c>
      <c r="F2340">
        <v>42</v>
      </c>
      <c r="G2340" t="s">
        <v>4874</v>
      </c>
      <c r="H2340" t="s">
        <v>4886</v>
      </c>
      <c r="I2340" t="s">
        <v>4900</v>
      </c>
      <c r="J2340" t="s">
        <v>4913</v>
      </c>
      <c r="K2340" t="s">
        <v>4933</v>
      </c>
      <c r="L2340" t="s">
        <v>4935</v>
      </c>
      <c r="M2340" t="s">
        <v>4944</v>
      </c>
      <c r="N2340" s="11">
        <v>12411.34</v>
      </c>
      <c r="O2340" t="s">
        <v>4947</v>
      </c>
      <c r="P2340" t="s">
        <v>4951</v>
      </c>
      <c r="R2340">
        <v>14</v>
      </c>
      <c r="S2340" t="str">
        <f t="shared" si="109"/>
        <v>Middle-Aged</v>
      </c>
      <c r="T2340" t="str">
        <f t="shared" si="110"/>
        <v>High</v>
      </c>
      <c r="U2340" t="str">
        <f t="shared" si="111"/>
        <v>Short Days</v>
      </c>
    </row>
    <row r="2341" spans="1:21">
      <c r="A2341" t="s">
        <v>2357</v>
      </c>
      <c r="B2341" s="5">
        <v>45702</v>
      </c>
      <c r="C2341" t="s">
        <v>3910</v>
      </c>
      <c r="D2341" t="s">
        <v>4856</v>
      </c>
      <c r="E2341" t="s">
        <v>4866</v>
      </c>
      <c r="F2341">
        <v>65</v>
      </c>
      <c r="G2341" t="s">
        <v>4875</v>
      </c>
      <c r="H2341" t="s">
        <v>4889</v>
      </c>
      <c r="I2341" t="s">
        <v>4894</v>
      </c>
      <c r="J2341" t="s">
        <v>4910</v>
      </c>
      <c r="K2341" t="s">
        <v>4932</v>
      </c>
      <c r="L2341" t="s">
        <v>4938</v>
      </c>
      <c r="M2341" t="s">
        <v>4942</v>
      </c>
      <c r="N2341" s="11">
        <v>4241.83</v>
      </c>
      <c r="O2341" t="s">
        <v>4946</v>
      </c>
      <c r="P2341" t="s">
        <v>4951</v>
      </c>
      <c r="R2341">
        <v>14</v>
      </c>
      <c r="S2341" t="str">
        <f t="shared" si="109"/>
        <v>Senior</v>
      </c>
      <c r="T2341" t="str">
        <f t="shared" si="110"/>
        <v>Low</v>
      </c>
      <c r="U2341" t="str">
        <f t="shared" si="111"/>
        <v>Short Days</v>
      </c>
    </row>
    <row r="2342" spans="1:21">
      <c r="A2342" t="s">
        <v>2358</v>
      </c>
      <c r="B2342" s="5">
        <v>45509</v>
      </c>
      <c r="C2342" t="s">
        <v>4395</v>
      </c>
      <c r="D2342" t="s">
        <v>4697</v>
      </c>
      <c r="E2342" t="s">
        <v>4866</v>
      </c>
      <c r="F2342">
        <v>34</v>
      </c>
      <c r="G2342" t="s">
        <v>4883</v>
      </c>
      <c r="H2342" t="s">
        <v>4892</v>
      </c>
      <c r="I2342" t="s">
        <v>4900</v>
      </c>
      <c r="J2342" t="s">
        <v>4913</v>
      </c>
      <c r="K2342" t="s">
        <v>4930</v>
      </c>
      <c r="L2342" t="s">
        <v>4941</v>
      </c>
      <c r="M2342" t="s">
        <v>4942</v>
      </c>
      <c r="N2342" s="11">
        <v>4703.1899999999996</v>
      </c>
      <c r="O2342" t="s">
        <v>15</v>
      </c>
      <c r="P2342" t="s">
        <v>4952</v>
      </c>
      <c r="R2342">
        <v>14</v>
      </c>
      <c r="S2342" t="str">
        <f t="shared" si="109"/>
        <v>Adult</v>
      </c>
      <c r="T2342" t="str">
        <f t="shared" si="110"/>
        <v>Low</v>
      </c>
      <c r="U2342" t="str">
        <f t="shared" si="111"/>
        <v>Short Days</v>
      </c>
    </row>
    <row r="2343" spans="1:21">
      <c r="A2343" t="s">
        <v>2359</v>
      </c>
      <c r="B2343" s="5">
        <v>45807</v>
      </c>
      <c r="C2343" t="s">
        <v>3058</v>
      </c>
      <c r="D2343" t="s">
        <v>4667</v>
      </c>
      <c r="E2343" t="s">
        <v>4866</v>
      </c>
      <c r="F2343">
        <v>66</v>
      </c>
      <c r="G2343" t="s">
        <v>4881</v>
      </c>
      <c r="H2343" t="s">
        <v>4881</v>
      </c>
      <c r="I2343" t="s">
        <v>4893</v>
      </c>
      <c r="J2343" t="s">
        <v>4903</v>
      </c>
      <c r="K2343" t="s">
        <v>4931</v>
      </c>
      <c r="L2343" t="s">
        <v>4941</v>
      </c>
      <c r="M2343" t="s">
        <v>4943</v>
      </c>
      <c r="N2343" s="11">
        <v>14271.61</v>
      </c>
      <c r="O2343" t="s">
        <v>4947</v>
      </c>
      <c r="P2343" t="s">
        <v>4951</v>
      </c>
      <c r="S2343" t="str">
        <f t="shared" si="109"/>
        <v>Senior</v>
      </c>
      <c r="T2343" t="str">
        <f t="shared" si="110"/>
        <v>High</v>
      </c>
      <c r="U2343" t="str">
        <f t="shared" si="111"/>
        <v>Short Days</v>
      </c>
    </row>
    <row r="2344" spans="1:21">
      <c r="A2344" t="s">
        <v>2360</v>
      </c>
      <c r="B2344" s="5">
        <v>45382</v>
      </c>
      <c r="C2344" t="s">
        <v>4396</v>
      </c>
      <c r="D2344" t="s">
        <v>4702</v>
      </c>
      <c r="E2344" t="s">
        <v>4866</v>
      </c>
      <c r="F2344">
        <v>52</v>
      </c>
      <c r="G2344" t="s">
        <v>4883</v>
      </c>
      <c r="H2344" t="s">
        <v>4892</v>
      </c>
      <c r="I2344" t="s">
        <v>4894</v>
      </c>
      <c r="J2344" t="s">
        <v>4910</v>
      </c>
      <c r="K2344" t="s">
        <v>4928</v>
      </c>
      <c r="L2344" t="s">
        <v>4939</v>
      </c>
      <c r="M2344" t="s">
        <v>4944</v>
      </c>
      <c r="N2344" s="11">
        <v>5361.72</v>
      </c>
      <c r="O2344" t="s">
        <v>4947</v>
      </c>
      <c r="P2344" t="s">
        <v>4951</v>
      </c>
      <c r="R2344">
        <v>30</v>
      </c>
      <c r="S2344" t="str">
        <f t="shared" si="109"/>
        <v>Middle-Aged</v>
      </c>
      <c r="T2344" t="str">
        <f t="shared" si="110"/>
        <v>Medium</v>
      </c>
      <c r="U2344" t="str">
        <f t="shared" si="111"/>
        <v>Short Days</v>
      </c>
    </row>
    <row r="2345" spans="1:21">
      <c r="A2345" t="s">
        <v>2361</v>
      </c>
      <c r="B2345" s="5">
        <v>45538</v>
      </c>
      <c r="C2345" t="s">
        <v>4397</v>
      </c>
      <c r="D2345" t="s">
        <v>4783</v>
      </c>
      <c r="E2345" t="s">
        <v>4867</v>
      </c>
      <c r="F2345">
        <v>42</v>
      </c>
      <c r="G2345" t="s">
        <v>4882</v>
      </c>
      <c r="H2345" t="s">
        <v>4891</v>
      </c>
      <c r="I2345" t="s">
        <v>4902</v>
      </c>
      <c r="J2345" t="s">
        <v>4920</v>
      </c>
      <c r="K2345" t="s">
        <v>4924</v>
      </c>
      <c r="L2345" t="s">
        <v>4935</v>
      </c>
      <c r="M2345" t="s">
        <v>4942</v>
      </c>
      <c r="N2345" s="11">
        <v>2390.71</v>
      </c>
      <c r="O2345" t="s">
        <v>4948</v>
      </c>
      <c r="P2345" t="s">
        <v>4951</v>
      </c>
      <c r="R2345">
        <v>90</v>
      </c>
      <c r="S2345" t="str">
        <f t="shared" si="109"/>
        <v>Middle-Aged</v>
      </c>
      <c r="T2345" t="str">
        <f t="shared" si="110"/>
        <v>Low</v>
      </c>
      <c r="U2345" t="str">
        <f t="shared" si="111"/>
        <v>Short Days</v>
      </c>
    </row>
    <row r="2346" spans="1:21">
      <c r="A2346" t="s">
        <v>2362</v>
      </c>
      <c r="B2346" s="5">
        <v>45607</v>
      </c>
      <c r="C2346" t="s">
        <v>3213</v>
      </c>
      <c r="D2346" t="s">
        <v>4848</v>
      </c>
      <c r="E2346" t="s">
        <v>4867</v>
      </c>
      <c r="F2346">
        <v>36</v>
      </c>
      <c r="G2346" t="s">
        <v>4875</v>
      </c>
      <c r="H2346" t="s">
        <v>4889</v>
      </c>
      <c r="I2346" t="s">
        <v>4894</v>
      </c>
      <c r="J2346" t="s">
        <v>4910</v>
      </c>
      <c r="K2346" t="s">
        <v>4932</v>
      </c>
      <c r="L2346" t="s">
        <v>4934</v>
      </c>
      <c r="M2346" t="s">
        <v>4942</v>
      </c>
      <c r="N2346" s="11">
        <v>7249.07</v>
      </c>
      <c r="O2346" t="s">
        <v>4950</v>
      </c>
      <c r="P2346" t="s">
        <v>4951</v>
      </c>
      <c r="R2346">
        <v>7</v>
      </c>
      <c r="S2346" t="str">
        <f t="shared" si="109"/>
        <v>Adult</v>
      </c>
      <c r="T2346" t="str">
        <f t="shared" si="110"/>
        <v>Medium</v>
      </c>
      <c r="U2346" t="str">
        <f t="shared" si="111"/>
        <v>Short Days</v>
      </c>
    </row>
    <row r="2347" spans="1:21">
      <c r="A2347" t="s">
        <v>2363</v>
      </c>
      <c r="B2347" s="5">
        <v>45909</v>
      </c>
      <c r="C2347" t="s">
        <v>3550</v>
      </c>
      <c r="D2347" t="s">
        <v>4822</v>
      </c>
      <c r="E2347" t="s">
        <v>4867</v>
      </c>
      <c r="F2347">
        <v>25</v>
      </c>
      <c r="G2347" t="s">
        <v>4878</v>
      </c>
      <c r="H2347" t="s">
        <v>4889</v>
      </c>
      <c r="I2347" t="s">
        <v>4895</v>
      </c>
      <c r="J2347" t="s">
        <v>4905</v>
      </c>
      <c r="K2347" t="s">
        <v>4927</v>
      </c>
      <c r="L2347" t="s">
        <v>4940</v>
      </c>
      <c r="M2347" t="s">
        <v>4942</v>
      </c>
      <c r="N2347" s="11">
        <v>2814.21</v>
      </c>
      <c r="O2347" t="s">
        <v>4946</v>
      </c>
      <c r="P2347" t="s">
        <v>4951</v>
      </c>
      <c r="R2347">
        <v>14</v>
      </c>
      <c r="S2347" t="str">
        <f t="shared" si="109"/>
        <v>Adult</v>
      </c>
      <c r="T2347" t="str">
        <f t="shared" si="110"/>
        <v>Low</v>
      </c>
      <c r="U2347" t="str">
        <f t="shared" si="111"/>
        <v>Short Days</v>
      </c>
    </row>
    <row r="2348" spans="1:21">
      <c r="A2348" t="s">
        <v>2364</v>
      </c>
      <c r="B2348" s="5">
        <v>45501</v>
      </c>
      <c r="C2348" t="s">
        <v>4398</v>
      </c>
      <c r="D2348" t="s">
        <v>4600</v>
      </c>
      <c r="E2348" t="s">
        <v>4867</v>
      </c>
      <c r="F2348">
        <v>38</v>
      </c>
      <c r="G2348" t="s">
        <v>4869</v>
      </c>
      <c r="H2348" t="s">
        <v>4884</v>
      </c>
      <c r="I2348" t="s">
        <v>4901</v>
      </c>
      <c r="J2348" t="s">
        <v>4914</v>
      </c>
      <c r="K2348" t="s">
        <v>4927</v>
      </c>
      <c r="L2348" t="s">
        <v>4935</v>
      </c>
      <c r="M2348" t="s">
        <v>4944</v>
      </c>
      <c r="N2348" s="11">
        <v>6833.62</v>
      </c>
      <c r="O2348" t="s">
        <v>4946</v>
      </c>
      <c r="P2348" t="s">
        <v>4951</v>
      </c>
      <c r="R2348">
        <v>90</v>
      </c>
      <c r="S2348" t="str">
        <f t="shared" si="109"/>
        <v>Adult</v>
      </c>
      <c r="T2348" t="str">
        <f t="shared" si="110"/>
        <v>Medium</v>
      </c>
      <c r="U2348" t="str">
        <f t="shared" si="111"/>
        <v>Short Days</v>
      </c>
    </row>
    <row r="2349" spans="1:21">
      <c r="A2349" t="s">
        <v>2365</v>
      </c>
      <c r="B2349" s="5">
        <v>45869</v>
      </c>
      <c r="C2349" t="s">
        <v>4399</v>
      </c>
      <c r="D2349" t="s">
        <v>4634</v>
      </c>
      <c r="E2349" t="s">
        <v>4867</v>
      </c>
      <c r="F2349">
        <v>70</v>
      </c>
      <c r="G2349" t="s">
        <v>4878</v>
      </c>
      <c r="H2349" t="s">
        <v>4889</v>
      </c>
      <c r="I2349" t="s">
        <v>4902</v>
      </c>
      <c r="J2349" t="s">
        <v>4916</v>
      </c>
      <c r="K2349" t="s">
        <v>4925</v>
      </c>
      <c r="L2349" t="s">
        <v>4941</v>
      </c>
      <c r="M2349" t="s">
        <v>4943</v>
      </c>
      <c r="N2349" s="11">
        <v>6403.68</v>
      </c>
      <c r="O2349" t="s">
        <v>4946</v>
      </c>
      <c r="P2349" t="s">
        <v>4951</v>
      </c>
      <c r="R2349">
        <v>90</v>
      </c>
      <c r="S2349" t="str">
        <f t="shared" si="109"/>
        <v>Senior</v>
      </c>
      <c r="T2349" t="str">
        <f t="shared" si="110"/>
        <v>Medium</v>
      </c>
      <c r="U2349" t="str">
        <f t="shared" si="111"/>
        <v>Short Days</v>
      </c>
    </row>
    <row r="2350" spans="1:21">
      <c r="A2350" t="s">
        <v>2366</v>
      </c>
      <c r="B2350" s="5">
        <v>45823</v>
      </c>
      <c r="C2350" t="s">
        <v>3431</v>
      </c>
      <c r="D2350" t="s">
        <v>4776</v>
      </c>
      <c r="E2350" t="s">
        <v>4866</v>
      </c>
      <c r="F2350">
        <v>41</v>
      </c>
      <c r="G2350" t="s">
        <v>4870</v>
      </c>
      <c r="H2350" t="s">
        <v>4885</v>
      </c>
      <c r="I2350" t="s">
        <v>4894</v>
      </c>
      <c r="J2350" t="s">
        <v>4910</v>
      </c>
      <c r="K2350" t="s">
        <v>4928</v>
      </c>
      <c r="L2350" t="s">
        <v>4940</v>
      </c>
      <c r="M2350" t="s">
        <v>4942</v>
      </c>
      <c r="N2350" s="11">
        <v>5640.58</v>
      </c>
      <c r="O2350" t="s">
        <v>4946</v>
      </c>
      <c r="P2350" t="s">
        <v>4951</v>
      </c>
      <c r="R2350">
        <v>30</v>
      </c>
      <c r="S2350" t="str">
        <f t="shared" si="109"/>
        <v>Middle-Aged</v>
      </c>
      <c r="T2350" t="str">
        <f t="shared" si="110"/>
        <v>Medium</v>
      </c>
      <c r="U2350" t="str">
        <f t="shared" si="111"/>
        <v>Short Days</v>
      </c>
    </row>
    <row r="2351" spans="1:21">
      <c r="A2351" t="s">
        <v>2367</v>
      </c>
      <c r="B2351" s="5">
        <v>45514</v>
      </c>
      <c r="C2351" t="s">
        <v>4346</v>
      </c>
      <c r="D2351" t="s">
        <v>4680</v>
      </c>
      <c r="E2351" t="s">
        <v>4866</v>
      </c>
      <c r="F2351">
        <v>9</v>
      </c>
      <c r="G2351" t="s">
        <v>4881</v>
      </c>
      <c r="H2351" t="s">
        <v>4881</v>
      </c>
      <c r="I2351" t="s">
        <v>4896</v>
      </c>
      <c r="J2351" t="s">
        <v>4906</v>
      </c>
      <c r="K2351" t="s">
        <v>4925</v>
      </c>
      <c r="L2351" t="s">
        <v>4941</v>
      </c>
      <c r="M2351" t="s">
        <v>4942</v>
      </c>
      <c r="N2351" s="11">
        <v>521.57000000000005</v>
      </c>
      <c r="O2351" t="s">
        <v>4949</v>
      </c>
      <c r="P2351" t="s">
        <v>4951</v>
      </c>
      <c r="R2351">
        <v>7</v>
      </c>
      <c r="S2351" t="str">
        <f t="shared" si="109"/>
        <v>Child</v>
      </c>
      <c r="T2351" t="str">
        <f t="shared" si="110"/>
        <v>Low</v>
      </c>
      <c r="U2351" t="str">
        <f t="shared" si="111"/>
        <v>Short Days</v>
      </c>
    </row>
    <row r="2352" spans="1:21">
      <c r="A2352" t="s">
        <v>2368</v>
      </c>
      <c r="B2352" s="5">
        <v>45459</v>
      </c>
      <c r="C2352" t="s">
        <v>4343</v>
      </c>
      <c r="D2352" t="s">
        <v>4740</v>
      </c>
      <c r="E2352" t="s">
        <v>4867</v>
      </c>
      <c r="F2352">
        <v>60</v>
      </c>
      <c r="G2352" t="s">
        <v>4879</v>
      </c>
      <c r="H2352" t="s">
        <v>4888</v>
      </c>
      <c r="I2352" t="s">
        <v>4897</v>
      </c>
      <c r="J2352" t="s">
        <v>4907</v>
      </c>
      <c r="K2352" t="s">
        <v>4929</v>
      </c>
      <c r="L2352" t="s">
        <v>4941</v>
      </c>
      <c r="M2352" t="s">
        <v>4942</v>
      </c>
      <c r="N2352" s="11">
        <v>478.47</v>
      </c>
      <c r="O2352" t="s">
        <v>15</v>
      </c>
      <c r="P2352" t="s">
        <v>4952</v>
      </c>
      <c r="S2352" t="str">
        <f t="shared" si="109"/>
        <v>Middle-Aged</v>
      </c>
      <c r="T2352" t="str">
        <f t="shared" si="110"/>
        <v>Low</v>
      </c>
      <c r="U2352" t="str">
        <f t="shared" si="111"/>
        <v>Short Days</v>
      </c>
    </row>
    <row r="2353" spans="1:21">
      <c r="A2353" t="s">
        <v>2369</v>
      </c>
      <c r="B2353" s="5">
        <v>45915</v>
      </c>
      <c r="C2353" t="s">
        <v>3409</v>
      </c>
      <c r="D2353" t="s">
        <v>4826</v>
      </c>
      <c r="E2353" t="s">
        <v>4867</v>
      </c>
      <c r="F2353">
        <v>32</v>
      </c>
      <c r="G2353" t="s">
        <v>4879</v>
      </c>
      <c r="H2353" t="s">
        <v>4888</v>
      </c>
      <c r="I2353" t="s">
        <v>4899</v>
      </c>
      <c r="J2353" t="s">
        <v>4912</v>
      </c>
      <c r="K2353" t="s">
        <v>4930</v>
      </c>
      <c r="L2353" t="s">
        <v>4939</v>
      </c>
      <c r="M2353" t="s">
        <v>4942</v>
      </c>
      <c r="N2353" s="11">
        <v>825.05</v>
      </c>
      <c r="O2353" t="s">
        <v>4946</v>
      </c>
      <c r="P2353" t="s">
        <v>4951</v>
      </c>
      <c r="R2353">
        <v>90</v>
      </c>
      <c r="S2353" t="str">
        <f t="shared" si="109"/>
        <v>Adult</v>
      </c>
      <c r="T2353" t="str">
        <f t="shared" si="110"/>
        <v>Low</v>
      </c>
      <c r="U2353" t="str">
        <f t="shared" si="111"/>
        <v>Short Days</v>
      </c>
    </row>
    <row r="2354" spans="1:21">
      <c r="A2354" t="s">
        <v>2370</v>
      </c>
      <c r="B2354" s="5">
        <v>45402</v>
      </c>
      <c r="C2354" t="s">
        <v>3343</v>
      </c>
      <c r="D2354" t="s">
        <v>4732</v>
      </c>
      <c r="E2354" t="s">
        <v>4866</v>
      </c>
      <c r="F2354">
        <v>50</v>
      </c>
      <c r="G2354" t="s">
        <v>4882</v>
      </c>
      <c r="H2354" t="s">
        <v>4891</v>
      </c>
      <c r="I2354" t="s">
        <v>4899</v>
      </c>
      <c r="J2354" t="s">
        <v>4912</v>
      </c>
      <c r="K2354" t="s">
        <v>4931</v>
      </c>
      <c r="L2354" t="s">
        <v>4940</v>
      </c>
      <c r="M2354" t="s">
        <v>4942</v>
      </c>
      <c r="N2354" s="11">
        <v>3036.91</v>
      </c>
      <c r="O2354" t="s">
        <v>15</v>
      </c>
      <c r="P2354" t="s">
        <v>4952</v>
      </c>
      <c r="R2354">
        <v>90</v>
      </c>
      <c r="S2354" t="str">
        <f t="shared" si="109"/>
        <v>Middle-Aged</v>
      </c>
      <c r="T2354" t="str">
        <f t="shared" si="110"/>
        <v>Low</v>
      </c>
      <c r="U2354" t="str">
        <f t="shared" si="111"/>
        <v>Short Days</v>
      </c>
    </row>
    <row r="2355" spans="1:21">
      <c r="A2355" t="s">
        <v>2371</v>
      </c>
      <c r="B2355" s="5">
        <v>45541</v>
      </c>
      <c r="C2355" t="s">
        <v>4400</v>
      </c>
      <c r="D2355" t="s">
        <v>4851</v>
      </c>
      <c r="E2355" t="s">
        <v>4866</v>
      </c>
      <c r="F2355">
        <v>62</v>
      </c>
      <c r="G2355" t="s">
        <v>4882</v>
      </c>
      <c r="H2355" t="s">
        <v>4891</v>
      </c>
      <c r="I2355" t="s">
        <v>4900</v>
      </c>
      <c r="J2355" t="s">
        <v>4919</v>
      </c>
      <c r="K2355" t="s">
        <v>4927</v>
      </c>
      <c r="L2355" t="s">
        <v>4937</v>
      </c>
      <c r="M2355" t="s">
        <v>4942</v>
      </c>
      <c r="N2355" s="11">
        <v>12389.87</v>
      </c>
      <c r="O2355" t="s">
        <v>4949</v>
      </c>
      <c r="P2355" t="s">
        <v>4951</v>
      </c>
      <c r="R2355">
        <v>14</v>
      </c>
      <c r="S2355" t="str">
        <f t="shared" si="109"/>
        <v>Senior</v>
      </c>
      <c r="T2355" t="str">
        <f t="shared" si="110"/>
        <v>High</v>
      </c>
      <c r="U2355" t="str">
        <f t="shared" si="111"/>
        <v>Short Days</v>
      </c>
    </row>
    <row r="2356" spans="1:21">
      <c r="A2356" t="s">
        <v>2372</v>
      </c>
      <c r="B2356" s="5">
        <v>45724</v>
      </c>
      <c r="C2356" t="s">
        <v>3112</v>
      </c>
      <c r="D2356" t="s">
        <v>4621</v>
      </c>
      <c r="E2356" t="s">
        <v>4867</v>
      </c>
      <c r="F2356">
        <v>23</v>
      </c>
      <c r="G2356" t="s">
        <v>4881</v>
      </c>
      <c r="H2356" t="s">
        <v>4881</v>
      </c>
      <c r="I2356" t="s">
        <v>4899</v>
      </c>
      <c r="J2356" t="s">
        <v>4911</v>
      </c>
      <c r="K2356" t="s">
        <v>4933</v>
      </c>
      <c r="L2356" t="s">
        <v>4938</v>
      </c>
      <c r="M2356" t="s">
        <v>4942</v>
      </c>
      <c r="N2356" s="11">
        <v>7454.27</v>
      </c>
      <c r="O2356" t="s">
        <v>4947</v>
      </c>
      <c r="P2356" t="s">
        <v>4951</v>
      </c>
      <c r="S2356" t="str">
        <f t="shared" si="109"/>
        <v>Adult</v>
      </c>
      <c r="T2356" t="str">
        <f t="shared" si="110"/>
        <v>Medium</v>
      </c>
      <c r="U2356" t="str">
        <f t="shared" si="111"/>
        <v>Short Days</v>
      </c>
    </row>
    <row r="2357" spans="1:21">
      <c r="A2357" t="s">
        <v>2373</v>
      </c>
      <c r="B2357" s="5">
        <v>45563</v>
      </c>
      <c r="C2357" t="s">
        <v>4340</v>
      </c>
      <c r="D2357" t="s">
        <v>4836</v>
      </c>
      <c r="E2357" t="s">
        <v>4866</v>
      </c>
      <c r="F2357">
        <v>46</v>
      </c>
      <c r="G2357" t="s">
        <v>4871</v>
      </c>
      <c r="H2357" t="s">
        <v>4886</v>
      </c>
      <c r="I2357" t="s">
        <v>4898</v>
      </c>
      <c r="J2357" t="s">
        <v>4923</v>
      </c>
      <c r="K2357" t="s">
        <v>4931</v>
      </c>
      <c r="L2357" t="s">
        <v>4939</v>
      </c>
      <c r="M2357" t="s">
        <v>4942</v>
      </c>
      <c r="N2357" s="11">
        <v>3714.49</v>
      </c>
      <c r="O2357" t="s">
        <v>4947</v>
      </c>
      <c r="P2357" t="s">
        <v>4951</v>
      </c>
      <c r="R2357">
        <v>90</v>
      </c>
      <c r="S2357" t="str">
        <f t="shared" si="109"/>
        <v>Middle-Aged</v>
      </c>
      <c r="T2357" t="str">
        <f t="shared" si="110"/>
        <v>Low</v>
      </c>
      <c r="U2357" t="str">
        <f t="shared" si="111"/>
        <v>Short Days</v>
      </c>
    </row>
    <row r="2358" spans="1:21">
      <c r="A2358" t="s">
        <v>2374</v>
      </c>
      <c r="B2358" s="5">
        <v>45789</v>
      </c>
      <c r="C2358" t="s">
        <v>4401</v>
      </c>
      <c r="D2358" t="s">
        <v>4611</v>
      </c>
      <c r="E2358" t="s">
        <v>4867</v>
      </c>
      <c r="F2358">
        <v>60</v>
      </c>
      <c r="G2358" t="s">
        <v>4879</v>
      </c>
      <c r="H2358" t="s">
        <v>4888</v>
      </c>
      <c r="I2358" t="s">
        <v>4897</v>
      </c>
      <c r="J2358" t="s">
        <v>4907</v>
      </c>
      <c r="K2358" t="s">
        <v>4932</v>
      </c>
      <c r="L2358" t="s">
        <v>4937</v>
      </c>
      <c r="M2358" t="s">
        <v>4944</v>
      </c>
      <c r="N2358" s="11">
        <v>8499.74</v>
      </c>
      <c r="O2358" t="s">
        <v>4946</v>
      </c>
      <c r="P2358" t="s">
        <v>4951</v>
      </c>
      <c r="R2358">
        <v>30</v>
      </c>
      <c r="S2358" t="str">
        <f t="shared" si="109"/>
        <v>Middle-Aged</v>
      </c>
      <c r="T2358" t="str">
        <f t="shared" si="110"/>
        <v>Medium</v>
      </c>
      <c r="U2358" t="str">
        <f t="shared" si="111"/>
        <v>Short Days</v>
      </c>
    </row>
    <row r="2359" spans="1:21">
      <c r="A2359" t="s">
        <v>2375</v>
      </c>
      <c r="B2359" s="5">
        <v>45367</v>
      </c>
      <c r="C2359" t="s">
        <v>3254</v>
      </c>
      <c r="D2359" t="s">
        <v>4819</v>
      </c>
      <c r="E2359" t="s">
        <v>4866</v>
      </c>
      <c r="F2359">
        <v>73</v>
      </c>
      <c r="G2359" t="s">
        <v>4880</v>
      </c>
      <c r="H2359" t="s">
        <v>4890</v>
      </c>
      <c r="I2359" t="s">
        <v>4902</v>
      </c>
      <c r="J2359" t="s">
        <v>4916</v>
      </c>
      <c r="K2359" t="s">
        <v>4933</v>
      </c>
      <c r="L2359" t="s">
        <v>4934</v>
      </c>
      <c r="M2359" t="s">
        <v>4942</v>
      </c>
      <c r="N2359" s="11">
        <v>4816.53</v>
      </c>
      <c r="O2359" t="s">
        <v>4950</v>
      </c>
      <c r="P2359" t="s">
        <v>4951</v>
      </c>
      <c r="R2359">
        <v>7</v>
      </c>
      <c r="S2359" t="str">
        <f t="shared" si="109"/>
        <v>Senior</v>
      </c>
      <c r="T2359" t="str">
        <f t="shared" si="110"/>
        <v>Low</v>
      </c>
      <c r="U2359" t="str">
        <f t="shared" si="111"/>
        <v>Short Days</v>
      </c>
    </row>
    <row r="2360" spans="1:21">
      <c r="A2360" t="s">
        <v>2376</v>
      </c>
      <c r="B2360" s="5">
        <v>45330</v>
      </c>
      <c r="C2360" t="s">
        <v>4402</v>
      </c>
      <c r="D2360" t="s">
        <v>4623</v>
      </c>
      <c r="E2360" t="s">
        <v>4867</v>
      </c>
      <c r="F2360">
        <v>28</v>
      </c>
      <c r="G2360" t="s">
        <v>4869</v>
      </c>
      <c r="H2360" t="s">
        <v>4884</v>
      </c>
      <c r="I2360" t="s">
        <v>4901</v>
      </c>
      <c r="J2360" t="s">
        <v>4914</v>
      </c>
      <c r="K2360" t="s">
        <v>4928</v>
      </c>
      <c r="L2360" t="s">
        <v>4941</v>
      </c>
      <c r="M2360" t="s">
        <v>4944</v>
      </c>
      <c r="N2360" s="11">
        <v>5383.57</v>
      </c>
      <c r="O2360" t="s">
        <v>4948</v>
      </c>
      <c r="P2360" t="s">
        <v>4951</v>
      </c>
      <c r="R2360">
        <v>90</v>
      </c>
      <c r="S2360" t="str">
        <f t="shared" si="109"/>
        <v>Adult</v>
      </c>
      <c r="T2360" t="str">
        <f t="shared" si="110"/>
        <v>Medium</v>
      </c>
      <c r="U2360" t="str">
        <f t="shared" si="111"/>
        <v>Short Days</v>
      </c>
    </row>
    <row r="2361" spans="1:21">
      <c r="A2361" t="s">
        <v>2377</v>
      </c>
      <c r="B2361" s="5">
        <v>45458</v>
      </c>
      <c r="C2361" t="s">
        <v>3990</v>
      </c>
      <c r="D2361" t="s">
        <v>4790</v>
      </c>
      <c r="E2361" t="s">
        <v>4867</v>
      </c>
      <c r="F2361">
        <v>28</v>
      </c>
      <c r="G2361" t="s">
        <v>4869</v>
      </c>
      <c r="H2361" t="s">
        <v>4884</v>
      </c>
      <c r="I2361" t="s">
        <v>4896</v>
      </c>
      <c r="J2361" t="s">
        <v>4908</v>
      </c>
      <c r="K2361" t="s">
        <v>4933</v>
      </c>
      <c r="L2361" t="s">
        <v>4938</v>
      </c>
      <c r="M2361" t="s">
        <v>4943</v>
      </c>
      <c r="N2361" s="11">
        <v>13579.62</v>
      </c>
      <c r="O2361" t="s">
        <v>4948</v>
      </c>
      <c r="P2361" t="s">
        <v>4951</v>
      </c>
      <c r="R2361">
        <v>90</v>
      </c>
      <c r="S2361" t="str">
        <f t="shared" si="109"/>
        <v>Adult</v>
      </c>
      <c r="T2361" t="str">
        <f t="shared" si="110"/>
        <v>High</v>
      </c>
      <c r="U2361" t="str">
        <f t="shared" si="111"/>
        <v>Short Days</v>
      </c>
    </row>
    <row r="2362" spans="1:21">
      <c r="A2362" t="s">
        <v>2378</v>
      </c>
      <c r="B2362" s="5">
        <v>45414</v>
      </c>
      <c r="C2362" t="s">
        <v>3698</v>
      </c>
      <c r="D2362" t="s">
        <v>4786</v>
      </c>
      <c r="E2362" t="s">
        <v>4868</v>
      </c>
      <c r="F2362">
        <v>18</v>
      </c>
      <c r="G2362" t="s">
        <v>4881</v>
      </c>
      <c r="H2362" t="s">
        <v>4881</v>
      </c>
      <c r="I2362" t="s">
        <v>4898</v>
      </c>
      <c r="J2362" t="s">
        <v>4909</v>
      </c>
      <c r="K2362" t="s">
        <v>4924</v>
      </c>
      <c r="L2362" t="s">
        <v>4941</v>
      </c>
      <c r="M2362" t="s">
        <v>4944</v>
      </c>
      <c r="N2362" s="11">
        <v>5230.8999999999996</v>
      </c>
      <c r="O2362" t="s">
        <v>4947</v>
      </c>
      <c r="P2362" t="s">
        <v>4951</v>
      </c>
      <c r="S2362" t="str">
        <f t="shared" si="109"/>
        <v>Adult</v>
      </c>
      <c r="T2362" t="str">
        <f t="shared" si="110"/>
        <v>Medium</v>
      </c>
      <c r="U2362" t="str">
        <f t="shared" si="111"/>
        <v>Short Days</v>
      </c>
    </row>
    <row r="2363" spans="1:21">
      <c r="A2363" t="s">
        <v>2379</v>
      </c>
      <c r="B2363" s="5">
        <v>45562</v>
      </c>
      <c r="C2363" t="s">
        <v>3050</v>
      </c>
      <c r="D2363" t="s">
        <v>4648</v>
      </c>
      <c r="E2363" t="s">
        <v>4867</v>
      </c>
      <c r="F2363">
        <v>72</v>
      </c>
      <c r="G2363" t="s">
        <v>4873</v>
      </c>
      <c r="H2363" t="s">
        <v>4888</v>
      </c>
      <c r="I2363" t="s">
        <v>4900</v>
      </c>
      <c r="J2363" t="s">
        <v>4919</v>
      </c>
      <c r="K2363" t="s">
        <v>4932</v>
      </c>
      <c r="L2363" t="s">
        <v>4936</v>
      </c>
      <c r="M2363" t="s">
        <v>4945</v>
      </c>
      <c r="N2363" s="11">
        <v>5179.07</v>
      </c>
      <c r="O2363" t="s">
        <v>15</v>
      </c>
      <c r="P2363" t="s">
        <v>4952</v>
      </c>
      <c r="Q2363">
        <v>4</v>
      </c>
      <c r="R2363">
        <v>7</v>
      </c>
      <c r="S2363" t="str">
        <f t="shared" si="109"/>
        <v>Senior</v>
      </c>
      <c r="T2363" t="str">
        <f t="shared" si="110"/>
        <v>Medium</v>
      </c>
      <c r="U2363" t="str">
        <f t="shared" si="111"/>
        <v>Short Days</v>
      </c>
    </row>
    <row r="2364" spans="1:21">
      <c r="A2364" t="s">
        <v>2380</v>
      </c>
      <c r="B2364" s="5">
        <v>45333</v>
      </c>
      <c r="C2364" t="s">
        <v>4403</v>
      </c>
      <c r="D2364" t="s">
        <v>4818</v>
      </c>
      <c r="E2364" t="s">
        <v>4866</v>
      </c>
      <c r="F2364">
        <v>45</v>
      </c>
      <c r="G2364" t="s">
        <v>4875</v>
      </c>
      <c r="H2364" t="s">
        <v>4889</v>
      </c>
      <c r="I2364" t="s">
        <v>4895</v>
      </c>
      <c r="J2364" t="s">
        <v>4905</v>
      </c>
      <c r="K2364" t="s">
        <v>4928</v>
      </c>
      <c r="L2364" t="s">
        <v>4938</v>
      </c>
      <c r="M2364" t="s">
        <v>4942</v>
      </c>
      <c r="N2364" s="11">
        <v>3649.1</v>
      </c>
      <c r="O2364" t="s">
        <v>15</v>
      </c>
      <c r="P2364" t="s">
        <v>4952</v>
      </c>
      <c r="R2364">
        <v>90</v>
      </c>
      <c r="S2364" t="str">
        <f t="shared" si="109"/>
        <v>Middle-Aged</v>
      </c>
      <c r="T2364" t="str">
        <f t="shared" si="110"/>
        <v>Low</v>
      </c>
      <c r="U2364" t="str">
        <f t="shared" si="111"/>
        <v>Short Days</v>
      </c>
    </row>
    <row r="2365" spans="1:21">
      <c r="A2365" t="s">
        <v>2381</v>
      </c>
      <c r="B2365" s="5">
        <v>45746</v>
      </c>
      <c r="C2365" t="s">
        <v>4395</v>
      </c>
      <c r="D2365" t="s">
        <v>4668</v>
      </c>
      <c r="E2365" t="s">
        <v>4866</v>
      </c>
      <c r="F2365">
        <v>19</v>
      </c>
      <c r="G2365" t="s">
        <v>4878</v>
      </c>
      <c r="H2365" t="s">
        <v>4889</v>
      </c>
      <c r="I2365" t="s">
        <v>4895</v>
      </c>
      <c r="J2365" t="s">
        <v>4915</v>
      </c>
      <c r="K2365" t="s">
        <v>4928</v>
      </c>
      <c r="L2365" t="s">
        <v>4935</v>
      </c>
      <c r="M2365" t="s">
        <v>4942</v>
      </c>
      <c r="N2365" s="11">
        <v>4062.29</v>
      </c>
      <c r="O2365" t="s">
        <v>4946</v>
      </c>
      <c r="P2365" t="s">
        <v>4951</v>
      </c>
      <c r="R2365">
        <v>14</v>
      </c>
      <c r="S2365" t="str">
        <f t="shared" si="109"/>
        <v>Adult</v>
      </c>
      <c r="T2365" t="str">
        <f t="shared" si="110"/>
        <v>Low</v>
      </c>
      <c r="U2365" t="str">
        <f t="shared" si="111"/>
        <v>Short Days</v>
      </c>
    </row>
    <row r="2366" spans="1:21">
      <c r="A2366" t="s">
        <v>2382</v>
      </c>
      <c r="B2366" s="5">
        <v>45644</v>
      </c>
      <c r="C2366" t="s">
        <v>3926</v>
      </c>
      <c r="D2366" t="s">
        <v>4712</v>
      </c>
      <c r="E2366" t="s">
        <v>4867</v>
      </c>
      <c r="F2366">
        <v>43</v>
      </c>
      <c r="G2366" t="s">
        <v>4876</v>
      </c>
      <c r="H2366" t="s">
        <v>4888</v>
      </c>
      <c r="I2366" t="s">
        <v>4896</v>
      </c>
      <c r="J2366" t="s">
        <v>4908</v>
      </c>
      <c r="K2366" t="s">
        <v>4925</v>
      </c>
      <c r="L2366" t="s">
        <v>4940</v>
      </c>
      <c r="M2366" t="s">
        <v>4942</v>
      </c>
      <c r="N2366" s="11">
        <v>8360.58</v>
      </c>
      <c r="O2366" t="s">
        <v>4946</v>
      </c>
      <c r="P2366" t="s">
        <v>4951</v>
      </c>
      <c r="S2366" t="str">
        <f t="shared" si="109"/>
        <v>Middle-Aged</v>
      </c>
      <c r="T2366" t="str">
        <f t="shared" si="110"/>
        <v>Medium</v>
      </c>
      <c r="U2366" t="str">
        <f t="shared" si="111"/>
        <v>Short Days</v>
      </c>
    </row>
    <row r="2367" spans="1:21">
      <c r="A2367" t="s">
        <v>2383</v>
      </c>
      <c r="B2367" s="5">
        <v>45965</v>
      </c>
      <c r="C2367" t="s">
        <v>4404</v>
      </c>
      <c r="D2367" t="s">
        <v>4776</v>
      </c>
      <c r="E2367" t="s">
        <v>4867</v>
      </c>
      <c r="F2367">
        <v>33</v>
      </c>
      <c r="G2367" t="s">
        <v>4882</v>
      </c>
      <c r="H2367" t="s">
        <v>4891</v>
      </c>
      <c r="I2367" t="s">
        <v>4902</v>
      </c>
      <c r="J2367" t="s">
        <v>4916</v>
      </c>
      <c r="K2367" t="s">
        <v>4929</v>
      </c>
      <c r="L2367" t="s">
        <v>4939</v>
      </c>
      <c r="M2367" t="s">
        <v>4944</v>
      </c>
      <c r="N2367" s="11">
        <v>6680.35</v>
      </c>
      <c r="O2367" t="s">
        <v>4947</v>
      </c>
      <c r="P2367" t="s">
        <v>4951</v>
      </c>
      <c r="R2367">
        <v>90</v>
      </c>
      <c r="S2367" t="str">
        <f t="shared" si="109"/>
        <v>Adult</v>
      </c>
      <c r="T2367" t="str">
        <f t="shared" si="110"/>
        <v>Medium</v>
      </c>
      <c r="U2367" t="str">
        <f t="shared" si="111"/>
        <v>Short Days</v>
      </c>
    </row>
    <row r="2368" spans="1:21">
      <c r="A2368" t="s">
        <v>2384</v>
      </c>
      <c r="B2368" s="5">
        <v>45862</v>
      </c>
      <c r="C2368" t="s">
        <v>4405</v>
      </c>
      <c r="D2368" t="s">
        <v>4711</v>
      </c>
      <c r="E2368" t="s">
        <v>4866</v>
      </c>
      <c r="F2368">
        <v>35</v>
      </c>
      <c r="G2368" t="s">
        <v>4881</v>
      </c>
      <c r="H2368" t="s">
        <v>4881</v>
      </c>
      <c r="I2368" t="s">
        <v>4898</v>
      </c>
      <c r="J2368" t="s">
        <v>4923</v>
      </c>
      <c r="K2368" t="s">
        <v>4927</v>
      </c>
      <c r="L2368" t="s">
        <v>4938</v>
      </c>
      <c r="M2368" t="s">
        <v>4942</v>
      </c>
      <c r="N2368" s="11">
        <v>4846.7</v>
      </c>
      <c r="O2368" t="s">
        <v>4946</v>
      </c>
      <c r="P2368" t="s">
        <v>4951</v>
      </c>
      <c r="S2368" t="str">
        <f t="shared" si="109"/>
        <v>Adult</v>
      </c>
      <c r="T2368" t="str">
        <f t="shared" si="110"/>
        <v>Low</v>
      </c>
      <c r="U2368" t="str">
        <f t="shared" si="111"/>
        <v>Short Days</v>
      </c>
    </row>
    <row r="2369" spans="1:21">
      <c r="A2369" t="s">
        <v>2385</v>
      </c>
      <c r="B2369" s="5">
        <v>45301</v>
      </c>
      <c r="C2369" t="s">
        <v>3850</v>
      </c>
      <c r="D2369" t="s">
        <v>4714</v>
      </c>
      <c r="E2369" t="s">
        <v>4866</v>
      </c>
      <c r="F2369">
        <v>72</v>
      </c>
      <c r="G2369" t="s">
        <v>4874</v>
      </c>
      <c r="H2369" t="s">
        <v>4886</v>
      </c>
      <c r="I2369" t="s">
        <v>4894</v>
      </c>
      <c r="J2369" t="s">
        <v>4910</v>
      </c>
      <c r="K2369" t="s">
        <v>4928</v>
      </c>
      <c r="L2369" t="s">
        <v>4937</v>
      </c>
      <c r="M2369" t="s">
        <v>4942</v>
      </c>
      <c r="N2369" s="11">
        <v>381.11</v>
      </c>
      <c r="O2369" t="s">
        <v>4948</v>
      </c>
      <c r="P2369" t="s">
        <v>4951</v>
      </c>
      <c r="R2369">
        <v>30</v>
      </c>
      <c r="S2369" t="str">
        <f t="shared" si="109"/>
        <v>Senior</v>
      </c>
      <c r="T2369" t="str">
        <f t="shared" si="110"/>
        <v>Low</v>
      </c>
      <c r="U2369" t="str">
        <f t="shared" si="111"/>
        <v>Short Days</v>
      </c>
    </row>
    <row r="2370" spans="1:21">
      <c r="A2370" t="s">
        <v>2386</v>
      </c>
      <c r="B2370" s="5">
        <v>45734</v>
      </c>
      <c r="C2370" t="s">
        <v>3561</v>
      </c>
      <c r="D2370" t="s">
        <v>4724</v>
      </c>
      <c r="E2370" t="s">
        <v>4867</v>
      </c>
      <c r="F2370">
        <v>10</v>
      </c>
      <c r="G2370" t="s">
        <v>4879</v>
      </c>
      <c r="H2370" t="s">
        <v>4888</v>
      </c>
      <c r="I2370" t="s">
        <v>4896</v>
      </c>
      <c r="J2370" t="s">
        <v>4906</v>
      </c>
      <c r="K2370" t="s">
        <v>4927</v>
      </c>
      <c r="L2370" t="s">
        <v>4941</v>
      </c>
      <c r="M2370" t="s">
        <v>4942</v>
      </c>
      <c r="N2370" s="11">
        <v>833.35</v>
      </c>
      <c r="O2370" t="s">
        <v>4948</v>
      </c>
      <c r="P2370" t="s">
        <v>4951</v>
      </c>
      <c r="S2370" t="str">
        <f t="shared" si="109"/>
        <v>Child</v>
      </c>
      <c r="T2370" t="str">
        <f t="shared" si="110"/>
        <v>Low</v>
      </c>
      <c r="U2370" t="str">
        <f t="shared" si="111"/>
        <v>Short Days</v>
      </c>
    </row>
    <row r="2371" spans="1:21">
      <c r="A2371" t="s">
        <v>2387</v>
      </c>
      <c r="B2371" s="5">
        <v>45760</v>
      </c>
      <c r="C2371" t="s">
        <v>3415</v>
      </c>
      <c r="D2371" t="s">
        <v>4753</v>
      </c>
      <c r="E2371" t="s">
        <v>4867</v>
      </c>
      <c r="F2371">
        <v>69</v>
      </c>
      <c r="G2371" t="s">
        <v>4883</v>
      </c>
      <c r="H2371" t="s">
        <v>4892</v>
      </c>
      <c r="I2371" t="s">
        <v>4900</v>
      </c>
      <c r="J2371" t="s">
        <v>4913</v>
      </c>
      <c r="K2371" t="s">
        <v>4924</v>
      </c>
      <c r="L2371" t="s">
        <v>4940</v>
      </c>
      <c r="M2371" t="s">
        <v>4942</v>
      </c>
      <c r="N2371" s="11">
        <v>8942.75</v>
      </c>
      <c r="O2371" t="s">
        <v>4949</v>
      </c>
      <c r="P2371" t="s">
        <v>4951</v>
      </c>
      <c r="R2371">
        <v>14</v>
      </c>
      <c r="S2371" t="str">
        <f t="shared" ref="S2371:S2434" si="112">IF(F2371&lt;18,"Child",IF(F2371&lt;=40,"Adult",IF(F2371&lt;=60,"Middle-Aged",IF(F2371,"Senior"))))</f>
        <v>Senior</v>
      </c>
      <c r="T2371" t="str">
        <f t="shared" ref="T2371:T2434" si="113">IF(N2371&lt;=5000,"Low",IF(N2371&lt;=10000,"Medium","High"))</f>
        <v>Medium</v>
      </c>
      <c r="U2371" t="str">
        <f t="shared" ref="U2371:U2434" si="114">IF(Q2371&lt;=5,"Short Days","Long Days")</f>
        <v>Short Days</v>
      </c>
    </row>
    <row r="2372" spans="1:21">
      <c r="A2372" t="s">
        <v>2388</v>
      </c>
      <c r="B2372" s="5">
        <v>45739</v>
      </c>
      <c r="C2372" t="s">
        <v>4406</v>
      </c>
      <c r="D2372" t="s">
        <v>4607</v>
      </c>
      <c r="E2372" t="s">
        <v>4867</v>
      </c>
      <c r="F2372">
        <v>34</v>
      </c>
      <c r="G2372" t="s">
        <v>4880</v>
      </c>
      <c r="H2372" t="s">
        <v>4890</v>
      </c>
      <c r="I2372" t="s">
        <v>4896</v>
      </c>
      <c r="J2372" t="s">
        <v>4908</v>
      </c>
      <c r="K2372" t="s">
        <v>4933</v>
      </c>
      <c r="L2372" t="s">
        <v>4935</v>
      </c>
      <c r="M2372" t="s">
        <v>4942</v>
      </c>
      <c r="N2372" s="11">
        <v>6723.82</v>
      </c>
      <c r="O2372" t="s">
        <v>15</v>
      </c>
      <c r="P2372" t="s">
        <v>4952</v>
      </c>
      <c r="R2372">
        <v>30</v>
      </c>
      <c r="S2372" t="str">
        <f t="shared" si="112"/>
        <v>Adult</v>
      </c>
      <c r="T2372" t="str">
        <f t="shared" si="113"/>
        <v>Medium</v>
      </c>
      <c r="U2372" t="str">
        <f t="shared" si="114"/>
        <v>Short Days</v>
      </c>
    </row>
    <row r="2373" spans="1:21">
      <c r="A2373" t="s">
        <v>2389</v>
      </c>
      <c r="B2373" s="5">
        <v>45835</v>
      </c>
      <c r="C2373" t="s">
        <v>4407</v>
      </c>
      <c r="D2373" t="s">
        <v>4833</v>
      </c>
      <c r="E2373" t="s">
        <v>4867</v>
      </c>
      <c r="F2373">
        <v>32</v>
      </c>
      <c r="G2373" t="s">
        <v>4875</v>
      </c>
      <c r="H2373" t="s">
        <v>4889</v>
      </c>
      <c r="I2373" t="s">
        <v>4893</v>
      </c>
      <c r="J2373" t="s">
        <v>4917</v>
      </c>
      <c r="K2373" t="s">
        <v>4932</v>
      </c>
      <c r="L2373" t="s">
        <v>4938</v>
      </c>
      <c r="M2373" t="s">
        <v>4942</v>
      </c>
      <c r="N2373" s="11">
        <v>21349.31</v>
      </c>
      <c r="O2373" t="s">
        <v>4949</v>
      </c>
      <c r="P2373" t="s">
        <v>4951</v>
      </c>
      <c r="R2373">
        <v>14</v>
      </c>
      <c r="S2373" t="str">
        <f t="shared" si="112"/>
        <v>Adult</v>
      </c>
      <c r="T2373" t="str">
        <f t="shared" si="113"/>
        <v>High</v>
      </c>
      <c r="U2373" t="str">
        <f t="shared" si="114"/>
        <v>Short Days</v>
      </c>
    </row>
    <row r="2374" spans="1:21">
      <c r="A2374" t="s">
        <v>2390</v>
      </c>
      <c r="B2374" s="5">
        <v>45683</v>
      </c>
      <c r="C2374" t="s">
        <v>4408</v>
      </c>
      <c r="D2374" t="s">
        <v>4770</v>
      </c>
      <c r="E2374" t="s">
        <v>4866</v>
      </c>
      <c r="F2374">
        <v>53</v>
      </c>
      <c r="G2374" t="s">
        <v>4874</v>
      </c>
      <c r="H2374" t="s">
        <v>4886</v>
      </c>
      <c r="I2374" t="s">
        <v>4894</v>
      </c>
      <c r="J2374" t="s">
        <v>4904</v>
      </c>
      <c r="K2374" t="s">
        <v>4925</v>
      </c>
      <c r="L2374" t="s">
        <v>4939</v>
      </c>
      <c r="M2374" t="s">
        <v>4945</v>
      </c>
      <c r="N2374" s="11">
        <v>8999.82</v>
      </c>
      <c r="O2374" t="s">
        <v>4949</v>
      </c>
      <c r="P2374" t="s">
        <v>4951</v>
      </c>
      <c r="Q2374">
        <v>6</v>
      </c>
      <c r="R2374">
        <v>14</v>
      </c>
      <c r="S2374" t="str">
        <f t="shared" si="112"/>
        <v>Middle-Aged</v>
      </c>
      <c r="T2374" t="str">
        <f t="shared" si="113"/>
        <v>Medium</v>
      </c>
      <c r="U2374" t="str">
        <f t="shared" si="114"/>
        <v>Long Days</v>
      </c>
    </row>
    <row r="2375" spans="1:21">
      <c r="A2375" t="s">
        <v>2391</v>
      </c>
      <c r="B2375" s="5">
        <v>45880</v>
      </c>
      <c r="C2375" t="s">
        <v>3215</v>
      </c>
      <c r="D2375" t="s">
        <v>4668</v>
      </c>
      <c r="E2375" t="s">
        <v>4866</v>
      </c>
      <c r="F2375">
        <v>58</v>
      </c>
      <c r="G2375" t="s">
        <v>4880</v>
      </c>
      <c r="H2375" t="s">
        <v>4890</v>
      </c>
      <c r="I2375" t="s">
        <v>4897</v>
      </c>
      <c r="J2375" t="s">
        <v>4907</v>
      </c>
      <c r="K2375" t="s">
        <v>4924</v>
      </c>
      <c r="L2375" t="s">
        <v>4937</v>
      </c>
      <c r="M2375" t="s">
        <v>4943</v>
      </c>
      <c r="N2375" s="11">
        <v>6599.94</v>
      </c>
      <c r="O2375" t="s">
        <v>4949</v>
      </c>
      <c r="P2375" t="s">
        <v>4951</v>
      </c>
      <c r="R2375">
        <v>90</v>
      </c>
      <c r="S2375" t="str">
        <f t="shared" si="112"/>
        <v>Middle-Aged</v>
      </c>
      <c r="T2375" t="str">
        <f t="shared" si="113"/>
        <v>Medium</v>
      </c>
      <c r="U2375" t="str">
        <f t="shared" si="114"/>
        <v>Short Days</v>
      </c>
    </row>
    <row r="2376" spans="1:21">
      <c r="A2376" t="s">
        <v>2392</v>
      </c>
      <c r="B2376" s="5">
        <v>45844</v>
      </c>
      <c r="C2376" t="s">
        <v>4409</v>
      </c>
      <c r="D2376" t="s">
        <v>4815</v>
      </c>
      <c r="E2376" t="s">
        <v>4866</v>
      </c>
      <c r="F2376">
        <v>49</v>
      </c>
      <c r="G2376" t="s">
        <v>4879</v>
      </c>
      <c r="H2376" t="s">
        <v>4888</v>
      </c>
      <c r="I2376" t="s">
        <v>4902</v>
      </c>
      <c r="J2376" t="s">
        <v>4920</v>
      </c>
      <c r="K2376" t="s">
        <v>4928</v>
      </c>
      <c r="L2376" t="s">
        <v>4934</v>
      </c>
      <c r="M2376" t="s">
        <v>4942</v>
      </c>
      <c r="N2376" s="11">
        <v>4900.9799999999996</v>
      </c>
      <c r="O2376" t="s">
        <v>4947</v>
      </c>
      <c r="P2376" t="s">
        <v>4951</v>
      </c>
      <c r="R2376">
        <v>90</v>
      </c>
      <c r="S2376" t="str">
        <f t="shared" si="112"/>
        <v>Middle-Aged</v>
      </c>
      <c r="T2376" t="str">
        <f t="shared" si="113"/>
        <v>Low</v>
      </c>
      <c r="U2376" t="str">
        <f t="shared" si="114"/>
        <v>Short Days</v>
      </c>
    </row>
    <row r="2377" spans="1:21">
      <c r="A2377" t="s">
        <v>2393</v>
      </c>
      <c r="B2377" s="5">
        <v>45576</v>
      </c>
      <c r="C2377" t="s">
        <v>3268</v>
      </c>
      <c r="D2377" t="s">
        <v>4633</v>
      </c>
      <c r="E2377" t="s">
        <v>4866</v>
      </c>
      <c r="F2377">
        <v>83</v>
      </c>
      <c r="G2377" t="s">
        <v>4880</v>
      </c>
      <c r="H2377" t="s">
        <v>4890</v>
      </c>
      <c r="I2377" t="s">
        <v>4899</v>
      </c>
      <c r="J2377" t="s">
        <v>4912</v>
      </c>
      <c r="K2377" t="s">
        <v>4926</v>
      </c>
      <c r="L2377" t="s">
        <v>4936</v>
      </c>
      <c r="M2377" t="s">
        <v>4942</v>
      </c>
      <c r="N2377" s="11">
        <v>15145.42</v>
      </c>
      <c r="O2377" t="s">
        <v>4946</v>
      </c>
      <c r="P2377" t="s">
        <v>4951</v>
      </c>
      <c r="R2377">
        <v>30</v>
      </c>
      <c r="S2377" t="str">
        <f t="shared" si="112"/>
        <v>Senior</v>
      </c>
      <c r="T2377" t="str">
        <f t="shared" si="113"/>
        <v>High</v>
      </c>
      <c r="U2377" t="str">
        <f t="shared" si="114"/>
        <v>Short Days</v>
      </c>
    </row>
    <row r="2378" spans="1:21">
      <c r="A2378" t="s">
        <v>2394</v>
      </c>
      <c r="B2378" s="5">
        <v>45562</v>
      </c>
      <c r="C2378" t="s">
        <v>3832</v>
      </c>
      <c r="D2378" t="s">
        <v>4775</v>
      </c>
      <c r="E2378" t="s">
        <v>4867</v>
      </c>
      <c r="F2378">
        <v>52</v>
      </c>
      <c r="G2378" t="s">
        <v>4882</v>
      </c>
      <c r="H2378" t="s">
        <v>4891</v>
      </c>
      <c r="I2378" t="s">
        <v>4896</v>
      </c>
      <c r="J2378" t="s">
        <v>4908</v>
      </c>
      <c r="K2378" t="s">
        <v>4926</v>
      </c>
      <c r="L2378" t="s">
        <v>4936</v>
      </c>
      <c r="M2378" t="s">
        <v>4942</v>
      </c>
      <c r="N2378" s="11">
        <v>3760.43</v>
      </c>
      <c r="O2378" t="s">
        <v>4950</v>
      </c>
      <c r="P2378" t="s">
        <v>4951</v>
      </c>
      <c r="S2378" t="str">
        <f t="shared" si="112"/>
        <v>Middle-Aged</v>
      </c>
      <c r="T2378" t="str">
        <f t="shared" si="113"/>
        <v>Low</v>
      </c>
      <c r="U2378" t="str">
        <f t="shared" si="114"/>
        <v>Short Days</v>
      </c>
    </row>
    <row r="2379" spans="1:21">
      <c r="A2379" t="s">
        <v>2395</v>
      </c>
      <c r="B2379" s="5">
        <v>45702</v>
      </c>
      <c r="C2379" t="s">
        <v>3559</v>
      </c>
      <c r="D2379" t="s">
        <v>4760</v>
      </c>
      <c r="E2379" t="s">
        <v>4867</v>
      </c>
      <c r="F2379">
        <v>40</v>
      </c>
      <c r="G2379" t="s">
        <v>4871</v>
      </c>
      <c r="H2379" t="s">
        <v>4886</v>
      </c>
      <c r="I2379" t="s">
        <v>4897</v>
      </c>
      <c r="J2379" t="s">
        <v>4907</v>
      </c>
      <c r="K2379" t="s">
        <v>4931</v>
      </c>
      <c r="L2379" t="s">
        <v>4934</v>
      </c>
      <c r="M2379" t="s">
        <v>4942</v>
      </c>
      <c r="N2379" s="11">
        <v>5892.11</v>
      </c>
      <c r="O2379" t="s">
        <v>15</v>
      </c>
      <c r="P2379" t="s">
        <v>4952</v>
      </c>
      <c r="R2379">
        <v>90</v>
      </c>
      <c r="S2379" t="str">
        <f t="shared" si="112"/>
        <v>Adult</v>
      </c>
      <c r="T2379" t="str">
        <f t="shared" si="113"/>
        <v>Medium</v>
      </c>
      <c r="U2379" t="str">
        <f t="shared" si="114"/>
        <v>Short Days</v>
      </c>
    </row>
    <row r="2380" spans="1:21">
      <c r="A2380" t="s">
        <v>2396</v>
      </c>
      <c r="B2380" s="5">
        <v>45603</v>
      </c>
      <c r="C2380" t="s">
        <v>4410</v>
      </c>
      <c r="D2380" t="s">
        <v>4736</v>
      </c>
      <c r="E2380" t="s">
        <v>4867</v>
      </c>
      <c r="F2380">
        <v>36</v>
      </c>
      <c r="G2380" t="s">
        <v>4882</v>
      </c>
      <c r="H2380" t="s">
        <v>4891</v>
      </c>
      <c r="I2380" t="s">
        <v>4895</v>
      </c>
      <c r="J2380" t="s">
        <v>4905</v>
      </c>
      <c r="K2380" t="s">
        <v>4926</v>
      </c>
      <c r="L2380" t="s">
        <v>4940</v>
      </c>
      <c r="M2380" t="s">
        <v>4942</v>
      </c>
      <c r="N2380" s="11">
        <v>3864.83</v>
      </c>
      <c r="O2380" t="s">
        <v>15</v>
      </c>
      <c r="P2380" t="s">
        <v>4952</v>
      </c>
      <c r="R2380">
        <v>14</v>
      </c>
      <c r="S2380" t="str">
        <f t="shared" si="112"/>
        <v>Adult</v>
      </c>
      <c r="T2380" t="str">
        <f t="shared" si="113"/>
        <v>Low</v>
      </c>
      <c r="U2380" t="str">
        <f t="shared" si="114"/>
        <v>Short Days</v>
      </c>
    </row>
    <row r="2381" spans="1:21">
      <c r="A2381" t="s">
        <v>2397</v>
      </c>
      <c r="B2381" s="5">
        <v>45822</v>
      </c>
      <c r="C2381" t="s">
        <v>3915</v>
      </c>
      <c r="D2381" t="s">
        <v>4850</v>
      </c>
      <c r="E2381" t="s">
        <v>4866</v>
      </c>
      <c r="F2381">
        <v>30</v>
      </c>
      <c r="G2381" t="s">
        <v>4875</v>
      </c>
      <c r="H2381" t="s">
        <v>4889</v>
      </c>
      <c r="I2381" t="s">
        <v>4898</v>
      </c>
      <c r="J2381" t="s">
        <v>4923</v>
      </c>
      <c r="K2381" t="s">
        <v>4926</v>
      </c>
      <c r="L2381" t="s">
        <v>4938</v>
      </c>
      <c r="M2381" t="s">
        <v>4942</v>
      </c>
      <c r="N2381" s="11">
        <v>6640.85</v>
      </c>
      <c r="O2381" t="s">
        <v>4947</v>
      </c>
      <c r="P2381" t="s">
        <v>4951</v>
      </c>
      <c r="R2381">
        <v>30</v>
      </c>
      <c r="S2381" t="str">
        <f t="shared" si="112"/>
        <v>Adult</v>
      </c>
      <c r="T2381" t="str">
        <f t="shared" si="113"/>
        <v>Medium</v>
      </c>
      <c r="U2381" t="str">
        <f t="shared" si="114"/>
        <v>Short Days</v>
      </c>
    </row>
    <row r="2382" spans="1:21">
      <c r="A2382" t="s">
        <v>2398</v>
      </c>
      <c r="B2382" s="5">
        <v>45500</v>
      </c>
      <c r="C2382" t="s">
        <v>4326</v>
      </c>
      <c r="D2382" t="s">
        <v>4693</v>
      </c>
      <c r="E2382" t="s">
        <v>4867</v>
      </c>
      <c r="F2382">
        <v>60</v>
      </c>
      <c r="G2382" t="s">
        <v>4881</v>
      </c>
      <c r="H2382" t="s">
        <v>4881</v>
      </c>
      <c r="I2382" t="s">
        <v>4898</v>
      </c>
      <c r="J2382" t="s">
        <v>4909</v>
      </c>
      <c r="K2382" t="s">
        <v>4928</v>
      </c>
      <c r="L2382" t="s">
        <v>4937</v>
      </c>
      <c r="M2382" t="s">
        <v>4944</v>
      </c>
      <c r="N2382" s="11">
        <v>6110.46</v>
      </c>
      <c r="O2382" t="s">
        <v>15</v>
      </c>
      <c r="P2382" t="s">
        <v>4952</v>
      </c>
      <c r="S2382" t="str">
        <f t="shared" si="112"/>
        <v>Middle-Aged</v>
      </c>
      <c r="T2382" t="str">
        <f t="shared" si="113"/>
        <v>Medium</v>
      </c>
      <c r="U2382" t="str">
        <f t="shared" si="114"/>
        <v>Short Days</v>
      </c>
    </row>
    <row r="2383" spans="1:21">
      <c r="A2383" t="s">
        <v>2399</v>
      </c>
      <c r="B2383" s="5">
        <v>45385</v>
      </c>
      <c r="C2383" t="s">
        <v>3450</v>
      </c>
      <c r="D2383" t="s">
        <v>4830</v>
      </c>
      <c r="E2383" t="s">
        <v>4866</v>
      </c>
      <c r="F2383">
        <v>45</v>
      </c>
      <c r="G2383" t="s">
        <v>4883</v>
      </c>
      <c r="H2383" t="s">
        <v>4892</v>
      </c>
      <c r="I2383" t="s">
        <v>4897</v>
      </c>
      <c r="J2383" t="s">
        <v>4922</v>
      </c>
      <c r="K2383" t="s">
        <v>4925</v>
      </c>
      <c r="L2383" t="s">
        <v>4939</v>
      </c>
      <c r="M2383" t="s">
        <v>4944</v>
      </c>
      <c r="N2383" s="11">
        <v>13408.08</v>
      </c>
      <c r="O2383" t="s">
        <v>4948</v>
      </c>
      <c r="P2383" t="s">
        <v>4951</v>
      </c>
      <c r="S2383" t="str">
        <f t="shared" si="112"/>
        <v>Middle-Aged</v>
      </c>
      <c r="T2383" t="str">
        <f t="shared" si="113"/>
        <v>High</v>
      </c>
      <c r="U2383" t="str">
        <f t="shared" si="114"/>
        <v>Short Days</v>
      </c>
    </row>
    <row r="2384" spans="1:21">
      <c r="A2384" t="s">
        <v>2400</v>
      </c>
      <c r="B2384" s="5">
        <v>45609</v>
      </c>
      <c r="C2384" t="s">
        <v>3834</v>
      </c>
      <c r="D2384" t="s">
        <v>4594</v>
      </c>
      <c r="E2384" t="s">
        <v>4866</v>
      </c>
      <c r="F2384">
        <v>51</v>
      </c>
      <c r="G2384" t="s">
        <v>4875</v>
      </c>
      <c r="H2384" t="s">
        <v>4889</v>
      </c>
      <c r="I2384" t="s">
        <v>4894</v>
      </c>
      <c r="J2384" t="s">
        <v>4904</v>
      </c>
      <c r="K2384" t="s">
        <v>4929</v>
      </c>
      <c r="L2384" t="s">
        <v>4939</v>
      </c>
      <c r="M2384" t="s">
        <v>4944</v>
      </c>
      <c r="N2384" s="11">
        <v>6481.5</v>
      </c>
      <c r="O2384" t="s">
        <v>4947</v>
      </c>
      <c r="P2384" t="s">
        <v>4951</v>
      </c>
      <c r="R2384">
        <v>30</v>
      </c>
      <c r="S2384" t="str">
        <f t="shared" si="112"/>
        <v>Middle-Aged</v>
      </c>
      <c r="T2384" t="str">
        <f t="shared" si="113"/>
        <v>Medium</v>
      </c>
      <c r="U2384" t="str">
        <f t="shared" si="114"/>
        <v>Short Days</v>
      </c>
    </row>
    <row r="2385" spans="1:21">
      <c r="A2385" t="s">
        <v>2401</v>
      </c>
      <c r="B2385" s="5">
        <v>45864</v>
      </c>
      <c r="C2385" t="s">
        <v>4411</v>
      </c>
      <c r="D2385" t="s">
        <v>4688</v>
      </c>
      <c r="E2385" t="s">
        <v>4867</v>
      </c>
      <c r="F2385">
        <v>6</v>
      </c>
      <c r="G2385" t="s">
        <v>4879</v>
      </c>
      <c r="H2385" t="s">
        <v>4888</v>
      </c>
      <c r="I2385" t="s">
        <v>4896</v>
      </c>
      <c r="J2385" t="s">
        <v>4908</v>
      </c>
      <c r="K2385" t="s">
        <v>4925</v>
      </c>
      <c r="L2385" t="s">
        <v>4935</v>
      </c>
      <c r="M2385" t="s">
        <v>4945</v>
      </c>
      <c r="N2385" s="11">
        <v>11317.95</v>
      </c>
      <c r="O2385" t="s">
        <v>4949</v>
      </c>
      <c r="P2385" t="s">
        <v>4951</v>
      </c>
      <c r="Q2385">
        <v>7</v>
      </c>
      <c r="R2385">
        <v>30</v>
      </c>
      <c r="S2385" t="str">
        <f t="shared" si="112"/>
        <v>Child</v>
      </c>
      <c r="T2385" t="str">
        <f t="shared" si="113"/>
        <v>High</v>
      </c>
      <c r="U2385" t="str">
        <f t="shared" si="114"/>
        <v>Long Days</v>
      </c>
    </row>
    <row r="2386" spans="1:21">
      <c r="A2386" t="s">
        <v>2402</v>
      </c>
      <c r="B2386" s="5">
        <v>45350</v>
      </c>
      <c r="C2386" t="s">
        <v>3735</v>
      </c>
      <c r="D2386" t="s">
        <v>4613</v>
      </c>
      <c r="E2386" t="s">
        <v>4867</v>
      </c>
      <c r="F2386">
        <v>46</v>
      </c>
      <c r="G2386" t="s">
        <v>4882</v>
      </c>
      <c r="H2386" t="s">
        <v>4891</v>
      </c>
      <c r="I2386" t="s">
        <v>4899</v>
      </c>
      <c r="J2386" t="s">
        <v>4911</v>
      </c>
      <c r="K2386" t="s">
        <v>4932</v>
      </c>
      <c r="L2386" t="s">
        <v>4937</v>
      </c>
      <c r="M2386" t="s">
        <v>4942</v>
      </c>
      <c r="N2386" s="11">
        <v>5034.47</v>
      </c>
      <c r="O2386" t="s">
        <v>15</v>
      </c>
      <c r="P2386" t="s">
        <v>4952</v>
      </c>
      <c r="R2386">
        <v>7</v>
      </c>
      <c r="S2386" t="str">
        <f t="shared" si="112"/>
        <v>Middle-Aged</v>
      </c>
      <c r="T2386" t="str">
        <f t="shared" si="113"/>
        <v>Medium</v>
      </c>
      <c r="U2386" t="str">
        <f t="shared" si="114"/>
        <v>Short Days</v>
      </c>
    </row>
    <row r="2387" spans="1:21">
      <c r="A2387" t="s">
        <v>2403</v>
      </c>
      <c r="B2387" s="5">
        <v>45806</v>
      </c>
      <c r="C2387" t="s">
        <v>3136</v>
      </c>
      <c r="D2387" t="s">
        <v>4772</v>
      </c>
      <c r="E2387" t="s">
        <v>4866</v>
      </c>
      <c r="F2387">
        <v>27</v>
      </c>
      <c r="G2387" t="s">
        <v>4881</v>
      </c>
      <c r="H2387" t="s">
        <v>4881</v>
      </c>
      <c r="I2387" t="s">
        <v>4898</v>
      </c>
      <c r="J2387" t="s">
        <v>4923</v>
      </c>
      <c r="K2387" t="s">
        <v>4933</v>
      </c>
      <c r="L2387" t="s">
        <v>4934</v>
      </c>
      <c r="M2387" t="s">
        <v>4942</v>
      </c>
      <c r="N2387" s="11">
        <v>6782.54</v>
      </c>
      <c r="O2387" t="s">
        <v>4947</v>
      </c>
      <c r="P2387" t="s">
        <v>4951</v>
      </c>
      <c r="R2387">
        <v>7</v>
      </c>
      <c r="S2387" t="str">
        <f t="shared" si="112"/>
        <v>Adult</v>
      </c>
      <c r="T2387" t="str">
        <f t="shared" si="113"/>
        <v>Medium</v>
      </c>
      <c r="U2387" t="str">
        <f t="shared" si="114"/>
        <v>Short Days</v>
      </c>
    </row>
    <row r="2388" spans="1:21">
      <c r="A2388" t="s">
        <v>2404</v>
      </c>
      <c r="B2388" s="5">
        <v>45632</v>
      </c>
      <c r="C2388" t="s">
        <v>4188</v>
      </c>
      <c r="D2388" t="s">
        <v>4789</v>
      </c>
      <c r="E2388" t="s">
        <v>4867</v>
      </c>
      <c r="F2388">
        <v>43</v>
      </c>
      <c r="G2388" t="s">
        <v>4875</v>
      </c>
      <c r="H2388" t="s">
        <v>4889</v>
      </c>
      <c r="I2388" t="s">
        <v>4902</v>
      </c>
      <c r="J2388" t="s">
        <v>4920</v>
      </c>
      <c r="K2388" t="s">
        <v>4927</v>
      </c>
      <c r="L2388" t="s">
        <v>4940</v>
      </c>
      <c r="M2388" t="s">
        <v>4943</v>
      </c>
      <c r="N2388" s="11">
        <v>5950.27</v>
      </c>
      <c r="O2388" t="s">
        <v>4948</v>
      </c>
      <c r="P2388" t="s">
        <v>4951</v>
      </c>
      <c r="S2388" t="str">
        <f t="shared" si="112"/>
        <v>Middle-Aged</v>
      </c>
      <c r="T2388" t="str">
        <f t="shared" si="113"/>
        <v>Medium</v>
      </c>
      <c r="U2388" t="str">
        <f t="shared" si="114"/>
        <v>Short Days</v>
      </c>
    </row>
    <row r="2389" spans="1:21">
      <c r="A2389" t="s">
        <v>2405</v>
      </c>
      <c r="B2389" s="5">
        <v>45758</v>
      </c>
      <c r="C2389" t="s">
        <v>4255</v>
      </c>
      <c r="D2389" t="s">
        <v>4765</v>
      </c>
      <c r="E2389" t="s">
        <v>4868</v>
      </c>
      <c r="F2389">
        <v>62</v>
      </c>
      <c r="G2389" t="s">
        <v>4882</v>
      </c>
      <c r="H2389" t="s">
        <v>4891</v>
      </c>
      <c r="I2389" t="s">
        <v>4900</v>
      </c>
      <c r="J2389" t="s">
        <v>4919</v>
      </c>
      <c r="K2389" t="s">
        <v>4929</v>
      </c>
      <c r="L2389" t="s">
        <v>4935</v>
      </c>
      <c r="M2389" t="s">
        <v>4944</v>
      </c>
      <c r="N2389" s="11">
        <v>6967.72</v>
      </c>
      <c r="O2389" t="s">
        <v>4948</v>
      </c>
      <c r="P2389" t="s">
        <v>4951</v>
      </c>
      <c r="R2389">
        <v>30</v>
      </c>
      <c r="S2389" t="str">
        <f t="shared" si="112"/>
        <v>Senior</v>
      </c>
      <c r="T2389" t="str">
        <f t="shared" si="113"/>
        <v>Medium</v>
      </c>
      <c r="U2389" t="str">
        <f t="shared" si="114"/>
        <v>Short Days</v>
      </c>
    </row>
    <row r="2390" spans="1:21">
      <c r="A2390" t="s">
        <v>2406</v>
      </c>
      <c r="B2390" s="5">
        <v>45663</v>
      </c>
      <c r="C2390" t="s">
        <v>4412</v>
      </c>
      <c r="D2390" t="s">
        <v>4664</v>
      </c>
      <c r="E2390" t="s">
        <v>4867</v>
      </c>
      <c r="F2390">
        <v>48</v>
      </c>
      <c r="G2390" t="s">
        <v>4881</v>
      </c>
      <c r="H2390" t="s">
        <v>4881</v>
      </c>
      <c r="I2390" t="s">
        <v>4897</v>
      </c>
      <c r="J2390" t="s">
        <v>4922</v>
      </c>
      <c r="K2390" t="s">
        <v>4927</v>
      </c>
      <c r="L2390" t="s">
        <v>4936</v>
      </c>
      <c r="M2390" t="s">
        <v>4942</v>
      </c>
      <c r="N2390" s="11">
        <v>202.07</v>
      </c>
      <c r="O2390" t="s">
        <v>15</v>
      </c>
      <c r="P2390" t="s">
        <v>4952</v>
      </c>
      <c r="R2390">
        <v>90</v>
      </c>
      <c r="S2390" t="str">
        <f t="shared" si="112"/>
        <v>Middle-Aged</v>
      </c>
      <c r="T2390" t="str">
        <f t="shared" si="113"/>
        <v>Low</v>
      </c>
      <c r="U2390" t="str">
        <f t="shared" si="114"/>
        <v>Short Days</v>
      </c>
    </row>
    <row r="2391" spans="1:21">
      <c r="A2391" t="s">
        <v>2407</v>
      </c>
      <c r="B2391" s="5">
        <v>45589</v>
      </c>
      <c r="C2391" t="s">
        <v>3396</v>
      </c>
      <c r="D2391" t="s">
        <v>4767</v>
      </c>
      <c r="E2391" t="s">
        <v>4867</v>
      </c>
      <c r="F2391">
        <v>14</v>
      </c>
      <c r="G2391" t="s">
        <v>4871</v>
      </c>
      <c r="H2391" t="s">
        <v>4886</v>
      </c>
      <c r="I2391" t="s">
        <v>4894</v>
      </c>
      <c r="J2391" t="s">
        <v>4910</v>
      </c>
      <c r="K2391" t="s">
        <v>4925</v>
      </c>
      <c r="L2391" t="s">
        <v>4941</v>
      </c>
      <c r="M2391" t="s">
        <v>4942</v>
      </c>
      <c r="N2391" s="11">
        <v>4180.18</v>
      </c>
      <c r="O2391" t="s">
        <v>4948</v>
      </c>
      <c r="P2391" t="s">
        <v>4951</v>
      </c>
      <c r="R2391">
        <v>14</v>
      </c>
      <c r="S2391" t="str">
        <f t="shared" si="112"/>
        <v>Child</v>
      </c>
      <c r="T2391" t="str">
        <f t="shared" si="113"/>
        <v>Low</v>
      </c>
      <c r="U2391" t="str">
        <f t="shared" si="114"/>
        <v>Short Days</v>
      </c>
    </row>
    <row r="2392" spans="1:21">
      <c r="A2392" t="s">
        <v>2408</v>
      </c>
      <c r="B2392" s="5">
        <v>45396</v>
      </c>
      <c r="C2392" t="s">
        <v>4413</v>
      </c>
      <c r="D2392" t="s">
        <v>4759</v>
      </c>
      <c r="E2392" t="s">
        <v>4866</v>
      </c>
      <c r="F2392">
        <v>14</v>
      </c>
      <c r="G2392" t="s">
        <v>4870</v>
      </c>
      <c r="H2392" t="s">
        <v>4885</v>
      </c>
      <c r="I2392" t="s">
        <v>4894</v>
      </c>
      <c r="J2392" t="s">
        <v>4910</v>
      </c>
      <c r="K2392" t="s">
        <v>4928</v>
      </c>
      <c r="L2392" t="s">
        <v>4936</v>
      </c>
      <c r="M2392" t="s">
        <v>4942</v>
      </c>
      <c r="N2392" s="11">
        <v>11216.93</v>
      </c>
      <c r="O2392" t="s">
        <v>4949</v>
      </c>
      <c r="P2392" t="s">
        <v>4951</v>
      </c>
      <c r="R2392">
        <v>30</v>
      </c>
      <c r="S2392" t="str">
        <f t="shared" si="112"/>
        <v>Child</v>
      </c>
      <c r="T2392" t="str">
        <f t="shared" si="113"/>
        <v>High</v>
      </c>
      <c r="U2392" t="str">
        <f t="shared" si="114"/>
        <v>Short Days</v>
      </c>
    </row>
    <row r="2393" spans="1:21">
      <c r="A2393" t="s">
        <v>2409</v>
      </c>
      <c r="B2393" s="5">
        <v>45500</v>
      </c>
      <c r="C2393" t="s">
        <v>4414</v>
      </c>
      <c r="D2393" t="s">
        <v>4729</v>
      </c>
      <c r="E2393" t="s">
        <v>4866</v>
      </c>
      <c r="F2393">
        <v>47</v>
      </c>
      <c r="G2393" t="s">
        <v>4872</v>
      </c>
      <c r="H2393" t="s">
        <v>4887</v>
      </c>
      <c r="I2393" t="s">
        <v>4894</v>
      </c>
      <c r="J2393" t="s">
        <v>4904</v>
      </c>
      <c r="K2393" t="s">
        <v>4932</v>
      </c>
      <c r="L2393" t="s">
        <v>4940</v>
      </c>
      <c r="M2393" t="s">
        <v>4944</v>
      </c>
      <c r="N2393" s="11">
        <v>8149.27</v>
      </c>
      <c r="O2393" t="s">
        <v>4946</v>
      </c>
      <c r="P2393" t="s">
        <v>4951</v>
      </c>
      <c r="R2393">
        <v>14</v>
      </c>
      <c r="S2393" t="str">
        <f t="shared" si="112"/>
        <v>Middle-Aged</v>
      </c>
      <c r="T2393" t="str">
        <f t="shared" si="113"/>
        <v>Medium</v>
      </c>
      <c r="U2393" t="str">
        <f t="shared" si="114"/>
        <v>Short Days</v>
      </c>
    </row>
    <row r="2394" spans="1:21">
      <c r="A2394" t="s">
        <v>2410</v>
      </c>
      <c r="B2394" s="5">
        <v>45840</v>
      </c>
      <c r="C2394" t="s">
        <v>4165</v>
      </c>
      <c r="D2394" t="s">
        <v>4758</v>
      </c>
      <c r="E2394" t="s">
        <v>4867</v>
      </c>
      <c r="F2394">
        <v>44</v>
      </c>
      <c r="G2394" t="s">
        <v>4882</v>
      </c>
      <c r="H2394" t="s">
        <v>4891</v>
      </c>
      <c r="I2394" t="s">
        <v>4894</v>
      </c>
      <c r="J2394" t="s">
        <v>4910</v>
      </c>
      <c r="K2394" t="s">
        <v>4932</v>
      </c>
      <c r="L2394" t="s">
        <v>4940</v>
      </c>
      <c r="M2394" t="s">
        <v>4942</v>
      </c>
      <c r="N2394" s="11">
        <v>942.34</v>
      </c>
      <c r="O2394" t="s">
        <v>4946</v>
      </c>
      <c r="P2394" t="s">
        <v>4951</v>
      </c>
      <c r="R2394">
        <v>30</v>
      </c>
      <c r="S2394" t="str">
        <f t="shared" si="112"/>
        <v>Middle-Aged</v>
      </c>
      <c r="T2394" t="str">
        <f t="shared" si="113"/>
        <v>Low</v>
      </c>
      <c r="U2394" t="str">
        <f t="shared" si="114"/>
        <v>Short Days</v>
      </c>
    </row>
    <row r="2395" spans="1:21">
      <c r="A2395" t="s">
        <v>2411</v>
      </c>
      <c r="B2395" s="5">
        <v>45818</v>
      </c>
      <c r="C2395" t="s">
        <v>4046</v>
      </c>
      <c r="D2395" t="s">
        <v>4817</v>
      </c>
      <c r="E2395" t="s">
        <v>4866</v>
      </c>
      <c r="F2395">
        <v>34</v>
      </c>
      <c r="G2395" t="s">
        <v>4871</v>
      </c>
      <c r="H2395" t="s">
        <v>4886</v>
      </c>
      <c r="I2395" t="s">
        <v>4898</v>
      </c>
      <c r="J2395" t="s">
        <v>4918</v>
      </c>
      <c r="K2395" t="s">
        <v>4929</v>
      </c>
      <c r="L2395" t="s">
        <v>4939</v>
      </c>
      <c r="M2395" t="s">
        <v>4942</v>
      </c>
      <c r="N2395" s="11">
        <v>9500.31</v>
      </c>
      <c r="O2395" t="s">
        <v>4946</v>
      </c>
      <c r="P2395" t="s">
        <v>4951</v>
      </c>
      <c r="R2395">
        <v>30</v>
      </c>
      <c r="S2395" t="str">
        <f t="shared" si="112"/>
        <v>Adult</v>
      </c>
      <c r="T2395" t="str">
        <f t="shared" si="113"/>
        <v>Medium</v>
      </c>
      <c r="U2395" t="str">
        <f t="shared" si="114"/>
        <v>Short Days</v>
      </c>
    </row>
    <row r="2396" spans="1:21">
      <c r="A2396" t="s">
        <v>2412</v>
      </c>
      <c r="B2396" s="5">
        <v>45439</v>
      </c>
      <c r="C2396" t="s">
        <v>4415</v>
      </c>
      <c r="D2396" t="s">
        <v>4796</v>
      </c>
      <c r="E2396" t="s">
        <v>4866</v>
      </c>
      <c r="F2396">
        <v>52</v>
      </c>
      <c r="G2396" t="s">
        <v>4880</v>
      </c>
      <c r="H2396" t="s">
        <v>4890</v>
      </c>
      <c r="I2396" t="s">
        <v>4894</v>
      </c>
      <c r="J2396" t="s">
        <v>4904</v>
      </c>
      <c r="K2396" t="s">
        <v>4929</v>
      </c>
      <c r="L2396" t="s">
        <v>4935</v>
      </c>
      <c r="M2396" t="s">
        <v>4942</v>
      </c>
      <c r="N2396" s="11">
        <v>12561.1</v>
      </c>
      <c r="O2396" t="s">
        <v>4946</v>
      </c>
      <c r="P2396" t="s">
        <v>4951</v>
      </c>
      <c r="S2396" t="str">
        <f t="shared" si="112"/>
        <v>Middle-Aged</v>
      </c>
      <c r="T2396" t="str">
        <f t="shared" si="113"/>
        <v>High</v>
      </c>
      <c r="U2396" t="str">
        <f t="shared" si="114"/>
        <v>Short Days</v>
      </c>
    </row>
    <row r="2397" spans="1:21">
      <c r="A2397" t="s">
        <v>2413</v>
      </c>
      <c r="B2397" s="5">
        <v>45517</v>
      </c>
      <c r="C2397" t="s">
        <v>3151</v>
      </c>
      <c r="D2397" t="s">
        <v>4636</v>
      </c>
      <c r="E2397" t="s">
        <v>4867</v>
      </c>
      <c r="F2397">
        <v>61</v>
      </c>
      <c r="G2397" t="s">
        <v>4883</v>
      </c>
      <c r="H2397" t="s">
        <v>4892</v>
      </c>
      <c r="I2397" t="s">
        <v>4893</v>
      </c>
      <c r="J2397" t="s">
        <v>4903</v>
      </c>
      <c r="K2397" t="s">
        <v>4931</v>
      </c>
      <c r="L2397" t="s">
        <v>4935</v>
      </c>
      <c r="M2397" t="s">
        <v>4944</v>
      </c>
      <c r="N2397" s="11">
        <v>12317.48</v>
      </c>
      <c r="O2397" t="s">
        <v>15</v>
      </c>
      <c r="P2397" t="s">
        <v>4952</v>
      </c>
      <c r="R2397">
        <v>7</v>
      </c>
      <c r="S2397" t="str">
        <f t="shared" si="112"/>
        <v>Senior</v>
      </c>
      <c r="T2397" t="str">
        <f t="shared" si="113"/>
        <v>High</v>
      </c>
      <c r="U2397" t="str">
        <f t="shared" si="114"/>
        <v>Short Days</v>
      </c>
    </row>
    <row r="2398" spans="1:21">
      <c r="A2398" t="s">
        <v>2414</v>
      </c>
      <c r="B2398" s="5">
        <v>45627</v>
      </c>
      <c r="C2398" t="s">
        <v>3935</v>
      </c>
      <c r="D2398" t="s">
        <v>4612</v>
      </c>
      <c r="E2398" t="s">
        <v>4866</v>
      </c>
      <c r="F2398">
        <v>3</v>
      </c>
      <c r="G2398" t="s">
        <v>4873</v>
      </c>
      <c r="H2398" t="s">
        <v>4888</v>
      </c>
      <c r="I2398" t="s">
        <v>4897</v>
      </c>
      <c r="J2398" t="s">
        <v>4907</v>
      </c>
      <c r="K2398" t="s">
        <v>4925</v>
      </c>
      <c r="L2398" t="s">
        <v>4935</v>
      </c>
      <c r="M2398" t="s">
        <v>4942</v>
      </c>
      <c r="N2398" s="11">
        <v>13120.59</v>
      </c>
      <c r="O2398" t="s">
        <v>4947</v>
      </c>
      <c r="P2398" t="s">
        <v>4951</v>
      </c>
      <c r="R2398">
        <v>90</v>
      </c>
      <c r="S2398" t="str">
        <f t="shared" si="112"/>
        <v>Child</v>
      </c>
      <c r="T2398" t="str">
        <f t="shared" si="113"/>
        <v>High</v>
      </c>
      <c r="U2398" t="str">
        <f t="shared" si="114"/>
        <v>Short Days</v>
      </c>
    </row>
    <row r="2399" spans="1:21">
      <c r="A2399" t="s">
        <v>2415</v>
      </c>
      <c r="B2399" s="5">
        <v>45564</v>
      </c>
      <c r="C2399" t="s">
        <v>4416</v>
      </c>
      <c r="D2399" t="s">
        <v>4593</v>
      </c>
      <c r="E2399" t="s">
        <v>4867</v>
      </c>
      <c r="F2399">
        <v>63</v>
      </c>
      <c r="G2399" t="s">
        <v>4869</v>
      </c>
      <c r="H2399" t="s">
        <v>4884</v>
      </c>
      <c r="I2399" t="s">
        <v>4899</v>
      </c>
      <c r="J2399" t="s">
        <v>4911</v>
      </c>
      <c r="K2399" t="s">
        <v>4925</v>
      </c>
      <c r="L2399" t="s">
        <v>4936</v>
      </c>
      <c r="M2399" t="s">
        <v>4943</v>
      </c>
      <c r="N2399" s="11">
        <v>15590.09</v>
      </c>
      <c r="O2399" t="s">
        <v>4947</v>
      </c>
      <c r="P2399" t="s">
        <v>4951</v>
      </c>
      <c r="R2399">
        <v>7</v>
      </c>
      <c r="S2399" t="str">
        <f t="shared" si="112"/>
        <v>Senior</v>
      </c>
      <c r="T2399" t="str">
        <f t="shared" si="113"/>
        <v>High</v>
      </c>
      <c r="U2399" t="str">
        <f t="shared" si="114"/>
        <v>Short Days</v>
      </c>
    </row>
    <row r="2400" spans="1:21">
      <c r="A2400" t="s">
        <v>2416</v>
      </c>
      <c r="B2400" s="5">
        <v>45937</v>
      </c>
      <c r="C2400" t="s">
        <v>4090</v>
      </c>
      <c r="D2400" t="s">
        <v>4806</v>
      </c>
      <c r="E2400" t="s">
        <v>4866</v>
      </c>
      <c r="F2400">
        <v>32</v>
      </c>
      <c r="G2400" t="s">
        <v>4883</v>
      </c>
      <c r="H2400" t="s">
        <v>4892</v>
      </c>
      <c r="I2400" t="s">
        <v>4897</v>
      </c>
      <c r="J2400" t="s">
        <v>4922</v>
      </c>
      <c r="K2400" t="s">
        <v>4928</v>
      </c>
      <c r="L2400" t="s">
        <v>4937</v>
      </c>
      <c r="M2400" t="s">
        <v>4942</v>
      </c>
      <c r="N2400" s="11">
        <v>3969.14</v>
      </c>
      <c r="O2400" t="s">
        <v>4949</v>
      </c>
      <c r="P2400" t="s">
        <v>4951</v>
      </c>
      <c r="S2400" t="str">
        <f t="shared" si="112"/>
        <v>Adult</v>
      </c>
      <c r="T2400" t="str">
        <f t="shared" si="113"/>
        <v>Low</v>
      </c>
      <c r="U2400" t="str">
        <f t="shared" si="114"/>
        <v>Short Days</v>
      </c>
    </row>
    <row r="2401" spans="1:21">
      <c r="A2401" t="s">
        <v>2417</v>
      </c>
      <c r="B2401" s="5">
        <v>45569</v>
      </c>
      <c r="C2401" t="s">
        <v>4417</v>
      </c>
      <c r="D2401" t="s">
        <v>4819</v>
      </c>
      <c r="E2401" t="s">
        <v>4867</v>
      </c>
      <c r="F2401">
        <v>56</v>
      </c>
      <c r="G2401" t="s">
        <v>4878</v>
      </c>
      <c r="H2401" t="s">
        <v>4889</v>
      </c>
      <c r="I2401" t="s">
        <v>4893</v>
      </c>
      <c r="J2401" t="s">
        <v>4917</v>
      </c>
      <c r="K2401" t="s">
        <v>4925</v>
      </c>
      <c r="L2401" t="s">
        <v>4934</v>
      </c>
      <c r="M2401" t="s">
        <v>4943</v>
      </c>
      <c r="N2401" s="11">
        <v>7894.16</v>
      </c>
      <c r="O2401" t="s">
        <v>15</v>
      </c>
      <c r="P2401" t="s">
        <v>4952</v>
      </c>
      <c r="R2401">
        <v>14</v>
      </c>
      <c r="S2401" t="str">
        <f t="shared" si="112"/>
        <v>Middle-Aged</v>
      </c>
      <c r="T2401" t="str">
        <f t="shared" si="113"/>
        <v>Medium</v>
      </c>
      <c r="U2401" t="str">
        <f t="shared" si="114"/>
        <v>Short Days</v>
      </c>
    </row>
    <row r="2402" spans="1:21">
      <c r="A2402" t="s">
        <v>2418</v>
      </c>
      <c r="B2402" s="5">
        <v>45628</v>
      </c>
      <c r="C2402" t="s">
        <v>3690</v>
      </c>
      <c r="D2402" t="s">
        <v>4687</v>
      </c>
      <c r="E2402" t="s">
        <v>4866</v>
      </c>
      <c r="F2402">
        <v>55</v>
      </c>
      <c r="G2402" t="s">
        <v>4879</v>
      </c>
      <c r="H2402" t="s">
        <v>4888</v>
      </c>
      <c r="I2402" t="s">
        <v>4900</v>
      </c>
      <c r="J2402" t="s">
        <v>4913</v>
      </c>
      <c r="K2402" t="s">
        <v>4953</v>
      </c>
      <c r="L2402" t="s">
        <v>4936</v>
      </c>
      <c r="M2402" t="s">
        <v>4944</v>
      </c>
      <c r="N2402" s="11">
        <v>7171.78</v>
      </c>
      <c r="O2402" t="s">
        <v>15</v>
      </c>
      <c r="P2402" t="s">
        <v>4952</v>
      </c>
      <c r="R2402">
        <v>30</v>
      </c>
      <c r="S2402" t="str">
        <f t="shared" si="112"/>
        <v>Middle-Aged</v>
      </c>
      <c r="T2402" t="str">
        <f t="shared" si="113"/>
        <v>Medium</v>
      </c>
      <c r="U2402" t="str">
        <f t="shared" si="114"/>
        <v>Short Days</v>
      </c>
    </row>
    <row r="2403" spans="1:21">
      <c r="A2403" t="s">
        <v>2419</v>
      </c>
      <c r="B2403" s="5">
        <v>45849</v>
      </c>
      <c r="C2403" t="s">
        <v>3865</v>
      </c>
      <c r="D2403" t="s">
        <v>4586</v>
      </c>
      <c r="E2403" t="s">
        <v>4867</v>
      </c>
      <c r="F2403">
        <v>74</v>
      </c>
      <c r="G2403" t="s">
        <v>4879</v>
      </c>
      <c r="H2403" t="s">
        <v>4888</v>
      </c>
      <c r="I2403" t="s">
        <v>4895</v>
      </c>
      <c r="J2403" t="s">
        <v>4915</v>
      </c>
      <c r="K2403" t="s">
        <v>4930</v>
      </c>
      <c r="L2403" t="s">
        <v>4935</v>
      </c>
      <c r="M2403" t="s">
        <v>4942</v>
      </c>
      <c r="N2403" s="11">
        <v>5377.77</v>
      </c>
      <c r="O2403" t="s">
        <v>4950</v>
      </c>
      <c r="P2403" t="s">
        <v>4951</v>
      </c>
      <c r="R2403">
        <v>90</v>
      </c>
      <c r="S2403" t="str">
        <f t="shared" si="112"/>
        <v>Senior</v>
      </c>
      <c r="T2403" t="str">
        <f t="shared" si="113"/>
        <v>Medium</v>
      </c>
      <c r="U2403" t="str">
        <f t="shared" si="114"/>
        <v>Short Days</v>
      </c>
    </row>
    <row r="2404" spans="1:21">
      <c r="A2404" t="s">
        <v>2420</v>
      </c>
      <c r="B2404" s="5">
        <v>45779</v>
      </c>
      <c r="C2404" t="s">
        <v>3419</v>
      </c>
      <c r="D2404" t="s">
        <v>4747</v>
      </c>
      <c r="E2404" t="s">
        <v>4866</v>
      </c>
      <c r="F2404">
        <v>48</v>
      </c>
      <c r="G2404" t="s">
        <v>4870</v>
      </c>
      <c r="H2404" t="s">
        <v>4885</v>
      </c>
      <c r="I2404" t="s">
        <v>4894</v>
      </c>
      <c r="J2404" t="s">
        <v>4904</v>
      </c>
      <c r="K2404" t="s">
        <v>4932</v>
      </c>
      <c r="L2404" t="s">
        <v>4935</v>
      </c>
      <c r="M2404" t="s">
        <v>4944</v>
      </c>
      <c r="N2404" s="11">
        <v>6376.22</v>
      </c>
      <c r="O2404" t="s">
        <v>4946</v>
      </c>
      <c r="P2404" t="s">
        <v>4951</v>
      </c>
      <c r="R2404">
        <v>90</v>
      </c>
      <c r="S2404" t="str">
        <f t="shared" si="112"/>
        <v>Middle-Aged</v>
      </c>
      <c r="T2404" t="str">
        <f t="shared" si="113"/>
        <v>Medium</v>
      </c>
      <c r="U2404" t="str">
        <f t="shared" si="114"/>
        <v>Short Days</v>
      </c>
    </row>
    <row r="2405" spans="1:21">
      <c r="A2405" t="s">
        <v>2421</v>
      </c>
      <c r="B2405" s="5">
        <v>45353</v>
      </c>
      <c r="C2405" t="s">
        <v>3787</v>
      </c>
      <c r="D2405" t="s">
        <v>4679</v>
      </c>
      <c r="E2405" t="s">
        <v>4866</v>
      </c>
      <c r="F2405">
        <v>33</v>
      </c>
      <c r="G2405" t="s">
        <v>4874</v>
      </c>
      <c r="H2405" t="s">
        <v>4886</v>
      </c>
      <c r="I2405" t="s">
        <v>4893</v>
      </c>
      <c r="J2405" t="s">
        <v>4917</v>
      </c>
      <c r="K2405" t="s">
        <v>4925</v>
      </c>
      <c r="L2405" t="s">
        <v>4939</v>
      </c>
      <c r="M2405" t="s">
        <v>4942</v>
      </c>
      <c r="N2405" s="11">
        <v>5992.61</v>
      </c>
      <c r="O2405" t="s">
        <v>4950</v>
      </c>
      <c r="P2405" t="s">
        <v>4951</v>
      </c>
      <c r="R2405">
        <v>30</v>
      </c>
      <c r="S2405" t="str">
        <f t="shared" si="112"/>
        <v>Adult</v>
      </c>
      <c r="T2405" t="str">
        <f t="shared" si="113"/>
        <v>Medium</v>
      </c>
      <c r="U2405" t="str">
        <f t="shared" si="114"/>
        <v>Short Days</v>
      </c>
    </row>
    <row r="2406" spans="1:21">
      <c r="A2406" t="s">
        <v>2422</v>
      </c>
      <c r="B2406" s="5">
        <v>45655</v>
      </c>
      <c r="C2406" t="s">
        <v>4418</v>
      </c>
      <c r="D2406" t="s">
        <v>4662</v>
      </c>
      <c r="E2406" t="s">
        <v>4866</v>
      </c>
      <c r="F2406">
        <v>22</v>
      </c>
      <c r="G2406" t="s">
        <v>4883</v>
      </c>
      <c r="H2406" t="s">
        <v>4892</v>
      </c>
      <c r="I2406" t="s">
        <v>4893</v>
      </c>
      <c r="J2406" t="s">
        <v>4903</v>
      </c>
      <c r="K2406" t="s">
        <v>4932</v>
      </c>
      <c r="L2406" t="s">
        <v>4934</v>
      </c>
      <c r="M2406" t="s">
        <v>4942</v>
      </c>
      <c r="N2406" s="11">
        <v>6268.41</v>
      </c>
      <c r="O2406" t="s">
        <v>4946</v>
      </c>
      <c r="P2406" t="s">
        <v>4951</v>
      </c>
      <c r="S2406" t="str">
        <f t="shared" si="112"/>
        <v>Adult</v>
      </c>
      <c r="T2406" t="str">
        <f t="shared" si="113"/>
        <v>Medium</v>
      </c>
      <c r="U2406" t="str">
        <f t="shared" si="114"/>
        <v>Short Days</v>
      </c>
    </row>
    <row r="2407" spans="1:21">
      <c r="A2407" t="s">
        <v>2423</v>
      </c>
      <c r="B2407" s="5">
        <v>45591</v>
      </c>
      <c r="C2407" t="s">
        <v>4419</v>
      </c>
      <c r="D2407" t="s">
        <v>4713</v>
      </c>
      <c r="E2407" t="s">
        <v>4867</v>
      </c>
      <c r="F2407">
        <v>33</v>
      </c>
      <c r="G2407" t="s">
        <v>4881</v>
      </c>
      <c r="H2407" t="s">
        <v>4881</v>
      </c>
      <c r="I2407" t="s">
        <v>4900</v>
      </c>
      <c r="J2407" t="s">
        <v>4913</v>
      </c>
      <c r="K2407" t="s">
        <v>4925</v>
      </c>
      <c r="L2407" t="s">
        <v>4934</v>
      </c>
      <c r="M2407" t="s">
        <v>4944</v>
      </c>
      <c r="N2407" s="11">
        <v>5726.37</v>
      </c>
      <c r="O2407" t="s">
        <v>4948</v>
      </c>
      <c r="P2407" t="s">
        <v>4951</v>
      </c>
      <c r="R2407">
        <v>14</v>
      </c>
      <c r="S2407" t="str">
        <f t="shared" si="112"/>
        <v>Adult</v>
      </c>
      <c r="T2407" t="str">
        <f t="shared" si="113"/>
        <v>Medium</v>
      </c>
      <c r="U2407" t="str">
        <f t="shared" si="114"/>
        <v>Short Days</v>
      </c>
    </row>
    <row r="2408" spans="1:21">
      <c r="A2408" t="s">
        <v>2424</v>
      </c>
      <c r="B2408" s="5">
        <v>45888</v>
      </c>
      <c r="C2408" t="s">
        <v>4420</v>
      </c>
      <c r="D2408" t="s">
        <v>4639</v>
      </c>
      <c r="E2408" t="s">
        <v>4866</v>
      </c>
      <c r="F2408">
        <v>49</v>
      </c>
      <c r="G2408" t="s">
        <v>4876</v>
      </c>
      <c r="H2408" t="s">
        <v>4888</v>
      </c>
      <c r="I2408" t="s">
        <v>4894</v>
      </c>
      <c r="J2408" t="s">
        <v>4910</v>
      </c>
      <c r="K2408" t="s">
        <v>4932</v>
      </c>
      <c r="L2408" t="s">
        <v>4940</v>
      </c>
      <c r="M2408" t="s">
        <v>4944</v>
      </c>
      <c r="N2408" s="11">
        <v>14241.69</v>
      </c>
      <c r="O2408" t="s">
        <v>4947</v>
      </c>
      <c r="P2408" t="s">
        <v>4951</v>
      </c>
      <c r="R2408">
        <v>90</v>
      </c>
      <c r="S2408" t="str">
        <f t="shared" si="112"/>
        <v>Middle-Aged</v>
      </c>
      <c r="T2408" t="str">
        <f t="shared" si="113"/>
        <v>High</v>
      </c>
      <c r="U2408" t="str">
        <f t="shared" si="114"/>
        <v>Short Days</v>
      </c>
    </row>
    <row r="2409" spans="1:21">
      <c r="A2409" t="s">
        <v>2425</v>
      </c>
      <c r="B2409" s="5">
        <v>45331</v>
      </c>
      <c r="C2409" t="s">
        <v>4421</v>
      </c>
      <c r="D2409" t="s">
        <v>4787</v>
      </c>
      <c r="E2409" t="s">
        <v>4867</v>
      </c>
      <c r="F2409">
        <v>24</v>
      </c>
      <c r="G2409" t="s">
        <v>4871</v>
      </c>
      <c r="H2409" t="s">
        <v>4886</v>
      </c>
      <c r="I2409" t="s">
        <v>4898</v>
      </c>
      <c r="J2409" t="s">
        <v>4909</v>
      </c>
      <c r="K2409" t="s">
        <v>4927</v>
      </c>
      <c r="L2409" t="s">
        <v>4935</v>
      </c>
      <c r="M2409" t="s">
        <v>4942</v>
      </c>
      <c r="N2409" s="11">
        <v>2383.61</v>
      </c>
      <c r="O2409" t="s">
        <v>4946</v>
      </c>
      <c r="P2409" t="s">
        <v>4951</v>
      </c>
      <c r="R2409">
        <v>90</v>
      </c>
      <c r="S2409" t="str">
        <f t="shared" si="112"/>
        <v>Adult</v>
      </c>
      <c r="T2409" t="str">
        <f t="shared" si="113"/>
        <v>Low</v>
      </c>
      <c r="U2409" t="str">
        <f t="shared" si="114"/>
        <v>Short Days</v>
      </c>
    </row>
    <row r="2410" spans="1:21">
      <c r="A2410" t="s">
        <v>2426</v>
      </c>
      <c r="B2410" s="5">
        <v>45853</v>
      </c>
      <c r="C2410" t="s">
        <v>3317</v>
      </c>
      <c r="D2410" t="s">
        <v>4858</v>
      </c>
      <c r="E2410" t="s">
        <v>4866</v>
      </c>
      <c r="F2410">
        <v>18</v>
      </c>
      <c r="G2410" t="s">
        <v>4874</v>
      </c>
      <c r="H2410" t="s">
        <v>4886</v>
      </c>
      <c r="I2410" t="s">
        <v>4898</v>
      </c>
      <c r="J2410" t="s">
        <v>4923</v>
      </c>
      <c r="K2410" t="s">
        <v>4931</v>
      </c>
      <c r="L2410" t="s">
        <v>4939</v>
      </c>
      <c r="M2410" t="s">
        <v>4942</v>
      </c>
      <c r="N2410" s="11">
        <v>11491.43</v>
      </c>
      <c r="O2410" t="s">
        <v>4947</v>
      </c>
      <c r="P2410" t="s">
        <v>4951</v>
      </c>
      <c r="S2410" t="str">
        <f t="shared" si="112"/>
        <v>Adult</v>
      </c>
      <c r="T2410" t="str">
        <f t="shared" si="113"/>
        <v>High</v>
      </c>
      <c r="U2410" t="str">
        <f t="shared" si="114"/>
        <v>Short Days</v>
      </c>
    </row>
    <row r="2411" spans="1:21">
      <c r="A2411" t="s">
        <v>2427</v>
      </c>
      <c r="B2411" s="5">
        <v>45346</v>
      </c>
      <c r="C2411" t="s">
        <v>4422</v>
      </c>
      <c r="D2411" t="s">
        <v>4622</v>
      </c>
      <c r="E2411" t="s">
        <v>4867</v>
      </c>
      <c r="F2411">
        <v>19</v>
      </c>
      <c r="G2411" t="s">
        <v>4879</v>
      </c>
      <c r="H2411" t="s">
        <v>4888</v>
      </c>
      <c r="I2411" t="s">
        <v>4901</v>
      </c>
      <c r="J2411" t="s">
        <v>4914</v>
      </c>
      <c r="K2411" t="s">
        <v>4930</v>
      </c>
      <c r="L2411" t="s">
        <v>4939</v>
      </c>
      <c r="M2411" t="s">
        <v>4942</v>
      </c>
      <c r="N2411" s="11">
        <v>2329.8200000000002</v>
      </c>
      <c r="O2411" t="s">
        <v>15</v>
      </c>
      <c r="P2411" t="s">
        <v>4952</v>
      </c>
      <c r="S2411" t="str">
        <f t="shared" si="112"/>
        <v>Adult</v>
      </c>
      <c r="T2411" t="str">
        <f t="shared" si="113"/>
        <v>Low</v>
      </c>
      <c r="U2411" t="str">
        <f t="shared" si="114"/>
        <v>Short Days</v>
      </c>
    </row>
    <row r="2412" spans="1:21">
      <c r="A2412" t="s">
        <v>2428</v>
      </c>
      <c r="B2412" s="5">
        <v>45870</v>
      </c>
      <c r="C2412" t="s">
        <v>4423</v>
      </c>
      <c r="D2412" t="s">
        <v>4756</v>
      </c>
      <c r="E2412" t="s">
        <v>4868</v>
      </c>
      <c r="F2412">
        <v>70</v>
      </c>
      <c r="G2412" t="s">
        <v>4876</v>
      </c>
      <c r="H2412" t="s">
        <v>4888</v>
      </c>
      <c r="I2412" t="s">
        <v>4902</v>
      </c>
      <c r="J2412" t="s">
        <v>4916</v>
      </c>
      <c r="K2412" t="s">
        <v>4931</v>
      </c>
      <c r="L2412" t="s">
        <v>4937</v>
      </c>
      <c r="M2412" t="s">
        <v>4942</v>
      </c>
      <c r="N2412" s="11">
        <v>3848.11</v>
      </c>
      <c r="O2412" t="s">
        <v>4946</v>
      </c>
      <c r="P2412" t="s">
        <v>4951</v>
      </c>
      <c r="R2412">
        <v>14</v>
      </c>
      <c r="S2412" t="str">
        <f t="shared" si="112"/>
        <v>Senior</v>
      </c>
      <c r="T2412" t="str">
        <f t="shared" si="113"/>
        <v>Low</v>
      </c>
      <c r="U2412" t="str">
        <f t="shared" si="114"/>
        <v>Short Days</v>
      </c>
    </row>
    <row r="2413" spans="1:21">
      <c r="A2413" t="s">
        <v>2429</v>
      </c>
      <c r="B2413" s="5">
        <v>45297</v>
      </c>
      <c r="C2413" t="s">
        <v>3744</v>
      </c>
      <c r="D2413" t="s">
        <v>4782</v>
      </c>
      <c r="E2413" t="s">
        <v>4867</v>
      </c>
      <c r="F2413">
        <v>39</v>
      </c>
      <c r="G2413" t="s">
        <v>4874</v>
      </c>
      <c r="H2413" t="s">
        <v>4886</v>
      </c>
      <c r="I2413" t="s">
        <v>4899</v>
      </c>
      <c r="J2413" t="s">
        <v>4912</v>
      </c>
      <c r="K2413" t="s">
        <v>4928</v>
      </c>
      <c r="L2413" t="s">
        <v>4938</v>
      </c>
      <c r="M2413" t="s">
        <v>4944</v>
      </c>
      <c r="N2413" s="11">
        <v>11236.83</v>
      </c>
      <c r="O2413" t="s">
        <v>4948</v>
      </c>
      <c r="P2413" t="s">
        <v>4951</v>
      </c>
      <c r="R2413">
        <v>14</v>
      </c>
      <c r="S2413" t="str">
        <f t="shared" si="112"/>
        <v>Adult</v>
      </c>
      <c r="T2413" t="str">
        <f t="shared" si="113"/>
        <v>High</v>
      </c>
      <c r="U2413" t="str">
        <f t="shared" si="114"/>
        <v>Short Days</v>
      </c>
    </row>
    <row r="2414" spans="1:21">
      <c r="A2414" t="s">
        <v>2430</v>
      </c>
      <c r="B2414" s="5">
        <v>45642</v>
      </c>
      <c r="C2414" t="s">
        <v>3823</v>
      </c>
      <c r="D2414" t="s">
        <v>4673</v>
      </c>
      <c r="E2414" t="s">
        <v>4866</v>
      </c>
      <c r="F2414">
        <v>47</v>
      </c>
      <c r="G2414" t="s">
        <v>4874</v>
      </c>
      <c r="H2414" t="s">
        <v>4886</v>
      </c>
      <c r="I2414" t="s">
        <v>4899</v>
      </c>
      <c r="J2414" t="s">
        <v>4912</v>
      </c>
      <c r="K2414" t="s">
        <v>4928</v>
      </c>
      <c r="L2414" t="s">
        <v>4941</v>
      </c>
      <c r="M2414" t="s">
        <v>4944</v>
      </c>
      <c r="N2414" s="11">
        <v>13512.94</v>
      </c>
      <c r="O2414" t="s">
        <v>4947</v>
      </c>
      <c r="P2414" t="s">
        <v>4951</v>
      </c>
      <c r="S2414" t="str">
        <f t="shared" si="112"/>
        <v>Middle-Aged</v>
      </c>
      <c r="T2414" t="str">
        <f t="shared" si="113"/>
        <v>High</v>
      </c>
      <c r="U2414" t="str">
        <f t="shared" si="114"/>
        <v>Short Days</v>
      </c>
    </row>
    <row r="2415" spans="1:21">
      <c r="A2415" t="s">
        <v>2431</v>
      </c>
      <c r="B2415" s="5">
        <v>45783</v>
      </c>
      <c r="C2415" t="s">
        <v>3752</v>
      </c>
      <c r="D2415" t="s">
        <v>4695</v>
      </c>
      <c r="E2415" t="s">
        <v>4867</v>
      </c>
      <c r="F2415">
        <v>17</v>
      </c>
      <c r="G2415" t="s">
        <v>4875</v>
      </c>
      <c r="H2415" t="s">
        <v>4889</v>
      </c>
      <c r="I2415" t="s">
        <v>4902</v>
      </c>
      <c r="J2415" t="s">
        <v>4920</v>
      </c>
      <c r="K2415" t="s">
        <v>4933</v>
      </c>
      <c r="L2415" t="s">
        <v>4941</v>
      </c>
      <c r="M2415" t="s">
        <v>4942</v>
      </c>
      <c r="N2415" s="11">
        <v>9424.17</v>
      </c>
      <c r="O2415" t="s">
        <v>4946</v>
      </c>
      <c r="P2415" t="s">
        <v>4951</v>
      </c>
      <c r="R2415">
        <v>7</v>
      </c>
      <c r="S2415" t="str">
        <f t="shared" si="112"/>
        <v>Child</v>
      </c>
      <c r="T2415" t="str">
        <f t="shared" si="113"/>
        <v>Medium</v>
      </c>
      <c r="U2415" t="str">
        <f t="shared" si="114"/>
        <v>Short Days</v>
      </c>
    </row>
    <row r="2416" spans="1:21">
      <c r="A2416" t="s">
        <v>2432</v>
      </c>
      <c r="B2416" s="5">
        <v>45670</v>
      </c>
      <c r="C2416" t="s">
        <v>3440</v>
      </c>
      <c r="D2416" t="s">
        <v>4759</v>
      </c>
      <c r="E2416" t="s">
        <v>4867</v>
      </c>
      <c r="F2416">
        <v>80</v>
      </c>
      <c r="G2416" t="s">
        <v>4880</v>
      </c>
      <c r="H2416" t="s">
        <v>4890</v>
      </c>
      <c r="I2416" t="s">
        <v>4900</v>
      </c>
      <c r="J2416" t="s">
        <v>4913</v>
      </c>
      <c r="K2416" t="s">
        <v>4933</v>
      </c>
      <c r="L2416" t="s">
        <v>4934</v>
      </c>
      <c r="M2416" t="s">
        <v>4942</v>
      </c>
      <c r="N2416" s="11">
        <v>1862.9</v>
      </c>
      <c r="O2416" t="s">
        <v>15</v>
      </c>
      <c r="P2416" t="s">
        <v>4952</v>
      </c>
      <c r="R2416">
        <v>90</v>
      </c>
      <c r="S2416" t="str">
        <f t="shared" si="112"/>
        <v>Senior</v>
      </c>
      <c r="T2416" t="str">
        <f t="shared" si="113"/>
        <v>Low</v>
      </c>
      <c r="U2416" t="str">
        <f t="shared" si="114"/>
        <v>Short Days</v>
      </c>
    </row>
    <row r="2417" spans="1:21">
      <c r="A2417" t="s">
        <v>2433</v>
      </c>
      <c r="B2417" s="5">
        <v>45486</v>
      </c>
      <c r="C2417" t="s">
        <v>4424</v>
      </c>
      <c r="D2417" t="s">
        <v>4733</v>
      </c>
      <c r="E2417" t="s">
        <v>4866</v>
      </c>
      <c r="F2417">
        <v>74</v>
      </c>
      <c r="G2417" t="s">
        <v>4871</v>
      </c>
      <c r="H2417" t="s">
        <v>4886</v>
      </c>
      <c r="I2417" t="s">
        <v>4893</v>
      </c>
      <c r="J2417" t="s">
        <v>4917</v>
      </c>
      <c r="K2417" t="s">
        <v>4927</v>
      </c>
      <c r="L2417" t="s">
        <v>4937</v>
      </c>
      <c r="M2417" t="s">
        <v>4942</v>
      </c>
      <c r="N2417" s="11">
        <v>4910</v>
      </c>
      <c r="O2417" t="s">
        <v>4948</v>
      </c>
      <c r="P2417" t="s">
        <v>4951</v>
      </c>
      <c r="R2417">
        <v>14</v>
      </c>
      <c r="S2417" t="str">
        <f t="shared" si="112"/>
        <v>Senior</v>
      </c>
      <c r="T2417" t="str">
        <f t="shared" si="113"/>
        <v>Low</v>
      </c>
      <c r="U2417" t="str">
        <f t="shared" si="114"/>
        <v>Short Days</v>
      </c>
    </row>
    <row r="2418" spans="1:21">
      <c r="A2418" t="s">
        <v>2434</v>
      </c>
      <c r="B2418" s="5">
        <v>45458</v>
      </c>
      <c r="C2418" t="s">
        <v>3228</v>
      </c>
      <c r="D2418" t="s">
        <v>4605</v>
      </c>
      <c r="E2418" t="s">
        <v>4867</v>
      </c>
      <c r="F2418">
        <v>18</v>
      </c>
      <c r="G2418" t="s">
        <v>4876</v>
      </c>
      <c r="H2418" t="s">
        <v>4888</v>
      </c>
      <c r="I2418" t="s">
        <v>4900</v>
      </c>
      <c r="J2418" t="s">
        <v>4919</v>
      </c>
      <c r="K2418" t="s">
        <v>4933</v>
      </c>
      <c r="L2418" t="s">
        <v>4937</v>
      </c>
      <c r="M2418" t="s">
        <v>4943</v>
      </c>
      <c r="N2418" s="11">
        <v>12785.84</v>
      </c>
      <c r="O2418" t="s">
        <v>4946</v>
      </c>
      <c r="P2418" t="s">
        <v>4951</v>
      </c>
      <c r="R2418">
        <v>14</v>
      </c>
      <c r="S2418" t="str">
        <f t="shared" si="112"/>
        <v>Adult</v>
      </c>
      <c r="T2418" t="str">
        <f t="shared" si="113"/>
        <v>High</v>
      </c>
      <c r="U2418" t="str">
        <f t="shared" si="114"/>
        <v>Short Days</v>
      </c>
    </row>
    <row r="2419" spans="1:21">
      <c r="A2419" t="s">
        <v>2435</v>
      </c>
      <c r="B2419" s="5">
        <v>45647</v>
      </c>
      <c r="C2419" t="s">
        <v>4124</v>
      </c>
      <c r="D2419" t="s">
        <v>4800</v>
      </c>
      <c r="E2419" t="s">
        <v>4868</v>
      </c>
      <c r="F2419">
        <v>35</v>
      </c>
      <c r="G2419" t="s">
        <v>4875</v>
      </c>
      <c r="H2419" t="s">
        <v>4889</v>
      </c>
      <c r="I2419" t="s">
        <v>4899</v>
      </c>
      <c r="J2419" t="s">
        <v>4912</v>
      </c>
      <c r="K2419" t="s">
        <v>4929</v>
      </c>
      <c r="L2419" t="s">
        <v>4937</v>
      </c>
      <c r="M2419" t="s">
        <v>4942</v>
      </c>
      <c r="N2419" s="11">
        <v>2199.38</v>
      </c>
      <c r="O2419" t="s">
        <v>4950</v>
      </c>
      <c r="P2419" t="s">
        <v>4951</v>
      </c>
      <c r="R2419">
        <v>7</v>
      </c>
      <c r="S2419" t="str">
        <f t="shared" si="112"/>
        <v>Adult</v>
      </c>
      <c r="T2419" t="str">
        <f t="shared" si="113"/>
        <v>Low</v>
      </c>
      <c r="U2419" t="str">
        <f t="shared" si="114"/>
        <v>Short Days</v>
      </c>
    </row>
    <row r="2420" spans="1:21">
      <c r="A2420" t="s">
        <v>2436</v>
      </c>
      <c r="B2420" s="5">
        <v>45385</v>
      </c>
      <c r="C2420" t="s">
        <v>4181</v>
      </c>
      <c r="D2420" t="s">
        <v>4751</v>
      </c>
      <c r="E2420" t="s">
        <v>4867</v>
      </c>
      <c r="F2420">
        <v>38</v>
      </c>
      <c r="G2420" t="s">
        <v>4874</v>
      </c>
      <c r="H2420" t="s">
        <v>4886</v>
      </c>
      <c r="I2420" t="s">
        <v>4893</v>
      </c>
      <c r="J2420" t="s">
        <v>4903</v>
      </c>
      <c r="K2420" t="s">
        <v>4926</v>
      </c>
      <c r="L2420" t="s">
        <v>4935</v>
      </c>
      <c r="M2420" t="s">
        <v>4942</v>
      </c>
      <c r="N2420" s="11">
        <v>7158.14</v>
      </c>
      <c r="O2420" t="s">
        <v>4946</v>
      </c>
      <c r="P2420" t="s">
        <v>4951</v>
      </c>
      <c r="R2420">
        <v>30</v>
      </c>
      <c r="S2420" t="str">
        <f t="shared" si="112"/>
        <v>Adult</v>
      </c>
      <c r="T2420" t="str">
        <f t="shared" si="113"/>
        <v>Medium</v>
      </c>
      <c r="U2420" t="str">
        <f t="shared" si="114"/>
        <v>Short Days</v>
      </c>
    </row>
    <row r="2421" spans="1:21">
      <c r="A2421" t="s">
        <v>2437</v>
      </c>
      <c r="B2421" s="5">
        <v>45456</v>
      </c>
      <c r="C2421" t="s">
        <v>4425</v>
      </c>
      <c r="D2421" t="s">
        <v>4734</v>
      </c>
      <c r="E2421" t="s">
        <v>4866</v>
      </c>
      <c r="F2421">
        <v>30</v>
      </c>
      <c r="G2421" t="s">
        <v>4873</v>
      </c>
      <c r="H2421" t="s">
        <v>4888</v>
      </c>
      <c r="I2421" t="s">
        <v>4902</v>
      </c>
      <c r="J2421" t="s">
        <v>4920</v>
      </c>
      <c r="K2421" t="s">
        <v>4930</v>
      </c>
      <c r="L2421" t="s">
        <v>4937</v>
      </c>
      <c r="M2421" t="s">
        <v>4943</v>
      </c>
      <c r="N2421" s="11">
        <v>10874.3</v>
      </c>
      <c r="O2421" t="s">
        <v>4947</v>
      </c>
      <c r="P2421" t="s">
        <v>4951</v>
      </c>
      <c r="R2421">
        <v>30</v>
      </c>
      <c r="S2421" t="str">
        <f t="shared" si="112"/>
        <v>Adult</v>
      </c>
      <c r="T2421" t="str">
        <f t="shared" si="113"/>
        <v>High</v>
      </c>
      <c r="U2421" t="str">
        <f t="shared" si="114"/>
        <v>Short Days</v>
      </c>
    </row>
    <row r="2422" spans="1:21">
      <c r="A2422" t="s">
        <v>2438</v>
      </c>
      <c r="B2422" s="5">
        <v>45353</v>
      </c>
      <c r="C2422" t="s">
        <v>4426</v>
      </c>
      <c r="D2422" t="s">
        <v>4746</v>
      </c>
      <c r="E2422" t="s">
        <v>4867</v>
      </c>
      <c r="F2422">
        <v>37</v>
      </c>
      <c r="G2422" t="s">
        <v>4881</v>
      </c>
      <c r="H2422" t="s">
        <v>4881</v>
      </c>
      <c r="I2422" t="s">
        <v>4897</v>
      </c>
      <c r="J2422" t="s">
        <v>4922</v>
      </c>
      <c r="K2422" t="s">
        <v>4930</v>
      </c>
      <c r="L2422" t="s">
        <v>4941</v>
      </c>
      <c r="M2422" t="s">
        <v>4942</v>
      </c>
      <c r="N2422" s="11">
        <v>168.23</v>
      </c>
      <c r="O2422" t="s">
        <v>15</v>
      </c>
      <c r="P2422" t="s">
        <v>4952</v>
      </c>
      <c r="R2422">
        <v>14</v>
      </c>
      <c r="S2422" t="str">
        <f t="shared" si="112"/>
        <v>Adult</v>
      </c>
      <c r="T2422" t="str">
        <f t="shared" si="113"/>
        <v>Low</v>
      </c>
      <c r="U2422" t="str">
        <f t="shared" si="114"/>
        <v>Short Days</v>
      </c>
    </row>
    <row r="2423" spans="1:21">
      <c r="A2423" t="s">
        <v>2439</v>
      </c>
      <c r="B2423" s="5">
        <v>45911</v>
      </c>
      <c r="C2423" t="s">
        <v>4427</v>
      </c>
      <c r="D2423" t="s">
        <v>4783</v>
      </c>
      <c r="E2423" t="s">
        <v>4867</v>
      </c>
      <c r="F2423">
        <v>26</v>
      </c>
      <c r="G2423" t="s">
        <v>4879</v>
      </c>
      <c r="H2423" t="s">
        <v>4888</v>
      </c>
      <c r="I2423" t="s">
        <v>4897</v>
      </c>
      <c r="J2423" t="s">
        <v>4907</v>
      </c>
      <c r="K2423" t="s">
        <v>4926</v>
      </c>
      <c r="L2423" t="s">
        <v>4936</v>
      </c>
      <c r="M2423" t="s">
        <v>4942</v>
      </c>
      <c r="N2423" s="11">
        <v>6240.17</v>
      </c>
      <c r="O2423" t="s">
        <v>4947</v>
      </c>
      <c r="P2423" t="s">
        <v>4951</v>
      </c>
      <c r="R2423">
        <v>7</v>
      </c>
      <c r="S2423" t="str">
        <f t="shared" si="112"/>
        <v>Adult</v>
      </c>
      <c r="T2423" t="str">
        <f t="shared" si="113"/>
        <v>Medium</v>
      </c>
      <c r="U2423" t="str">
        <f t="shared" si="114"/>
        <v>Short Days</v>
      </c>
    </row>
    <row r="2424" spans="1:21">
      <c r="A2424" t="s">
        <v>2440</v>
      </c>
      <c r="B2424" s="5">
        <v>45722</v>
      </c>
      <c r="C2424" t="s">
        <v>3650</v>
      </c>
      <c r="D2424" t="s">
        <v>4768</v>
      </c>
      <c r="E2424" t="s">
        <v>4867</v>
      </c>
      <c r="F2424">
        <v>62</v>
      </c>
      <c r="G2424" t="s">
        <v>4869</v>
      </c>
      <c r="H2424" t="s">
        <v>4884</v>
      </c>
      <c r="I2424" t="s">
        <v>4899</v>
      </c>
      <c r="J2424" t="s">
        <v>4912</v>
      </c>
      <c r="K2424" t="s">
        <v>4931</v>
      </c>
      <c r="L2424" t="s">
        <v>4934</v>
      </c>
      <c r="M2424" t="s">
        <v>4945</v>
      </c>
      <c r="N2424" s="11">
        <v>23002.080000000002</v>
      </c>
      <c r="O2424" t="s">
        <v>4947</v>
      </c>
      <c r="P2424" t="s">
        <v>4951</v>
      </c>
      <c r="Q2424">
        <v>8</v>
      </c>
      <c r="R2424">
        <v>7</v>
      </c>
      <c r="S2424" t="str">
        <f t="shared" si="112"/>
        <v>Senior</v>
      </c>
      <c r="T2424" t="str">
        <f t="shared" si="113"/>
        <v>High</v>
      </c>
      <c r="U2424" t="str">
        <f t="shared" si="114"/>
        <v>Long Days</v>
      </c>
    </row>
    <row r="2425" spans="1:21">
      <c r="A2425" t="s">
        <v>2441</v>
      </c>
      <c r="B2425" s="5">
        <v>45905</v>
      </c>
      <c r="C2425" t="s">
        <v>4428</v>
      </c>
      <c r="D2425" t="s">
        <v>4758</v>
      </c>
      <c r="E2425" t="s">
        <v>4867</v>
      </c>
      <c r="F2425">
        <v>11</v>
      </c>
      <c r="G2425" t="s">
        <v>4878</v>
      </c>
      <c r="H2425" t="s">
        <v>4889</v>
      </c>
      <c r="I2425" t="s">
        <v>4897</v>
      </c>
      <c r="J2425" t="s">
        <v>4922</v>
      </c>
      <c r="K2425" t="s">
        <v>4924</v>
      </c>
      <c r="L2425" t="s">
        <v>4939</v>
      </c>
      <c r="M2425" t="s">
        <v>4942</v>
      </c>
      <c r="N2425" s="11">
        <v>1071.21</v>
      </c>
      <c r="O2425" t="s">
        <v>4948</v>
      </c>
      <c r="P2425" t="s">
        <v>4951</v>
      </c>
      <c r="S2425" t="str">
        <f t="shared" si="112"/>
        <v>Child</v>
      </c>
      <c r="T2425" t="str">
        <f t="shared" si="113"/>
        <v>Low</v>
      </c>
      <c r="U2425" t="str">
        <f t="shared" si="114"/>
        <v>Short Days</v>
      </c>
    </row>
    <row r="2426" spans="1:21">
      <c r="A2426" t="s">
        <v>2442</v>
      </c>
      <c r="B2426" s="5">
        <v>45961</v>
      </c>
      <c r="C2426" t="s">
        <v>4171</v>
      </c>
      <c r="D2426" t="s">
        <v>4690</v>
      </c>
      <c r="E2426" t="s">
        <v>4866</v>
      </c>
      <c r="F2426">
        <v>61</v>
      </c>
      <c r="G2426" t="s">
        <v>4873</v>
      </c>
      <c r="H2426" t="s">
        <v>4888</v>
      </c>
      <c r="I2426" t="s">
        <v>4896</v>
      </c>
      <c r="J2426" t="s">
        <v>4908</v>
      </c>
      <c r="K2426" t="s">
        <v>4931</v>
      </c>
      <c r="L2426" t="s">
        <v>4935</v>
      </c>
      <c r="M2426" t="s">
        <v>4944</v>
      </c>
      <c r="N2426" s="11">
        <v>7583.77</v>
      </c>
      <c r="O2426" t="s">
        <v>4949</v>
      </c>
      <c r="P2426" t="s">
        <v>4951</v>
      </c>
      <c r="R2426">
        <v>7</v>
      </c>
      <c r="S2426" t="str">
        <f t="shared" si="112"/>
        <v>Senior</v>
      </c>
      <c r="T2426" t="str">
        <f t="shared" si="113"/>
        <v>Medium</v>
      </c>
      <c r="U2426" t="str">
        <f t="shared" si="114"/>
        <v>Short Days</v>
      </c>
    </row>
    <row r="2427" spans="1:21">
      <c r="A2427" t="s">
        <v>2443</v>
      </c>
      <c r="B2427" s="5">
        <v>45557</v>
      </c>
      <c r="C2427" t="s">
        <v>4291</v>
      </c>
      <c r="D2427" t="s">
        <v>4758</v>
      </c>
      <c r="E2427" t="s">
        <v>4866</v>
      </c>
      <c r="F2427">
        <v>89</v>
      </c>
      <c r="G2427" t="s">
        <v>4869</v>
      </c>
      <c r="H2427" t="s">
        <v>4884</v>
      </c>
      <c r="I2427" t="s">
        <v>4895</v>
      </c>
      <c r="J2427" t="s">
        <v>4915</v>
      </c>
      <c r="K2427" t="s">
        <v>4924</v>
      </c>
      <c r="L2427" t="s">
        <v>4935</v>
      </c>
      <c r="M2427" t="s">
        <v>4942</v>
      </c>
      <c r="N2427" s="11">
        <v>1621.38</v>
      </c>
      <c r="O2427" t="s">
        <v>4948</v>
      </c>
      <c r="P2427" t="s">
        <v>4951</v>
      </c>
      <c r="R2427">
        <v>14</v>
      </c>
      <c r="S2427" t="str">
        <f t="shared" si="112"/>
        <v>Senior</v>
      </c>
      <c r="T2427" t="str">
        <f t="shared" si="113"/>
        <v>Low</v>
      </c>
      <c r="U2427" t="str">
        <f t="shared" si="114"/>
        <v>Short Days</v>
      </c>
    </row>
    <row r="2428" spans="1:21">
      <c r="A2428" t="s">
        <v>2444</v>
      </c>
      <c r="B2428" s="5">
        <v>45648</v>
      </c>
      <c r="C2428" t="s">
        <v>4429</v>
      </c>
      <c r="D2428" t="s">
        <v>4772</v>
      </c>
      <c r="E2428" t="s">
        <v>4867</v>
      </c>
      <c r="F2428">
        <v>32</v>
      </c>
      <c r="G2428" t="s">
        <v>4882</v>
      </c>
      <c r="H2428" t="s">
        <v>4891</v>
      </c>
      <c r="I2428" t="s">
        <v>4897</v>
      </c>
      <c r="J2428" t="s">
        <v>4907</v>
      </c>
      <c r="K2428" t="s">
        <v>4926</v>
      </c>
      <c r="L2428" t="s">
        <v>4935</v>
      </c>
      <c r="M2428" t="s">
        <v>4942</v>
      </c>
      <c r="N2428" s="11">
        <v>8376.99</v>
      </c>
      <c r="O2428" t="s">
        <v>4950</v>
      </c>
      <c r="P2428" t="s">
        <v>4951</v>
      </c>
      <c r="R2428">
        <v>7</v>
      </c>
      <c r="S2428" t="str">
        <f t="shared" si="112"/>
        <v>Adult</v>
      </c>
      <c r="T2428" t="str">
        <f t="shared" si="113"/>
        <v>Medium</v>
      </c>
      <c r="U2428" t="str">
        <f t="shared" si="114"/>
        <v>Short Days</v>
      </c>
    </row>
    <row r="2429" spans="1:21">
      <c r="A2429" t="s">
        <v>2445</v>
      </c>
      <c r="B2429" s="5">
        <v>45861</v>
      </c>
      <c r="C2429" t="s">
        <v>3185</v>
      </c>
      <c r="D2429" t="s">
        <v>4619</v>
      </c>
      <c r="E2429" t="s">
        <v>4866</v>
      </c>
      <c r="F2429">
        <v>16</v>
      </c>
      <c r="G2429" t="s">
        <v>4878</v>
      </c>
      <c r="H2429" t="s">
        <v>4889</v>
      </c>
      <c r="I2429" t="s">
        <v>4893</v>
      </c>
      <c r="J2429" t="s">
        <v>4903</v>
      </c>
      <c r="K2429" t="s">
        <v>4924</v>
      </c>
      <c r="L2429" t="s">
        <v>4937</v>
      </c>
      <c r="M2429" t="s">
        <v>4942</v>
      </c>
      <c r="N2429" s="11">
        <v>8149.35</v>
      </c>
      <c r="O2429" t="s">
        <v>4948</v>
      </c>
      <c r="P2429" t="s">
        <v>4951</v>
      </c>
      <c r="R2429">
        <v>30</v>
      </c>
      <c r="S2429" t="str">
        <f t="shared" si="112"/>
        <v>Child</v>
      </c>
      <c r="T2429" t="str">
        <f t="shared" si="113"/>
        <v>Medium</v>
      </c>
      <c r="U2429" t="str">
        <f t="shared" si="114"/>
        <v>Short Days</v>
      </c>
    </row>
    <row r="2430" spans="1:21">
      <c r="A2430" t="s">
        <v>2446</v>
      </c>
      <c r="B2430" s="5">
        <v>45932</v>
      </c>
      <c r="C2430" t="s">
        <v>4430</v>
      </c>
      <c r="D2430" t="s">
        <v>4679</v>
      </c>
      <c r="E2430" t="s">
        <v>4866</v>
      </c>
      <c r="F2430">
        <v>27</v>
      </c>
      <c r="G2430" t="s">
        <v>4869</v>
      </c>
      <c r="H2430" t="s">
        <v>4884</v>
      </c>
      <c r="I2430" t="s">
        <v>4897</v>
      </c>
      <c r="J2430" t="s">
        <v>4907</v>
      </c>
      <c r="K2430" t="s">
        <v>4929</v>
      </c>
      <c r="L2430" t="s">
        <v>4936</v>
      </c>
      <c r="M2430" t="s">
        <v>4942</v>
      </c>
      <c r="N2430" s="11">
        <v>1109.82</v>
      </c>
      <c r="O2430" t="s">
        <v>15</v>
      </c>
      <c r="P2430" t="s">
        <v>4952</v>
      </c>
      <c r="S2430" t="str">
        <f t="shared" si="112"/>
        <v>Adult</v>
      </c>
      <c r="T2430" t="str">
        <f t="shared" si="113"/>
        <v>Low</v>
      </c>
      <c r="U2430" t="str">
        <f t="shared" si="114"/>
        <v>Short Days</v>
      </c>
    </row>
    <row r="2431" spans="1:21">
      <c r="A2431" t="s">
        <v>2447</v>
      </c>
      <c r="B2431" s="5">
        <v>45664</v>
      </c>
      <c r="C2431" t="s">
        <v>3505</v>
      </c>
      <c r="D2431" t="s">
        <v>4692</v>
      </c>
      <c r="E2431" t="s">
        <v>4867</v>
      </c>
      <c r="F2431">
        <v>68</v>
      </c>
      <c r="G2431" t="s">
        <v>4880</v>
      </c>
      <c r="H2431" t="s">
        <v>4890</v>
      </c>
      <c r="I2431" t="s">
        <v>4897</v>
      </c>
      <c r="J2431" t="s">
        <v>4922</v>
      </c>
      <c r="K2431" t="s">
        <v>4931</v>
      </c>
      <c r="L2431" t="s">
        <v>4941</v>
      </c>
      <c r="M2431" t="s">
        <v>4942</v>
      </c>
      <c r="N2431" s="11">
        <v>11160.18</v>
      </c>
      <c r="O2431" t="s">
        <v>4946</v>
      </c>
      <c r="P2431" t="s">
        <v>4951</v>
      </c>
      <c r="R2431">
        <v>30</v>
      </c>
      <c r="S2431" t="str">
        <f t="shared" si="112"/>
        <v>Senior</v>
      </c>
      <c r="T2431" t="str">
        <f t="shared" si="113"/>
        <v>High</v>
      </c>
      <c r="U2431" t="str">
        <f t="shared" si="114"/>
        <v>Short Days</v>
      </c>
    </row>
    <row r="2432" spans="1:21">
      <c r="A2432" t="s">
        <v>2448</v>
      </c>
      <c r="B2432" s="5">
        <v>45640</v>
      </c>
      <c r="C2432" t="s">
        <v>4084</v>
      </c>
      <c r="D2432" t="s">
        <v>4705</v>
      </c>
      <c r="E2432" t="s">
        <v>4866</v>
      </c>
      <c r="F2432">
        <v>57</v>
      </c>
      <c r="G2432" t="s">
        <v>4874</v>
      </c>
      <c r="H2432" t="s">
        <v>4886</v>
      </c>
      <c r="I2432" t="s">
        <v>4899</v>
      </c>
      <c r="J2432" t="s">
        <v>4911</v>
      </c>
      <c r="K2432" t="s">
        <v>4924</v>
      </c>
      <c r="L2432" t="s">
        <v>4937</v>
      </c>
      <c r="M2432" t="s">
        <v>4942</v>
      </c>
      <c r="N2432" s="11">
        <v>11022.05</v>
      </c>
      <c r="O2432" t="s">
        <v>4949</v>
      </c>
      <c r="P2432" t="s">
        <v>4951</v>
      </c>
      <c r="R2432">
        <v>7</v>
      </c>
      <c r="S2432" t="str">
        <f t="shared" si="112"/>
        <v>Middle-Aged</v>
      </c>
      <c r="T2432" t="str">
        <f t="shared" si="113"/>
        <v>High</v>
      </c>
      <c r="U2432" t="str">
        <f t="shared" si="114"/>
        <v>Short Days</v>
      </c>
    </row>
    <row r="2433" spans="1:21">
      <c r="A2433" t="s">
        <v>2449</v>
      </c>
      <c r="B2433" s="5">
        <v>45626</v>
      </c>
      <c r="C2433" t="s">
        <v>3740</v>
      </c>
      <c r="D2433" t="s">
        <v>4687</v>
      </c>
      <c r="E2433" t="s">
        <v>4866</v>
      </c>
      <c r="F2433">
        <v>65</v>
      </c>
      <c r="G2433" t="s">
        <v>4872</v>
      </c>
      <c r="H2433" t="s">
        <v>4887</v>
      </c>
      <c r="I2433" t="s">
        <v>4900</v>
      </c>
      <c r="J2433" t="s">
        <v>4913</v>
      </c>
      <c r="K2433" t="s">
        <v>4924</v>
      </c>
      <c r="L2433" t="s">
        <v>4936</v>
      </c>
      <c r="M2433" t="s">
        <v>4942</v>
      </c>
      <c r="N2433" s="11">
        <v>22044.21</v>
      </c>
      <c r="O2433" t="s">
        <v>4949</v>
      </c>
      <c r="P2433" t="s">
        <v>4951</v>
      </c>
      <c r="R2433">
        <v>90</v>
      </c>
      <c r="S2433" t="str">
        <f t="shared" si="112"/>
        <v>Senior</v>
      </c>
      <c r="T2433" t="str">
        <f t="shared" si="113"/>
        <v>High</v>
      </c>
      <c r="U2433" t="str">
        <f t="shared" si="114"/>
        <v>Short Days</v>
      </c>
    </row>
    <row r="2434" spans="1:21">
      <c r="A2434" t="s">
        <v>2450</v>
      </c>
      <c r="B2434" s="5">
        <v>45801</v>
      </c>
      <c r="C2434" t="s">
        <v>4144</v>
      </c>
      <c r="D2434" t="s">
        <v>4809</v>
      </c>
      <c r="E2434" t="s">
        <v>4868</v>
      </c>
      <c r="F2434">
        <v>33</v>
      </c>
      <c r="G2434" t="s">
        <v>4873</v>
      </c>
      <c r="H2434" t="s">
        <v>4888</v>
      </c>
      <c r="I2434" t="s">
        <v>4900</v>
      </c>
      <c r="J2434" t="s">
        <v>4919</v>
      </c>
      <c r="K2434" t="s">
        <v>4931</v>
      </c>
      <c r="L2434" t="s">
        <v>4935</v>
      </c>
      <c r="M2434" t="s">
        <v>4944</v>
      </c>
      <c r="N2434" s="11">
        <v>10309.75</v>
      </c>
      <c r="O2434" t="s">
        <v>4946</v>
      </c>
      <c r="P2434" t="s">
        <v>4951</v>
      </c>
      <c r="R2434">
        <v>14</v>
      </c>
      <c r="S2434" t="str">
        <f t="shared" si="112"/>
        <v>Adult</v>
      </c>
      <c r="T2434" t="str">
        <f t="shared" si="113"/>
        <v>High</v>
      </c>
      <c r="U2434" t="str">
        <f t="shared" si="114"/>
        <v>Short Days</v>
      </c>
    </row>
    <row r="2435" spans="1:21">
      <c r="A2435" t="s">
        <v>2451</v>
      </c>
      <c r="B2435" s="5">
        <v>45792</v>
      </c>
      <c r="C2435" t="s">
        <v>3499</v>
      </c>
      <c r="D2435" t="s">
        <v>4848</v>
      </c>
      <c r="E2435" t="s">
        <v>4866</v>
      </c>
      <c r="F2435">
        <v>31</v>
      </c>
      <c r="G2435" t="s">
        <v>4878</v>
      </c>
      <c r="H2435" t="s">
        <v>4889</v>
      </c>
      <c r="I2435" t="s">
        <v>4897</v>
      </c>
      <c r="J2435" t="s">
        <v>4907</v>
      </c>
      <c r="K2435" t="s">
        <v>4928</v>
      </c>
      <c r="L2435" t="s">
        <v>4935</v>
      </c>
      <c r="M2435" t="s">
        <v>4942</v>
      </c>
      <c r="N2435" s="11">
        <v>7047.4</v>
      </c>
      <c r="O2435" t="s">
        <v>4946</v>
      </c>
      <c r="P2435" t="s">
        <v>4951</v>
      </c>
      <c r="R2435">
        <v>14</v>
      </c>
      <c r="S2435" t="str">
        <f t="shared" ref="S2435:S2498" si="115">IF(F2435&lt;18,"Child",IF(F2435&lt;=40,"Adult",IF(F2435&lt;=60,"Middle-Aged",IF(F2435,"Senior"))))</f>
        <v>Adult</v>
      </c>
      <c r="T2435" t="str">
        <f t="shared" ref="T2435:T2498" si="116">IF(N2435&lt;=5000,"Low",IF(N2435&lt;=10000,"Medium","High"))</f>
        <v>Medium</v>
      </c>
      <c r="U2435" t="str">
        <f t="shared" ref="U2435:U2498" si="117">IF(Q2435&lt;=5,"Short Days","Long Days")</f>
        <v>Short Days</v>
      </c>
    </row>
    <row r="2436" spans="1:21">
      <c r="A2436" t="s">
        <v>2452</v>
      </c>
      <c r="B2436" s="5">
        <v>45904</v>
      </c>
      <c r="C2436" t="s">
        <v>4431</v>
      </c>
      <c r="D2436" t="s">
        <v>4702</v>
      </c>
      <c r="E2436" t="s">
        <v>4867</v>
      </c>
      <c r="F2436">
        <v>36</v>
      </c>
      <c r="G2436" t="s">
        <v>4879</v>
      </c>
      <c r="H2436" t="s">
        <v>4888</v>
      </c>
      <c r="I2436" t="s">
        <v>4897</v>
      </c>
      <c r="J2436" t="s">
        <v>4922</v>
      </c>
      <c r="K2436" t="s">
        <v>4926</v>
      </c>
      <c r="L2436" t="s">
        <v>4936</v>
      </c>
      <c r="M2436" t="s">
        <v>4944</v>
      </c>
      <c r="N2436" s="11">
        <v>9149.2099999999991</v>
      </c>
      <c r="O2436" t="s">
        <v>4949</v>
      </c>
      <c r="P2436" t="s">
        <v>4951</v>
      </c>
      <c r="R2436">
        <v>14</v>
      </c>
      <c r="S2436" t="str">
        <f t="shared" si="115"/>
        <v>Adult</v>
      </c>
      <c r="T2436" t="str">
        <f t="shared" si="116"/>
        <v>Medium</v>
      </c>
      <c r="U2436" t="str">
        <f t="shared" si="117"/>
        <v>Short Days</v>
      </c>
    </row>
    <row r="2437" spans="1:21">
      <c r="A2437" t="s">
        <v>2453</v>
      </c>
      <c r="B2437" s="5">
        <v>45630</v>
      </c>
      <c r="C2437" t="s">
        <v>4226</v>
      </c>
      <c r="D2437" t="s">
        <v>4616</v>
      </c>
      <c r="E2437" t="s">
        <v>4867</v>
      </c>
      <c r="F2437">
        <v>35</v>
      </c>
      <c r="G2437" t="s">
        <v>4875</v>
      </c>
      <c r="H2437" t="s">
        <v>4889</v>
      </c>
      <c r="I2437" t="s">
        <v>4896</v>
      </c>
      <c r="J2437" t="s">
        <v>4906</v>
      </c>
      <c r="K2437" t="s">
        <v>4929</v>
      </c>
      <c r="L2437" t="s">
        <v>4934</v>
      </c>
      <c r="M2437" t="s">
        <v>4942</v>
      </c>
      <c r="N2437" s="11">
        <v>3153.72</v>
      </c>
      <c r="O2437" t="s">
        <v>4946</v>
      </c>
      <c r="P2437" t="s">
        <v>4951</v>
      </c>
      <c r="R2437">
        <v>90</v>
      </c>
      <c r="S2437" t="str">
        <f t="shared" si="115"/>
        <v>Adult</v>
      </c>
      <c r="T2437" t="str">
        <f t="shared" si="116"/>
        <v>Low</v>
      </c>
      <c r="U2437" t="str">
        <f t="shared" si="117"/>
        <v>Short Days</v>
      </c>
    </row>
    <row r="2438" spans="1:21">
      <c r="A2438" t="s">
        <v>2454</v>
      </c>
      <c r="B2438" s="5">
        <v>45626</v>
      </c>
      <c r="C2438" t="s">
        <v>3396</v>
      </c>
      <c r="D2438" t="s">
        <v>4623</v>
      </c>
      <c r="E2438" t="s">
        <v>4866</v>
      </c>
      <c r="F2438">
        <v>20</v>
      </c>
      <c r="G2438" t="s">
        <v>4872</v>
      </c>
      <c r="H2438" t="s">
        <v>4887</v>
      </c>
      <c r="I2438" t="s">
        <v>4897</v>
      </c>
      <c r="J2438" t="s">
        <v>4907</v>
      </c>
      <c r="K2438" t="s">
        <v>4927</v>
      </c>
      <c r="L2438" t="s">
        <v>4940</v>
      </c>
      <c r="M2438" t="s">
        <v>4944</v>
      </c>
      <c r="N2438" s="11">
        <v>6041.47</v>
      </c>
      <c r="O2438" t="s">
        <v>4947</v>
      </c>
      <c r="P2438" t="s">
        <v>4951</v>
      </c>
      <c r="R2438">
        <v>90</v>
      </c>
      <c r="S2438" t="str">
        <f t="shared" si="115"/>
        <v>Adult</v>
      </c>
      <c r="T2438" t="str">
        <f t="shared" si="116"/>
        <v>Medium</v>
      </c>
      <c r="U2438" t="str">
        <f t="shared" si="117"/>
        <v>Short Days</v>
      </c>
    </row>
    <row r="2439" spans="1:21">
      <c r="A2439" t="s">
        <v>2455</v>
      </c>
      <c r="B2439" s="5">
        <v>45733</v>
      </c>
      <c r="C2439" t="s">
        <v>4176</v>
      </c>
      <c r="D2439" t="s">
        <v>4839</v>
      </c>
      <c r="E2439" t="s">
        <v>4866</v>
      </c>
      <c r="F2439">
        <v>28</v>
      </c>
      <c r="G2439" t="s">
        <v>4878</v>
      </c>
      <c r="H2439" t="s">
        <v>4889</v>
      </c>
      <c r="I2439" t="s">
        <v>4898</v>
      </c>
      <c r="J2439" t="s">
        <v>4918</v>
      </c>
      <c r="K2439" t="s">
        <v>4927</v>
      </c>
      <c r="L2439" t="s">
        <v>4940</v>
      </c>
      <c r="M2439" t="s">
        <v>4942</v>
      </c>
      <c r="N2439" s="11">
        <v>1637.59</v>
      </c>
      <c r="O2439" t="s">
        <v>4946</v>
      </c>
      <c r="P2439" t="s">
        <v>4951</v>
      </c>
      <c r="R2439">
        <v>90</v>
      </c>
      <c r="S2439" t="str">
        <f t="shared" si="115"/>
        <v>Adult</v>
      </c>
      <c r="T2439" t="str">
        <f t="shared" si="116"/>
        <v>Low</v>
      </c>
      <c r="U2439" t="str">
        <f t="shared" si="117"/>
        <v>Short Days</v>
      </c>
    </row>
    <row r="2440" spans="1:21">
      <c r="A2440" t="s">
        <v>2456</v>
      </c>
      <c r="B2440" s="5">
        <v>45897</v>
      </c>
      <c r="C2440" t="s">
        <v>3176</v>
      </c>
      <c r="D2440" t="s">
        <v>4632</v>
      </c>
      <c r="E2440" t="s">
        <v>4866</v>
      </c>
      <c r="F2440">
        <v>43</v>
      </c>
      <c r="G2440" t="s">
        <v>4871</v>
      </c>
      <c r="H2440" t="s">
        <v>4886</v>
      </c>
      <c r="I2440" t="s">
        <v>4898</v>
      </c>
      <c r="J2440" t="s">
        <v>4923</v>
      </c>
      <c r="K2440" t="s">
        <v>4927</v>
      </c>
      <c r="L2440" t="s">
        <v>4940</v>
      </c>
      <c r="M2440" t="s">
        <v>4942</v>
      </c>
      <c r="N2440" s="11">
        <v>2495.73</v>
      </c>
      <c r="O2440" t="s">
        <v>4947</v>
      </c>
      <c r="P2440" t="s">
        <v>4951</v>
      </c>
      <c r="S2440" t="str">
        <f t="shared" si="115"/>
        <v>Middle-Aged</v>
      </c>
      <c r="T2440" t="str">
        <f t="shared" si="116"/>
        <v>Low</v>
      </c>
      <c r="U2440" t="str">
        <f t="shared" si="117"/>
        <v>Short Days</v>
      </c>
    </row>
    <row r="2441" spans="1:21">
      <c r="A2441" t="s">
        <v>2457</v>
      </c>
      <c r="B2441" s="5">
        <v>45551</v>
      </c>
      <c r="C2441" t="s">
        <v>4432</v>
      </c>
      <c r="D2441" t="s">
        <v>4855</v>
      </c>
      <c r="E2441" t="s">
        <v>4867</v>
      </c>
      <c r="F2441">
        <v>60</v>
      </c>
      <c r="G2441" t="s">
        <v>4871</v>
      </c>
      <c r="H2441" t="s">
        <v>4886</v>
      </c>
      <c r="I2441" t="s">
        <v>4895</v>
      </c>
      <c r="J2441" t="s">
        <v>4905</v>
      </c>
      <c r="K2441" t="s">
        <v>4932</v>
      </c>
      <c r="L2441" t="s">
        <v>4940</v>
      </c>
      <c r="M2441" t="s">
        <v>4944</v>
      </c>
      <c r="N2441" s="11">
        <v>12133.81</v>
      </c>
      <c r="O2441" t="s">
        <v>15</v>
      </c>
      <c r="P2441" t="s">
        <v>4952</v>
      </c>
      <c r="S2441" t="str">
        <f t="shared" si="115"/>
        <v>Middle-Aged</v>
      </c>
      <c r="T2441" t="str">
        <f t="shared" si="116"/>
        <v>High</v>
      </c>
      <c r="U2441" t="str">
        <f t="shared" si="117"/>
        <v>Short Days</v>
      </c>
    </row>
    <row r="2442" spans="1:21">
      <c r="A2442" t="s">
        <v>2458</v>
      </c>
      <c r="B2442" s="5">
        <v>45570</v>
      </c>
      <c r="C2442" t="s">
        <v>4433</v>
      </c>
      <c r="D2442" t="s">
        <v>4756</v>
      </c>
      <c r="E2442" t="s">
        <v>4867</v>
      </c>
      <c r="F2442">
        <v>29</v>
      </c>
      <c r="G2442" t="s">
        <v>4876</v>
      </c>
      <c r="H2442" t="s">
        <v>4888</v>
      </c>
      <c r="I2442" t="s">
        <v>4893</v>
      </c>
      <c r="J2442" t="s">
        <v>4917</v>
      </c>
      <c r="K2442" t="s">
        <v>4928</v>
      </c>
      <c r="L2442" t="s">
        <v>4940</v>
      </c>
      <c r="M2442" t="s">
        <v>4944</v>
      </c>
      <c r="N2442" s="11">
        <v>11427.1</v>
      </c>
      <c r="O2442" t="s">
        <v>4946</v>
      </c>
      <c r="P2442" t="s">
        <v>4951</v>
      </c>
      <c r="R2442">
        <v>7</v>
      </c>
      <c r="S2442" t="str">
        <f t="shared" si="115"/>
        <v>Adult</v>
      </c>
      <c r="T2442" t="str">
        <f t="shared" si="116"/>
        <v>High</v>
      </c>
      <c r="U2442" t="str">
        <f t="shared" si="117"/>
        <v>Short Days</v>
      </c>
    </row>
    <row r="2443" spans="1:21">
      <c r="A2443" t="s">
        <v>2459</v>
      </c>
      <c r="B2443" s="5">
        <v>45363</v>
      </c>
      <c r="C2443" t="s">
        <v>3499</v>
      </c>
      <c r="D2443" t="s">
        <v>4856</v>
      </c>
      <c r="E2443" t="s">
        <v>4866</v>
      </c>
      <c r="F2443">
        <v>58</v>
      </c>
      <c r="G2443" t="s">
        <v>4882</v>
      </c>
      <c r="H2443" t="s">
        <v>4891</v>
      </c>
      <c r="I2443" t="s">
        <v>4895</v>
      </c>
      <c r="J2443" t="s">
        <v>4915</v>
      </c>
      <c r="K2443" t="s">
        <v>4927</v>
      </c>
      <c r="L2443" t="s">
        <v>4938</v>
      </c>
      <c r="M2443" t="s">
        <v>4943</v>
      </c>
      <c r="N2443" s="11">
        <v>7768.84</v>
      </c>
      <c r="O2443" t="s">
        <v>15</v>
      </c>
      <c r="P2443" t="s">
        <v>4952</v>
      </c>
      <c r="R2443">
        <v>90</v>
      </c>
      <c r="S2443" t="str">
        <f t="shared" si="115"/>
        <v>Middle-Aged</v>
      </c>
      <c r="T2443" t="str">
        <f t="shared" si="116"/>
        <v>Medium</v>
      </c>
      <c r="U2443" t="str">
        <f t="shared" si="117"/>
        <v>Short Days</v>
      </c>
    </row>
    <row r="2444" spans="1:21">
      <c r="A2444" t="s">
        <v>2460</v>
      </c>
      <c r="B2444" s="5">
        <v>45925</v>
      </c>
      <c r="C2444" t="s">
        <v>3113</v>
      </c>
      <c r="D2444" t="s">
        <v>4720</v>
      </c>
      <c r="E2444" t="s">
        <v>4866</v>
      </c>
      <c r="F2444">
        <v>32</v>
      </c>
      <c r="G2444" t="s">
        <v>4882</v>
      </c>
      <c r="H2444" t="s">
        <v>4891</v>
      </c>
      <c r="I2444" t="s">
        <v>4899</v>
      </c>
      <c r="J2444" t="s">
        <v>4911</v>
      </c>
      <c r="K2444" t="s">
        <v>4928</v>
      </c>
      <c r="L2444" t="s">
        <v>4935</v>
      </c>
      <c r="M2444" t="s">
        <v>4942</v>
      </c>
      <c r="N2444" s="11">
        <v>1238.27</v>
      </c>
      <c r="O2444" t="s">
        <v>4946</v>
      </c>
      <c r="P2444" t="s">
        <v>4951</v>
      </c>
      <c r="R2444">
        <v>14</v>
      </c>
      <c r="S2444" t="str">
        <f t="shared" si="115"/>
        <v>Adult</v>
      </c>
      <c r="T2444" t="str">
        <f t="shared" si="116"/>
        <v>Low</v>
      </c>
      <c r="U2444" t="str">
        <f t="shared" si="117"/>
        <v>Short Days</v>
      </c>
    </row>
    <row r="2445" spans="1:21">
      <c r="A2445" t="s">
        <v>2461</v>
      </c>
      <c r="B2445" s="5">
        <v>45477</v>
      </c>
      <c r="C2445" t="s">
        <v>3336</v>
      </c>
      <c r="D2445" t="s">
        <v>4637</v>
      </c>
      <c r="E2445" t="s">
        <v>4867</v>
      </c>
      <c r="F2445">
        <v>65</v>
      </c>
      <c r="G2445" t="s">
        <v>4874</v>
      </c>
      <c r="H2445" t="s">
        <v>4886</v>
      </c>
      <c r="I2445" t="s">
        <v>4895</v>
      </c>
      <c r="J2445" t="s">
        <v>4915</v>
      </c>
      <c r="K2445" t="s">
        <v>4927</v>
      </c>
      <c r="L2445" t="s">
        <v>4938</v>
      </c>
      <c r="M2445" t="s">
        <v>4944</v>
      </c>
      <c r="N2445" s="11">
        <v>5085.63</v>
      </c>
      <c r="O2445" t="s">
        <v>4947</v>
      </c>
      <c r="P2445" t="s">
        <v>4951</v>
      </c>
      <c r="R2445">
        <v>30</v>
      </c>
      <c r="S2445" t="str">
        <f t="shared" si="115"/>
        <v>Senior</v>
      </c>
      <c r="T2445" t="str">
        <f t="shared" si="116"/>
        <v>Medium</v>
      </c>
      <c r="U2445" t="str">
        <f t="shared" si="117"/>
        <v>Short Days</v>
      </c>
    </row>
    <row r="2446" spans="1:21">
      <c r="A2446" t="s">
        <v>2462</v>
      </c>
      <c r="B2446" s="5">
        <v>45622</v>
      </c>
      <c r="C2446" t="s">
        <v>4221</v>
      </c>
      <c r="D2446" t="s">
        <v>4729</v>
      </c>
      <c r="E2446" t="s">
        <v>4867</v>
      </c>
      <c r="F2446">
        <v>54</v>
      </c>
      <c r="G2446" t="s">
        <v>4878</v>
      </c>
      <c r="H2446" t="s">
        <v>4889</v>
      </c>
      <c r="I2446" t="s">
        <v>4902</v>
      </c>
      <c r="J2446" t="s">
        <v>4920</v>
      </c>
      <c r="K2446" t="s">
        <v>4932</v>
      </c>
      <c r="L2446" t="s">
        <v>4935</v>
      </c>
      <c r="M2446" t="s">
        <v>4942</v>
      </c>
      <c r="N2446" s="11">
        <v>1800.26</v>
      </c>
      <c r="O2446" t="s">
        <v>4946</v>
      </c>
      <c r="P2446" t="s">
        <v>4951</v>
      </c>
      <c r="R2446">
        <v>90</v>
      </c>
      <c r="S2446" t="str">
        <f t="shared" si="115"/>
        <v>Middle-Aged</v>
      </c>
      <c r="T2446" t="str">
        <f t="shared" si="116"/>
        <v>Low</v>
      </c>
      <c r="U2446" t="str">
        <f t="shared" si="117"/>
        <v>Short Days</v>
      </c>
    </row>
    <row r="2447" spans="1:21">
      <c r="A2447" t="s">
        <v>2463</v>
      </c>
      <c r="B2447" s="5">
        <v>45338</v>
      </c>
      <c r="C2447" t="s">
        <v>4130</v>
      </c>
      <c r="D2447" t="s">
        <v>4594</v>
      </c>
      <c r="E2447" t="s">
        <v>4867</v>
      </c>
      <c r="F2447">
        <v>74</v>
      </c>
      <c r="G2447" t="s">
        <v>4881</v>
      </c>
      <c r="H2447" t="s">
        <v>4881</v>
      </c>
      <c r="I2447" t="s">
        <v>4900</v>
      </c>
      <c r="J2447" t="s">
        <v>4913</v>
      </c>
      <c r="K2447" t="s">
        <v>4927</v>
      </c>
      <c r="L2447" t="s">
        <v>4941</v>
      </c>
      <c r="M2447" t="s">
        <v>4942</v>
      </c>
      <c r="N2447" s="11">
        <v>1320.4</v>
      </c>
      <c r="O2447" t="s">
        <v>4946</v>
      </c>
      <c r="P2447" t="s">
        <v>4951</v>
      </c>
      <c r="R2447">
        <v>30</v>
      </c>
      <c r="S2447" t="str">
        <f t="shared" si="115"/>
        <v>Senior</v>
      </c>
      <c r="T2447" t="str">
        <f t="shared" si="116"/>
        <v>Low</v>
      </c>
      <c r="U2447" t="str">
        <f t="shared" si="117"/>
        <v>Short Days</v>
      </c>
    </row>
    <row r="2448" spans="1:21">
      <c r="A2448" t="s">
        <v>2464</v>
      </c>
      <c r="B2448" s="5">
        <v>45317</v>
      </c>
      <c r="C2448" t="s">
        <v>3536</v>
      </c>
      <c r="D2448" t="s">
        <v>4651</v>
      </c>
      <c r="E2448" t="s">
        <v>4866</v>
      </c>
      <c r="F2448">
        <v>43</v>
      </c>
      <c r="G2448" t="s">
        <v>4881</v>
      </c>
      <c r="H2448" t="s">
        <v>4881</v>
      </c>
      <c r="I2448" t="s">
        <v>4901</v>
      </c>
      <c r="J2448" t="s">
        <v>4921</v>
      </c>
      <c r="K2448" t="s">
        <v>4928</v>
      </c>
      <c r="L2448" t="s">
        <v>4937</v>
      </c>
      <c r="M2448" t="s">
        <v>4942</v>
      </c>
      <c r="N2448" s="11">
        <v>1243.1400000000001</v>
      </c>
      <c r="O2448" t="s">
        <v>4948</v>
      </c>
      <c r="P2448" t="s">
        <v>4951</v>
      </c>
      <c r="R2448">
        <v>30</v>
      </c>
      <c r="S2448" t="str">
        <f t="shared" si="115"/>
        <v>Middle-Aged</v>
      </c>
      <c r="T2448" t="str">
        <f t="shared" si="116"/>
        <v>Low</v>
      </c>
      <c r="U2448" t="str">
        <f t="shared" si="117"/>
        <v>Short Days</v>
      </c>
    </row>
    <row r="2449" spans="1:21">
      <c r="A2449" t="s">
        <v>2465</v>
      </c>
      <c r="B2449" s="5">
        <v>45652</v>
      </c>
      <c r="C2449" t="s">
        <v>4228</v>
      </c>
      <c r="D2449" t="s">
        <v>4762</v>
      </c>
      <c r="E2449" t="s">
        <v>4867</v>
      </c>
      <c r="F2449">
        <v>55</v>
      </c>
      <c r="G2449" t="s">
        <v>4879</v>
      </c>
      <c r="H2449" t="s">
        <v>4888</v>
      </c>
      <c r="I2449" t="s">
        <v>4897</v>
      </c>
      <c r="J2449" t="s">
        <v>4907</v>
      </c>
      <c r="K2449" t="s">
        <v>4931</v>
      </c>
      <c r="L2449" t="s">
        <v>4938</v>
      </c>
      <c r="M2449" t="s">
        <v>4945</v>
      </c>
      <c r="N2449" s="11">
        <v>6443.1</v>
      </c>
      <c r="O2449" t="s">
        <v>4948</v>
      </c>
      <c r="P2449" t="s">
        <v>4951</v>
      </c>
      <c r="Q2449">
        <v>8</v>
      </c>
      <c r="S2449" t="str">
        <f t="shared" si="115"/>
        <v>Middle-Aged</v>
      </c>
      <c r="T2449" t="str">
        <f t="shared" si="116"/>
        <v>Medium</v>
      </c>
      <c r="U2449" t="str">
        <f t="shared" si="117"/>
        <v>Long Days</v>
      </c>
    </row>
    <row r="2450" spans="1:21">
      <c r="A2450" t="s">
        <v>2466</v>
      </c>
      <c r="B2450" s="5">
        <v>45556</v>
      </c>
      <c r="C2450" t="s">
        <v>3613</v>
      </c>
      <c r="D2450" t="s">
        <v>4761</v>
      </c>
      <c r="E2450" t="s">
        <v>4867</v>
      </c>
      <c r="F2450">
        <v>45</v>
      </c>
      <c r="G2450" t="s">
        <v>4881</v>
      </c>
      <c r="H2450" t="s">
        <v>4881</v>
      </c>
      <c r="I2450" t="s">
        <v>4901</v>
      </c>
      <c r="J2450" t="s">
        <v>4921</v>
      </c>
      <c r="K2450" t="s">
        <v>4933</v>
      </c>
      <c r="L2450" t="s">
        <v>4937</v>
      </c>
      <c r="M2450" t="s">
        <v>4942</v>
      </c>
      <c r="N2450" s="11">
        <v>2124.4899999999998</v>
      </c>
      <c r="O2450" t="s">
        <v>4946</v>
      </c>
      <c r="P2450" t="s">
        <v>4951</v>
      </c>
      <c r="R2450">
        <v>30</v>
      </c>
      <c r="S2450" t="str">
        <f t="shared" si="115"/>
        <v>Middle-Aged</v>
      </c>
      <c r="T2450" t="str">
        <f t="shared" si="116"/>
        <v>Low</v>
      </c>
      <c r="U2450" t="str">
        <f t="shared" si="117"/>
        <v>Short Days</v>
      </c>
    </row>
    <row r="2451" spans="1:21">
      <c r="A2451" t="s">
        <v>2467</v>
      </c>
      <c r="B2451" s="5">
        <v>45668</v>
      </c>
      <c r="C2451" t="s">
        <v>3212</v>
      </c>
      <c r="D2451" t="s">
        <v>4826</v>
      </c>
      <c r="E2451" t="s">
        <v>4867</v>
      </c>
      <c r="F2451">
        <v>26</v>
      </c>
      <c r="G2451" t="s">
        <v>4871</v>
      </c>
      <c r="H2451" t="s">
        <v>4886</v>
      </c>
      <c r="I2451" t="s">
        <v>4894</v>
      </c>
      <c r="J2451" t="s">
        <v>4904</v>
      </c>
      <c r="K2451" t="s">
        <v>4932</v>
      </c>
      <c r="L2451" t="s">
        <v>4937</v>
      </c>
      <c r="M2451" t="s">
        <v>4942</v>
      </c>
      <c r="N2451" s="11">
        <v>2147.9</v>
      </c>
      <c r="O2451" t="s">
        <v>4947</v>
      </c>
      <c r="P2451" t="s">
        <v>4951</v>
      </c>
      <c r="S2451" t="str">
        <f t="shared" si="115"/>
        <v>Adult</v>
      </c>
      <c r="T2451" t="str">
        <f t="shared" si="116"/>
        <v>Low</v>
      </c>
      <c r="U2451" t="str">
        <f t="shared" si="117"/>
        <v>Short Days</v>
      </c>
    </row>
    <row r="2452" spans="1:21">
      <c r="A2452" t="s">
        <v>2468</v>
      </c>
      <c r="B2452" s="5">
        <v>45532</v>
      </c>
      <c r="C2452" t="s">
        <v>4202</v>
      </c>
      <c r="D2452" t="s">
        <v>4753</v>
      </c>
      <c r="E2452" t="s">
        <v>4867</v>
      </c>
      <c r="F2452">
        <v>67</v>
      </c>
      <c r="G2452" t="s">
        <v>4879</v>
      </c>
      <c r="H2452" t="s">
        <v>4888</v>
      </c>
      <c r="I2452" t="s">
        <v>4900</v>
      </c>
      <c r="J2452" t="s">
        <v>4919</v>
      </c>
      <c r="K2452" t="s">
        <v>4953</v>
      </c>
      <c r="L2452" t="s">
        <v>4941</v>
      </c>
      <c r="M2452" t="s">
        <v>4942</v>
      </c>
      <c r="N2452" s="11">
        <v>2150.77</v>
      </c>
      <c r="O2452" t="s">
        <v>15</v>
      </c>
      <c r="P2452" t="s">
        <v>4952</v>
      </c>
      <c r="R2452">
        <v>90</v>
      </c>
      <c r="S2452" t="str">
        <f t="shared" si="115"/>
        <v>Senior</v>
      </c>
      <c r="T2452" t="str">
        <f t="shared" si="116"/>
        <v>Low</v>
      </c>
      <c r="U2452" t="str">
        <f t="shared" si="117"/>
        <v>Short Days</v>
      </c>
    </row>
    <row r="2453" spans="1:21">
      <c r="A2453" t="s">
        <v>2469</v>
      </c>
      <c r="B2453" s="5">
        <v>45343</v>
      </c>
      <c r="C2453" t="s">
        <v>3833</v>
      </c>
      <c r="D2453" t="s">
        <v>4730</v>
      </c>
      <c r="E2453" t="s">
        <v>4867</v>
      </c>
      <c r="F2453">
        <v>59</v>
      </c>
      <c r="G2453" t="s">
        <v>4870</v>
      </c>
      <c r="H2453" t="s">
        <v>4885</v>
      </c>
      <c r="I2453" t="s">
        <v>4901</v>
      </c>
      <c r="J2453" t="s">
        <v>4921</v>
      </c>
      <c r="K2453" t="s">
        <v>4933</v>
      </c>
      <c r="L2453" t="s">
        <v>4936</v>
      </c>
      <c r="M2453" t="s">
        <v>4942</v>
      </c>
      <c r="N2453" s="11">
        <v>4118.12</v>
      </c>
      <c r="O2453" t="s">
        <v>15</v>
      </c>
      <c r="P2453" t="s">
        <v>4952</v>
      </c>
      <c r="S2453" t="str">
        <f t="shared" si="115"/>
        <v>Middle-Aged</v>
      </c>
      <c r="T2453" t="str">
        <f t="shared" si="116"/>
        <v>Low</v>
      </c>
      <c r="U2453" t="str">
        <f t="shared" si="117"/>
        <v>Short Days</v>
      </c>
    </row>
    <row r="2454" spans="1:21">
      <c r="A2454" t="s">
        <v>2470</v>
      </c>
      <c r="B2454" s="5">
        <v>45391</v>
      </c>
      <c r="C2454" t="s">
        <v>4434</v>
      </c>
      <c r="D2454" t="s">
        <v>4625</v>
      </c>
      <c r="E2454" t="s">
        <v>4867</v>
      </c>
      <c r="F2454">
        <v>12</v>
      </c>
      <c r="G2454" t="s">
        <v>4872</v>
      </c>
      <c r="H2454" t="s">
        <v>4887</v>
      </c>
      <c r="I2454" t="s">
        <v>4894</v>
      </c>
      <c r="J2454" t="s">
        <v>4904</v>
      </c>
      <c r="K2454" t="s">
        <v>4930</v>
      </c>
      <c r="L2454" t="s">
        <v>4935</v>
      </c>
      <c r="M2454" t="s">
        <v>4942</v>
      </c>
      <c r="N2454" s="11">
        <v>3870.28</v>
      </c>
      <c r="O2454" t="s">
        <v>4946</v>
      </c>
      <c r="P2454" t="s">
        <v>4951</v>
      </c>
      <c r="S2454" t="str">
        <f t="shared" si="115"/>
        <v>Child</v>
      </c>
      <c r="T2454" t="str">
        <f t="shared" si="116"/>
        <v>Low</v>
      </c>
      <c r="U2454" t="str">
        <f t="shared" si="117"/>
        <v>Short Days</v>
      </c>
    </row>
    <row r="2455" spans="1:21">
      <c r="A2455" t="s">
        <v>2471</v>
      </c>
      <c r="B2455" s="5">
        <v>45340</v>
      </c>
      <c r="C2455" t="s">
        <v>4141</v>
      </c>
      <c r="D2455" t="s">
        <v>4834</v>
      </c>
      <c r="E2455" t="s">
        <v>4867</v>
      </c>
      <c r="F2455">
        <v>17</v>
      </c>
      <c r="G2455" t="s">
        <v>4873</v>
      </c>
      <c r="H2455" t="s">
        <v>4888</v>
      </c>
      <c r="I2455" t="s">
        <v>4896</v>
      </c>
      <c r="J2455" t="s">
        <v>4908</v>
      </c>
      <c r="K2455" t="s">
        <v>4924</v>
      </c>
      <c r="L2455" t="s">
        <v>4935</v>
      </c>
      <c r="M2455" t="s">
        <v>4944</v>
      </c>
      <c r="N2455" s="11">
        <v>5064.1000000000004</v>
      </c>
      <c r="O2455" t="s">
        <v>4948</v>
      </c>
      <c r="P2455" t="s">
        <v>4951</v>
      </c>
      <c r="R2455">
        <v>30</v>
      </c>
      <c r="S2455" t="str">
        <f t="shared" si="115"/>
        <v>Child</v>
      </c>
      <c r="T2455" t="str">
        <f t="shared" si="116"/>
        <v>Medium</v>
      </c>
      <c r="U2455" t="str">
        <f t="shared" si="117"/>
        <v>Short Days</v>
      </c>
    </row>
    <row r="2456" spans="1:21">
      <c r="A2456" t="s">
        <v>2472</v>
      </c>
      <c r="B2456" s="5">
        <v>45610</v>
      </c>
      <c r="C2456" t="s">
        <v>3883</v>
      </c>
      <c r="D2456" t="s">
        <v>4726</v>
      </c>
      <c r="E2456" t="s">
        <v>4866</v>
      </c>
      <c r="F2456">
        <v>65</v>
      </c>
      <c r="G2456" t="s">
        <v>4879</v>
      </c>
      <c r="H2456" t="s">
        <v>4888</v>
      </c>
      <c r="I2456" t="s">
        <v>4901</v>
      </c>
      <c r="J2456" t="s">
        <v>4921</v>
      </c>
      <c r="K2456" t="s">
        <v>4927</v>
      </c>
      <c r="L2456" t="s">
        <v>4936</v>
      </c>
      <c r="M2456" t="s">
        <v>4942</v>
      </c>
      <c r="N2456" s="11">
        <v>24936.3</v>
      </c>
      <c r="O2456" t="s">
        <v>4950</v>
      </c>
      <c r="P2456" t="s">
        <v>4951</v>
      </c>
      <c r="R2456">
        <v>14</v>
      </c>
      <c r="S2456" t="str">
        <f t="shared" si="115"/>
        <v>Senior</v>
      </c>
      <c r="T2456" t="str">
        <f t="shared" si="116"/>
        <v>High</v>
      </c>
      <c r="U2456" t="str">
        <f t="shared" si="117"/>
        <v>Short Days</v>
      </c>
    </row>
    <row r="2457" spans="1:21">
      <c r="A2457" t="s">
        <v>2473</v>
      </c>
      <c r="B2457" s="5">
        <v>45624</v>
      </c>
      <c r="C2457" t="s">
        <v>3237</v>
      </c>
      <c r="D2457" t="s">
        <v>4762</v>
      </c>
      <c r="E2457" t="s">
        <v>4866</v>
      </c>
      <c r="F2457">
        <v>32</v>
      </c>
      <c r="G2457" t="s">
        <v>4881</v>
      </c>
      <c r="H2457" t="s">
        <v>4881</v>
      </c>
      <c r="I2457" t="s">
        <v>4896</v>
      </c>
      <c r="J2457" t="s">
        <v>4908</v>
      </c>
      <c r="K2457" t="s">
        <v>4931</v>
      </c>
      <c r="L2457" t="s">
        <v>4934</v>
      </c>
      <c r="M2457" t="s">
        <v>4944</v>
      </c>
      <c r="N2457" s="11">
        <v>14725.69</v>
      </c>
      <c r="O2457" t="s">
        <v>4946</v>
      </c>
      <c r="P2457" t="s">
        <v>4951</v>
      </c>
      <c r="R2457">
        <v>90</v>
      </c>
      <c r="S2457" t="str">
        <f t="shared" si="115"/>
        <v>Adult</v>
      </c>
      <c r="T2457" t="str">
        <f t="shared" si="116"/>
        <v>High</v>
      </c>
      <c r="U2457" t="str">
        <f t="shared" si="117"/>
        <v>Short Days</v>
      </c>
    </row>
    <row r="2458" spans="1:21">
      <c r="A2458" t="s">
        <v>2474</v>
      </c>
      <c r="B2458" s="5">
        <v>45553</v>
      </c>
      <c r="C2458" t="s">
        <v>3131</v>
      </c>
      <c r="D2458" t="s">
        <v>4798</v>
      </c>
      <c r="E2458" t="s">
        <v>4867</v>
      </c>
      <c r="F2458">
        <v>54</v>
      </c>
      <c r="G2458" t="s">
        <v>4877</v>
      </c>
      <c r="H2458" t="s">
        <v>4888</v>
      </c>
      <c r="I2458" t="s">
        <v>4894</v>
      </c>
      <c r="J2458" t="s">
        <v>4904</v>
      </c>
      <c r="K2458" t="s">
        <v>4928</v>
      </c>
      <c r="L2458" t="s">
        <v>4937</v>
      </c>
      <c r="M2458" t="s">
        <v>4943</v>
      </c>
      <c r="N2458" s="11">
        <v>20041.509999999998</v>
      </c>
      <c r="O2458" t="s">
        <v>4947</v>
      </c>
      <c r="P2458" t="s">
        <v>4951</v>
      </c>
      <c r="R2458">
        <v>14</v>
      </c>
      <c r="S2458" t="str">
        <f t="shared" si="115"/>
        <v>Middle-Aged</v>
      </c>
      <c r="T2458" t="str">
        <f t="shared" si="116"/>
        <v>High</v>
      </c>
      <c r="U2458" t="str">
        <f t="shared" si="117"/>
        <v>Short Days</v>
      </c>
    </row>
    <row r="2459" spans="1:21">
      <c r="A2459" t="s">
        <v>2475</v>
      </c>
      <c r="B2459" s="5">
        <v>45610</v>
      </c>
      <c r="C2459" t="s">
        <v>3740</v>
      </c>
      <c r="D2459" t="s">
        <v>4687</v>
      </c>
      <c r="E2459" t="s">
        <v>4867</v>
      </c>
      <c r="F2459">
        <v>52</v>
      </c>
      <c r="G2459" t="s">
        <v>4882</v>
      </c>
      <c r="H2459" t="s">
        <v>4891</v>
      </c>
      <c r="I2459" t="s">
        <v>4900</v>
      </c>
      <c r="J2459" t="s">
        <v>4919</v>
      </c>
      <c r="K2459" t="s">
        <v>4927</v>
      </c>
      <c r="L2459" t="s">
        <v>4935</v>
      </c>
      <c r="M2459" t="s">
        <v>4944</v>
      </c>
      <c r="N2459" s="11">
        <v>5013.46</v>
      </c>
      <c r="O2459" t="s">
        <v>4949</v>
      </c>
      <c r="P2459" t="s">
        <v>4951</v>
      </c>
      <c r="S2459" t="str">
        <f t="shared" si="115"/>
        <v>Middle-Aged</v>
      </c>
      <c r="T2459" t="str">
        <f t="shared" si="116"/>
        <v>Medium</v>
      </c>
      <c r="U2459" t="str">
        <f t="shared" si="117"/>
        <v>Short Days</v>
      </c>
    </row>
    <row r="2460" spans="1:21">
      <c r="A2460" t="s">
        <v>2476</v>
      </c>
      <c r="B2460" s="5">
        <v>45690</v>
      </c>
      <c r="C2460" t="s">
        <v>3384</v>
      </c>
      <c r="D2460" t="s">
        <v>4695</v>
      </c>
      <c r="E2460" t="s">
        <v>4866</v>
      </c>
      <c r="F2460">
        <v>53</v>
      </c>
      <c r="G2460" t="s">
        <v>4873</v>
      </c>
      <c r="H2460" t="s">
        <v>4888</v>
      </c>
      <c r="I2460" t="s">
        <v>4894</v>
      </c>
      <c r="J2460" t="s">
        <v>4904</v>
      </c>
      <c r="K2460" t="s">
        <v>4926</v>
      </c>
      <c r="L2460" t="s">
        <v>4936</v>
      </c>
      <c r="M2460" t="s">
        <v>4943</v>
      </c>
      <c r="N2460" s="11">
        <v>6319.08</v>
      </c>
      <c r="O2460" t="s">
        <v>4947</v>
      </c>
      <c r="P2460" t="s">
        <v>4951</v>
      </c>
      <c r="R2460">
        <v>30</v>
      </c>
      <c r="S2460" t="str">
        <f t="shared" si="115"/>
        <v>Middle-Aged</v>
      </c>
      <c r="T2460" t="str">
        <f t="shared" si="116"/>
        <v>Medium</v>
      </c>
      <c r="U2460" t="str">
        <f t="shared" si="117"/>
        <v>Short Days</v>
      </c>
    </row>
    <row r="2461" spans="1:21">
      <c r="A2461" t="s">
        <v>2477</v>
      </c>
      <c r="B2461" s="5">
        <v>45688</v>
      </c>
      <c r="C2461" t="s">
        <v>4435</v>
      </c>
      <c r="D2461" t="s">
        <v>4793</v>
      </c>
      <c r="E2461" t="s">
        <v>4866</v>
      </c>
      <c r="F2461">
        <v>51</v>
      </c>
      <c r="G2461" t="s">
        <v>4878</v>
      </c>
      <c r="H2461" t="s">
        <v>4889</v>
      </c>
      <c r="I2461" t="s">
        <v>4900</v>
      </c>
      <c r="J2461" t="s">
        <v>4913</v>
      </c>
      <c r="K2461" t="s">
        <v>4931</v>
      </c>
      <c r="L2461" t="s">
        <v>4936</v>
      </c>
      <c r="M2461" t="s">
        <v>4942</v>
      </c>
      <c r="N2461" s="11">
        <v>4053.67</v>
      </c>
      <c r="O2461" t="s">
        <v>4949</v>
      </c>
      <c r="P2461" t="s">
        <v>4951</v>
      </c>
      <c r="R2461">
        <v>90</v>
      </c>
      <c r="S2461" t="str">
        <f t="shared" si="115"/>
        <v>Middle-Aged</v>
      </c>
      <c r="T2461" t="str">
        <f t="shared" si="116"/>
        <v>Low</v>
      </c>
      <c r="U2461" t="str">
        <f t="shared" si="117"/>
        <v>Short Days</v>
      </c>
    </row>
    <row r="2462" spans="1:21">
      <c r="A2462" t="s">
        <v>2478</v>
      </c>
      <c r="B2462" s="5">
        <v>45783</v>
      </c>
      <c r="C2462" t="s">
        <v>4436</v>
      </c>
      <c r="D2462" t="s">
        <v>4646</v>
      </c>
      <c r="E2462" t="s">
        <v>4866</v>
      </c>
      <c r="F2462">
        <v>50</v>
      </c>
      <c r="G2462" t="s">
        <v>4878</v>
      </c>
      <c r="H2462" t="s">
        <v>4889</v>
      </c>
      <c r="I2462" t="s">
        <v>4896</v>
      </c>
      <c r="J2462" t="s">
        <v>4906</v>
      </c>
      <c r="K2462" t="s">
        <v>4925</v>
      </c>
      <c r="L2462" t="s">
        <v>4937</v>
      </c>
      <c r="M2462" t="s">
        <v>4942</v>
      </c>
      <c r="N2462" s="11">
        <v>2235.19</v>
      </c>
      <c r="O2462" t="s">
        <v>4947</v>
      </c>
      <c r="P2462" t="s">
        <v>4951</v>
      </c>
      <c r="S2462" t="str">
        <f t="shared" si="115"/>
        <v>Middle-Aged</v>
      </c>
      <c r="T2462" t="str">
        <f t="shared" si="116"/>
        <v>Low</v>
      </c>
      <c r="U2462" t="str">
        <f t="shared" si="117"/>
        <v>Short Days</v>
      </c>
    </row>
    <row r="2463" spans="1:21">
      <c r="A2463" t="s">
        <v>2479</v>
      </c>
      <c r="B2463" s="5">
        <v>45769</v>
      </c>
      <c r="C2463" t="s">
        <v>4437</v>
      </c>
      <c r="D2463" t="s">
        <v>4634</v>
      </c>
      <c r="E2463" t="s">
        <v>4866</v>
      </c>
      <c r="F2463">
        <v>22</v>
      </c>
      <c r="G2463" t="s">
        <v>4878</v>
      </c>
      <c r="H2463" t="s">
        <v>4889</v>
      </c>
      <c r="I2463" t="s">
        <v>4899</v>
      </c>
      <c r="J2463" t="s">
        <v>4912</v>
      </c>
      <c r="K2463" t="s">
        <v>4932</v>
      </c>
      <c r="L2463" t="s">
        <v>4934</v>
      </c>
      <c r="M2463" t="s">
        <v>4942</v>
      </c>
      <c r="N2463" s="11">
        <v>2223.66</v>
      </c>
      <c r="O2463" t="s">
        <v>15</v>
      </c>
      <c r="P2463" t="s">
        <v>4952</v>
      </c>
      <c r="R2463">
        <v>30</v>
      </c>
      <c r="S2463" t="str">
        <f t="shared" si="115"/>
        <v>Adult</v>
      </c>
      <c r="T2463" t="str">
        <f t="shared" si="116"/>
        <v>Low</v>
      </c>
      <c r="U2463" t="str">
        <f t="shared" si="117"/>
        <v>Short Days</v>
      </c>
    </row>
    <row r="2464" spans="1:21">
      <c r="A2464" t="s">
        <v>2480</v>
      </c>
      <c r="B2464" s="5">
        <v>45764</v>
      </c>
      <c r="C2464" t="s">
        <v>3979</v>
      </c>
      <c r="D2464" t="s">
        <v>4862</v>
      </c>
      <c r="E2464" t="s">
        <v>4867</v>
      </c>
      <c r="F2464">
        <v>25</v>
      </c>
      <c r="G2464" t="s">
        <v>4879</v>
      </c>
      <c r="H2464" t="s">
        <v>4888</v>
      </c>
      <c r="I2464" t="s">
        <v>4898</v>
      </c>
      <c r="J2464" t="s">
        <v>4909</v>
      </c>
      <c r="K2464" t="s">
        <v>4933</v>
      </c>
      <c r="L2464" t="s">
        <v>4941</v>
      </c>
      <c r="M2464" t="s">
        <v>4942</v>
      </c>
      <c r="N2464" s="11">
        <v>5433.09</v>
      </c>
      <c r="O2464" t="s">
        <v>15</v>
      </c>
      <c r="P2464" t="s">
        <v>4952</v>
      </c>
      <c r="S2464" t="str">
        <f t="shared" si="115"/>
        <v>Adult</v>
      </c>
      <c r="T2464" t="str">
        <f t="shared" si="116"/>
        <v>Medium</v>
      </c>
      <c r="U2464" t="str">
        <f t="shared" si="117"/>
        <v>Short Days</v>
      </c>
    </row>
    <row r="2465" spans="1:21">
      <c r="A2465" t="s">
        <v>2481</v>
      </c>
      <c r="B2465" s="5">
        <v>45585</v>
      </c>
      <c r="C2465" t="s">
        <v>3157</v>
      </c>
      <c r="D2465" t="s">
        <v>4800</v>
      </c>
      <c r="E2465" t="s">
        <v>4867</v>
      </c>
      <c r="F2465">
        <v>60</v>
      </c>
      <c r="G2465" t="s">
        <v>4877</v>
      </c>
      <c r="H2465" t="s">
        <v>4888</v>
      </c>
      <c r="I2465" t="s">
        <v>4894</v>
      </c>
      <c r="J2465" t="s">
        <v>4904</v>
      </c>
      <c r="K2465" t="s">
        <v>4933</v>
      </c>
      <c r="L2465" t="s">
        <v>4941</v>
      </c>
      <c r="M2465" t="s">
        <v>4943</v>
      </c>
      <c r="N2465" s="11">
        <v>14370.48</v>
      </c>
      <c r="O2465" t="s">
        <v>15</v>
      </c>
      <c r="P2465" t="s">
        <v>4952</v>
      </c>
      <c r="S2465" t="str">
        <f t="shared" si="115"/>
        <v>Middle-Aged</v>
      </c>
      <c r="T2465" t="str">
        <f t="shared" si="116"/>
        <v>High</v>
      </c>
      <c r="U2465" t="str">
        <f t="shared" si="117"/>
        <v>Short Days</v>
      </c>
    </row>
    <row r="2466" spans="1:21">
      <c r="A2466" t="s">
        <v>2482</v>
      </c>
      <c r="B2466" s="5">
        <v>45559</v>
      </c>
      <c r="C2466" t="s">
        <v>4438</v>
      </c>
      <c r="D2466" t="s">
        <v>4768</v>
      </c>
      <c r="E2466" t="s">
        <v>4867</v>
      </c>
      <c r="F2466">
        <v>22</v>
      </c>
      <c r="G2466" t="s">
        <v>4883</v>
      </c>
      <c r="H2466" t="s">
        <v>4892</v>
      </c>
      <c r="I2466" t="s">
        <v>4899</v>
      </c>
      <c r="J2466" t="s">
        <v>4912</v>
      </c>
      <c r="K2466" t="s">
        <v>4930</v>
      </c>
      <c r="L2466" t="s">
        <v>4941</v>
      </c>
      <c r="M2466" t="s">
        <v>4942</v>
      </c>
      <c r="N2466" s="11">
        <v>1456.05</v>
      </c>
      <c r="O2466" t="s">
        <v>4949</v>
      </c>
      <c r="P2466" t="s">
        <v>4951</v>
      </c>
      <c r="R2466">
        <v>7</v>
      </c>
      <c r="S2466" t="str">
        <f t="shared" si="115"/>
        <v>Adult</v>
      </c>
      <c r="T2466" t="str">
        <f t="shared" si="116"/>
        <v>Low</v>
      </c>
      <c r="U2466" t="str">
        <f t="shared" si="117"/>
        <v>Short Days</v>
      </c>
    </row>
    <row r="2467" spans="1:21">
      <c r="A2467" t="s">
        <v>2483</v>
      </c>
      <c r="B2467" s="5">
        <v>45541</v>
      </c>
      <c r="C2467" t="s">
        <v>4439</v>
      </c>
      <c r="D2467" t="s">
        <v>4827</v>
      </c>
      <c r="E2467" t="s">
        <v>4867</v>
      </c>
      <c r="F2467">
        <v>40</v>
      </c>
      <c r="G2467" t="s">
        <v>4876</v>
      </c>
      <c r="H2467" t="s">
        <v>4888</v>
      </c>
      <c r="I2467" t="s">
        <v>4895</v>
      </c>
      <c r="J2467" t="s">
        <v>4915</v>
      </c>
      <c r="K2467" t="s">
        <v>4924</v>
      </c>
      <c r="L2467" t="s">
        <v>4940</v>
      </c>
      <c r="M2467" t="s">
        <v>4942</v>
      </c>
      <c r="N2467" s="11">
        <v>4914.13</v>
      </c>
      <c r="O2467" t="s">
        <v>4948</v>
      </c>
      <c r="P2467" t="s">
        <v>4951</v>
      </c>
      <c r="R2467">
        <v>14</v>
      </c>
      <c r="S2467" t="str">
        <f t="shared" si="115"/>
        <v>Adult</v>
      </c>
      <c r="T2467" t="str">
        <f t="shared" si="116"/>
        <v>Low</v>
      </c>
      <c r="U2467" t="str">
        <f t="shared" si="117"/>
        <v>Short Days</v>
      </c>
    </row>
    <row r="2468" spans="1:21">
      <c r="A2468" t="s">
        <v>2484</v>
      </c>
      <c r="B2468" s="5">
        <v>45581</v>
      </c>
      <c r="C2468" t="s">
        <v>4440</v>
      </c>
      <c r="D2468" t="s">
        <v>4725</v>
      </c>
      <c r="E2468" t="s">
        <v>4866</v>
      </c>
      <c r="F2468">
        <v>45</v>
      </c>
      <c r="G2468" t="s">
        <v>4872</v>
      </c>
      <c r="H2468" t="s">
        <v>4887</v>
      </c>
      <c r="I2468" t="s">
        <v>4896</v>
      </c>
      <c r="J2468" t="s">
        <v>4908</v>
      </c>
      <c r="K2468" t="s">
        <v>4927</v>
      </c>
      <c r="L2468" t="s">
        <v>4938</v>
      </c>
      <c r="M2468" t="s">
        <v>4942</v>
      </c>
      <c r="N2468" s="11">
        <v>175.15</v>
      </c>
      <c r="O2468" t="s">
        <v>4946</v>
      </c>
      <c r="P2468" t="s">
        <v>4951</v>
      </c>
      <c r="S2468" t="str">
        <f t="shared" si="115"/>
        <v>Middle-Aged</v>
      </c>
      <c r="T2468" t="str">
        <f t="shared" si="116"/>
        <v>Low</v>
      </c>
      <c r="U2468" t="str">
        <f t="shared" si="117"/>
        <v>Short Days</v>
      </c>
    </row>
    <row r="2469" spans="1:21">
      <c r="A2469" t="s">
        <v>2485</v>
      </c>
      <c r="B2469" s="5">
        <v>45891</v>
      </c>
      <c r="C2469" t="s">
        <v>4431</v>
      </c>
      <c r="D2469" t="s">
        <v>4838</v>
      </c>
      <c r="E2469" t="s">
        <v>4866</v>
      </c>
      <c r="F2469">
        <v>36</v>
      </c>
      <c r="G2469" t="s">
        <v>4871</v>
      </c>
      <c r="H2469" t="s">
        <v>4886</v>
      </c>
      <c r="I2469" t="s">
        <v>4901</v>
      </c>
      <c r="J2469" t="s">
        <v>4921</v>
      </c>
      <c r="K2469" t="s">
        <v>4933</v>
      </c>
      <c r="L2469" t="s">
        <v>4938</v>
      </c>
      <c r="M2469" t="s">
        <v>4943</v>
      </c>
      <c r="N2469" s="11">
        <v>12733.63</v>
      </c>
      <c r="O2469" t="s">
        <v>4946</v>
      </c>
      <c r="P2469" t="s">
        <v>4951</v>
      </c>
      <c r="R2469">
        <v>30</v>
      </c>
      <c r="S2469" t="str">
        <f t="shared" si="115"/>
        <v>Adult</v>
      </c>
      <c r="T2469" t="str">
        <f t="shared" si="116"/>
        <v>High</v>
      </c>
      <c r="U2469" t="str">
        <f t="shared" si="117"/>
        <v>Short Days</v>
      </c>
    </row>
    <row r="2470" spans="1:21">
      <c r="A2470" t="s">
        <v>2486</v>
      </c>
      <c r="B2470" s="5">
        <v>45607</v>
      </c>
      <c r="C2470" t="s">
        <v>4441</v>
      </c>
      <c r="D2470" t="s">
        <v>4809</v>
      </c>
      <c r="E2470" t="s">
        <v>4866</v>
      </c>
      <c r="F2470">
        <v>40</v>
      </c>
      <c r="G2470" t="s">
        <v>4882</v>
      </c>
      <c r="H2470" t="s">
        <v>4891</v>
      </c>
      <c r="I2470" t="s">
        <v>4901</v>
      </c>
      <c r="J2470" t="s">
        <v>4914</v>
      </c>
      <c r="K2470" t="s">
        <v>4925</v>
      </c>
      <c r="L2470" t="s">
        <v>4934</v>
      </c>
      <c r="M2470" t="s">
        <v>4942</v>
      </c>
      <c r="N2470" s="11">
        <v>3093.39</v>
      </c>
      <c r="O2470" t="s">
        <v>4949</v>
      </c>
      <c r="P2470" t="s">
        <v>4951</v>
      </c>
      <c r="R2470">
        <v>90</v>
      </c>
      <c r="S2470" t="str">
        <f t="shared" si="115"/>
        <v>Adult</v>
      </c>
      <c r="T2470" t="str">
        <f t="shared" si="116"/>
        <v>Low</v>
      </c>
      <c r="U2470" t="str">
        <f t="shared" si="117"/>
        <v>Short Days</v>
      </c>
    </row>
    <row r="2471" spans="1:21">
      <c r="A2471" t="s">
        <v>2487</v>
      </c>
      <c r="B2471" s="5">
        <v>45805</v>
      </c>
      <c r="C2471" t="s">
        <v>3615</v>
      </c>
      <c r="D2471" t="s">
        <v>4599</v>
      </c>
      <c r="E2471" t="s">
        <v>4866</v>
      </c>
      <c r="F2471">
        <v>36</v>
      </c>
      <c r="G2471" t="s">
        <v>4876</v>
      </c>
      <c r="H2471" t="s">
        <v>4888</v>
      </c>
      <c r="I2471" t="s">
        <v>4896</v>
      </c>
      <c r="J2471" t="s">
        <v>4908</v>
      </c>
      <c r="K2471" t="s">
        <v>4927</v>
      </c>
      <c r="L2471" t="s">
        <v>4939</v>
      </c>
      <c r="M2471" t="s">
        <v>4945</v>
      </c>
      <c r="N2471" s="11">
        <v>6010.81</v>
      </c>
      <c r="O2471" t="s">
        <v>4948</v>
      </c>
      <c r="P2471" t="s">
        <v>4951</v>
      </c>
      <c r="Q2471">
        <v>7</v>
      </c>
      <c r="R2471">
        <v>30</v>
      </c>
      <c r="S2471" t="str">
        <f t="shared" si="115"/>
        <v>Adult</v>
      </c>
      <c r="T2471" t="str">
        <f t="shared" si="116"/>
        <v>Medium</v>
      </c>
      <c r="U2471" t="str">
        <f t="shared" si="117"/>
        <v>Long Days</v>
      </c>
    </row>
    <row r="2472" spans="1:21">
      <c r="A2472" t="s">
        <v>2488</v>
      </c>
      <c r="B2472" s="5">
        <v>45576</v>
      </c>
      <c r="C2472" t="s">
        <v>3166</v>
      </c>
      <c r="D2472" t="s">
        <v>4835</v>
      </c>
      <c r="E2472" t="s">
        <v>4866</v>
      </c>
      <c r="F2472">
        <v>45</v>
      </c>
      <c r="G2472" t="s">
        <v>4880</v>
      </c>
      <c r="H2472" t="s">
        <v>4890</v>
      </c>
      <c r="I2472" t="s">
        <v>4900</v>
      </c>
      <c r="J2472" t="s">
        <v>4919</v>
      </c>
      <c r="K2472" t="s">
        <v>4929</v>
      </c>
      <c r="L2472" t="s">
        <v>4936</v>
      </c>
      <c r="M2472" t="s">
        <v>4942</v>
      </c>
      <c r="N2472" s="11">
        <v>2188.21</v>
      </c>
      <c r="O2472" t="s">
        <v>4946</v>
      </c>
      <c r="P2472" t="s">
        <v>4951</v>
      </c>
      <c r="S2472" t="str">
        <f t="shared" si="115"/>
        <v>Middle-Aged</v>
      </c>
      <c r="T2472" t="str">
        <f t="shared" si="116"/>
        <v>Low</v>
      </c>
      <c r="U2472" t="str">
        <f t="shared" si="117"/>
        <v>Short Days</v>
      </c>
    </row>
    <row r="2473" spans="1:21">
      <c r="A2473" t="s">
        <v>2489</v>
      </c>
      <c r="B2473" s="5">
        <v>45409</v>
      </c>
      <c r="C2473" t="s">
        <v>3536</v>
      </c>
      <c r="D2473" t="s">
        <v>4620</v>
      </c>
      <c r="E2473" t="s">
        <v>4867</v>
      </c>
      <c r="F2473">
        <v>52</v>
      </c>
      <c r="G2473" t="s">
        <v>4881</v>
      </c>
      <c r="H2473" t="s">
        <v>4881</v>
      </c>
      <c r="I2473" t="s">
        <v>4893</v>
      </c>
      <c r="J2473" t="s">
        <v>4917</v>
      </c>
      <c r="K2473" t="s">
        <v>4925</v>
      </c>
      <c r="L2473" t="s">
        <v>4935</v>
      </c>
      <c r="M2473" t="s">
        <v>4942</v>
      </c>
      <c r="N2473" s="11">
        <v>321.95999999999998</v>
      </c>
      <c r="O2473" t="s">
        <v>4946</v>
      </c>
      <c r="P2473" t="s">
        <v>4951</v>
      </c>
      <c r="R2473">
        <v>90</v>
      </c>
      <c r="S2473" t="str">
        <f t="shared" si="115"/>
        <v>Middle-Aged</v>
      </c>
      <c r="T2473" t="str">
        <f t="shared" si="116"/>
        <v>Low</v>
      </c>
      <c r="U2473" t="str">
        <f t="shared" si="117"/>
        <v>Short Days</v>
      </c>
    </row>
    <row r="2474" spans="1:21">
      <c r="A2474" t="s">
        <v>2490</v>
      </c>
      <c r="B2474" s="5">
        <v>45550</v>
      </c>
      <c r="C2474" t="s">
        <v>4442</v>
      </c>
      <c r="D2474" t="s">
        <v>4792</v>
      </c>
      <c r="E2474" t="s">
        <v>4867</v>
      </c>
      <c r="F2474">
        <v>31</v>
      </c>
      <c r="G2474" t="s">
        <v>4874</v>
      </c>
      <c r="H2474" t="s">
        <v>4886</v>
      </c>
      <c r="I2474" t="s">
        <v>4895</v>
      </c>
      <c r="J2474" t="s">
        <v>4905</v>
      </c>
      <c r="K2474" t="s">
        <v>4932</v>
      </c>
      <c r="L2474" t="s">
        <v>4939</v>
      </c>
      <c r="M2474" t="s">
        <v>4944</v>
      </c>
      <c r="N2474" s="11">
        <v>5937.49</v>
      </c>
      <c r="O2474" t="s">
        <v>4950</v>
      </c>
      <c r="P2474" t="s">
        <v>4951</v>
      </c>
      <c r="R2474">
        <v>30</v>
      </c>
      <c r="S2474" t="str">
        <f t="shared" si="115"/>
        <v>Adult</v>
      </c>
      <c r="T2474" t="str">
        <f t="shared" si="116"/>
        <v>Medium</v>
      </c>
      <c r="U2474" t="str">
        <f t="shared" si="117"/>
        <v>Short Days</v>
      </c>
    </row>
    <row r="2475" spans="1:21">
      <c r="A2475" t="s">
        <v>2491</v>
      </c>
      <c r="B2475" s="5">
        <v>45483</v>
      </c>
      <c r="C2475" t="s">
        <v>4443</v>
      </c>
      <c r="D2475" t="s">
        <v>4724</v>
      </c>
      <c r="E2475" t="s">
        <v>4866</v>
      </c>
      <c r="F2475">
        <v>52</v>
      </c>
      <c r="G2475" t="s">
        <v>4870</v>
      </c>
      <c r="H2475" t="s">
        <v>4885</v>
      </c>
      <c r="I2475" t="s">
        <v>4894</v>
      </c>
      <c r="J2475" t="s">
        <v>4904</v>
      </c>
      <c r="K2475" t="s">
        <v>4927</v>
      </c>
      <c r="L2475" t="s">
        <v>4935</v>
      </c>
      <c r="M2475" t="s">
        <v>4942</v>
      </c>
      <c r="N2475" s="11">
        <v>1691.79</v>
      </c>
      <c r="O2475" t="s">
        <v>4946</v>
      </c>
      <c r="P2475" t="s">
        <v>4951</v>
      </c>
      <c r="R2475">
        <v>30</v>
      </c>
      <c r="S2475" t="str">
        <f t="shared" si="115"/>
        <v>Middle-Aged</v>
      </c>
      <c r="T2475" t="str">
        <f t="shared" si="116"/>
        <v>Low</v>
      </c>
      <c r="U2475" t="str">
        <f t="shared" si="117"/>
        <v>Short Days</v>
      </c>
    </row>
    <row r="2476" spans="1:21">
      <c r="A2476" t="s">
        <v>2492</v>
      </c>
      <c r="B2476" s="5">
        <v>45740</v>
      </c>
      <c r="C2476" t="s">
        <v>4444</v>
      </c>
      <c r="D2476" t="s">
        <v>4627</v>
      </c>
      <c r="E2476" t="s">
        <v>4867</v>
      </c>
      <c r="F2476">
        <v>50</v>
      </c>
      <c r="G2476" t="s">
        <v>4878</v>
      </c>
      <c r="H2476" t="s">
        <v>4889</v>
      </c>
      <c r="I2476" t="s">
        <v>4898</v>
      </c>
      <c r="J2476" t="s">
        <v>4909</v>
      </c>
      <c r="K2476" t="s">
        <v>4925</v>
      </c>
      <c r="L2476" t="s">
        <v>4935</v>
      </c>
      <c r="M2476" t="s">
        <v>4942</v>
      </c>
      <c r="N2476" s="11">
        <v>255.29</v>
      </c>
      <c r="O2476" t="s">
        <v>4947</v>
      </c>
      <c r="P2476" t="s">
        <v>4951</v>
      </c>
      <c r="R2476">
        <v>7</v>
      </c>
      <c r="S2476" t="str">
        <f t="shared" si="115"/>
        <v>Middle-Aged</v>
      </c>
      <c r="T2476" t="str">
        <f t="shared" si="116"/>
        <v>Low</v>
      </c>
      <c r="U2476" t="str">
        <f t="shared" si="117"/>
        <v>Short Days</v>
      </c>
    </row>
    <row r="2477" spans="1:21">
      <c r="A2477" t="s">
        <v>2493</v>
      </c>
      <c r="B2477" s="5">
        <v>45800</v>
      </c>
      <c r="C2477" t="s">
        <v>3395</v>
      </c>
      <c r="D2477" t="s">
        <v>4858</v>
      </c>
      <c r="E2477" t="s">
        <v>4867</v>
      </c>
      <c r="F2477">
        <v>35</v>
      </c>
      <c r="G2477" t="s">
        <v>4880</v>
      </c>
      <c r="H2477" t="s">
        <v>4890</v>
      </c>
      <c r="I2477" t="s">
        <v>4895</v>
      </c>
      <c r="J2477" t="s">
        <v>4915</v>
      </c>
      <c r="K2477" t="s">
        <v>4926</v>
      </c>
      <c r="L2477" t="s">
        <v>4937</v>
      </c>
      <c r="M2477" t="s">
        <v>4942</v>
      </c>
      <c r="N2477" s="11">
        <v>3732.3</v>
      </c>
      <c r="O2477" t="s">
        <v>4948</v>
      </c>
      <c r="P2477" t="s">
        <v>4951</v>
      </c>
      <c r="R2477">
        <v>14</v>
      </c>
      <c r="S2477" t="str">
        <f t="shared" si="115"/>
        <v>Adult</v>
      </c>
      <c r="T2477" t="str">
        <f t="shared" si="116"/>
        <v>Low</v>
      </c>
      <c r="U2477" t="str">
        <f t="shared" si="117"/>
        <v>Short Days</v>
      </c>
    </row>
    <row r="2478" spans="1:21">
      <c r="A2478" t="s">
        <v>2494</v>
      </c>
      <c r="B2478" s="5">
        <v>45419</v>
      </c>
      <c r="C2478" t="s">
        <v>4445</v>
      </c>
      <c r="D2478" t="s">
        <v>4761</v>
      </c>
      <c r="E2478" t="s">
        <v>4866</v>
      </c>
      <c r="F2478">
        <v>9</v>
      </c>
      <c r="G2478" t="s">
        <v>4873</v>
      </c>
      <c r="H2478" t="s">
        <v>4888</v>
      </c>
      <c r="I2478" t="s">
        <v>4894</v>
      </c>
      <c r="J2478" t="s">
        <v>4904</v>
      </c>
      <c r="K2478" t="s">
        <v>4929</v>
      </c>
      <c r="L2478" t="s">
        <v>4934</v>
      </c>
      <c r="M2478" t="s">
        <v>4942</v>
      </c>
      <c r="N2478" s="11">
        <v>1226.54</v>
      </c>
      <c r="O2478" t="s">
        <v>4946</v>
      </c>
      <c r="P2478" t="s">
        <v>4951</v>
      </c>
      <c r="S2478" t="str">
        <f t="shared" si="115"/>
        <v>Child</v>
      </c>
      <c r="T2478" t="str">
        <f t="shared" si="116"/>
        <v>Low</v>
      </c>
      <c r="U2478" t="str">
        <f t="shared" si="117"/>
        <v>Short Days</v>
      </c>
    </row>
    <row r="2479" spans="1:21">
      <c r="A2479" t="s">
        <v>2495</v>
      </c>
      <c r="B2479" s="5">
        <v>45936</v>
      </c>
      <c r="C2479" t="s">
        <v>3216</v>
      </c>
      <c r="D2479" t="s">
        <v>4690</v>
      </c>
      <c r="E2479" t="s">
        <v>4867</v>
      </c>
      <c r="F2479">
        <v>34</v>
      </c>
      <c r="G2479" t="s">
        <v>4875</v>
      </c>
      <c r="H2479" t="s">
        <v>4889</v>
      </c>
      <c r="I2479" t="s">
        <v>4900</v>
      </c>
      <c r="J2479" t="s">
        <v>4913</v>
      </c>
      <c r="K2479" t="s">
        <v>4930</v>
      </c>
      <c r="L2479" t="s">
        <v>4938</v>
      </c>
      <c r="M2479" t="s">
        <v>4942</v>
      </c>
      <c r="N2479" s="11">
        <v>2313.0100000000002</v>
      </c>
      <c r="O2479" t="s">
        <v>4949</v>
      </c>
      <c r="P2479" t="s">
        <v>4951</v>
      </c>
      <c r="R2479">
        <v>30</v>
      </c>
      <c r="S2479" t="str">
        <f t="shared" si="115"/>
        <v>Adult</v>
      </c>
      <c r="T2479" t="str">
        <f t="shared" si="116"/>
        <v>Low</v>
      </c>
      <c r="U2479" t="str">
        <f t="shared" si="117"/>
        <v>Short Days</v>
      </c>
    </row>
    <row r="2480" spans="1:21">
      <c r="A2480" t="s">
        <v>2496</v>
      </c>
      <c r="B2480" s="5">
        <v>45853</v>
      </c>
      <c r="C2480" t="s">
        <v>4303</v>
      </c>
      <c r="D2480" t="s">
        <v>4680</v>
      </c>
      <c r="E2480" t="s">
        <v>4866</v>
      </c>
      <c r="F2480">
        <v>12</v>
      </c>
      <c r="G2480" t="s">
        <v>4875</v>
      </c>
      <c r="H2480" t="s">
        <v>4889</v>
      </c>
      <c r="I2480" t="s">
        <v>4900</v>
      </c>
      <c r="J2480" t="s">
        <v>4919</v>
      </c>
      <c r="K2480" t="s">
        <v>4929</v>
      </c>
      <c r="L2480" t="s">
        <v>4938</v>
      </c>
      <c r="M2480" t="s">
        <v>4943</v>
      </c>
      <c r="N2480" s="11">
        <v>13553.52</v>
      </c>
      <c r="O2480" t="s">
        <v>4947</v>
      </c>
      <c r="P2480" t="s">
        <v>4951</v>
      </c>
      <c r="S2480" t="str">
        <f t="shared" si="115"/>
        <v>Child</v>
      </c>
      <c r="T2480" t="str">
        <f t="shared" si="116"/>
        <v>High</v>
      </c>
      <c r="U2480" t="str">
        <f t="shared" si="117"/>
        <v>Short Days</v>
      </c>
    </row>
    <row r="2481" spans="1:21">
      <c r="A2481" t="s">
        <v>2497</v>
      </c>
      <c r="B2481" s="5">
        <v>45747</v>
      </c>
      <c r="C2481" t="s">
        <v>4036</v>
      </c>
      <c r="D2481" t="s">
        <v>4595</v>
      </c>
      <c r="E2481" t="s">
        <v>4867</v>
      </c>
      <c r="F2481">
        <v>14</v>
      </c>
      <c r="G2481" t="s">
        <v>4879</v>
      </c>
      <c r="H2481" t="s">
        <v>4888</v>
      </c>
      <c r="I2481" t="s">
        <v>4901</v>
      </c>
      <c r="J2481" t="s">
        <v>4921</v>
      </c>
      <c r="K2481" t="s">
        <v>4928</v>
      </c>
      <c r="L2481" t="s">
        <v>4938</v>
      </c>
      <c r="M2481" t="s">
        <v>4944</v>
      </c>
      <c r="N2481" s="11">
        <v>8066.17</v>
      </c>
      <c r="O2481" t="s">
        <v>4950</v>
      </c>
      <c r="P2481" t="s">
        <v>4951</v>
      </c>
      <c r="R2481">
        <v>30</v>
      </c>
      <c r="S2481" t="str">
        <f t="shared" si="115"/>
        <v>Child</v>
      </c>
      <c r="T2481" t="str">
        <f t="shared" si="116"/>
        <v>Medium</v>
      </c>
      <c r="U2481" t="str">
        <f t="shared" si="117"/>
        <v>Short Days</v>
      </c>
    </row>
    <row r="2482" spans="1:21">
      <c r="A2482" t="s">
        <v>2498</v>
      </c>
      <c r="B2482" s="5">
        <v>45879</v>
      </c>
      <c r="C2482" t="s">
        <v>4446</v>
      </c>
      <c r="D2482" t="s">
        <v>4665</v>
      </c>
      <c r="E2482" t="s">
        <v>4867</v>
      </c>
      <c r="F2482">
        <v>41</v>
      </c>
      <c r="G2482" t="s">
        <v>4880</v>
      </c>
      <c r="H2482" t="s">
        <v>4890</v>
      </c>
      <c r="I2482" t="s">
        <v>4900</v>
      </c>
      <c r="J2482" t="s">
        <v>4913</v>
      </c>
      <c r="K2482" t="s">
        <v>4928</v>
      </c>
      <c r="L2482" t="s">
        <v>4940</v>
      </c>
      <c r="M2482" t="s">
        <v>4945</v>
      </c>
      <c r="N2482" s="11">
        <v>12567.79</v>
      </c>
      <c r="O2482" t="s">
        <v>4947</v>
      </c>
      <c r="P2482" t="s">
        <v>4951</v>
      </c>
      <c r="Q2482">
        <v>6</v>
      </c>
      <c r="R2482">
        <v>14</v>
      </c>
      <c r="S2482" t="str">
        <f t="shared" si="115"/>
        <v>Middle-Aged</v>
      </c>
      <c r="T2482" t="str">
        <f t="shared" si="116"/>
        <v>High</v>
      </c>
      <c r="U2482" t="str">
        <f t="shared" si="117"/>
        <v>Long Days</v>
      </c>
    </row>
    <row r="2483" spans="1:21">
      <c r="A2483" t="s">
        <v>2499</v>
      </c>
      <c r="B2483" s="5">
        <v>45667</v>
      </c>
      <c r="C2483" t="s">
        <v>3815</v>
      </c>
      <c r="D2483" t="s">
        <v>4665</v>
      </c>
      <c r="E2483" t="s">
        <v>4866</v>
      </c>
      <c r="F2483">
        <v>41</v>
      </c>
      <c r="G2483" t="s">
        <v>4881</v>
      </c>
      <c r="H2483" t="s">
        <v>4881</v>
      </c>
      <c r="I2483" t="s">
        <v>4893</v>
      </c>
      <c r="J2483" t="s">
        <v>4903</v>
      </c>
      <c r="K2483" t="s">
        <v>4932</v>
      </c>
      <c r="L2483" t="s">
        <v>4937</v>
      </c>
      <c r="M2483" t="s">
        <v>4942</v>
      </c>
      <c r="N2483" s="11">
        <v>2318.79</v>
      </c>
      <c r="O2483" t="s">
        <v>4947</v>
      </c>
      <c r="P2483" t="s">
        <v>4951</v>
      </c>
      <c r="R2483">
        <v>7</v>
      </c>
      <c r="S2483" t="str">
        <f t="shared" si="115"/>
        <v>Middle-Aged</v>
      </c>
      <c r="T2483" t="str">
        <f t="shared" si="116"/>
        <v>Low</v>
      </c>
      <c r="U2483" t="str">
        <f t="shared" si="117"/>
        <v>Short Days</v>
      </c>
    </row>
    <row r="2484" spans="1:21">
      <c r="A2484" t="s">
        <v>2500</v>
      </c>
      <c r="B2484" s="5">
        <v>45776</v>
      </c>
      <c r="C2484" t="s">
        <v>4447</v>
      </c>
      <c r="D2484" t="s">
        <v>4791</v>
      </c>
      <c r="E2484" t="s">
        <v>4866</v>
      </c>
      <c r="F2484">
        <v>41</v>
      </c>
      <c r="G2484" t="s">
        <v>4872</v>
      </c>
      <c r="H2484" t="s">
        <v>4887</v>
      </c>
      <c r="I2484" t="s">
        <v>4899</v>
      </c>
      <c r="J2484" t="s">
        <v>4912</v>
      </c>
      <c r="K2484" t="s">
        <v>4928</v>
      </c>
      <c r="L2484" t="s">
        <v>4934</v>
      </c>
      <c r="M2484" t="s">
        <v>4942</v>
      </c>
      <c r="N2484" s="11">
        <v>4767.9799999999996</v>
      </c>
      <c r="O2484" t="s">
        <v>4950</v>
      </c>
      <c r="P2484" t="s">
        <v>4951</v>
      </c>
      <c r="R2484">
        <v>30</v>
      </c>
      <c r="S2484" t="str">
        <f t="shared" si="115"/>
        <v>Middle-Aged</v>
      </c>
      <c r="T2484" t="str">
        <f t="shared" si="116"/>
        <v>Low</v>
      </c>
      <c r="U2484" t="str">
        <f t="shared" si="117"/>
        <v>Short Days</v>
      </c>
    </row>
    <row r="2485" spans="1:21">
      <c r="A2485" t="s">
        <v>2501</v>
      </c>
      <c r="B2485" s="5">
        <v>45575</v>
      </c>
      <c r="C2485" t="s">
        <v>3410</v>
      </c>
      <c r="D2485" t="s">
        <v>4859</v>
      </c>
      <c r="E2485" t="s">
        <v>4866</v>
      </c>
      <c r="F2485">
        <v>28</v>
      </c>
      <c r="G2485" t="s">
        <v>4875</v>
      </c>
      <c r="H2485" t="s">
        <v>4889</v>
      </c>
      <c r="I2485" t="s">
        <v>4901</v>
      </c>
      <c r="J2485" t="s">
        <v>4921</v>
      </c>
      <c r="K2485" t="s">
        <v>4930</v>
      </c>
      <c r="L2485" t="s">
        <v>4935</v>
      </c>
      <c r="M2485" t="s">
        <v>4942</v>
      </c>
      <c r="N2485" s="11">
        <v>6603.44</v>
      </c>
      <c r="O2485" t="s">
        <v>4947</v>
      </c>
      <c r="P2485" t="s">
        <v>4951</v>
      </c>
      <c r="R2485">
        <v>14</v>
      </c>
      <c r="S2485" t="str">
        <f t="shared" si="115"/>
        <v>Adult</v>
      </c>
      <c r="T2485" t="str">
        <f t="shared" si="116"/>
        <v>Medium</v>
      </c>
      <c r="U2485" t="str">
        <f t="shared" si="117"/>
        <v>Short Days</v>
      </c>
    </row>
    <row r="2486" spans="1:21">
      <c r="A2486" t="s">
        <v>2502</v>
      </c>
      <c r="B2486" s="5">
        <v>45680</v>
      </c>
      <c r="C2486" t="s">
        <v>4321</v>
      </c>
      <c r="D2486" t="s">
        <v>4799</v>
      </c>
      <c r="E2486" t="s">
        <v>4867</v>
      </c>
      <c r="F2486">
        <v>13</v>
      </c>
      <c r="G2486" t="s">
        <v>4877</v>
      </c>
      <c r="H2486" t="s">
        <v>4888</v>
      </c>
      <c r="I2486" t="s">
        <v>4899</v>
      </c>
      <c r="J2486" t="s">
        <v>4912</v>
      </c>
      <c r="K2486" t="s">
        <v>4929</v>
      </c>
      <c r="L2486" t="s">
        <v>4940</v>
      </c>
      <c r="M2486" t="s">
        <v>4944</v>
      </c>
      <c r="N2486" s="11">
        <v>6477.31</v>
      </c>
      <c r="O2486" t="s">
        <v>15</v>
      </c>
      <c r="P2486" t="s">
        <v>4952</v>
      </c>
      <c r="R2486">
        <v>90</v>
      </c>
      <c r="S2486" t="str">
        <f t="shared" si="115"/>
        <v>Child</v>
      </c>
      <c r="T2486" t="str">
        <f t="shared" si="116"/>
        <v>Medium</v>
      </c>
      <c r="U2486" t="str">
        <f t="shared" si="117"/>
        <v>Short Days</v>
      </c>
    </row>
    <row r="2487" spans="1:21">
      <c r="A2487" t="s">
        <v>2503</v>
      </c>
      <c r="B2487" s="5">
        <v>45649</v>
      </c>
      <c r="C2487" t="s">
        <v>3644</v>
      </c>
      <c r="D2487" t="s">
        <v>4736</v>
      </c>
      <c r="E2487" t="s">
        <v>4867</v>
      </c>
      <c r="F2487">
        <v>34</v>
      </c>
      <c r="G2487" t="s">
        <v>4877</v>
      </c>
      <c r="H2487" t="s">
        <v>4888</v>
      </c>
      <c r="I2487" t="s">
        <v>4902</v>
      </c>
      <c r="J2487" t="s">
        <v>4920</v>
      </c>
      <c r="K2487" t="s">
        <v>4930</v>
      </c>
      <c r="L2487" t="s">
        <v>4940</v>
      </c>
      <c r="M2487" t="s">
        <v>4942</v>
      </c>
      <c r="N2487" s="11">
        <v>11339.14</v>
      </c>
      <c r="O2487" t="s">
        <v>4949</v>
      </c>
      <c r="P2487" t="s">
        <v>4951</v>
      </c>
      <c r="R2487">
        <v>7</v>
      </c>
      <c r="S2487" t="str">
        <f t="shared" si="115"/>
        <v>Adult</v>
      </c>
      <c r="T2487" t="str">
        <f t="shared" si="116"/>
        <v>High</v>
      </c>
      <c r="U2487" t="str">
        <f t="shared" si="117"/>
        <v>Short Days</v>
      </c>
    </row>
    <row r="2488" spans="1:21">
      <c r="A2488" t="s">
        <v>2504</v>
      </c>
      <c r="B2488" s="5">
        <v>45717</v>
      </c>
      <c r="C2488" t="s">
        <v>4437</v>
      </c>
      <c r="D2488" t="s">
        <v>4732</v>
      </c>
      <c r="E2488" t="s">
        <v>4867</v>
      </c>
      <c r="F2488">
        <f>AVERAGE(F2481,F2487)</f>
        <v>24</v>
      </c>
      <c r="G2488" t="s">
        <v>4881</v>
      </c>
      <c r="H2488" t="s">
        <v>4887</v>
      </c>
      <c r="I2488" t="s">
        <v>4895</v>
      </c>
      <c r="J2488" t="s">
        <v>4905</v>
      </c>
      <c r="K2488" t="s">
        <v>4953</v>
      </c>
      <c r="L2488" t="s">
        <v>4934</v>
      </c>
      <c r="M2488" t="s">
        <v>4942</v>
      </c>
      <c r="N2488" s="11">
        <v>4432.3</v>
      </c>
      <c r="O2488" t="s">
        <v>15</v>
      </c>
      <c r="P2488" t="s">
        <v>4952</v>
      </c>
      <c r="R2488">
        <v>90</v>
      </c>
      <c r="S2488" t="str">
        <f t="shared" si="115"/>
        <v>Adult</v>
      </c>
      <c r="T2488" t="str">
        <f t="shared" si="116"/>
        <v>Low</v>
      </c>
      <c r="U2488" t="str">
        <f t="shared" si="117"/>
        <v>Short Days</v>
      </c>
    </row>
    <row r="2489" spans="1:21">
      <c r="A2489" t="s">
        <v>2505</v>
      </c>
      <c r="B2489" s="5">
        <v>45897</v>
      </c>
      <c r="C2489" t="s">
        <v>4448</v>
      </c>
      <c r="D2489" t="s">
        <v>4841</v>
      </c>
      <c r="E2489" t="s">
        <v>4866</v>
      </c>
      <c r="F2489">
        <v>21</v>
      </c>
      <c r="G2489" t="s">
        <v>4875</v>
      </c>
      <c r="H2489" t="s">
        <v>4889</v>
      </c>
      <c r="I2489" t="s">
        <v>4896</v>
      </c>
      <c r="J2489" t="s">
        <v>4906</v>
      </c>
      <c r="K2489" t="s">
        <v>4924</v>
      </c>
      <c r="L2489" t="s">
        <v>4934</v>
      </c>
      <c r="M2489" t="s">
        <v>4944</v>
      </c>
      <c r="N2489" s="11">
        <v>5270.07</v>
      </c>
      <c r="O2489" t="s">
        <v>4949</v>
      </c>
      <c r="P2489" t="s">
        <v>4951</v>
      </c>
      <c r="R2489">
        <v>90</v>
      </c>
      <c r="S2489" t="str">
        <f t="shared" si="115"/>
        <v>Adult</v>
      </c>
      <c r="T2489" t="str">
        <f t="shared" si="116"/>
        <v>Medium</v>
      </c>
      <c r="U2489" t="str">
        <f t="shared" si="117"/>
        <v>Short Days</v>
      </c>
    </row>
    <row r="2490" spans="1:21">
      <c r="A2490" t="s">
        <v>2506</v>
      </c>
      <c r="B2490" s="5">
        <v>45921</v>
      </c>
      <c r="C2490" t="s">
        <v>3686</v>
      </c>
      <c r="D2490" t="s">
        <v>4712</v>
      </c>
      <c r="E2490" t="s">
        <v>4867</v>
      </c>
      <c r="F2490">
        <v>32</v>
      </c>
      <c r="G2490" t="s">
        <v>4873</v>
      </c>
      <c r="H2490" t="s">
        <v>4888</v>
      </c>
      <c r="I2490" t="s">
        <v>4896</v>
      </c>
      <c r="J2490" t="s">
        <v>4908</v>
      </c>
      <c r="K2490" t="s">
        <v>4928</v>
      </c>
      <c r="L2490" t="s">
        <v>4935</v>
      </c>
      <c r="M2490" t="s">
        <v>4944</v>
      </c>
      <c r="N2490" s="11">
        <v>6546.42</v>
      </c>
      <c r="O2490" t="s">
        <v>4946</v>
      </c>
      <c r="P2490" t="s">
        <v>4951</v>
      </c>
      <c r="R2490">
        <v>30</v>
      </c>
      <c r="S2490" t="str">
        <f t="shared" si="115"/>
        <v>Adult</v>
      </c>
      <c r="T2490" t="str">
        <f t="shared" si="116"/>
        <v>Medium</v>
      </c>
      <c r="U2490" t="str">
        <f t="shared" si="117"/>
        <v>Short Days</v>
      </c>
    </row>
    <row r="2491" spans="1:21">
      <c r="A2491" t="s">
        <v>2507</v>
      </c>
      <c r="B2491" s="5">
        <v>45367</v>
      </c>
      <c r="C2491" t="s">
        <v>4311</v>
      </c>
      <c r="D2491" t="s">
        <v>4815</v>
      </c>
      <c r="E2491" t="s">
        <v>4867</v>
      </c>
      <c r="F2491">
        <v>33</v>
      </c>
      <c r="G2491" t="s">
        <v>4873</v>
      </c>
      <c r="H2491" t="s">
        <v>4888</v>
      </c>
      <c r="I2491" t="s">
        <v>4894</v>
      </c>
      <c r="J2491" t="s">
        <v>4910</v>
      </c>
      <c r="K2491" t="s">
        <v>4929</v>
      </c>
      <c r="L2491" t="s">
        <v>4938</v>
      </c>
      <c r="M2491" t="s">
        <v>4942</v>
      </c>
      <c r="N2491" s="11">
        <v>6750.86</v>
      </c>
      <c r="O2491" t="s">
        <v>4946</v>
      </c>
      <c r="P2491" t="s">
        <v>4951</v>
      </c>
      <c r="S2491" t="str">
        <f t="shared" si="115"/>
        <v>Adult</v>
      </c>
      <c r="T2491" t="str">
        <f t="shared" si="116"/>
        <v>Medium</v>
      </c>
      <c r="U2491" t="str">
        <f t="shared" si="117"/>
        <v>Short Days</v>
      </c>
    </row>
    <row r="2492" spans="1:21">
      <c r="A2492" t="s">
        <v>2508</v>
      </c>
      <c r="B2492" s="5">
        <v>45424</v>
      </c>
      <c r="C2492" t="s">
        <v>4409</v>
      </c>
      <c r="D2492" t="s">
        <v>4674</v>
      </c>
      <c r="E2492" t="s">
        <v>4867</v>
      </c>
      <c r="F2492">
        <v>63</v>
      </c>
      <c r="G2492" t="s">
        <v>4877</v>
      </c>
      <c r="H2492" t="s">
        <v>4888</v>
      </c>
      <c r="I2492" t="s">
        <v>4898</v>
      </c>
      <c r="J2492" t="s">
        <v>4918</v>
      </c>
      <c r="K2492" t="s">
        <v>4933</v>
      </c>
      <c r="L2492" t="s">
        <v>4937</v>
      </c>
      <c r="M2492" t="s">
        <v>4944</v>
      </c>
      <c r="N2492" s="11">
        <v>13805.7</v>
      </c>
      <c r="O2492" t="s">
        <v>15</v>
      </c>
      <c r="P2492" t="s">
        <v>4952</v>
      </c>
      <c r="R2492">
        <v>30</v>
      </c>
      <c r="S2492" t="str">
        <f t="shared" si="115"/>
        <v>Senior</v>
      </c>
      <c r="T2492" t="str">
        <f t="shared" si="116"/>
        <v>High</v>
      </c>
      <c r="U2492" t="str">
        <f t="shared" si="117"/>
        <v>Short Days</v>
      </c>
    </row>
    <row r="2493" spans="1:21">
      <c r="A2493" t="s">
        <v>2509</v>
      </c>
      <c r="B2493" s="5">
        <v>45445</v>
      </c>
      <c r="C2493" t="s">
        <v>3986</v>
      </c>
      <c r="D2493" t="s">
        <v>4810</v>
      </c>
      <c r="E2493" t="s">
        <v>4867</v>
      </c>
      <c r="F2493">
        <v>31</v>
      </c>
      <c r="G2493" t="s">
        <v>4869</v>
      </c>
      <c r="H2493" t="s">
        <v>4884</v>
      </c>
      <c r="I2493" t="s">
        <v>4901</v>
      </c>
      <c r="J2493" t="s">
        <v>4914</v>
      </c>
      <c r="K2493" t="s">
        <v>4929</v>
      </c>
      <c r="L2493" t="s">
        <v>4934</v>
      </c>
      <c r="M2493" t="s">
        <v>4943</v>
      </c>
      <c r="N2493" s="11">
        <v>5669.21</v>
      </c>
      <c r="O2493" t="s">
        <v>4950</v>
      </c>
      <c r="P2493" t="s">
        <v>4951</v>
      </c>
      <c r="R2493">
        <v>90</v>
      </c>
      <c r="S2493" t="str">
        <f t="shared" si="115"/>
        <v>Adult</v>
      </c>
      <c r="T2493" t="str">
        <f t="shared" si="116"/>
        <v>Medium</v>
      </c>
      <c r="U2493" t="str">
        <f t="shared" si="117"/>
        <v>Short Days</v>
      </c>
    </row>
    <row r="2494" spans="1:21">
      <c r="A2494" t="s">
        <v>2510</v>
      </c>
      <c r="B2494" s="5">
        <v>45648</v>
      </c>
      <c r="C2494" t="s">
        <v>4449</v>
      </c>
      <c r="D2494" t="s">
        <v>4706</v>
      </c>
      <c r="E2494" t="s">
        <v>4867</v>
      </c>
      <c r="F2494">
        <v>33</v>
      </c>
      <c r="G2494" t="s">
        <v>4873</v>
      </c>
      <c r="H2494" t="s">
        <v>4888</v>
      </c>
      <c r="I2494" t="s">
        <v>4900</v>
      </c>
      <c r="J2494" t="s">
        <v>4913</v>
      </c>
      <c r="K2494" t="s">
        <v>4924</v>
      </c>
      <c r="L2494" t="s">
        <v>4939</v>
      </c>
      <c r="M2494" t="s">
        <v>4944</v>
      </c>
      <c r="N2494" s="11">
        <v>5769.86</v>
      </c>
      <c r="O2494" t="s">
        <v>15</v>
      </c>
      <c r="P2494" t="s">
        <v>4952</v>
      </c>
      <c r="R2494">
        <v>30</v>
      </c>
      <c r="S2494" t="str">
        <f t="shared" si="115"/>
        <v>Adult</v>
      </c>
      <c r="T2494" t="str">
        <f t="shared" si="116"/>
        <v>Medium</v>
      </c>
      <c r="U2494" t="str">
        <f t="shared" si="117"/>
        <v>Short Days</v>
      </c>
    </row>
    <row r="2495" spans="1:21">
      <c r="A2495" t="s">
        <v>2511</v>
      </c>
      <c r="B2495" s="5">
        <v>45936</v>
      </c>
      <c r="C2495" t="s">
        <v>4147</v>
      </c>
      <c r="D2495" t="s">
        <v>4851</v>
      </c>
      <c r="E2495" t="s">
        <v>4866</v>
      </c>
      <c r="F2495">
        <v>37</v>
      </c>
      <c r="G2495" t="s">
        <v>4879</v>
      </c>
      <c r="H2495" t="s">
        <v>4888</v>
      </c>
      <c r="I2495" t="s">
        <v>4895</v>
      </c>
      <c r="J2495" t="s">
        <v>4905</v>
      </c>
      <c r="K2495" t="s">
        <v>4927</v>
      </c>
      <c r="L2495" t="s">
        <v>4936</v>
      </c>
      <c r="M2495" t="s">
        <v>4942</v>
      </c>
      <c r="N2495" s="11">
        <v>2868.17</v>
      </c>
      <c r="O2495" t="s">
        <v>4948</v>
      </c>
      <c r="P2495" t="s">
        <v>4951</v>
      </c>
      <c r="R2495">
        <v>90</v>
      </c>
      <c r="S2495" t="str">
        <f t="shared" si="115"/>
        <v>Adult</v>
      </c>
      <c r="T2495" t="str">
        <f t="shared" si="116"/>
        <v>Low</v>
      </c>
      <c r="U2495" t="str">
        <f t="shared" si="117"/>
        <v>Short Days</v>
      </c>
    </row>
    <row r="2496" spans="1:21">
      <c r="A2496" t="s">
        <v>2512</v>
      </c>
      <c r="B2496" s="5">
        <v>45467</v>
      </c>
      <c r="C2496" t="s">
        <v>4443</v>
      </c>
      <c r="D2496" t="s">
        <v>4669</v>
      </c>
      <c r="E2496" t="s">
        <v>4866</v>
      </c>
      <c r="F2496">
        <v>22</v>
      </c>
      <c r="G2496" t="s">
        <v>4872</v>
      </c>
      <c r="H2496" t="s">
        <v>4887</v>
      </c>
      <c r="I2496" t="s">
        <v>4896</v>
      </c>
      <c r="J2496" t="s">
        <v>4906</v>
      </c>
      <c r="K2496" t="s">
        <v>4929</v>
      </c>
      <c r="L2496" t="s">
        <v>4935</v>
      </c>
      <c r="M2496" t="s">
        <v>4942</v>
      </c>
      <c r="N2496" s="11">
        <v>470.69</v>
      </c>
      <c r="O2496" t="s">
        <v>4950</v>
      </c>
      <c r="P2496" t="s">
        <v>4951</v>
      </c>
      <c r="R2496">
        <v>30</v>
      </c>
      <c r="S2496" t="str">
        <f t="shared" si="115"/>
        <v>Adult</v>
      </c>
      <c r="T2496" t="str">
        <f t="shared" si="116"/>
        <v>Low</v>
      </c>
      <c r="U2496" t="str">
        <f t="shared" si="117"/>
        <v>Short Days</v>
      </c>
    </row>
    <row r="2497" spans="1:21">
      <c r="A2497" t="s">
        <v>2513</v>
      </c>
      <c r="B2497" s="5">
        <v>45796</v>
      </c>
      <c r="C2497" t="s">
        <v>3537</v>
      </c>
      <c r="D2497" t="s">
        <v>4641</v>
      </c>
      <c r="E2497" t="s">
        <v>4867</v>
      </c>
      <c r="F2497">
        <v>42</v>
      </c>
      <c r="G2497" t="s">
        <v>4881</v>
      </c>
      <c r="H2497" t="s">
        <v>4881</v>
      </c>
      <c r="I2497" t="s">
        <v>4895</v>
      </c>
      <c r="J2497" t="s">
        <v>4915</v>
      </c>
      <c r="K2497" t="s">
        <v>4926</v>
      </c>
      <c r="L2497" t="s">
        <v>4935</v>
      </c>
      <c r="M2497" t="s">
        <v>4942</v>
      </c>
      <c r="N2497" s="11">
        <v>2069.71</v>
      </c>
      <c r="O2497" t="s">
        <v>15</v>
      </c>
      <c r="P2497" t="s">
        <v>4952</v>
      </c>
      <c r="R2497">
        <v>7</v>
      </c>
      <c r="S2497" t="str">
        <f t="shared" si="115"/>
        <v>Middle-Aged</v>
      </c>
      <c r="T2497" t="str">
        <f t="shared" si="116"/>
        <v>Low</v>
      </c>
      <c r="U2497" t="str">
        <f t="shared" si="117"/>
        <v>Short Days</v>
      </c>
    </row>
    <row r="2498" spans="1:21">
      <c r="A2498" t="s">
        <v>2514</v>
      </c>
      <c r="B2498" s="5">
        <v>45742</v>
      </c>
      <c r="C2498" t="s">
        <v>3767</v>
      </c>
      <c r="D2498" t="s">
        <v>4786</v>
      </c>
      <c r="E2498" t="s">
        <v>4866</v>
      </c>
      <c r="F2498">
        <v>63</v>
      </c>
      <c r="G2498" t="s">
        <v>4869</v>
      </c>
      <c r="H2498" t="s">
        <v>4884</v>
      </c>
      <c r="I2498" t="s">
        <v>4900</v>
      </c>
      <c r="J2498" t="s">
        <v>4913</v>
      </c>
      <c r="K2498" t="s">
        <v>4924</v>
      </c>
      <c r="L2498" t="s">
        <v>4941</v>
      </c>
      <c r="M2498" t="s">
        <v>4942</v>
      </c>
      <c r="N2498" s="11">
        <v>374.58</v>
      </c>
      <c r="O2498" t="s">
        <v>4948</v>
      </c>
      <c r="P2498" t="s">
        <v>4951</v>
      </c>
      <c r="R2498">
        <v>30</v>
      </c>
      <c r="S2498" t="str">
        <f t="shared" si="115"/>
        <v>Senior</v>
      </c>
      <c r="T2498" t="str">
        <f t="shared" si="116"/>
        <v>Low</v>
      </c>
      <c r="U2498" t="str">
        <f t="shared" si="117"/>
        <v>Short Days</v>
      </c>
    </row>
    <row r="2499" spans="1:21">
      <c r="A2499" t="s">
        <v>2515</v>
      </c>
      <c r="B2499" s="5">
        <v>45732</v>
      </c>
      <c r="C2499" t="s">
        <v>4450</v>
      </c>
      <c r="D2499" t="s">
        <v>4759</v>
      </c>
      <c r="E2499" t="s">
        <v>4866</v>
      </c>
      <c r="F2499">
        <v>28</v>
      </c>
      <c r="G2499" t="s">
        <v>4871</v>
      </c>
      <c r="H2499" t="s">
        <v>4886</v>
      </c>
      <c r="I2499" t="s">
        <v>4899</v>
      </c>
      <c r="J2499" t="s">
        <v>4912</v>
      </c>
      <c r="K2499" t="s">
        <v>4929</v>
      </c>
      <c r="L2499" t="s">
        <v>4938</v>
      </c>
      <c r="M2499" t="s">
        <v>4942</v>
      </c>
      <c r="N2499" s="11">
        <v>5154.1400000000003</v>
      </c>
      <c r="O2499" t="s">
        <v>4947</v>
      </c>
      <c r="P2499" t="s">
        <v>4951</v>
      </c>
      <c r="R2499">
        <v>14</v>
      </c>
      <c r="S2499" t="str">
        <f t="shared" ref="S2499:S2562" si="118">IF(F2499&lt;18,"Child",IF(F2499&lt;=40,"Adult",IF(F2499&lt;=60,"Middle-Aged",IF(F2499,"Senior"))))</f>
        <v>Adult</v>
      </c>
      <c r="T2499" t="str">
        <f t="shared" ref="T2499:T2562" si="119">IF(N2499&lt;=5000,"Low",IF(N2499&lt;=10000,"Medium","High"))</f>
        <v>Medium</v>
      </c>
      <c r="U2499" t="str">
        <f t="shared" ref="U2499:U2562" si="120">IF(Q2499&lt;=5,"Short Days","Long Days")</f>
        <v>Short Days</v>
      </c>
    </row>
    <row r="2500" spans="1:21">
      <c r="A2500" t="s">
        <v>2516</v>
      </c>
      <c r="B2500" s="5">
        <v>45533</v>
      </c>
      <c r="C2500" t="s">
        <v>3733</v>
      </c>
      <c r="D2500" t="s">
        <v>4620</v>
      </c>
      <c r="E2500" t="s">
        <v>4866</v>
      </c>
      <c r="F2500">
        <v>14</v>
      </c>
      <c r="G2500" t="s">
        <v>4877</v>
      </c>
      <c r="H2500" t="s">
        <v>4888</v>
      </c>
      <c r="I2500" t="s">
        <v>4902</v>
      </c>
      <c r="J2500" t="s">
        <v>4920</v>
      </c>
      <c r="K2500" t="s">
        <v>4932</v>
      </c>
      <c r="L2500" t="s">
        <v>4941</v>
      </c>
      <c r="M2500" t="s">
        <v>4942</v>
      </c>
      <c r="N2500" s="11">
        <v>4955.26</v>
      </c>
      <c r="O2500" t="s">
        <v>4950</v>
      </c>
      <c r="P2500" t="s">
        <v>4951</v>
      </c>
      <c r="R2500">
        <v>90</v>
      </c>
      <c r="S2500" t="str">
        <f t="shared" si="118"/>
        <v>Child</v>
      </c>
      <c r="T2500" t="str">
        <f t="shared" si="119"/>
        <v>Low</v>
      </c>
      <c r="U2500" t="str">
        <f t="shared" si="120"/>
        <v>Short Days</v>
      </c>
    </row>
    <row r="2501" spans="1:21">
      <c r="A2501" t="s">
        <v>2517</v>
      </c>
      <c r="B2501" s="5">
        <v>45440</v>
      </c>
      <c r="C2501" t="s">
        <v>3196</v>
      </c>
      <c r="D2501" t="s">
        <v>4805</v>
      </c>
      <c r="E2501" t="s">
        <v>4866</v>
      </c>
      <c r="F2501">
        <v>59</v>
      </c>
      <c r="G2501" t="s">
        <v>4874</v>
      </c>
      <c r="H2501" t="s">
        <v>4886</v>
      </c>
      <c r="I2501" t="s">
        <v>4895</v>
      </c>
      <c r="J2501" t="s">
        <v>4905</v>
      </c>
      <c r="K2501" t="s">
        <v>4932</v>
      </c>
      <c r="L2501" t="s">
        <v>4941</v>
      </c>
      <c r="M2501" t="s">
        <v>4942</v>
      </c>
      <c r="N2501" s="11">
        <v>274.26</v>
      </c>
      <c r="O2501" t="s">
        <v>4947</v>
      </c>
      <c r="P2501" t="s">
        <v>4951</v>
      </c>
      <c r="R2501">
        <v>90</v>
      </c>
      <c r="S2501" t="str">
        <f t="shared" si="118"/>
        <v>Middle-Aged</v>
      </c>
      <c r="T2501" t="str">
        <f t="shared" si="119"/>
        <v>Low</v>
      </c>
      <c r="U2501" t="str">
        <f t="shared" si="120"/>
        <v>Short Days</v>
      </c>
    </row>
    <row r="2502" spans="1:21">
      <c r="A2502" t="s">
        <v>2518</v>
      </c>
      <c r="B2502" s="5">
        <v>45517</v>
      </c>
      <c r="C2502" t="s">
        <v>3250</v>
      </c>
      <c r="D2502" t="s">
        <v>4780</v>
      </c>
      <c r="E2502" t="s">
        <v>4866</v>
      </c>
      <c r="F2502">
        <v>45</v>
      </c>
      <c r="G2502" t="s">
        <v>4874</v>
      </c>
      <c r="H2502" t="s">
        <v>4886</v>
      </c>
      <c r="I2502" t="s">
        <v>4901</v>
      </c>
      <c r="J2502" t="s">
        <v>4921</v>
      </c>
      <c r="K2502" t="s">
        <v>4928</v>
      </c>
      <c r="L2502" t="s">
        <v>4938</v>
      </c>
      <c r="M2502" t="s">
        <v>4942</v>
      </c>
      <c r="N2502" s="11">
        <v>3075.59</v>
      </c>
      <c r="O2502" t="s">
        <v>4948</v>
      </c>
      <c r="P2502" t="s">
        <v>4951</v>
      </c>
      <c r="R2502">
        <v>90</v>
      </c>
      <c r="S2502" t="str">
        <f t="shared" si="118"/>
        <v>Middle-Aged</v>
      </c>
      <c r="T2502" t="str">
        <f t="shared" si="119"/>
        <v>Low</v>
      </c>
      <c r="U2502" t="str">
        <f t="shared" si="120"/>
        <v>Short Days</v>
      </c>
    </row>
    <row r="2503" spans="1:21">
      <c r="A2503" t="s">
        <v>2519</v>
      </c>
      <c r="B2503" s="5">
        <v>45762</v>
      </c>
      <c r="C2503" t="s">
        <v>3192</v>
      </c>
      <c r="D2503" t="s">
        <v>4788</v>
      </c>
      <c r="E2503" t="s">
        <v>4867</v>
      </c>
      <c r="F2503">
        <v>42</v>
      </c>
      <c r="G2503" t="s">
        <v>4880</v>
      </c>
      <c r="H2503" t="s">
        <v>4890</v>
      </c>
      <c r="I2503" t="s">
        <v>4901</v>
      </c>
      <c r="J2503" t="s">
        <v>4914</v>
      </c>
      <c r="K2503" t="s">
        <v>4924</v>
      </c>
      <c r="L2503" t="s">
        <v>4938</v>
      </c>
      <c r="M2503" t="s">
        <v>4943</v>
      </c>
      <c r="N2503" s="11">
        <v>9533.9699999999993</v>
      </c>
      <c r="O2503" t="s">
        <v>4947</v>
      </c>
      <c r="P2503" t="s">
        <v>4951</v>
      </c>
      <c r="S2503" t="str">
        <f t="shared" si="118"/>
        <v>Middle-Aged</v>
      </c>
      <c r="T2503" t="str">
        <f t="shared" si="119"/>
        <v>Medium</v>
      </c>
      <c r="U2503" t="str">
        <f t="shared" si="120"/>
        <v>Short Days</v>
      </c>
    </row>
    <row r="2504" spans="1:21">
      <c r="A2504" t="s">
        <v>2520</v>
      </c>
      <c r="B2504" s="5">
        <v>45776</v>
      </c>
      <c r="C2504" t="s">
        <v>4410</v>
      </c>
      <c r="D2504" t="s">
        <v>4729</v>
      </c>
      <c r="E2504" t="s">
        <v>4867</v>
      </c>
      <c r="F2504">
        <v>43</v>
      </c>
      <c r="G2504" t="s">
        <v>4883</v>
      </c>
      <c r="H2504" t="s">
        <v>4892</v>
      </c>
      <c r="I2504" t="s">
        <v>4898</v>
      </c>
      <c r="J2504" t="s">
        <v>4923</v>
      </c>
      <c r="K2504" t="s">
        <v>4926</v>
      </c>
      <c r="L2504" t="s">
        <v>4940</v>
      </c>
      <c r="M2504" t="s">
        <v>4942</v>
      </c>
      <c r="N2504" s="11">
        <v>10431.02</v>
      </c>
      <c r="O2504" t="s">
        <v>4947</v>
      </c>
      <c r="P2504" t="s">
        <v>4951</v>
      </c>
      <c r="R2504">
        <v>90</v>
      </c>
      <c r="S2504" t="str">
        <f t="shared" si="118"/>
        <v>Middle-Aged</v>
      </c>
      <c r="T2504" t="str">
        <f t="shared" si="119"/>
        <v>High</v>
      </c>
      <c r="U2504" t="str">
        <f t="shared" si="120"/>
        <v>Short Days</v>
      </c>
    </row>
    <row r="2505" spans="1:21">
      <c r="A2505" t="s">
        <v>2521</v>
      </c>
      <c r="B2505" s="5">
        <v>45917</v>
      </c>
      <c r="C2505" t="s">
        <v>4388</v>
      </c>
      <c r="D2505" t="s">
        <v>4742</v>
      </c>
      <c r="E2505" t="s">
        <v>4866</v>
      </c>
      <c r="F2505">
        <v>39</v>
      </c>
      <c r="G2505" t="s">
        <v>4872</v>
      </c>
      <c r="H2505" t="s">
        <v>4887</v>
      </c>
      <c r="I2505" t="s">
        <v>4897</v>
      </c>
      <c r="J2505" t="s">
        <v>4907</v>
      </c>
      <c r="K2505" t="s">
        <v>4929</v>
      </c>
      <c r="L2505" t="s">
        <v>4938</v>
      </c>
      <c r="M2505" t="s">
        <v>4944</v>
      </c>
      <c r="N2505" s="11">
        <v>6989.98</v>
      </c>
      <c r="O2505" t="s">
        <v>4946</v>
      </c>
      <c r="P2505" t="s">
        <v>4951</v>
      </c>
      <c r="R2505">
        <v>30</v>
      </c>
      <c r="S2505" t="str">
        <f t="shared" si="118"/>
        <v>Adult</v>
      </c>
      <c r="T2505" t="str">
        <f t="shared" si="119"/>
        <v>Medium</v>
      </c>
      <c r="U2505" t="str">
        <f t="shared" si="120"/>
        <v>Short Days</v>
      </c>
    </row>
    <row r="2506" spans="1:21">
      <c r="A2506" t="s">
        <v>2522</v>
      </c>
      <c r="B2506" s="5">
        <v>45428</v>
      </c>
      <c r="C2506" t="s">
        <v>3885</v>
      </c>
      <c r="D2506" t="s">
        <v>4854</v>
      </c>
      <c r="E2506" t="s">
        <v>4867</v>
      </c>
      <c r="F2506">
        <v>49</v>
      </c>
      <c r="G2506" t="s">
        <v>4879</v>
      </c>
      <c r="H2506" t="s">
        <v>4888</v>
      </c>
      <c r="I2506" t="s">
        <v>4901</v>
      </c>
      <c r="J2506" t="s">
        <v>4914</v>
      </c>
      <c r="K2506" t="s">
        <v>4928</v>
      </c>
      <c r="L2506" t="s">
        <v>4939</v>
      </c>
      <c r="M2506" t="s">
        <v>4942</v>
      </c>
      <c r="N2506" s="11">
        <v>3255.56</v>
      </c>
      <c r="O2506" t="s">
        <v>4950</v>
      </c>
      <c r="P2506" t="s">
        <v>4951</v>
      </c>
      <c r="R2506">
        <v>7</v>
      </c>
      <c r="S2506" t="str">
        <f t="shared" si="118"/>
        <v>Middle-Aged</v>
      </c>
      <c r="T2506" t="str">
        <f t="shared" si="119"/>
        <v>Low</v>
      </c>
      <c r="U2506" t="str">
        <f t="shared" si="120"/>
        <v>Short Days</v>
      </c>
    </row>
    <row r="2507" spans="1:21">
      <c r="A2507" t="s">
        <v>2523</v>
      </c>
      <c r="B2507" s="5">
        <v>45457</v>
      </c>
      <c r="C2507" t="s">
        <v>3666</v>
      </c>
      <c r="D2507" t="s">
        <v>4590</v>
      </c>
      <c r="E2507" t="s">
        <v>4867</v>
      </c>
      <c r="F2507">
        <v>58</v>
      </c>
      <c r="G2507" t="s">
        <v>4881</v>
      </c>
      <c r="H2507" t="s">
        <v>4881</v>
      </c>
      <c r="I2507" t="s">
        <v>4902</v>
      </c>
      <c r="J2507" t="s">
        <v>4916</v>
      </c>
      <c r="K2507" t="s">
        <v>4928</v>
      </c>
      <c r="L2507" t="s">
        <v>4935</v>
      </c>
      <c r="M2507" t="s">
        <v>4944</v>
      </c>
      <c r="N2507" s="11">
        <v>11249.26</v>
      </c>
      <c r="O2507" t="s">
        <v>4949</v>
      </c>
      <c r="P2507" t="s">
        <v>4951</v>
      </c>
      <c r="R2507">
        <v>30</v>
      </c>
      <c r="S2507" t="str">
        <f t="shared" si="118"/>
        <v>Middle-Aged</v>
      </c>
      <c r="T2507" t="str">
        <f t="shared" si="119"/>
        <v>High</v>
      </c>
      <c r="U2507" t="str">
        <f t="shared" si="120"/>
        <v>Short Days</v>
      </c>
    </row>
    <row r="2508" spans="1:21">
      <c r="A2508" t="s">
        <v>2524</v>
      </c>
      <c r="B2508" s="5">
        <v>45959</v>
      </c>
      <c r="C2508" t="s">
        <v>3569</v>
      </c>
      <c r="D2508" t="s">
        <v>4763</v>
      </c>
      <c r="E2508" t="s">
        <v>4867</v>
      </c>
      <c r="F2508">
        <v>55</v>
      </c>
      <c r="G2508" t="s">
        <v>4869</v>
      </c>
      <c r="H2508" t="s">
        <v>4884</v>
      </c>
      <c r="I2508" t="s">
        <v>4902</v>
      </c>
      <c r="J2508" t="s">
        <v>4920</v>
      </c>
      <c r="K2508" t="s">
        <v>4926</v>
      </c>
      <c r="L2508" t="s">
        <v>4934</v>
      </c>
      <c r="M2508" t="s">
        <v>4944</v>
      </c>
      <c r="N2508" s="11">
        <v>5554.03</v>
      </c>
      <c r="O2508" t="s">
        <v>4947</v>
      </c>
      <c r="P2508" t="s">
        <v>4951</v>
      </c>
      <c r="R2508">
        <v>30</v>
      </c>
      <c r="S2508" t="str">
        <f t="shared" si="118"/>
        <v>Middle-Aged</v>
      </c>
      <c r="T2508" t="str">
        <f t="shared" si="119"/>
        <v>Medium</v>
      </c>
      <c r="U2508" t="str">
        <f t="shared" si="120"/>
        <v>Short Days</v>
      </c>
    </row>
    <row r="2509" spans="1:21">
      <c r="A2509" t="s">
        <v>2525</v>
      </c>
      <c r="B2509" s="5">
        <v>45518</v>
      </c>
      <c r="C2509" t="s">
        <v>4088</v>
      </c>
      <c r="D2509" t="s">
        <v>4841</v>
      </c>
      <c r="E2509" t="s">
        <v>4867</v>
      </c>
      <c r="F2509">
        <v>28</v>
      </c>
      <c r="G2509" t="s">
        <v>4876</v>
      </c>
      <c r="H2509" t="s">
        <v>4888</v>
      </c>
      <c r="I2509" t="s">
        <v>4898</v>
      </c>
      <c r="J2509" t="s">
        <v>4923</v>
      </c>
      <c r="K2509" t="s">
        <v>4927</v>
      </c>
      <c r="L2509" t="s">
        <v>4941</v>
      </c>
      <c r="M2509" t="s">
        <v>4942</v>
      </c>
      <c r="N2509" s="11">
        <v>2190.27</v>
      </c>
      <c r="O2509" t="s">
        <v>4949</v>
      </c>
      <c r="P2509" t="s">
        <v>4951</v>
      </c>
      <c r="R2509">
        <v>30</v>
      </c>
      <c r="S2509" t="str">
        <f t="shared" si="118"/>
        <v>Adult</v>
      </c>
      <c r="T2509" t="str">
        <f t="shared" si="119"/>
        <v>Low</v>
      </c>
      <c r="U2509" t="str">
        <f t="shared" si="120"/>
        <v>Short Days</v>
      </c>
    </row>
    <row r="2510" spans="1:21">
      <c r="A2510" t="s">
        <v>2526</v>
      </c>
      <c r="B2510" s="5">
        <v>45919</v>
      </c>
      <c r="C2510" t="s">
        <v>3342</v>
      </c>
      <c r="D2510" t="s">
        <v>4770</v>
      </c>
      <c r="E2510" t="s">
        <v>4866</v>
      </c>
      <c r="F2510">
        <v>33</v>
      </c>
      <c r="G2510" t="s">
        <v>4871</v>
      </c>
      <c r="H2510" t="s">
        <v>4886</v>
      </c>
      <c r="I2510" t="s">
        <v>4896</v>
      </c>
      <c r="J2510" t="s">
        <v>4908</v>
      </c>
      <c r="K2510" t="s">
        <v>4930</v>
      </c>
      <c r="L2510" t="s">
        <v>4935</v>
      </c>
      <c r="M2510" t="s">
        <v>4942</v>
      </c>
      <c r="N2510" s="11">
        <v>137.4</v>
      </c>
      <c r="O2510" t="s">
        <v>15</v>
      </c>
      <c r="P2510" t="s">
        <v>4952</v>
      </c>
      <c r="S2510" t="str">
        <f t="shared" si="118"/>
        <v>Adult</v>
      </c>
      <c r="T2510" t="str">
        <f t="shared" si="119"/>
        <v>Low</v>
      </c>
      <c r="U2510" t="str">
        <f t="shared" si="120"/>
        <v>Short Days</v>
      </c>
    </row>
    <row r="2511" spans="1:21">
      <c r="A2511" t="s">
        <v>2527</v>
      </c>
      <c r="B2511" s="5">
        <v>45748</v>
      </c>
      <c r="C2511" t="s">
        <v>4451</v>
      </c>
      <c r="D2511" t="s">
        <v>4797</v>
      </c>
      <c r="E2511" t="s">
        <v>4866</v>
      </c>
      <c r="F2511">
        <v>50</v>
      </c>
      <c r="G2511" t="s">
        <v>4878</v>
      </c>
      <c r="H2511" t="s">
        <v>4889</v>
      </c>
      <c r="I2511" t="s">
        <v>4896</v>
      </c>
      <c r="J2511" t="s">
        <v>4906</v>
      </c>
      <c r="K2511" t="s">
        <v>4927</v>
      </c>
      <c r="L2511" t="s">
        <v>4937</v>
      </c>
      <c r="M2511" t="s">
        <v>4943</v>
      </c>
      <c r="N2511" s="11">
        <v>5312.08</v>
      </c>
      <c r="O2511" t="s">
        <v>4950</v>
      </c>
      <c r="P2511" t="s">
        <v>4951</v>
      </c>
      <c r="R2511">
        <v>14</v>
      </c>
      <c r="S2511" t="str">
        <f t="shared" si="118"/>
        <v>Middle-Aged</v>
      </c>
      <c r="T2511" t="str">
        <f t="shared" si="119"/>
        <v>Medium</v>
      </c>
      <c r="U2511" t="str">
        <f t="shared" si="120"/>
        <v>Short Days</v>
      </c>
    </row>
    <row r="2512" spans="1:21">
      <c r="A2512" t="s">
        <v>2528</v>
      </c>
      <c r="B2512" s="5">
        <v>45709</v>
      </c>
      <c r="C2512" t="s">
        <v>4374</v>
      </c>
      <c r="D2512" t="s">
        <v>4645</v>
      </c>
      <c r="E2512" t="s">
        <v>4866</v>
      </c>
      <c r="F2512">
        <v>26</v>
      </c>
      <c r="G2512" t="s">
        <v>4882</v>
      </c>
      <c r="H2512" t="s">
        <v>4891</v>
      </c>
      <c r="I2512" t="s">
        <v>4900</v>
      </c>
      <c r="J2512" t="s">
        <v>4919</v>
      </c>
      <c r="K2512" t="s">
        <v>4929</v>
      </c>
      <c r="L2512" t="s">
        <v>4937</v>
      </c>
      <c r="M2512" t="s">
        <v>4942</v>
      </c>
      <c r="N2512" s="11">
        <v>247.23</v>
      </c>
      <c r="O2512" t="s">
        <v>4946</v>
      </c>
      <c r="P2512" t="s">
        <v>4951</v>
      </c>
      <c r="R2512">
        <v>7</v>
      </c>
      <c r="S2512" t="str">
        <f t="shared" si="118"/>
        <v>Adult</v>
      </c>
      <c r="T2512" t="str">
        <f t="shared" si="119"/>
        <v>Low</v>
      </c>
      <c r="U2512" t="str">
        <f t="shared" si="120"/>
        <v>Short Days</v>
      </c>
    </row>
    <row r="2513" spans="1:21">
      <c r="A2513" t="s">
        <v>2529</v>
      </c>
      <c r="B2513" s="5">
        <v>45843</v>
      </c>
      <c r="C2513" t="s">
        <v>4120</v>
      </c>
      <c r="D2513" t="s">
        <v>4802</v>
      </c>
      <c r="E2513" t="s">
        <v>4867</v>
      </c>
      <c r="F2513">
        <v>28</v>
      </c>
      <c r="G2513" t="s">
        <v>4875</v>
      </c>
      <c r="H2513" t="s">
        <v>4889</v>
      </c>
      <c r="I2513" t="s">
        <v>4902</v>
      </c>
      <c r="J2513" t="s">
        <v>4920</v>
      </c>
      <c r="K2513" t="s">
        <v>4926</v>
      </c>
      <c r="L2513" t="s">
        <v>4935</v>
      </c>
      <c r="M2513" t="s">
        <v>4942</v>
      </c>
      <c r="N2513" s="11">
        <v>5419.71</v>
      </c>
      <c r="O2513" t="s">
        <v>4949</v>
      </c>
      <c r="P2513" t="s">
        <v>4951</v>
      </c>
      <c r="R2513">
        <v>30</v>
      </c>
      <c r="S2513" t="str">
        <f t="shared" si="118"/>
        <v>Adult</v>
      </c>
      <c r="T2513" t="str">
        <f t="shared" si="119"/>
        <v>Medium</v>
      </c>
      <c r="U2513" t="str">
        <f t="shared" si="120"/>
        <v>Short Days</v>
      </c>
    </row>
    <row r="2514" spans="1:21">
      <c r="A2514" t="s">
        <v>2530</v>
      </c>
      <c r="B2514" s="5">
        <v>45800</v>
      </c>
      <c r="C2514" t="s">
        <v>3527</v>
      </c>
      <c r="D2514" t="s">
        <v>4741</v>
      </c>
      <c r="E2514" t="s">
        <v>4866</v>
      </c>
      <c r="F2514">
        <v>69</v>
      </c>
      <c r="G2514" t="s">
        <v>4873</v>
      </c>
      <c r="H2514" t="s">
        <v>4888</v>
      </c>
      <c r="I2514" t="s">
        <v>4901</v>
      </c>
      <c r="J2514" t="s">
        <v>4914</v>
      </c>
      <c r="K2514" t="s">
        <v>4932</v>
      </c>
      <c r="L2514" t="s">
        <v>4935</v>
      </c>
      <c r="M2514" t="s">
        <v>4945</v>
      </c>
      <c r="N2514" s="11">
        <v>22131.7</v>
      </c>
      <c r="O2514" t="s">
        <v>4947</v>
      </c>
      <c r="P2514" t="s">
        <v>4951</v>
      </c>
      <c r="Q2514">
        <v>4</v>
      </c>
      <c r="R2514">
        <v>14</v>
      </c>
      <c r="S2514" t="str">
        <f t="shared" si="118"/>
        <v>Senior</v>
      </c>
      <c r="T2514" t="str">
        <f t="shared" si="119"/>
        <v>High</v>
      </c>
      <c r="U2514" t="str">
        <f t="shared" si="120"/>
        <v>Short Days</v>
      </c>
    </row>
    <row r="2515" spans="1:21">
      <c r="A2515" t="s">
        <v>2531</v>
      </c>
      <c r="B2515" s="5">
        <v>45924</v>
      </c>
      <c r="C2515" t="s">
        <v>3203</v>
      </c>
      <c r="D2515" t="s">
        <v>4829</v>
      </c>
      <c r="E2515" t="s">
        <v>4866</v>
      </c>
      <c r="F2515">
        <v>60</v>
      </c>
      <c r="G2515" t="s">
        <v>4873</v>
      </c>
      <c r="H2515" t="s">
        <v>4888</v>
      </c>
      <c r="I2515" t="s">
        <v>4901</v>
      </c>
      <c r="J2515" t="s">
        <v>4921</v>
      </c>
      <c r="K2515" t="s">
        <v>4930</v>
      </c>
      <c r="L2515" t="s">
        <v>4936</v>
      </c>
      <c r="M2515" t="s">
        <v>4942</v>
      </c>
      <c r="N2515" s="11">
        <v>2028.9</v>
      </c>
      <c r="O2515" t="s">
        <v>4949</v>
      </c>
      <c r="P2515" t="s">
        <v>4951</v>
      </c>
      <c r="R2515">
        <v>90</v>
      </c>
      <c r="S2515" t="str">
        <f t="shared" si="118"/>
        <v>Middle-Aged</v>
      </c>
      <c r="T2515" t="str">
        <f t="shared" si="119"/>
        <v>Low</v>
      </c>
      <c r="U2515" t="str">
        <f t="shared" si="120"/>
        <v>Short Days</v>
      </c>
    </row>
    <row r="2516" spans="1:21">
      <c r="A2516" t="s">
        <v>2532</v>
      </c>
      <c r="B2516" s="5">
        <v>45493</v>
      </c>
      <c r="C2516" t="s">
        <v>4452</v>
      </c>
      <c r="D2516" t="s">
        <v>4851</v>
      </c>
      <c r="E2516" t="s">
        <v>4866</v>
      </c>
      <c r="F2516">
        <v>57</v>
      </c>
      <c r="G2516" t="s">
        <v>4869</v>
      </c>
      <c r="H2516" t="s">
        <v>4884</v>
      </c>
      <c r="I2516" t="s">
        <v>4895</v>
      </c>
      <c r="J2516" t="s">
        <v>4915</v>
      </c>
      <c r="K2516" t="s">
        <v>4932</v>
      </c>
      <c r="L2516" t="s">
        <v>4937</v>
      </c>
      <c r="M2516" t="s">
        <v>4942</v>
      </c>
      <c r="N2516" s="11">
        <v>33895.879999999997</v>
      </c>
      <c r="O2516" t="s">
        <v>4949</v>
      </c>
      <c r="P2516" t="s">
        <v>4951</v>
      </c>
      <c r="R2516">
        <v>90</v>
      </c>
      <c r="S2516" t="str">
        <f t="shared" si="118"/>
        <v>Middle-Aged</v>
      </c>
      <c r="T2516" t="str">
        <f t="shared" si="119"/>
        <v>High</v>
      </c>
      <c r="U2516" t="str">
        <f t="shared" si="120"/>
        <v>Short Days</v>
      </c>
    </row>
    <row r="2517" spans="1:21">
      <c r="A2517" t="s">
        <v>2533</v>
      </c>
      <c r="B2517" s="5">
        <v>45567</v>
      </c>
      <c r="C2517" t="s">
        <v>3845</v>
      </c>
      <c r="D2517" t="s">
        <v>4695</v>
      </c>
      <c r="E2517" t="s">
        <v>4867</v>
      </c>
      <c r="F2517">
        <v>30</v>
      </c>
      <c r="G2517" t="s">
        <v>4875</v>
      </c>
      <c r="H2517" t="s">
        <v>4889</v>
      </c>
      <c r="I2517" t="s">
        <v>4895</v>
      </c>
      <c r="J2517" t="s">
        <v>4915</v>
      </c>
      <c r="K2517" t="s">
        <v>4932</v>
      </c>
      <c r="L2517" t="s">
        <v>4936</v>
      </c>
      <c r="M2517" t="s">
        <v>4942</v>
      </c>
      <c r="N2517" s="11">
        <v>5611.2</v>
      </c>
      <c r="O2517" t="s">
        <v>15</v>
      </c>
      <c r="P2517" t="s">
        <v>4952</v>
      </c>
      <c r="R2517">
        <v>30</v>
      </c>
      <c r="S2517" t="str">
        <f t="shared" si="118"/>
        <v>Adult</v>
      </c>
      <c r="T2517" t="str">
        <f t="shared" si="119"/>
        <v>Medium</v>
      </c>
      <c r="U2517" t="str">
        <f t="shared" si="120"/>
        <v>Short Days</v>
      </c>
    </row>
    <row r="2518" spans="1:21">
      <c r="A2518" t="s">
        <v>2534</v>
      </c>
      <c r="B2518" s="5">
        <v>45760</v>
      </c>
      <c r="C2518" t="s">
        <v>4143</v>
      </c>
      <c r="D2518" t="s">
        <v>4762</v>
      </c>
      <c r="E2518" t="s">
        <v>4866</v>
      </c>
      <c r="F2518">
        <v>55</v>
      </c>
      <c r="G2518" t="s">
        <v>4880</v>
      </c>
      <c r="H2518" t="s">
        <v>4890</v>
      </c>
      <c r="I2518" t="s">
        <v>4901</v>
      </c>
      <c r="J2518" t="s">
        <v>4914</v>
      </c>
      <c r="K2518" t="s">
        <v>4929</v>
      </c>
      <c r="L2518" t="s">
        <v>4940</v>
      </c>
      <c r="M2518" t="s">
        <v>4944</v>
      </c>
      <c r="N2518" s="11">
        <v>6717.5</v>
      </c>
      <c r="O2518" t="s">
        <v>4948</v>
      </c>
      <c r="P2518" t="s">
        <v>4951</v>
      </c>
      <c r="R2518">
        <v>30</v>
      </c>
      <c r="S2518" t="str">
        <f t="shared" si="118"/>
        <v>Middle-Aged</v>
      </c>
      <c r="T2518" t="str">
        <f t="shared" si="119"/>
        <v>Medium</v>
      </c>
      <c r="U2518" t="str">
        <f t="shared" si="120"/>
        <v>Short Days</v>
      </c>
    </row>
    <row r="2519" spans="1:21">
      <c r="A2519" t="s">
        <v>2535</v>
      </c>
      <c r="B2519" s="5">
        <v>45926</v>
      </c>
      <c r="C2519" t="s">
        <v>3672</v>
      </c>
      <c r="D2519" t="s">
        <v>4654</v>
      </c>
      <c r="E2519" t="s">
        <v>4867</v>
      </c>
      <c r="F2519">
        <v>41</v>
      </c>
      <c r="G2519" t="s">
        <v>4871</v>
      </c>
      <c r="H2519" t="s">
        <v>4886</v>
      </c>
      <c r="I2519" t="s">
        <v>4900</v>
      </c>
      <c r="J2519" t="s">
        <v>4913</v>
      </c>
      <c r="K2519" t="s">
        <v>4925</v>
      </c>
      <c r="L2519" t="s">
        <v>4940</v>
      </c>
      <c r="M2519" t="s">
        <v>4942</v>
      </c>
      <c r="N2519" s="11">
        <v>12804.69</v>
      </c>
      <c r="O2519" t="s">
        <v>4946</v>
      </c>
      <c r="P2519" t="s">
        <v>4951</v>
      </c>
      <c r="R2519">
        <v>30</v>
      </c>
      <c r="S2519" t="str">
        <f t="shared" si="118"/>
        <v>Middle-Aged</v>
      </c>
      <c r="T2519" t="str">
        <f t="shared" si="119"/>
        <v>High</v>
      </c>
      <c r="U2519" t="str">
        <f t="shared" si="120"/>
        <v>Short Days</v>
      </c>
    </row>
    <row r="2520" spans="1:21">
      <c r="A2520" t="s">
        <v>2536</v>
      </c>
      <c r="B2520" s="5">
        <v>45831</v>
      </c>
      <c r="C2520" t="s">
        <v>4093</v>
      </c>
      <c r="D2520" t="s">
        <v>4647</v>
      </c>
      <c r="E2520" t="s">
        <v>4866</v>
      </c>
      <c r="F2520">
        <f>AVERAGE(F2513,F2519)</f>
        <v>34.5</v>
      </c>
      <c r="G2520" t="s">
        <v>4881</v>
      </c>
      <c r="H2520" t="s">
        <v>4891</v>
      </c>
      <c r="I2520" t="s">
        <v>4899</v>
      </c>
      <c r="J2520" t="s">
        <v>4912</v>
      </c>
      <c r="K2520" t="s">
        <v>4953</v>
      </c>
      <c r="L2520" t="s">
        <v>4936</v>
      </c>
      <c r="M2520" t="s">
        <v>4943</v>
      </c>
      <c r="N2520" s="11">
        <v>7393.5</v>
      </c>
      <c r="O2520" t="s">
        <v>4948</v>
      </c>
      <c r="P2520" t="s">
        <v>4951</v>
      </c>
      <c r="S2520" t="str">
        <f t="shared" si="118"/>
        <v>Adult</v>
      </c>
      <c r="T2520" t="str">
        <f t="shared" si="119"/>
        <v>Medium</v>
      </c>
      <c r="U2520" t="str">
        <f t="shared" si="120"/>
        <v>Short Days</v>
      </c>
    </row>
    <row r="2521" spans="1:21">
      <c r="A2521" t="s">
        <v>2537</v>
      </c>
      <c r="B2521" s="5">
        <v>45680</v>
      </c>
      <c r="C2521" t="s">
        <v>3710</v>
      </c>
      <c r="D2521" t="s">
        <v>4860</v>
      </c>
      <c r="E2521" t="s">
        <v>4867</v>
      </c>
      <c r="F2521">
        <v>14</v>
      </c>
      <c r="G2521" t="s">
        <v>4870</v>
      </c>
      <c r="H2521" t="s">
        <v>4885</v>
      </c>
      <c r="I2521" t="s">
        <v>4894</v>
      </c>
      <c r="J2521" t="s">
        <v>4910</v>
      </c>
      <c r="K2521" t="s">
        <v>4926</v>
      </c>
      <c r="L2521" t="s">
        <v>4937</v>
      </c>
      <c r="M2521" t="s">
        <v>4944</v>
      </c>
      <c r="N2521" s="11">
        <v>10620.19</v>
      </c>
      <c r="O2521" t="s">
        <v>15</v>
      </c>
      <c r="P2521" t="s">
        <v>4952</v>
      </c>
      <c r="S2521" t="str">
        <f t="shared" si="118"/>
        <v>Child</v>
      </c>
      <c r="T2521" t="str">
        <f t="shared" si="119"/>
        <v>High</v>
      </c>
      <c r="U2521" t="str">
        <f t="shared" si="120"/>
        <v>Short Days</v>
      </c>
    </row>
    <row r="2522" spans="1:21">
      <c r="A2522" t="s">
        <v>2538</v>
      </c>
      <c r="B2522" s="5">
        <v>45778</v>
      </c>
      <c r="C2522" t="s">
        <v>3304</v>
      </c>
      <c r="D2522" t="s">
        <v>4781</v>
      </c>
      <c r="E2522" t="s">
        <v>4866</v>
      </c>
      <c r="F2522">
        <v>38</v>
      </c>
      <c r="G2522" t="s">
        <v>4876</v>
      </c>
      <c r="H2522" t="s">
        <v>4888</v>
      </c>
      <c r="I2522" t="s">
        <v>4902</v>
      </c>
      <c r="J2522" t="s">
        <v>4920</v>
      </c>
      <c r="K2522" t="s">
        <v>4933</v>
      </c>
      <c r="L2522" t="s">
        <v>4936</v>
      </c>
      <c r="M2522" t="s">
        <v>4943</v>
      </c>
      <c r="N2522" s="11">
        <v>8487.9500000000007</v>
      </c>
      <c r="O2522" t="s">
        <v>4946</v>
      </c>
      <c r="P2522" t="s">
        <v>4951</v>
      </c>
      <c r="S2522" t="str">
        <f t="shared" si="118"/>
        <v>Adult</v>
      </c>
      <c r="T2522" t="str">
        <f t="shared" si="119"/>
        <v>Medium</v>
      </c>
      <c r="U2522" t="str">
        <f t="shared" si="120"/>
        <v>Short Days</v>
      </c>
    </row>
    <row r="2523" spans="1:21">
      <c r="A2523" t="s">
        <v>2539</v>
      </c>
      <c r="B2523" s="5">
        <v>45880</v>
      </c>
      <c r="C2523" t="s">
        <v>4353</v>
      </c>
      <c r="D2523" t="s">
        <v>4862</v>
      </c>
      <c r="E2523" t="s">
        <v>4866</v>
      </c>
      <c r="F2523">
        <v>44</v>
      </c>
      <c r="G2523" t="s">
        <v>4883</v>
      </c>
      <c r="H2523" t="s">
        <v>4892</v>
      </c>
      <c r="I2523" t="s">
        <v>4900</v>
      </c>
      <c r="J2523" t="s">
        <v>4913</v>
      </c>
      <c r="K2523" t="s">
        <v>4924</v>
      </c>
      <c r="L2523" t="s">
        <v>4936</v>
      </c>
      <c r="M2523" t="s">
        <v>4942</v>
      </c>
      <c r="N2523" s="11">
        <v>386.8</v>
      </c>
      <c r="O2523" t="s">
        <v>4950</v>
      </c>
      <c r="P2523" t="s">
        <v>4951</v>
      </c>
      <c r="R2523">
        <v>90</v>
      </c>
      <c r="S2523" t="str">
        <f t="shared" si="118"/>
        <v>Middle-Aged</v>
      </c>
      <c r="T2523" t="str">
        <f t="shared" si="119"/>
        <v>Low</v>
      </c>
      <c r="U2523" t="str">
        <f t="shared" si="120"/>
        <v>Short Days</v>
      </c>
    </row>
    <row r="2524" spans="1:21">
      <c r="A2524" t="s">
        <v>2540</v>
      </c>
      <c r="B2524" s="5">
        <v>45595</v>
      </c>
      <c r="C2524" t="s">
        <v>4453</v>
      </c>
      <c r="D2524" t="s">
        <v>4757</v>
      </c>
      <c r="E2524" t="s">
        <v>4867</v>
      </c>
      <c r="F2524">
        <v>48</v>
      </c>
      <c r="G2524" t="s">
        <v>4877</v>
      </c>
      <c r="H2524" t="s">
        <v>4888</v>
      </c>
      <c r="I2524" t="s">
        <v>4894</v>
      </c>
      <c r="J2524" t="s">
        <v>4910</v>
      </c>
      <c r="K2524" t="s">
        <v>4933</v>
      </c>
      <c r="L2524" t="s">
        <v>4935</v>
      </c>
      <c r="M2524" t="s">
        <v>4942</v>
      </c>
      <c r="N2524" s="11">
        <v>1953.66</v>
      </c>
      <c r="O2524" t="s">
        <v>4950</v>
      </c>
      <c r="P2524" t="s">
        <v>4951</v>
      </c>
      <c r="S2524" t="str">
        <f t="shared" si="118"/>
        <v>Middle-Aged</v>
      </c>
      <c r="T2524" t="str">
        <f t="shared" si="119"/>
        <v>Low</v>
      </c>
      <c r="U2524" t="str">
        <f t="shared" si="120"/>
        <v>Short Days</v>
      </c>
    </row>
    <row r="2525" spans="1:21">
      <c r="A2525" t="s">
        <v>2541</v>
      </c>
      <c r="B2525" s="5">
        <v>45804</v>
      </c>
      <c r="C2525" t="s">
        <v>4454</v>
      </c>
      <c r="D2525" t="s">
        <v>4818</v>
      </c>
      <c r="E2525" t="s">
        <v>4866</v>
      </c>
      <c r="F2525">
        <v>34</v>
      </c>
      <c r="G2525" t="s">
        <v>4869</v>
      </c>
      <c r="H2525" t="s">
        <v>4884</v>
      </c>
      <c r="I2525" t="s">
        <v>4900</v>
      </c>
      <c r="J2525" t="s">
        <v>4913</v>
      </c>
      <c r="K2525" t="s">
        <v>4926</v>
      </c>
      <c r="L2525" t="s">
        <v>4937</v>
      </c>
      <c r="M2525" t="s">
        <v>4942</v>
      </c>
      <c r="N2525" s="11">
        <v>2055.09</v>
      </c>
      <c r="O2525" t="s">
        <v>4947</v>
      </c>
      <c r="P2525" t="s">
        <v>4951</v>
      </c>
      <c r="R2525">
        <v>7</v>
      </c>
      <c r="S2525" t="str">
        <f t="shared" si="118"/>
        <v>Adult</v>
      </c>
      <c r="T2525" t="str">
        <f t="shared" si="119"/>
        <v>Low</v>
      </c>
      <c r="U2525" t="str">
        <f t="shared" si="120"/>
        <v>Short Days</v>
      </c>
    </row>
    <row r="2526" spans="1:21">
      <c r="A2526" t="s">
        <v>2542</v>
      </c>
      <c r="B2526" s="5">
        <v>45955</v>
      </c>
      <c r="C2526" t="s">
        <v>3211</v>
      </c>
      <c r="D2526" t="s">
        <v>4708</v>
      </c>
      <c r="E2526" t="s">
        <v>4866</v>
      </c>
      <c r="F2526">
        <v>34</v>
      </c>
      <c r="G2526" t="s">
        <v>4879</v>
      </c>
      <c r="H2526" t="s">
        <v>4888</v>
      </c>
      <c r="I2526" t="s">
        <v>4897</v>
      </c>
      <c r="J2526" t="s">
        <v>4907</v>
      </c>
      <c r="K2526" t="s">
        <v>4928</v>
      </c>
      <c r="L2526" t="s">
        <v>4941</v>
      </c>
      <c r="M2526" t="s">
        <v>4942</v>
      </c>
      <c r="N2526" s="11">
        <v>2470.5700000000002</v>
      </c>
      <c r="O2526" t="s">
        <v>4948</v>
      </c>
      <c r="P2526" t="s">
        <v>4951</v>
      </c>
      <c r="R2526">
        <v>14</v>
      </c>
      <c r="S2526" t="str">
        <f t="shared" si="118"/>
        <v>Adult</v>
      </c>
      <c r="T2526" t="str">
        <f t="shared" si="119"/>
        <v>Low</v>
      </c>
      <c r="U2526" t="str">
        <f t="shared" si="120"/>
        <v>Short Days</v>
      </c>
    </row>
    <row r="2527" spans="1:21">
      <c r="A2527" t="s">
        <v>2543</v>
      </c>
      <c r="B2527" s="5">
        <v>45555</v>
      </c>
      <c r="C2527" t="s">
        <v>4455</v>
      </c>
      <c r="D2527" t="s">
        <v>4609</v>
      </c>
      <c r="E2527" t="s">
        <v>4867</v>
      </c>
      <c r="F2527">
        <v>18</v>
      </c>
      <c r="G2527" t="s">
        <v>4879</v>
      </c>
      <c r="H2527" t="s">
        <v>4888</v>
      </c>
      <c r="I2527" t="s">
        <v>4902</v>
      </c>
      <c r="J2527" t="s">
        <v>4916</v>
      </c>
      <c r="K2527" t="s">
        <v>4933</v>
      </c>
      <c r="L2527" t="s">
        <v>4936</v>
      </c>
      <c r="M2527" t="s">
        <v>4942</v>
      </c>
      <c r="N2527" s="11">
        <v>6822.21</v>
      </c>
      <c r="O2527" t="s">
        <v>4946</v>
      </c>
      <c r="P2527" t="s">
        <v>4951</v>
      </c>
      <c r="S2527" t="str">
        <f t="shared" si="118"/>
        <v>Adult</v>
      </c>
      <c r="T2527" t="str">
        <f t="shared" si="119"/>
        <v>Medium</v>
      </c>
      <c r="U2527" t="str">
        <f t="shared" si="120"/>
        <v>Short Days</v>
      </c>
    </row>
    <row r="2528" spans="1:21">
      <c r="A2528" t="s">
        <v>2544</v>
      </c>
      <c r="B2528" s="5">
        <v>45876</v>
      </c>
      <c r="C2528" t="s">
        <v>4057</v>
      </c>
      <c r="D2528" t="s">
        <v>4807</v>
      </c>
      <c r="E2528" t="s">
        <v>4866</v>
      </c>
      <c r="F2528">
        <v>38</v>
      </c>
      <c r="G2528" t="s">
        <v>4883</v>
      </c>
      <c r="H2528" t="s">
        <v>4892</v>
      </c>
      <c r="I2528" t="s">
        <v>4900</v>
      </c>
      <c r="J2528" t="s">
        <v>4919</v>
      </c>
      <c r="K2528" t="s">
        <v>4925</v>
      </c>
      <c r="L2528" t="s">
        <v>4937</v>
      </c>
      <c r="M2528" t="s">
        <v>4944</v>
      </c>
      <c r="N2528" s="11">
        <v>7049.74</v>
      </c>
      <c r="O2528" t="s">
        <v>4949</v>
      </c>
      <c r="P2528" t="s">
        <v>4951</v>
      </c>
      <c r="R2528">
        <v>7</v>
      </c>
      <c r="S2528" t="str">
        <f t="shared" si="118"/>
        <v>Adult</v>
      </c>
      <c r="T2528" t="str">
        <f t="shared" si="119"/>
        <v>Medium</v>
      </c>
      <c r="U2528" t="str">
        <f t="shared" si="120"/>
        <v>Short Days</v>
      </c>
    </row>
    <row r="2529" spans="1:21">
      <c r="A2529" t="s">
        <v>2545</v>
      </c>
      <c r="B2529" s="5">
        <v>45654</v>
      </c>
      <c r="C2529" t="s">
        <v>4456</v>
      </c>
      <c r="D2529" t="s">
        <v>4763</v>
      </c>
      <c r="E2529" t="s">
        <v>4866</v>
      </c>
      <c r="F2529">
        <v>38</v>
      </c>
      <c r="G2529" t="s">
        <v>4880</v>
      </c>
      <c r="H2529" t="s">
        <v>4890</v>
      </c>
      <c r="I2529" t="s">
        <v>4895</v>
      </c>
      <c r="J2529" t="s">
        <v>4915</v>
      </c>
      <c r="K2529" t="s">
        <v>4933</v>
      </c>
      <c r="L2529" t="s">
        <v>4939</v>
      </c>
      <c r="M2529" t="s">
        <v>4944</v>
      </c>
      <c r="N2529" s="11">
        <v>6521.82</v>
      </c>
      <c r="O2529" t="s">
        <v>4947</v>
      </c>
      <c r="P2529" t="s">
        <v>4951</v>
      </c>
      <c r="R2529">
        <v>30</v>
      </c>
      <c r="S2529" t="str">
        <f t="shared" si="118"/>
        <v>Adult</v>
      </c>
      <c r="T2529" t="str">
        <f t="shared" si="119"/>
        <v>Medium</v>
      </c>
      <c r="U2529" t="str">
        <f t="shared" si="120"/>
        <v>Short Days</v>
      </c>
    </row>
    <row r="2530" spans="1:21">
      <c r="A2530" t="s">
        <v>2546</v>
      </c>
      <c r="B2530" s="5">
        <v>45526</v>
      </c>
      <c r="C2530" t="s">
        <v>4457</v>
      </c>
      <c r="D2530" t="s">
        <v>4861</v>
      </c>
      <c r="E2530" t="s">
        <v>4867</v>
      </c>
      <c r="F2530">
        <v>25</v>
      </c>
      <c r="G2530" t="s">
        <v>4878</v>
      </c>
      <c r="H2530" t="s">
        <v>4889</v>
      </c>
      <c r="I2530" t="s">
        <v>4895</v>
      </c>
      <c r="J2530" t="s">
        <v>4905</v>
      </c>
      <c r="K2530" t="s">
        <v>4926</v>
      </c>
      <c r="L2530" t="s">
        <v>4939</v>
      </c>
      <c r="M2530" t="s">
        <v>4944</v>
      </c>
      <c r="N2530" s="11">
        <v>7606.86</v>
      </c>
      <c r="O2530" t="s">
        <v>15</v>
      </c>
      <c r="P2530" t="s">
        <v>4952</v>
      </c>
      <c r="R2530">
        <v>14</v>
      </c>
      <c r="S2530" t="str">
        <f t="shared" si="118"/>
        <v>Adult</v>
      </c>
      <c r="T2530" t="str">
        <f t="shared" si="119"/>
        <v>Medium</v>
      </c>
      <c r="U2530" t="str">
        <f t="shared" si="120"/>
        <v>Short Days</v>
      </c>
    </row>
    <row r="2531" spans="1:21">
      <c r="A2531" t="s">
        <v>2547</v>
      </c>
      <c r="B2531" s="5">
        <v>45391</v>
      </c>
      <c r="C2531" t="s">
        <v>4458</v>
      </c>
      <c r="D2531" t="s">
        <v>4633</v>
      </c>
      <c r="E2531" t="s">
        <v>4866</v>
      </c>
      <c r="F2531">
        <v>49</v>
      </c>
      <c r="G2531" t="s">
        <v>4872</v>
      </c>
      <c r="H2531" t="s">
        <v>4887</v>
      </c>
      <c r="I2531" t="s">
        <v>4897</v>
      </c>
      <c r="J2531" t="s">
        <v>4907</v>
      </c>
      <c r="K2531" t="s">
        <v>4928</v>
      </c>
      <c r="L2531" t="s">
        <v>4941</v>
      </c>
      <c r="M2531" t="s">
        <v>4942</v>
      </c>
      <c r="N2531" s="11">
        <v>3375.2</v>
      </c>
      <c r="O2531" t="s">
        <v>4948</v>
      </c>
      <c r="P2531" t="s">
        <v>4951</v>
      </c>
      <c r="R2531">
        <v>14</v>
      </c>
      <c r="S2531" t="str">
        <f t="shared" si="118"/>
        <v>Middle-Aged</v>
      </c>
      <c r="T2531" t="str">
        <f t="shared" si="119"/>
        <v>Low</v>
      </c>
      <c r="U2531" t="str">
        <f t="shared" si="120"/>
        <v>Short Days</v>
      </c>
    </row>
    <row r="2532" spans="1:21">
      <c r="A2532" t="s">
        <v>2548</v>
      </c>
      <c r="B2532" s="5">
        <v>45517</v>
      </c>
      <c r="C2532" t="s">
        <v>3896</v>
      </c>
      <c r="D2532" t="s">
        <v>4597</v>
      </c>
      <c r="E2532" t="s">
        <v>4866</v>
      </c>
      <c r="F2532">
        <v>25</v>
      </c>
      <c r="G2532" t="s">
        <v>4883</v>
      </c>
      <c r="H2532" t="s">
        <v>4892</v>
      </c>
      <c r="I2532" t="s">
        <v>4893</v>
      </c>
      <c r="J2532" t="s">
        <v>4917</v>
      </c>
      <c r="K2532" t="s">
        <v>4926</v>
      </c>
      <c r="L2532" t="s">
        <v>4940</v>
      </c>
      <c r="M2532" t="s">
        <v>4942</v>
      </c>
      <c r="N2532" s="11">
        <v>1901.31</v>
      </c>
      <c r="O2532" t="s">
        <v>4949</v>
      </c>
      <c r="P2532" t="s">
        <v>4951</v>
      </c>
      <c r="S2532" t="str">
        <f t="shared" si="118"/>
        <v>Adult</v>
      </c>
      <c r="T2532" t="str">
        <f t="shared" si="119"/>
        <v>Low</v>
      </c>
      <c r="U2532" t="str">
        <f t="shared" si="120"/>
        <v>Short Days</v>
      </c>
    </row>
    <row r="2533" spans="1:21">
      <c r="A2533" t="s">
        <v>2549</v>
      </c>
      <c r="B2533" s="5">
        <v>45632</v>
      </c>
      <c r="C2533" t="s">
        <v>4459</v>
      </c>
      <c r="D2533" t="s">
        <v>4824</v>
      </c>
      <c r="E2533" t="s">
        <v>4866</v>
      </c>
      <c r="F2533">
        <v>22</v>
      </c>
      <c r="G2533" t="s">
        <v>4875</v>
      </c>
      <c r="H2533" t="s">
        <v>4889</v>
      </c>
      <c r="I2533" t="s">
        <v>4900</v>
      </c>
      <c r="J2533" t="s">
        <v>4913</v>
      </c>
      <c r="K2533" t="s">
        <v>4933</v>
      </c>
      <c r="L2533" t="s">
        <v>4938</v>
      </c>
      <c r="M2533" t="s">
        <v>4942</v>
      </c>
      <c r="N2533" s="11">
        <v>464.48</v>
      </c>
      <c r="O2533" t="s">
        <v>4947</v>
      </c>
      <c r="P2533" t="s">
        <v>4951</v>
      </c>
      <c r="S2533" t="str">
        <f t="shared" si="118"/>
        <v>Adult</v>
      </c>
      <c r="T2533" t="str">
        <f t="shared" si="119"/>
        <v>Low</v>
      </c>
      <c r="U2533" t="str">
        <f t="shared" si="120"/>
        <v>Short Days</v>
      </c>
    </row>
    <row r="2534" spans="1:21">
      <c r="A2534" t="s">
        <v>2550</v>
      </c>
      <c r="B2534" s="5">
        <v>45858</v>
      </c>
      <c r="C2534" t="s">
        <v>4460</v>
      </c>
      <c r="D2534" t="s">
        <v>4770</v>
      </c>
      <c r="E2534" t="s">
        <v>4866</v>
      </c>
      <c r="F2534">
        <v>56</v>
      </c>
      <c r="G2534" t="s">
        <v>4872</v>
      </c>
      <c r="H2534" t="s">
        <v>4887</v>
      </c>
      <c r="I2534" t="s">
        <v>4895</v>
      </c>
      <c r="J2534" t="s">
        <v>4905</v>
      </c>
      <c r="K2534" t="s">
        <v>4933</v>
      </c>
      <c r="L2534" t="s">
        <v>4936</v>
      </c>
      <c r="M2534" t="s">
        <v>4942</v>
      </c>
      <c r="N2534" s="11">
        <v>901.22</v>
      </c>
      <c r="O2534" t="s">
        <v>4950</v>
      </c>
      <c r="P2534" t="s">
        <v>4951</v>
      </c>
      <c r="S2534" t="str">
        <f t="shared" si="118"/>
        <v>Middle-Aged</v>
      </c>
      <c r="T2534" t="str">
        <f t="shared" si="119"/>
        <v>Low</v>
      </c>
      <c r="U2534" t="str">
        <f t="shared" si="120"/>
        <v>Short Days</v>
      </c>
    </row>
    <row r="2535" spans="1:21">
      <c r="A2535" t="s">
        <v>2551</v>
      </c>
      <c r="B2535" s="5">
        <v>45873</v>
      </c>
      <c r="C2535" t="s">
        <v>4212</v>
      </c>
      <c r="D2535" t="s">
        <v>4598</v>
      </c>
      <c r="E2535" t="s">
        <v>4867</v>
      </c>
      <c r="F2535">
        <v>29</v>
      </c>
      <c r="G2535" t="s">
        <v>4880</v>
      </c>
      <c r="H2535" t="s">
        <v>4890</v>
      </c>
      <c r="I2535" t="s">
        <v>4894</v>
      </c>
      <c r="J2535" t="s">
        <v>4904</v>
      </c>
      <c r="K2535" t="s">
        <v>4933</v>
      </c>
      <c r="L2535" t="s">
        <v>4939</v>
      </c>
      <c r="M2535" t="s">
        <v>4942</v>
      </c>
      <c r="N2535" s="11">
        <v>492.45</v>
      </c>
      <c r="O2535" t="s">
        <v>4949</v>
      </c>
      <c r="P2535" t="s">
        <v>4951</v>
      </c>
      <c r="S2535" t="str">
        <f t="shared" si="118"/>
        <v>Adult</v>
      </c>
      <c r="T2535" t="str">
        <f t="shared" si="119"/>
        <v>Low</v>
      </c>
      <c r="U2535" t="str">
        <f t="shared" si="120"/>
        <v>Short Days</v>
      </c>
    </row>
    <row r="2536" spans="1:21">
      <c r="A2536" t="s">
        <v>2552</v>
      </c>
      <c r="B2536" s="5">
        <v>45319</v>
      </c>
      <c r="C2536" t="s">
        <v>4205</v>
      </c>
      <c r="D2536" t="s">
        <v>4621</v>
      </c>
      <c r="E2536" t="s">
        <v>4868</v>
      </c>
      <c r="F2536">
        <v>61</v>
      </c>
      <c r="G2536" t="s">
        <v>4878</v>
      </c>
      <c r="H2536" t="s">
        <v>4889</v>
      </c>
      <c r="I2536" t="s">
        <v>4898</v>
      </c>
      <c r="J2536" t="s">
        <v>4923</v>
      </c>
      <c r="K2536" t="s">
        <v>4932</v>
      </c>
      <c r="L2536" t="s">
        <v>4937</v>
      </c>
      <c r="M2536" t="s">
        <v>4942</v>
      </c>
      <c r="N2536" s="11">
        <v>148.94999999999999</v>
      </c>
      <c r="O2536" t="s">
        <v>4946</v>
      </c>
      <c r="P2536" t="s">
        <v>4951</v>
      </c>
      <c r="S2536" t="str">
        <f t="shared" si="118"/>
        <v>Senior</v>
      </c>
      <c r="T2536" t="str">
        <f t="shared" si="119"/>
        <v>Low</v>
      </c>
      <c r="U2536" t="str">
        <f t="shared" si="120"/>
        <v>Short Days</v>
      </c>
    </row>
    <row r="2537" spans="1:21">
      <c r="A2537" t="s">
        <v>2553</v>
      </c>
      <c r="B2537" s="5">
        <v>45394</v>
      </c>
      <c r="C2537" t="s">
        <v>3597</v>
      </c>
      <c r="D2537" t="s">
        <v>4792</v>
      </c>
      <c r="E2537" t="s">
        <v>4866</v>
      </c>
      <c r="F2537">
        <v>20</v>
      </c>
      <c r="G2537" t="s">
        <v>4873</v>
      </c>
      <c r="H2537" t="s">
        <v>4888</v>
      </c>
      <c r="I2537" t="s">
        <v>4893</v>
      </c>
      <c r="J2537" t="s">
        <v>4917</v>
      </c>
      <c r="K2537" t="s">
        <v>4933</v>
      </c>
      <c r="L2537" t="s">
        <v>4935</v>
      </c>
      <c r="M2537" t="s">
        <v>4942</v>
      </c>
      <c r="N2537" s="11">
        <v>11346.49</v>
      </c>
      <c r="O2537" t="s">
        <v>15</v>
      </c>
      <c r="P2537" t="s">
        <v>4952</v>
      </c>
      <c r="R2537">
        <v>90</v>
      </c>
      <c r="S2537" t="str">
        <f t="shared" si="118"/>
        <v>Adult</v>
      </c>
      <c r="T2537" t="str">
        <f t="shared" si="119"/>
        <v>High</v>
      </c>
      <c r="U2537" t="str">
        <f t="shared" si="120"/>
        <v>Short Days</v>
      </c>
    </row>
    <row r="2538" spans="1:21">
      <c r="A2538" t="s">
        <v>2554</v>
      </c>
      <c r="B2538" s="5">
        <v>45759</v>
      </c>
      <c r="C2538" t="s">
        <v>3603</v>
      </c>
      <c r="D2538" t="s">
        <v>4635</v>
      </c>
      <c r="E2538" t="s">
        <v>4866</v>
      </c>
      <c r="F2538">
        <v>39</v>
      </c>
      <c r="G2538" t="s">
        <v>4879</v>
      </c>
      <c r="H2538" t="s">
        <v>4888</v>
      </c>
      <c r="I2538" t="s">
        <v>4899</v>
      </c>
      <c r="J2538" t="s">
        <v>4911</v>
      </c>
      <c r="K2538" t="s">
        <v>4932</v>
      </c>
      <c r="L2538" t="s">
        <v>4935</v>
      </c>
      <c r="M2538" t="s">
        <v>4944</v>
      </c>
      <c r="N2538" s="11">
        <v>9086.9699999999993</v>
      </c>
      <c r="O2538" t="s">
        <v>4949</v>
      </c>
      <c r="P2538" t="s">
        <v>4951</v>
      </c>
      <c r="S2538" t="str">
        <f t="shared" si="118"/>
        <v>Adult</v>
      </c>
      <c r="T2538" t="str">
        <f t="shared" si="119"/>
        <v>Medium</v>
      </c>
      <c r="U2538" t="str">
        <f t="shared" si="120"/>
        <v>Short Days</v>
      </c>
    </row>
    <row r="2539" spans="1:21">
      <c r="A2539" t="s">
        <v>2555</v>
      </c>
      <c r="B2539" s="5">
        <v>45590</v>
      </c>
      <c r="C2539" t="s">
        <v>3653</v>
      </c>
      <c r="D2539" t="s">
        <v>4647</v>
      </c>
      <c r="E2539" t="s">
        <v>4866</v>
      </c>
      <c r="F2539">
        <v>41</v>
      </c>
      <c r="G2539" t="s">
        <v>4869</v>
      </c>
      <c r="H2539" t="s">
        <v>4884</v>
      </c>
      <c r="I2539" t="s">
        <v>4894</v>
      </c>
      <c r="J2539" t="s">
        <v>4904</v>
      </c>
      <c r="K2539" t="s">
        <v>4924</v>
      </c>
      <c r="L2539" t="s">
        <v>4939</v>
      </c>
      <c r="M2539" t="s">
        <v>4942</v>
      </c>
      <c r="N2539" s="11">
        <v>10765.52</v>
      </c>
      <c r="O2539" t="s">
        <v>4949</v>
      </c>
      <c r="P2539" t="s">
        <v>4951</v>
      </c>
      <c r="S2539" t="str">
        <f t="shared" si="118"/>
        <v>Middle-Aged</v>
      </c>
      <c r="T2539" t="str">
        <f t="shared" si="119"/>
        <v>High</v>
      </c>
      <c r="U2539" t="str">
        <f t="shared" si="120"/>
        <v>Short Days</v>
      </c>
    </row>
    <row r="2540" spans="1:21">
      <c r="A2540" t="s">
        <v>2556</v>
      </c>
      <c r="B2540" s="5">
        <v>45824</v>
      </c>
      <c r="C2540" t="s">
        <v>3584</v>
      </c>
      <c r="D2540" t="s">
        <v>4840</v>
      </c>
      <c r="E2540" t="s">
        <v>4867</v>
      </c>
      <c r="F2540">
        <v>27</v>
      </c>
      <c r="G2540" t="s">
        <v>4875</v>
      </c>
      <c r="H2540" t="s">
        <v>4889</v>
      </c>
      <c r="I2540" t="s">
        <v>4896</v>
      </c>
      <c r="J2540" t="s">
        <v>4908</v>
      </c>
      <c r="K2540" t="s">
        <v>4924</v>
      </c>
      <c r="L2540" t="s">
        <v>4936</v>
      </c>
      <c r="M2540" t="s">
        <v>4942</v>
      </c>
      <c r="N2540" s="11">
        <v>9232.07</v>
      </c>
      <c r="O2540" t="s">
        <v>4948</v>
      </c>
      <c r="P2540" t="s">
        <v>4951</v>
      </c>
      <c r="S2540" t="str">
        <f t="shared" si="118"/>
        <v>Adult</v>
      </c>
      <c r="T2540" t="str">
        <f t="shared" si="119"/>
        <v>Medium</v>
      </c>
      <c r="U2540" t="str">
        <f t="shared" si="120"/>
        <v>Short Days</v>
      </c>
    </row>
    <row r="2541" spans="1:21">
      <c r="A2541" t="s">
        <v>2557</v>
      </c>
      <c r="B2541" s="5">
        <v>45871</v>
      </c>
      <c r="C2541" t="s">
        <v>4461</v>
      </c>
      <c r="D2541" t="s">
        <v>4785</v>
      </c>
      <c r="E2541" t="s">
        <v>4867</v>
      </c>
      <c r="F2541">
        <v>13</v>
      </c>
      <c r="G2541" t="s">
        <v>4876</v>
      </c>
      <c r="H2541" t="s">
        <v>4888</v>
      </c>
      <c r="I2541" t="s">
        <v>4893</v>
      </c>
      <c r="J2541" t="s">
        <v>4903</v>
      </c>
      <c r="K2541" t="s">
        <v>4930</v>
      </c>
      <c r="L2541" t="s">
        <v>4938</v>
      </c>
      <c r="M2541" t="s">
        <v>4942</v>
      </c>
      <c r="N2541" s="11">
        <v>1962.65</v>
      </c>
      <c r="O2541" t="s">
        <v>4947</v>
      </c>
      <c r="P2541" t="s">
        <v>4951</v>
      </c>
      <c r="S2541" t="str">
        <f t="shared" si="118"/>
        <v>Child</v>
      </c>
      <c r="T2541" t="str">
        <f t="shared" si="119"/>
        <v>Low</v>
      </c>
      <c r="U2541" t="str">
        <f t="shared" si="120"/>
        <v>Short Days</v>
      </c>
    </row>
    <row r="2542" spans="1:21">
      <c r="A2542" t="s">
        <v>2558</v>
      </c>
      <c r="B2542" s="5">
        <v>45966</v>
      </c>
      <c r="C2542" t="s">
        <v>4462</v>
      </c>
      <c r="D2542" t="s">
        <v>4710</v>
      </c>
      <c r="E2542" t="s">
        <v>4866</v>
      </c>
      <c r="F2542">
        <v>51</v>
      </c>
      <c r="G2542" t="s">
        <v>4879</v>
      </c>
      <c r="H2542" t="s">
        <v>4888</v>
      </c>
      <c r="I2542" t="s">
        <v>4900</v>
      </c>
      <c r="J2542" t="s">
        <v>4913</v>
      </c>
      <c r="K2542" t="s">
        <v>4933</v>
      </c>
      <c r="L2542" t="s">
        <v>4935</v>
      </c>
      <c r="M2542" t="s">
        <v>4942</v>
      </c>
      <c r="N2542" s="11">
        <v>2871.71</v>
      </c>
      <c r="O2542" t="s">
        <v>4948</v>
      </c>
      <c r="P2542" t="s">
        <v>4951</v>
      </c>
      <c r="R2542">
        <v>14</v>
      </c>
      <c r="S2542" t="str">
        <f t="shared" si="118"/>
        <v>Middle-Aged</v>
      </c>
      <c r="T2542" t="str">
        <f t="shared" si="119"/>
        <v>Low</v>
      </c>
      <c r="U2542" t="str">
        <f t="shared" si="120"/>
        <v>Short Days</v>
      </c>
    </row>
    <row r="2543" spans="1:21">
      <c r="A2543" t="s">
        <v>2559</v>
      </c>
      <c r="B2543" s="5">
        <v>45953</v>
      </c>
      <c r="C2543" t="s">
        <v>4456</v>
      </c>
      <c r="D2543" t="s">
        <v>4627</v>
      </c>
      <c r="E2543" t="s">
        <v>4867</v>
      </c>
      <c r="F2543">
        <v>72</v>
      </c>
      <c r="G2543" t="s">
        <v>4877</v>
      </c>
      <c r="H2543" t="s">
        <v>4888</v>
      </c>
      <c r="I2543" t="s">
        <v>4897</v>
      </c>
      <c r="J2543" t="s">
        <v>4922</v>
      </c>
      <c r="K2543" t="s">
        <v>4927</v>
      </c>
      <c r="L2543" t="s">
        <v>4934</v>
      </c>
      <c r="M2543" t="s">
        <v>4942</v>
      </c>
      <c r="N2543" s="11">
        <v>1016.72</v>
      </c>
      <c r="O2543" t="s">
        <v>4949</v>
      </c>
      <c r="P2543" t="s">
        <v>4951</v>
      </c>
      <c r="R2543">
        <v>14</v>
      </c>
      <c r="S2543" t="str">
        <f t="shared" si="118"/>
        <v>Senior</v>
      </c>
      <c r="T2543" t="str">
        <f t="shared" si="119"/>
        <v>Low</v>
      </c>
      <c r="U2543" t="str">
        <f t="shared" si="120"/>
        <v>Short Days</v>
      </c>
    </row>
    <row r="2544" spans="1:21">
      <c r="A2544" t="s">
        <v>2560</v>
      </c>
      <c r="B2544" s="5">
        <v>45733</v>
      </c>
      <c r="C2544" t="s">
        <v>3893</v>
      </c>
      <c r="D2544" t="s">
        <v>4738</v>
      </c>
      <c r="E2544" t="s">
        <v>4867</v>
      </c>
      <c r="F2544">
        <v>48</v>
      </c>
      <c r="G2544" t="s">
        <v>4873</v>
      </c>
      <c r="H2544" t="s">
        <v>4888</v>
      </c>
      <c r="I2544" t="s">
        <v>4893</v>
      </c>
      <c r="J2544" t="s">
        <v>4903</v>
      </c>
      <c r="K2544" t="s">
        <v>4929</v>
      </c>
      <c r="L2544" t="s">
        <v>4940</v>
      </c>
      <c r="M2544" t="s">
        <v>4944</v>
      </c>
      <c r="N2544" s="11">
        <v>9881.1200000000008</v>
      </c>
      <c r="O2544" t="s">
        <v>4946</v>
      </c>
      <c r="P2544" t="s">
        <v>4951</v>
      </c>
      <c r="R2544">
        <v>7</v>
      </c>
      <c r="S2544" t="str">
        <f t="shared" si="118"/>
        <v>Middle-Aged</v>
      </c>
      <c r="T2544" t="str">
        <f t="shared" si="119"/>
        <v>Medium</v>
      </c>
      <c r="U2544" t="str">
        <f t="shared" si="120"/>
        <v>Short Days</v>
      </c>
    </row>
    <row r="2545" spans="1:21">
      <c r="A2545" t="s">
        <v>2561</v>
      </c>
      <c r="B2545" s="5">
        <v>45837</v>
      </c>
      <c r="C2545" t="s">
        <v>3560</v>
      </c>
      <c r="D2545" t="s">
        <v>4718</v>
      </c>
      <c r="E2545" t="s">
        <v>4866</v>
      </c>
      <c r="F2545">
        <v>72</v>
      </c>
      <c r="G2545" t="s">
        <v>4874</v>
      </c>
      <c r="H2545" t="s">
        <v>4886</v>
      </c>
      <c r="I2545" t="s">
        <v>4898</v>
      </c>
      <c r="J2545" t="s">
        <v>4923</v>
      </c>
      <c r="K2545" t="s">
        <v>4924</v>
      </c>
      <c r="L2545" t="s">
        <v>4936</v>
      </c>
      <c r="M2545" t="s">
        <v>4944</v>
      </c>
      <c r="N2545" s="11">
        <v>13653.02</v>
      </c>
      <c r="O2545" t="s">
        <v>4946</v>
      </c>
      <c r="P2545" t="s">
        <v>4951</v>
      </c>
      <c r="S2545" t="str">
        <f t="shared" si="118"/>
        <v>Senior</v>
      </c>
      <c r="T2545" t="str">
        <f t="shared" si="119"/>
        <v>High</v>
      </c>
      <c r="U2545" t="str">
        <f t="shared" si="120"/>
        <v>Short Days</v>
      </c>
    </row>
    <row r="2546" spans="1:21">
      <c r="A2546" t="s">
        <v>2562</v>
      </c>
      <c r="B2546" s="5">
        <v>45751</v>
      </c>
      <c r="C2546" t="s">
        <v>4463</v>
      </c>
      <c r="D2546" t="s">
        <v>4713</v>
      </c>
      <c r="E2546" t="s">
        <v>4867</v>
      </c>
      <c r="F2546">
        <v>65</v>
      </c>
      <c r="G2546" t="s">
        <v>4874</v>
      </c>
      <c r="H2546" t="s">
        <v>4886</v>
      </c>
      <c r="I2546" t="s">
        <v>4898</v>
      </c>
      <c r="J2546" t="s">
        <v>4923</v>
      </c>
      <c r="K2546" t="s">
        <v>4924</v>
      </c>
      <c r="L2546" t="s">
        <v>4934</v>
      </c>
      <c r="M2546" t="s">
        <v>4942</v>
      </c>
      <c r="N2546" s="11">
        <v>762.98</v>
      </c>
      <c r="O2546" t="s">
        <v>15</v>
      </c>
      <c r="P2546" t="s">
        <v>4952</v>
      </c>
      <c r="S2546" t="str">
        <f t="shared" si="118"/>
        <v>Senior</v>
      </c>
      <c r="T2546" t="str">
        <f t="shared" si="119"/>
        <v>Low</v>
      </c>
      <c r="U2546" t="str">
        <f t="shared" si="120"/>
        <v>Short Days</v>
      </c>
    </row>
    <row r="2547" spans="1:21">
      <c r="A2547" t="s">
        <v>2563</v>
      </c>
      <c r="B2547" s="5">
        <v>45679</v>
      </c>
      <c r="C2547" t="s">
        <v>4123</v>
      </c>
      <c r="D2547" t="s">
        <v>4852</v>
      </c>
      <c r="E2547" t="s">
        <v>4867</v>
      </c>
      <c r="F2547">
        <v>41</v>
      </c>
      <c r="G2547" t="s">
        <v>4872</v>
      </c>
      <c r="H2547" t="s">
        <v>4887</v>
      </c>
      <c r="I2547" t="s">
        <v>4898</v>
      </c>
      <c r="J2547" t="s">
        <v>4918</v>
      </c>
      <c r="K2547" t="s">
        <v>4933</v>
      </c>
      <c r="L2547" t="s">
        <v>4936</v>
      </c>
      <c r="M2547" t="s">
        <v>4942</v>
      </c>
      <c r="N2547" s="11">
        <v>1141.3</v>
      </c>
      <c r="O2547" t="s">
        <v>4949</v>
      </c>
      <c r="P2547" t="s">
        <v>4951</v>
      </c>
      <c r="R2547">
        <v>30</v>
      </c>
      <c r="S2547" t="str">
        <f t="shared" si="118"/>
        <v>Middle-Aged</v>
      </c>
      <c r="T2547" t="str">
        <f t="shared" si="119"/>
        <v>Low</v>
      </c>
      <c r="U2547" t="str">
        <f t="shared" si="120"/>
        <v>Short Days</v>
      </c>
    </row>
    <row r="2548" spans="1:21">
      <c r="A2548" t="s">
        <v>2564</v>
      </c>
      <c r="B2548" s="5">
        <v>45630</v>
      </c>
      <c r="C2548" t="s">
        <v>4464</v>
      </c>
      <c r="D2548" t="s">
        <v>4737</v>
      </c>
      <c r="E2548" t="s">
        <v>4866</v>
      </c>
      <c r="F2548">
        <v>25</v>
      </c>
      <c r="G2548" t="s">
        <v>4881</v>
      </c>
      <c r="H2548" t="s">
        <v>4881</v>
      </c>
      <c r="I2548" t="s">
        <v>4895</v>
      </c>
      <c r="J2548" t="s">
        <v>4915</v>
      </c>
      <c r="K2548" t="s">
        <v>4929</v>
      </c>
      <c r="L2548" t="s">
        <v>4940</v>
      </c>
      <c r="M2548" t="s">
        <v>4944</v>
      </c>
      <c r="N2548" s="11">
        <v>7055.4</v>
      </c>
      <c r="O2548" t="s">
        <v>4947</v>
      </c>
      <c r="P2548" t="s">
        <v>4951</v>
      </c>
      <c r="S2548" t="str">
        <f t="shared" si="118"/>
        <v>Adult</v>
      </c>
      <c r="T2548" t="str">
        <f t="shared" si="119"/>
        <v>Medium</v>
      </c>
      <c r="U2548" t="str">
        <f t="shared" si="120"/>
        <v>Short Days</v>
      </c>
    </row>
    <row r="2549" spans="1:21">
      <c r="A2549" t="s">
        <v>2565</v>
      </c>
      <c r="B2549" s="5">
        <v>45693</v>
      </c>
      <c r="C2549" t="s">
        <v>4139</v>
      </c>
      <c r="D2549" t="s">
        <v>4841</v>
      </c>
      <c r="E2549" t="s">
        <v>4866</v>
      </c>
      <c r="F2549">
        <v>32</v>
      </c>
      <c r="G2549" t="s">
        <v>4874</v>
      </c>
      <c r="H2549" t="s">
        <v>4886</v>
      </c>
      <c r="I2549" t="s">
        <v>4900</v>
      </c>
      <c r="J2549" t="s">
        <v>4913</v>
      </c>
      <c r="K2549" t="s">
        <v>4926</v>
      </c>
      <c r="L2549" t="s">
        <v>4939</v>
      </c>
      <c r="M2549" t="s">
        <v>4945</v>
      </c>
      <c r="N2549" s="11">
        <v>6866.74</v>
      </c>
      <c r="O2549" t="s">
        <v>15</v>
      </c>
      <c r="P2549" t="s">
        <v>4952</v>
      </c>
      <c r="Q2549">
        <v>6</v>
      </c>
      <c r="S2549" t="str">
        <f t="shared" si="118"/>
        <v>Adult</v>
      </c>
      <c r="T2549" t="str">
        <f t="shared" si="119"/>
        <v>Medium</v>
      </c>
      <c r="U2549" t="str">
        <f t="shared" si="120"/>
        <v>Long Days</v>
      </c>
    </row>
    <row r="2550" spans="1:21">
      <c r="A2550" t="s">
        <v>2566</v>
      </c>
      <c r="B2550" s="5">
        <v>45513</v>
      </c>
      <c r="C2550" t="s">
        <v>4465</v>
      </c>
      <c r="D2550" t="s">
        <v>4667</v>
      </c>
      <c r="E2550" t="s">
        <v>4866</v>
      </c>
      <c r="F2550">
        <v>36</v>
      </c>
      <c r="G2550" t="s">
        <v>4877</v>
      </c>
      <c r="H2550" t="s">
        <v>4888</v>
      </c>
      <c r="I2550" t="s">
        <v>4900</v>
      </c>
      <c r="J2550" t="s">
        <v>4919</v>
      </c>
      <c r="K2550" t="s">
        <v>4932</v>
      </c>
      <c r="L2550" t="s">
        <v>4939</v>
      </c>
      <c r="M2550" t="s">
        <v>4942</v>
      </c>
      <c r="N2550" s="11">
        <v>10142.9</v>
      </c>
      <c r="O2550" t="s">
        <v>4946</v>
      </c>
      <c r="P2550" t="s">
        <v>4951</v>
      </c>
      <c r="R2550">
        <v>90</v>
      </c>
      <c r="S2550" t="str">
        <f t="shared" si="118"/>
        <v>Adult</v>
      </c>
      <c r="T2550" t="str">
        <f t="shared" si="119"/>
        <v>High</v>
      </c>
      <c r="U2550" t="str">
        <f t="shared" si="120"/>
        <v>Short Days</v>
      </c>
    </row>
    <row r="2551" spans="1:21">
      <c r="A2551" t="s">
        <v>2567</v>
      </c>
      <c r="B2551" s="5">
        <v>45745</v>
      </c>
      <c r="C2551" t="s">
        <v>4389</v>
      </c>
      <c r="D2551" t="s">
        <v>4754</v>
      </c>
      <c r="E2551" t="s">
        <v>4866</v>
      </c>
      <c r="F2551">
        <v>56</v>
      </c>
      <c r="G2551" t="s">
        <v>4874</v>
      </c>
      <c r="H2551" t="s">
        <v>4886</v>
      </c>
      <c r="I2551" t="s">
        <v>4900</v>
      </c>
      <c r="J2551" t="s">
        <v>4919</v>
      </c>
      <c r="K2551" t="s">
        <v>4931</v>
      </c>
      <c r="L2551" t="s">
        <v>4935</v>
      </c>
      <c r="M2551" t="s">
        <v>4944</v>
      </c>
      <c r="N2551" s="11">
        <v>9902.86</v>
      </c>
      <c r="O2551" t="s">
        <v>15</v>
      </c>
      <c r="P2551" t="s">
        <v>4952</v>
      </c>
      <c r="R2551">
        <v>7</v>
      </c>
      <c r="S2551" t="str">
        <f t="shared" si="118"/>
        <v>Middle-Aged</v>
      </c>
      <c r="T2551" t="str">
        <f t="shared" si="119"/>
        <v>Medium</v>
      </c>
      <c r="U2551" t="str">
        <f t="shared" si="120"/>
        <v>Short Days</v>
      </c>
    </row>
    <row r="2552" spans="1:21">
      <c r="A2552" t="s">
        <v>2568</v>
      </c>
      <c r="B2552" s="5">
        <v>45787</v>
      </c>
      <c r="C2552" t="s">
        <v>4466</v>
      </c>
      <c r="D2552" t="s">
        <v>4704</v>
      </c>
      <c r="E2552" t="s">
        <v>4867</v>
      </c>
      <c r="F2552">
        <v>42</v>
      </c>
      <c r="G2552" t="s">
        <v>4876</v>
      </c>
      <c r="H2552" t="s">
        <v>4888</v>
      </c>
      <c r="I2552" t="s">
        <v>4895</v>
      </c>
      <c r="J2552" t="s">
        <v>4905</v>
      </c>
      <c r="K2552" t="s">
        <v>4932</v>
      </c>
      <c r="L2552" t="s">
        <v>4938</v>
      </c>
      <c r="M2552" t="s">
        <v>4942</v>
      </c>
      <c r="N2552" s="11">
        <v>777.01</v>
      </c>
      <c r="O2552" t="s">
        <v>4947</v>
      </c>
      <c r="P2552" t="s">
        <v>4951</v>
      </c>
      <c r="R2552">
        <v>7</v>
      </c>
      <c r="S2552" t="str">
        <f t="shared" si="118"/>
        <v>Middle-Aged</v>
      </c>
      <c r="T2552" t="str">
        <f t="shared" si="119"/>
        <v>Low</v>
      </c>
      <c r="U2552" t="str">
        <f t="shared" si="120"/>
        <v>Short Days</v>
      </c>
    </row>
    <row r="2553" spans="1:21">
      <c r="A2553" t="s">
        <v>2569</v>
      </c>
      <c r="B2553" s="5">
        <v>45405</v>
      </c>
      <c r="C2553" t="s">
        <v>4344</v>
      </c>
      <c r="D2553" t="s">
        <v>4758</v>
      </c>
      <c r="E2553" t="s">
        <v>4867</v>
      </c>
      <c r="F2553">
        <v>84</v>
      </c>
      <c r="G2553" t="s">
        <v>4874</v>
      </c>
      <c r="H2553" t="s">
        <v>4886</v>
      </c>
      <c r="I2553" t="s">
        <v>4893</v>
      </c>
      <c r="J2553" t="s">
        <v>4903</v>
      </c>
      <c r="K2553" t="s">
        <v>4930</v>
      </c>
      <c r="L2553" t="s">
        <v>4936</v>
      </c>
      <c r="M2553" t="s">
        <v>4942</v>
      </c>
      <c r="N2553" s="11">
        <v>10056.209999999999</v>
      </c>
      <c r="O2553" t="s">
        <v>4949</v>
      </c>
      <c r="P2553" t="s">
        <v>4951</v>
      </c>
      <c r="R2553">
        <v>7</v>
      </c>
      <c r="S2553" t="str">
        <f t="shared" si="118"/>
        <v>Senior</v>
      </c>
      <c r="T2553" t="str">
        <f t="shared" si="119"/>
        <v>High</v>
      </c>
      <c r="U2553" t="str">
        <f t="shared" si="120"/>
        <v>Short Days</v>
      </c>
    </row>
    <row r="2554" spans="1:21">
      <c r="A2554" t="s">
        <v>2570</v>
      </c>
      <c r="B2554" s="5">
        <v>45634</v>
      </c>
      <c r="C2554" t="s">
        <v>3882</v>
      </c>
      <c r="D2554" t="s">
        <v>4605</v>
      </c>
      <c r="E2554" t="s">
        <v>4867</v>
      </c>
      <c r="F2554">
        <v>50</v>
      </c>
      <c r="G2554" t="s">
        <v>4881</v>
      </c>
      <c r="H2554" t="s">
        <v>4881</v>
      </c>
      <c r="I2554" t="s">
        <v>4900</v>
      </c>
      <c r="J2554" t="s">
        <v>4913</v>
      </c>
      <c r="K2554" t="s">
        <v>4927</v>
      </c>
      <c r="L2554" t="s">
        <v>4940</v>
      </c>
      <c r="M2554" t="s">
        <v>4944</v>
      </c>
      <c r="N2554" s="11">
        <v>13443.58</v>
      </c>
      <c r="O2554" t="s">
        <v>4946</v>
      </c>
      <c r="P2554" t="s">
        <v>4951</v>
      </c>
      <c r="R2554">
        <v>7</v>
      </c>
      <c r="S2554" t="str">
        <f t="shared" si="118"/>
        <v>Middle-Aged</v>
      </c>
      <c r="T2554" t="str">
        <f t="shared" si="119"/>
        <v>High</v>
      </c>
      <c r="U2554" t="str">
        <f t="shared" si="120"/>
        <v>Short Days</v>
      </c>
    </row>
    <row r="2555" spans="1:21">
      <c r="A2555" t="s">
        <v>2571</v>
      </c>
      <c r="B2555" s="5">
        <v>45930</v>
      </c>
      <c r="C2555" t="s">
        <v>3128</v>
      </c>
      <c r="D2555" t="s">
        <v>4623</v>
      </c>
      <c r="E2555" t="s">
        <v>4866</v>
      </c>
      <c r="F2555">
        <v>26</v>
      </c>
      <c r="G2555" t="s">
        <v>4879</v>
      </c>
      <c r="H2555" t="s">
        <v>4888</v>
      </c>
      <c r="I2555" t="s">
        <v>4893</v>
      </c>
      <c r="J2555" t="s">
        <v>4917</v>
      </c>
      <c r="K2555" t="s">
        <v>4928</v>
      </c>
      <c r="L2555" t="s">
        <v>4941</v>
      </c>
      <c r="M2555" t="s">
        <v>4942</v>
      </c>
      <c r="N2555" s="11">
        <v>5034.53</v>
      </c>
      <c r="O2555" t="s">
        <v>4949</v>
      </c>
      <c r="P2555" t="s">
        <v>4951</v>
      </c>
      <c r="R2555">
        <v>14</v>
      </c>
      <c r="S2555" t="str">
        <f t="shared" si="118"/>
        <v>Adult</v>
      </c>
      <c r="T2555" t="str">
        <f t="shared" si="119"/>
        <v>Medium</v>
      </c>
      <c r="U2555" t="str">
        <f t="shared" si="120"/>
        <v>Short Days</v>
      </c>
    </row>
    <row r="2556" spans="1:21">
      <c r="A2556" t="s">
        <v>2572</v>
      </c>
      <c r="B2556" s="5">
        <v>45898</v>
      </c>
      <c r="C2556" t="s">
        <v>4467</v>
      </c>
      <c r="D2556" t="s">
        <v>4636</v>
      </c>
      <c r="E2556" t="s">
        <v>4867</v>
      </c>
      <c r="F2556">
        <v>80</v>
      </c>
      <c r="G2556" t="s">
        <v>4870</v>
      </c>
      <c r="H2556" t="s">
        <v>4885</v>
      </c>
      <c r="I2556" t="s">
        <v>4894</v>
      </c>
      <c r="J2556" t="s">
        <v>4904</v>
      </c>
      <c r="K2556" t="s">
        <v>4924</v>
      </c>
      <c r="L2556" t="s">
        <v>4939</v>
      </c>
      <c r="M2556" t="s">
        <v>4942</v>
      </c>
      <c r="N2556" s="11">
        <v>3420.34</v>
      </c>
      <c r="O2556" t="s">
        <v>4946</v>
      </c>
      <c r="P2556" t="s">
        <v>4951</v>
      </c>
      <c r="R2556">
        <v>14</v>
      </c>
      <c r="S2556" t="str">
        <f t="shared" si="118"/>
        <v>Senior</v>
      </c>
      <c r="T2556" t="str">
        <f t="shared" si="119"/>
        <v>Low</v>
      </c>
      <c r="U2556" t="str">
        <f t="shared" si="120"/>
        <v>Short Days</v>
      </c>
    </row>
    <row r="2557" spans="1:21">
      <c r="A2557" t="s">
        <v>2573</v>
      </c>
      <c r="B2557" s="5">
        <v>45414</v>
      </c>
      <c r="C2557" t="s">
        <v>4468</v>
      </c>
      <c r="D2557" t="s">
        <v>4633</v>
      </c>
      <c r="E2557" t="s">
        <v>4867</v>
      </c>
      <c r="F2557">
        <v>12</v>
      </c>
      <c r="G2557" t="s">
        <v>4880</v>
      </c>
      <c r="H2557" t="s">
        <v>4890</v>
      </c>
      <c r="I2557" t="s">
        <v>4900</v>
      </c>
      <c r="J2557" t="s">
        <v>4919</v>
      </c>
      <c r="K2557" t="s">
        <v>4931</v>
      </c>
      <c r="L2557" t="s">
        <v>4940</v>
      </c>
      <c r="M2557" t="s">
        <v>4944</v>
      </c>
      <c r="N2557" s="11">
        <v>6023.74</v>
      </c>
      <c r="O2557" t="s">
        <v>4949</v>
      </c>
      <c r="P2557" t="s">
        <v>4951</v>
      </c>
      <c r="R2557">
        <v>7</v>
      </c>
      <c r="S2557" t="str">
        <f t="shared" si="118"/>
        <v>Child</v>
      </c>
      <c r="T2557" t="str">
        <f t="shared" si="119"/>
        <v>Medium</v>
      </c>
      <c r="U2557" t="str">
        <f t="shared" si="120"/>
        <v>Short Days</v>
      </c>
    </row>
    <row r="2558" spans="1:21">
      <c r="A2558" t="s">
        <v>2574</v>
      </c>
      <c r="B2558" s="5">
        <v>45613</v>
      </c>
      <c r="C2558" t="s">
        <v>4469</v>
      </c>
      <c r="D2558" t="s">
        <v>4773</v>
      </c>
      <c r="E2558" t="s">
        <v>4866</v>
      </c>
      <c r="F2558">
        <v>50</v>
      </c>
      <c r="G2558" t="s">
        <v>4877</v>
      </c>
      <c r="H2558" t="s">
        <v>4888</v>
      </c>
      <c r="I2558" t="s">
        <v>4902</v>
      </c>
      <c r="J2558" t="s">
        <v>4920</v>
      </c>
      <c r="K2558" t="s">
        <v>4929</v>
      </c>
      <c r="L2558" t="s">
        <v>4934</v>
      </c>
      <c r="M2558" t="s">
        <v>4942</v>
      </c>
      <c r="N2558" s="11">
        <v>15277.85</v>
      </c>
      <c r="O2558" t="s">
        <v>4948</v>
      </c>
      <c r="P2558" t="s">
        <v>4951</v>
      </c>
      <c r="R2558">
        <v>7</v>
      </c>
      <c r="S2558" t="str">
        <f t="shared" si="118"/>
        <v>Middle-Aged</v>
      </c>
      <c r="T2558" t="str">
        <f t="shared" si="119"/>
        <v>High</v>
      </c>
      <c r="U2558" t="str">
        <f t="shared" si="120"/>
        <v>Short Days</v>
      </c>
    </row>
    <row r="2559" spans="1:21">
      <c r="A2559" t="s">
        <v>2575</v>
      </c>
      <c r="B2559" s="5">
        <v>45806</v>
      </c>
      <c r="C2559" t="s">
        <v>4470</v>
      </c>
      <c r="D2559" t="s">
        <v>4833</v>
      </c>
      <c r="E2559" t="s">
        <v>4867</v>
      </c>
      <c r="F2559">
        <v>49</v>
      </c>
      <c r="G2559" t="s">
        <v>4874</v>
      </c>
      <c r="H2559" t="s">
        <v>4886</v>
      </c>
      <c r="I2559" t="s">
        <v>4899</v>
      </c>
      <c r="J2559" t="s">
        <v>4911</v>
      </c>
      <c r="K2559" t="s">
        <v>4925</v>
      </c>
      <c r="L2559" t="s">
        <v>4934</v>
      </c>
      <c r="M2559" t="s">
        <v>4942</v>
      </c>
      <c r="N2559" s="11">
        <v>5128.63</v>
      </c>
      <c r="O2559" t="s">
        <v>4948</v>
      </c>
      <c r="P2559" t="s">
        <v>4951</v>
      </c>
      <c r="R2559">
        <v>7</v>
      </c>
      <c r="S2559" t="str">
        <f t="shared" si="118"/>
        <v>Middle-Aged</v>
      </c>
      <c r="T2559" t="str">
        <f t="shared" si="119"/>
        <v>Medium</v>
      </c>
      <c r="U2559" t="str">
        <f t="shared" si="120"/>
        <v>Short Days</v>
      </c>
    </row>
    <row r="2560" spans="1:21">
      <c r="A2560" t="s">
        <v>2576</v>
      </c>
      <c r="B2560" s="5">
        <v>45805</v>
      </c>
      <c r="C2560" t="s">
        <v>4471</v>
      </c>
      <c r="D2560" t="s">
        <v>4754</v>
      </c>
      <c r="E2560" t="s">
        <v>4866</v>
      </c>
      <c r="F2560">
        <v>31</v>
      </c>
      <c r="G2560" t="s">
        <v>4880</v>
      </c>
      <c r="H2560" t="s">
        <v>4890</v>
      </c>
      <c r="I2560" t="s">
        <v>4898</v>
      </c>
      <c r="J2560" t="s">
        <v>4909</v>
      </c>
      <c r="K2560" t="s">
        <v>4928</v>
      </c>
      <c r="L2560" t="s">
        <v>4938</v>
      </c>
      <c r="M2560" t="s">
        <v>4942</v>
      </c>
      <c r="N2560" s="11">
        <v>5115.04</v>
      </c>
      <c r="O2560" t="s">
        <v>4949</v>
      </c>
      <c r="P2560" t="s">
        <v>4951</v>
      </c>
      <c r="S2560" t="str">
        <f t="shared" si="118"/>
        <v>Adult</v>
      </c>
      <c r="T2560" t="str">
        <f t="shared" si="119"/>
        <v>Medium</v>
      </c>
      <c r="U2560" t="str">
        <f t="shared" si="120"/>
        <v>Short Days</v>
      </c>
    </row>
    <row r="2561" spans="1:21">
      <c r="A2561" t="s">
        <v>2577</v>
      </c>
      <c r="B2561" s="5">
        <v>45787</v>
      </c>
      <c r="C2561" t="s">
        <v>4101</v>
      </c>
      <c r="D2561" t="s">
        <v>4617</v>
      </c>
      <c r="E2561" t="s">
        <v>4867</v>
      </c>
      <c r="F2561">
        <v>70</v>
      </c>
      <c r="G2561" t="s">
        <v>4871</v>
      </c>
      <c r="H2561" t="s">
        <v>4886</v>
      </c>
      <c r="I2561" t="s">
        <v>4898</v>
      </c>
      <c r="J2561" t="s">
        <v>4923</v>
      </c>
      <c r="K2561" t="s">
        <v>4930</v>
      </c>
      <c r="L2561" t="s">
        <v>4936</v>
      </c>
      <c r="M2561" t="s">
        <v>4945</v>
      </c>
      <c r="N2561" s="11">
        <v>13442.95</v>
      </c>
      <c r="O2561" t="s">
        <v>4947</v>
      </c>
      <c r="P2561" t="s">
        <v>4951</v>
      </c>
      <c r="Q2561">
        <v>5</v>
      </c>
      <c r="R2561">
        <v>30</v>
      </c>
      <c r="S2561" t="str">
        <f t="shared" si="118"/>
        <v>Senior</v>
      </c>
      <c r="T2561" t="str">
        <f t="shared" si="119"/>
        <v>High</v>
      </c>
      <c r="U2561" t="str">
        <f t="shared" si="120"/>
        <v>Short Days</v>
      </c>
    </row>
    <row r="2562" spans="1:21">
      <c r="A2562" t="s">
        <v>2578</v>
      </c>
      <c r="B2562" s="5">
        <v>45326</v>
      </c>
      <c r="C2562" t="s">
        <v>3894</v>
      </c>
      <c r="D2562" t="s">
        <v>4752</v>
      </c>
      <c r="E2562" t="s">
        <v>4867</v>
      </c>
      <c r="F2562">
        <v>82</v>
      </c>
      <c r="G2562" t="s">
        <v>4870</v>
      </c>
      <c r="H2562" t="s">
        <v>4885</v>
      </c>
      <c r="I2562" t="s">
        <v>4900</v>
      </c>
      <c r="J2562" t="s">
        <v>4919</v>
      </c>
      <c r="K2562" t="s">
        <v>4928</v>
      </c>
      <c r="L2562" t="s">
        <v>4935</v>
      </c>
      <c r="M2562" t="s">
        <v>4942</v>
      </c>
      <c r="N2562" s="11">
        <v>17161.05</v>
      </c>
      <c r="O2562" t="s">
        <v>4947</v>
      </c>
      <c r="P2562" t="s">
        <v>4951</v>
      </c>
      <c r="S2562" t="str">
        <f t="shared" si="118"/>
        <v>Senior</v>
      </c>
      <c r="T2562" t="str">
        <f t="shared" si="119"/>
        <v>High</v>
      </c>
      <c r="U2562" t="str">
        <f t="shared" si="120"/>
        <v>Short Days</v>
      </c>
    </row>
    <row r="2563" spans="1:21">
      <c r="A2563" t="s">
        <v>2579</v>
      </c>
      <c r="B2563" s="5">
        <v>45934</v>
      </c>
      <c r="C2563" t="s">
        <v>3186</v>
      </c>
      <c r="D2563" t="s">
        <v>4597</v>
      </c>
      <c r="E2563" t="s">
        <v>4866</v>
      </c>
      <c r="F2563">
        <v>17</v>
      </c>
      <c r="G2563" t="s">
        <v>4878</v>
      </c>
      <c r="H2563" t="s">
        <v>4889</v>
      </c>
      <c r="I2563" t="s">
        <v>4898</v>
      </c>
      <c r="J2563" t="s">
        <v>4909</v>
      </c>
      <c r="K2563" t="s">
        <v>4930</v>
      </c>
      <c r="L2563" t="s">
        <v>4937</v>
      </c>
      <c r="M2563" t="s">
        <v>4942</v>
      </c>
      <c r="N2563" s="11">
        <v>6316.29</v>
      </c>
      <c r="O2563" t="s">
        <v>4948</v>
      </c>
      <c r="P2563" t="s">
        <v>4951</v>
      </c>
      <c r="R2563">
        <v>14</v>
      </c>
      <c r="S2563" t="str">
        <f t="shared" ref="S2563:S2626" si="121">IF(F2563&lt;18,"Child",IF(F2563&lt;=40,"Adult",IF(F2563&lt;=60,"Middle-Aged",IF(F2563,"Senior"))))</f>
        <v>Child</v>
      </c>
      <c r="T2563" t="str">
        <f t="shared" ref="T2563:T2626" si="122">IF(N2563&lt;=5000,"Low",IF(N2563&lt;=10000,"Medium","High"))</f>
        <v>Medium</v>
      </c>
      <c r="U2563" t="str">
        <f t="shared" ref="U2563:U2626" si="123">IF(Q2563&lt;=5,"Short Days","Long Days")</f>
        <v>Short Days</v>
      </c>
    </row>
    <row r="2564" spans="1:21">
      <c r="A2564" t="s">
        <v>2580</v>
      </c>
      <c r="B2564" s="5">
        <v>45964</v>
      </c>
      <c r="C2564" t="s">
        <v>3560</v>
      </c>
      <c r="D2564" t="s">
        <v>4785</v>
      </c>
      <c r="E2564" t="s">
        <v>4867</v>
      </c>
      <c r="F2564">
        <v>40</v>
      </c>
      <c r="G2564" t="s">
        <v>4881</v>
      </c>
      <c r="H2564" t="s">
        <v>4881</v>
      </c>
      <c r="I2564" t="s">
        <v>4896</v>
      </c>
      <c r="J2564" t="s">
        <v>4906</v>
      </c>
      <c r="K2564" t="s">
        <v>4924</v>
      </c>
      <c r="L2564" t="s">
        <v>4938</v>
      </c>
      <c r="M2564" t="s">
        <v>4942</v>
      </c>
      <c r="N2564" s="11">
        <v>1630.78</v>
      </c>
      <c r="O2564" t="s">
        <v>15</v>
      </c>
      <c r="P2564" t="s">
        <v>4952</v>
      </c>
      <c r="R2564">
        <v>7</v>
      </c>
      <c r="S2564" t="str">
        <f t="shared" si="121"/>
        <v>Adult</v>
      </c>
      <c r="T2564" t="str">
        <f t="shared" si="122"/>
        <v>Low</v>
      </c>
      <c r="U2564" t="str">
        <f t="shared" si="123"/>
        <v>Short Days</v>
      </c>
    </row>
    <row r="2565" spans="1:21">
      <c r="A2565" t="s">
        <v>2581</v>
      </c>
      <c r="B2565" s="5">
        <v>45954</v>
      </c>
      <c r="C2565" t="s">
        <v>3725</v>
      </c>
      <c r="D2565" t="s">
        <v>4600</v>
      </c>
      <c r="E2565" t="s">
        <v>4867</v>
      </c>
      <c r="F2565">
        <v>52</v>
      </c>
      <c r="G2565" t="s">
        <v>4877</v>
      </c>
      <c r="H2565" t="s">
        <v>4888</v>
      </c>
      <c r="I2565" t="s">
        <v>4896</v>
      </c>
      <c r="J2565" t="s">
        <v>4906</v>
      </c>
      <c r="K2565" t="s">
        <v>4925</v>
      </c>
      <c r="L2565" t="s">
        <v>4937</v>
      </c>
      <c r="M2565" t="s">
        <v>4942</v>
      </c>
      <c r="N2565" s="11">
        <v>8519.32</v>
      </c>
      <c r="O2565" t="s">
        <v>4950</v>
      </c>
      <c r="P2565" t="s">
        <v>4951</v>
      </c>
      <c r="R2565">
        <v>30</v>
      </c>
      <c r="S2565" t="str">
        <f t="shared" si="121"/>
        <v>Middle-Aged</v>
      </c>
      <c r="T2565" t="str">
        <f t="shared" si="122"/>
        <v>Medium</v>
      </c>
      <c r="U2565" t="str">
        <f t="shared" si="123"/>
        <v>Short Days</v>
      </c>
    </row>
    <row r="2566" spans="1:21">
      <c r="A2566" t="s">
        <v>2582</v>
      </c>
      <c r="B2566" s="5">
        <v>45367</v>
      </c>
      <c r="C2566" t="s">
        <v>3790</v>
      </c>
      <c r="D2566" t="s">
        <v>4598</v>
      </c>
      <c r="E2566" t="s">
        <v>4866</v>
      </c>
      <c r="F2566">
        <v>26</v>
      </c>
      <c r="G2566" t="s">
        <v>4872</v>
      </c>
      <c r="H2566" t="s">
        <v>4887</v>
      </c>
      <c r="I2566" t="s">
        <v>4900</v>
      </c>
      <c r="J2566" t="s">
        <v>4919</v>
      </c>
      <c r="K2566" t="s">
        <v>4927</v>
      </c>
      <c r="L2566" t="s">
        <v>4938</v>
      </c>
      <c r="M2566" t="s">
        <v>4944</v>
      </c>
      <c r="N2566" s="11">
        <v>6079.74</v>
      </c>
      <c r="O2566" t="s">
        <v>4949</v>
      </c>
      <c r="P2566" t="s">
        <v>4951</v>
      </c>
      <c r="S2566" t="str">
        <f t="shared" si="121"/>
        <v>Adult</v>
      </c>
      <c r="T2566" t="str">
        <f t="shared" si="122"/>
        <v>Medium</v>
      </c>
      <c r="U2566" t="str">
        <f t="shared" si="123"/>
        <v>Short Days</v>
      </c>
    </row>
    <row r="2567" spans="1:21">
      <c r="A2567" t="s">
        <v>2583</v>
      </c>
      <c r="B2567" s="5">
        <v>45922</v>
      </c>
      <c r="C2567" t="s">
        <v>3636</v>
      </c>
      <c r="D2567" t="s">
        <v>4838</v>
      </c>
      <c r="E2567" t="s">
        <v>4867</v>
      </c>
      <c r="F2567">
        <v>20</v>
      </c>
      <c r="G2567" t="s">
        <v>4878</v>
      </c>
      <c r="H2567" t="s">
        <v>4889</v>
      </c>
      <c r="I2567" t="s">
        <v>4902</v>
      </c>
      <c r="J2567" t="s">
        <v>4920</v>
      </c>
      <c r="K2567" t="s">
        <v>4931</v>
      </c>
      <c r="L2567" t="s">
        <v>4939</v>
      </c>
      <c r="M2567" t="s">
        <v>4943</v>
      </c>
      <c r="N2567" s="11">
        <v>5020.8900000000003</v>
      </c>
      <c r="O2567" t="s">
        <v>4947</v>
      </c>
      <c r="P2567" t="s">
        <v>4951</v>
      </c>
      <c r="S2567" t="str">
        <f t="shared" si="121"/>
        <v>Adult</v>
      </c>
      <c r="T2567" t="str">
        <f t="shared" si="122"/>
        <v>Medium</v>
      </c>
      <c r="U2567" t="str">
        <f t="shared" si="123"/>
        <v>Short Days</v>
      </c>
    </row>
    <row r="2568" spans="1:21">
      <c r="A2568" t="s">
        <v>2584</v>
      </c>
      <c r="B2568" s="5">
        <v>45455</v>
      </c>
      <c r="C2568" t="s">
        <v>4273</v>
      </c>
      <c r="D2568" t="s">
        <v>4643</v>
      </c>
      <c r="E2568" t="s">
        <v>4866</v>
      </c>
      <c r="F2568">
        <v>29</v>
      </c>
      <c r="G2568" t="s">
        <v>4873</v>
      </c>
      <c r="H2568" t="s">
        <v>4888</v>
      </c>
      <c r="I2568" t="s">
        <v>4901</v>
      </c>
      <c r="J2568" t="s">
        <v>4914</v>
      </c>
      <c r="K2568" t="s">
        <v>4925</v>
      </c>
      <c r="L2568" t="s">
        <v>4934</v>
      </c>
      <c r="M2568" t="s">
        <v>4942</v>
      </c>
      <c r="N2568" s="11">
        <v>7070.27</v>
      </c>
      <c r="O2568" t="s">
        <v>4947</v>
      </c>
      <c r="P2568" t="s">
        <v>4951</v>
      </c>
      <c r="S2568" t="str">
        <f t="shared" si="121"/>
        <v>Adult</v>
      </c>
      <c r="T2568" t="str">
        <f t="shared" si="122"/>
        <v>Medium</v>
      </c>
      <c r="U2568" t="str">
        <f t="shared" si="123"/>
        <v>Short Days</v>
      </c>
    </row>
    <row r="2569" spans="1:21">
      <c r="A2569" t="s">
        <v>2585</v>
      </c>
      <c r="B2569" s="5">
        <v>45915</v>
      </c>
      <c r="C2569" t="s">
        <v>3122</v>
      </c>
      <c r="D2569" t="s">
        <v>4701</v>
      </c>
      <c r="E2569" t="s">
        <v>4866</v>
      </c>
      <c r="F2569">
        <v>51</v>
      </c>
      <c r="G2569" t="s">
        <v>4882</v>
      </c>
      <c r="H2569" t="s">
        <v>4891</v>
      </c>
      <c r="I2569" t="s">
        <v>4895</v>
      </c>
      <c r="J2569" t="s">
        <v>4915</v>
      </c>
      <c r="K2569" t="s">
        <v>4933</v>
      </c>
      <c r="L2569" t="s">
        <v>4941</v>
      </c>
      <c r="M2569" t="s">
        <v>4942</v>
      </c>
      <c r="N2569" s="11">
        <v>3783.39</v>
      </c>
      <c r="O2569" t="s">
        <v>4950</v>
      </c>
      <c r="P2569" t="s">
        <v>4951</v>
      </c>
      <c r="S2569" t="str">
        <f t="shared" si="121"/>
        <v>Middle-Aged</v>
      </c>
      <c r="T2569" t="str">
        <f t="shared" si="122"/>
        <v>Low</v>
      </c>
      <c r="U2569" t="str">
        <f t="shared" si="123"/>
        <v>Short Days</v>
      </c>
    </row>
    <row r="2570" spans="1:21">
      <c r="A2570" t="s">
        <v>2586</v>
      </c>
      <c r="B2570" s="5">
        <v>45670</v>
      </c>
      <c r="C2570" t="s">
        <v>4472</v>
      </c>
      <c r="D2570" t="s">
        <v>4741</v>
      </c>
      <c r="E2570" t="s">
        <v>4867</v>
      </c>
      <c r="F2570">
        <v>54</v>
      </c>
      <c r="G2570" t="s">
        <v>4873</v>
      </c>
      <c r="H2570" t="s">
        <v>4888</v>
      </c>
      <c r="I2570" t="s">
        <v>4899</v>
      </c>
      <c r="J2570" t="s">
        <v>4912</v>
      </c>
      <c r="K2570" t="s">
        <v>4927</v>
      </c>
      <c r="L2570" t="s">
        <v>4940</v>
      </c>
      <c r="M2570" t="s">
        <v>4945</v>
      </c>
      <c r="N2570" s="11">
        <v>11429.58</v>
      </c>
      <c r="O2570" t="s">
        <v>4949</v>
      </c>
      <c r="P2570" t="s">
        <v>4951</v>
      </c>
      <c r="Q2570">
        <v>6</v>
      </c>
      <c r="R2570">
        <v>30</v>
      </c>
      <c r="S2570" t="str">
        <f t="shared" si="121"/>
        <v>Middle-Aged</v>
      </c>
      <c r="T2570" t="str">
        <f t="shared" si="122"/>
        <v>High</v>
      </c>
      <c r="U2570" t="str">
        <f t="shared" si="123"/>
        <v>Long Days</v>
      </c>
    </row>
    <row r="2571" spans="1:21">
      <c r="A2571" t="s">
        <v>2587</v>
      </c>
      <c r="B2571" s="5">
        <v>45605</v>
      </c>
      <c r="C2571" t="s">
        <v>4473</v>
      </c>
      <c r="D2571" t="s">
        <v>4727</v>
      </c>
      <c r="E2571" t="s">
        <v>4866</v>
      </c>
      <c r="F2571">
        <v>46</v>
      </c>
      <c r="G2571" t="s">
        <v>4875</v>
      </c>
      <c r="H2571" t="s">
        <v>4889</v>
      </c>
      <c r="I2571" t="s">
        <v>4899</v>
      </c>
      <c r="J2571" t="s">
        <v>4911</v>
      </c>
      <c r="K2571" t="s">
        <v>4929</v>
      </c>
      <c r="L2571" t="s">
        <v>4934</v>
      </c>
      <c r="M2571" t="s">
        <v>4942</v>
      </c>
      <c r="N2571" s="11">
        <v>12413.61</v>
      </c>
      <c r="O2571" t="s">
        <v>4946</v>
      </c>
      <c r="P2571" t="s">
        <v>4951</v>
      </c>
      <c r="S2571" t="str">
        <f t="shared" si="121"/>
        <v>Middle-Aged</v>
      </c>
      <c r="T2571" t="str">
        <f t="shared" si="122"/>
        <v>High</v>
      </c>
      <c r="U2571" t="str">
        <f t="shared" si="123"/>
        <v>Short Days</v>
      </c>
    </row>
    <row r="2572" spans="1:21">
      <c r="A2572" t="s">
        <v>2588</v>
      </c>
      <c r="B2572" s="5">
        <v>45725</v>
      </c>
      <c r="C2572" t="s">
        <v>4474</v>
      </c>
      <c r="D2572" t="s">
        <v>4865</v>
      </c>
      <c r="E2572" t="s">
        <v>4867</v>
      </c>
      <c r="F2572">
        <v>50</v>
      </c>
      <c r="G2572" t="s">
        <v>4878</v>
      </c>
      <c r="H2572" t="s">
        <v>4889</v>
      </c>
      <c r="I2572" t="s">
        <v>4895</v>
      </c>
      <c r="J2572" t="s">
        <v>4915</v>
      </c>
      <c r="K2572" t="s">
        <v>4927</v>
      </c>
      <c r="L2572" t="s">
        <v>4937</v>
      </c>
      <c r="M2572" t="s">
        <v>4945</v>
      </c>
      <c r="N2572" s="11">
        <v>8348.69</v>
      </c>
      <c r="O2572" t="s">
        <v>4946</v>
      </c>
      <c r="P2572" t="s">
        <v>4951</v>
      </c>
      <c r="Q2572">
        <v>7</v>
      </c>
      <c r="R2572">
        <v>7</v>
      </c>
      <c r="S2572" t="str">
        <f t="shared" si="121"/>
        <v>Middle-Aged</v>
      </c>
      <c r="T2572" t="str">
        <f t="shared" si="122"/>
        <v>Medium</v>
      </c>
      <c r="U2572" t="str">
        <f t="shared" si="123"/>
        <v>Long Days</v>
      </c>
    </row>
    <row r="2573" spans="1:21">
      <c r="A2573" t="s">
        <v>2589</v>
      </c>
      <c r="B2573" s="5">
        <v>45918</v>
      </c>
      <c r="C2573" t="s">
        <v>4475</v>
      </c>
      <c r="D2573" t="s">
        <v>4612</v>
      </c>
      <c r="E2573" t="s">
        <v>4866</v>
      </c>
      <c r="F2573">
        <v>37</v>
      </c>
      <c r="G2573" t="s">
        <v>4880</v>
      </c>
      <c r="H2573" t="s">
        <v>4890</v>
      </c>
      <c r="I2573" t="s">
        <v>4897</v>
      </c>
      <c r="J2573" t="s">
        <v>4907</v>
      </c>
      <c r="K2573" t="s">
        <v>4930</v>
      </c>
      <c r="L2573" t="s">
        <v>4934</v>
      </c>
      <c r="M2573" t="s">
        <v>4942</v>
      </c>
      <c r="N2573" s="11">
        <v>7477.2</v>
      </c>
      <c r="O2573" t="s">
        <v>15</v>
      </c>
      <c r="P2573" t="s">
        <v>4952</v>
      </c>
      <c r="R2573">
        <v>14</v>
      </c>
      <c r="S2573" t="str">
        <f t="shared" si="121"/>
        <v>Adult</v>
      </c>
      <c r="T2573" t="str">
        <f t="shared" si="122"/>
        <v>Medium</v>
      </c>
      <c r="U2573" t="str">
        <f t="shared" si="123"/>
        <v>Short Days</v>
      </c>
    </row>
    <row r="2574" spans="1:21">
      <c r="A2574" t="s">
        <v>2590</v>
      </c>
      <c r="B2574" s="5">
        <v>45597</v>
      </c>
      <c r="C2574" t="s">
        <v>4175</v>
      </c>
      <c r="D2574" t="s">
        <v>4792</v>
      </c>
      <c r="E2574" t="s">
        <v>4867</v>
      </c>
      <c r="F2574">
        <v>44</v>
      </c>
      <c r="G2574" t="s">
        <v>4875</v>
      </c>
      <c r="H2574" t="s">
        <v>4889</v>
      </c>
      <c r="I2574" t="s">
        <v>4902</v>
      </c>
      <c r="J2574" t="s">
        <v>4916</v>
      </c>
      <c r="K2574" t="s">
        <v>4929</v>
      </c>
      <c r="L2574" t="s">
        <v>4934</v>
      </c>
      <c r="M2574" t="s">
        <v>4943</v>
      </c>
      <c r="N2574" s="11">
        <v>12391.4</v>
      </c>
      <c r="O2574" t="s">
        <v>4947</v>
      </c>
      <c r="P2574" t="s">
        <v>4951</v>
      </c>
      <c r="R2574">
        <v>7</v>
      </c>
      <c r="S2574" t="str">
        <f t="shared" si="121"/>
        <v>Middle-Aged</v>
      </c>
      <c r="T2574" t="str">
        <f t="shared" si="122"/>
        <v>High</v>
      </c>
      <c r="U2574" t="str">
        <f t="shared" si="123"/>
        <v>Short Days</v>
      </c>
    </row>
    <row r="2575" spans="1:21">
      <c r="A2575" t="s">
        <v>2591</v>
      </c>
      <c r="B2575" s="5">
        <v>45503</v>
      </c>
      <c r="C2575" t="s">
        <v>3411</v>
      </c>
      <c r="D2575" t="s">
        <v>4825</v>
      </c>
      <c r="E2575" t="s">
        <v>4867</v>
      </c>
      <c r="F2575">
        <v>38</v>
      </c>
      <c r="G2575" t="s">
        <v>4883</v>
      </c>
      <c r="H2575" t="s">
        <v>4892</v>
      </c>
      <c r="I2575" t="s">
        <v>4898</v>
      </c>
      <c r="J2575" t="s">
        <v>4923</v>
      </c>
      <c r="K2575" t="s">
        <v>4928</v>
      </c>
      <c r="L2575" t="s">
        <v>4939</v>
      </c>
      <c r="M2575" t="s">
        <v>4945</v>
      </c>
      <c r="N2575" s="11">
        <v>17791.43</v>
      </c>
      <c r="O2575" t="s">
        <v>4946</v>
      </c>
      <c r="P2575" t="s">
        <v>4951</v>
      </c>
      <c r="Q2575">
        <v>5</v>
      </c>
      <c r="S2575" t="str">
        <f t="shared" si="121"/>
        <v>Adult</v>
      </c>
      <c r="T2575" t="str">
        <f t="shared" si="122"/>
        <v>High</v>
      </c>
      <c r="U2575" t="str">
        <f t="shared" si="123"/>
        <v>Short Days</v>
      </c>
    </row>
    <row r="2576" spans="1:21">
      <c r="A2576" t="s">
        <v>2592</v>
      </c>
      <c r="B2576" s="5">
        <v>45372</v>
      </c>
      <c r="C2576" t="s">
        <v>4394</v>
      </c>
      <c r="D2576" t="s">
        <v>4745</v>
      </c>
      <c r="E2576" t="s">
        <v>4866</v>
      </c>
      <c r="F2576">
        <v>21</v>
      </c>
      <c r="G2576" t="s">
        <v>4881</v>
      </c>
      <c r="H2576" t="s">
        <v>4881</v>
      </c>
      <c r="I2576" t="s">
        <v>4902</v>
      </c>
      <c r="J2576" t="s">
        <v>4920</v>
      </c>
      <c r="K2576" t="s">
        <v>4931</v>
      </c>
      <c r="L2576" t="s">
        <v>4939</v>
      </c>
      <c r="M2576" t="s">
        <v>4942</v>
      </c>
      <c r="N2576" s="11">
        <v>9740.23</v>
      </c>
      <c r="O2576" t="s">
        <v>4946</v>
      </c>
      <c r="P2576" t="s">
        <v>4951</v>
      </c>
      <c r="R2576">
        <v>7</v>
      </c>
      <c r="S2576" t="str">
        <f t="shared" si="121"/>
        <v>Adult</v>
      </c>
      <c r="T2576" t="str">
        <f t="shared" si="122"/>
        <v>Medium</v>
      </c>
      <c r="U2576" t="str">
        <f t="shared" si="123"/>
        <v>Short Days</v>
      </c>
    </row>
    <row r="2577" spans="1:21">
      <c r="A2577" t="s">
        <v>2593</v>
      </c>
      <c r="B2577" s="5">
        <v>45485</v>
      </c>
      <c r="C2577" t="s">
        <v>3567</v>
      </c>
      <c r="D2577" t="s">
        <v>4633</v>
      </c>
      <c r="E2577" t="s">
        <v>4866</v>
      </c>
      <c r="F2577">
        <v>68</v>
      </c>
      <c r="G2577" t="s">
        <v>4874</v>
      </c>
      <c r="H2577" t="s">
        <v>4886</v>
      </c>
      <c r="I2577" t="s">
        <v>4894</v>
      </c>
      <c r="J2577" t="s">
        <v>4910</v>
      </c>
      <c r="K2577" t="s">
        <v>4927</v>
      </c>
      <c r="L2577" t="s">
        <v>4938</v>
      </c>
      <c r="M2577" t="s">
        <v>4943</v>
      </c>
      <c r="N2577" s="11">
        <v>5728.71</v>
      </c>
      <c r="O2577" t="s">
        <v>4947</v>
      </c>
      <c r="P2577" t="s">
        <v>4951</v>
      </c>
      <c r="R2577">
        <v>14</v>
      </c>
      <c r="S2577" t="str">
        <f t="shared" si="121"/>
        <v>Senior</v>
      </c>
      <c r="T2577" t="str">
        <f t="shared" si="122"/>
        <v>Medium</v>
      </c>
      <c r="U2577" t="str">
        <f t="shared" si="123"/>
        <v>Short Days</v>
      </c>
    </row>
    <row r="2578" spans="1:21">
      <c r="A2578" t="s">
        <v>2594</v>
      </c>
      <c r="B2578" s="5">
        <v>45569</v>
      </c>
      <c r="C2578" t="s">
        <v>3311</v>
      </c>
      <c r="D2578" t="s">
        <v>4804</v>
      </c>
      <c r="E2578" t="s">
        <v>4866</v>
      </c>
      <c r="F2578">
        <v>33</v>
      </c>
      <c r="G2578" t="s">
        <v>4878</v>
      </c>
      <c r="H2578" t="s">
        <v>4889</v>
      </c>
      <c r="I2578" t="s">
        <v>4898</v>
      </c>
      <c r="J2578" t="s">
        <v>4909</v>
      </c>
      <c r="K2578" t="s">
        <v>4925</v>
      </c>
      <c r="L2578" t="s">
        <v>4937</v>
      </c>
      <c r="M2578" t="s">
        <v>4944</v>
      </c>
      <c r="N2578" s="11">
        <v>12322.73</v>
      </c>
      <c r="O2578" t="s">
        <v>4947</v>
      </c>
      <c r="P2578" t="s">
        <v>4951</v>
      </c>
      <c r="S2578" t="str">
        <f t="shared" si="121"/>
        <v>Adult</v>
      </c>
      <c r="T2578" t="str">
        <f t="shared" si="122"/>
        <v>High</v>
      </c>
      <c r="U2578" t="str">
        <f t="shared" si="123"/>
        <v>Short Days</v>
      </c>
    </row>
    <row r="2579" spans="1:21">
      <c r="A2579" t="s">
        <v>2595</v>
      </c>
      <c r="B2579" s="5">
        <v>45411</v>
      </c>
      <c r="C2579" t="s">
        <v>3121</v>
      </c>
      <c r="D2579" t="s">
        <v>4805</v>
      </c>
      <c r="E2579" t="s">
        <v>4867</v>
      </c>
      <c r="F2579">
        <v>22</v>
      </c>
      <c r="G2579" t="s">
        <v>4883</v>
      </c>
      <c r="H2579" t="s">
        <v>4892</v>
      </c>
      <c r="I2579" t="s">
        <v>4895</v>
      </c>
      <c r="J2579" t="s">
        <v>4905</v>
      </c>
      <c r="K2579" t="s">
        <v>4932</v>
      </c>
      <c r="L2579" t="s">
        <v>4938</v>
      </c>
      <c r="M2579" t="s">
        <v>4942</v>
      </c>
      <c r="N2579" s="11">
        <v>4912.33</v>
      </c>
      <c r="O2579" t="s">
        <v>4946</v>
      </c>
      <c r="P2579" t="s">
        <v>4951</v>
      </c>
      <c r="R2579">
        <v>30</v>
      </c>
      <c r="S2579" t="str">
        <f t="shared" si="121"/>
        <v>Adult</v>
      </c>
      <c r="T2579" t="str">
        <f t="shared" si="122"/>
        <v>Low</v>
      </c>
      <c r="U2579" t="str">
        <f t="shared" si="123"/>
        <v>Short Days</v>
      </c>
    </row>
    <row r="2580" spans="1:21">
      <c r="A2580" t="s">
        <v>2596</v>
      </c>
      <c r="B2580" s="5">
        <v>45853</v>
      </c>
      <c r="C2580" t="s">
        <v>3737</v>
      </c>
      <c r="D2580" t="s">
        <v>4639</v>
      </c>
      <c r="E2580" t="s">
        <v>4866</v>
      </c>
      <c r="F2580">
        <v>39</v>
      </c>
      <c r="G2580" t="s">
        <v>4873</v>
      </c>
      <c r="H2580" t="s">
        <v>4888</v>
      </c>
      <c r="I2580" t="s">
        <v>4893</v>
      </c>
      <c r="J2580" t="s">
        <v>4917</v>
      </c>
      <c r="K2580" t="s">
        <v>4924</v>
      </c>
      <c r="L2580" t="s">
        <v>4934</v>
      </c>
      <c r="M2580" t="s">
        <v>4942</v>
      </c>
      <c r="N2580" s="11">
        <v>5841.24</v>
      </c>
      <c r="O2580" t="s">
        <v>4946</v>
      </c>
      <c r="P2580" t="s">
        <v>4951</v>
      </c>
      <c r="S2580" t="str">
        <f t="shared" si="121"/>
        <v>Adult</v>
      </c>
      <c r="T2580" t="str">
        <f t="shared" si="122"/>
        <v>Medium</v>
      </c>
      <c r="U2580" t="str">
        <f t="shared" si="123"/>
        <v>Short Days</v>
      </c>
    </row>
    <row r="2581" spans="1:21">
      <c r="A2581" t="s">
        <v>2597</v>
      </c>
      <c r="B2581" s="5">
        <v>45682</v>
      </c>
      <c r="C2581" t="s">
        <v>3588</v>
      </c>
      <c r="D2581" t="s">
        <v>4836</v>
      </c>
      <c r="E2581" t="s">
        <v>4867</v>
      </c>
      <c r="F2581">
        <v>60</v>
      </c>
      <c r="G2581" t="s">
        <v>4872</v>
      </c>
      <c r="H2581" t="s">
        <v>4887</v>
      </c>
      <c r="I2581" t="s">
        <v>4901</v>
      </c>
      <c r="J2581" t="s">
        <v>4914</v>
      </c>
      <c r="K2581" t="s">
        <v>4925</v>
      </c>
      <c r="L2581" t="s">
        <v>4938</v>
      </c>
      <c r="M2581" t="s">
        <v>4944</v>
      </c>
      <c r="N2581" s="11">
        <v>9191.7199999999993</v>
      </c>
      <c r="O2581" t="s">
        <v>4946</v>
      </c>
      <c r="P2581" t="s">
        <v>4951</v>
      </c>
      <c r="R2581">
        <v>7</v>
      </c>
      <c r="S2581" t="str">
        <f t="shared" si="121"/>
        <v>Middle-Aged</v>
      </c>
      <c r="T2581" t="str">
        <f t="shared" si="122"/>
        <v>Medium</v>
      </c>
      <c r="U2581" t="str">
        <f t="shared" si="123"/>
        <v>Short Days</v>
      </c>
    </row>
    <row r="2582" spans="1:21">
      <c r="A2582" t="s">
        <v>2598</v>
      </c>
      <c r="B2582" s="5">
        <v>45697</v>
      </c>
      <c r="C2582" t="s">
        <v>4476</v>
      </c>
      <c r="D2582" t="s">
        <v>4825</v>
      </c>
      <c r="E2582" t="s">
        <v>4866</v>
      </c>
      <c r="F2582">
        <v>73</v>
      </c>
      <c r="G2582" t="s">
        <v>4880</v>
      </c>
      <c r="H2582" t="s">
        <v>4890</v>
      </c>
      <c r="I2582" t="s">
        <v>4899</v>
      </c>
      <c r="J2582" t="s">
        <v>4911</v>
      </c>
      <c r="K2582" t="s">
        <v>4931</v>
      </c>
      <c r="L2582" t="s">
        <v>4935</v>
      </c>
      <c r="M2582" t="s">
        <v>4942</v>
      </c>
      <c r="N2582" s="11">
        <v>4263.43</v>
      </c>
      <c r="O2582" t="s">
        <v>4946</v>
      </c>
      <c r="P2582" t="s">
        <v>4951</v>
      </c>
      <c r="R2582">
        <v>7</v>
      </c>
      <c r="S2582" t="str">
        <f t="shared" si="121"/>
        <v>Senior</v>
      </c>
      <c r="T2582" t="str">
        <f t="shared" si="122"/>
        <v>Low</v>
      </c>
      <c r="U2582" t="str">
        <f t="shared" si="123"/>
        <v>Short Days</v>
      </c>
    </row>
    <row r="2583" spans="1:21">
      <c r="A2583" t="s">
        <v>2599</v>
      </c>
      <c r="B2583" s="5">
        <v>45562</v>
      </c>
      <c r="C2583" t="s">
        <v>3444</v>
      </c>
      <c r="D2583" t="s">
        <v>4608</v>
      </c>
      <c r="E2583" t="s">
        <v>4866</v>
      </c>
      <c r="F2583">
        <v>41</v>
      </c>
      <c r="G2583" t="s">
        <v>4882</v>
      </c>
      <c r="H2583" t="s">
        <v>4891</v>
      </c>
      <c r="I2583" t="s">
        <v>4901</v>
      </c>
      <c r="J2583" t="s">
        <v>4914</v>
      </c>
      <c r="K2583" t="s">
        <v>4933</v>
      </c>
      <c r="L2583" t="s">
        <v>4939</v>
      </c>
      <c r="M2583" t="s">
        <v>4942</v>
      </c>
      <c r="N2583" s="11">
        <v>4503.34</v>
      </c>
      <c r="O2583" t="s">
        <v>4947</v>
      </c>
      <c r="P2583" t="s">
        <v>4951</v>
      </c>
      <c r="R2583">
        <v>7</v>
      </c>
      <c r="S2583" t="str">
        <f t="shared" si="121"/>
        <v>Middle-Aged</v>
      </c>
      <c r="T2583" t="str">
        <f t="shared" si="122"/>
        <v>Low</v>
      </c>
      <c r="U2583" t="str">
        <f t="shared" si="123"/>
        <v>Short Days</v>
      </c>
    </row>
    <row r="2584" spans="1:21">
      <c r="A2584" t="s">
        <v>2600</v>
      </c>
      <c r="B2584" s="5">
        <v>45374</v>
      </c>
      <c r="C2584" t="s">
        <v>3073</v>
      </c>
      <c r="D2584" t="s">
        <v>4778</v>
      </c>
      <c r="E2584" t="s">
        <v>4866</v>
      </c>
      <c r="F2584">
        <v>27</v>
      </c>
      <c r="G2584" t="s">
        <v>4869</v>
      </c>
      <c r="H2584" t="s">
        <v>4884</v>
      </c>
      <c r="I2584" t="s">
        <v>4898</v>
      </c>
      <c r="J2584" t="s">
        <v>4909</v>
      </c>
      <c r="K2584" t="s">
        <v>4926</v>
      </c>
      <c r="L2584" t="s">
        <v>4938</v>
      </c>
      <c r="M2584" t="s">
        <v>4942</v>
      </c>
      <c r="N2584" s="11">
        <v>11242.85</v>
      </c>
      <c r="O2584" t="s">
        <v>15</v>
      </c>
      <c r="P2584" t="s">
        <v>4952</v>
      </c>
      <c r="R2584">
        <v>30</v>
      </c>
      <c r="S2584" t="str">
        <f t="shared" si="121"/>
        <v>Adult</v>
      </c>
      <c r="T2584" t="str">
        <f t="shared" si="122"/>
        <v>High</v>
      </c>
      <c r="U2584" t="str">
        <f t="shared" si="123"/>
        <v>Short Days</v>
      </c>
    </row>
    <row r="2585" spans="1:21">
      <c r="A2585" t="s">
        <v>2601</v>
      </c>
      <c r="B2585" s="5">
        <v>45642</v>
      </c>
      <c r="C2585" t="s">
        <v>3244</v>
      </c>
      <c r="D2585" t="s">
        <v>4719</v>
      </c>
      <c r="E2585" t="s">
        <v>4866</v>
      </c>
      <c r="F2585">
        <v>51</v>
      </c>
      <c r="G2585" t="s">
        <v>4869</v>
      </c>
      <c r="H2585" t="s">
        <v>4884</v>
      </c>
      <c r="I2585" t="s">
        <v>4901</v>
      </c>
      <c r="J2585" t="s">
        <v>4914</v>
      </c>
      <c r="K2585" t="s">
        <v>4927</v>
      </c>
      <c r="L2585" t="s">
        <v>4937</v>
      </c>
      <c r="M2585" t="s">
        <v>4943</v>
      </c>
      <c r="N2585" s="11">
        <v>11999.63</v>
      </c>
      <c r="O2585" t="s">
        <v>4947</v>
      </c>
      <c r="P2585" t="s">
        <v>4951</v>
      </c>
      <c r="S2585" t="str">
        <f t="shared" si="121"/>
        <v>Middle-Aged</v>
      </c>
      <c r="T2585" t="str">
        <f t="shared" si="122"/>
        <v>High</v>
      </c>
      <c r="U2585" t="str">
        <f t="shared" si="123"/>
        <v>Short Days</v>
      </c>
    </row>
    <row r="2586" spans="1:21">
      <c r="A2586" t="s">
        <v>2602</v>
      </c>
      <c r="B2586" s="5">
        <v>45376</v>
      </c>
      <c r="C2586" t="s">
        <v>4477</v>
      </c>
      <c r="D2586" t="s">
        <v>4756</v>
      </c>
      <c r="E2586" t="s">
        <v>4867</v>
      </c>
      <c r="F2586">
        <v>32</v>
      </c>
      <c r="G2586" t="s">
        <v>4878</v>
      </c>
      <c r="H2586" t="s">
        <v>4889</v>
      </c>
      <c r="I2586" t="s">
        <v>4896</v>
      </c>
      <c r="J2586" t="s">
        <v>4908</v>
      </c>
      <c r="K2586" t="s">
        <v>4932</v>
      </c>
      <c r="L2586" t="s">
        <v>4938</v>
      </c>
      <c r="M2586" t="s">
        <v>4944</v>
      </c>
      <c r="N2586" s="11">
        <v>5097.76</v>
      </c>
      <c r="O2586" t="s">
        <v>4946</v>
      </c>
      <c r="P2586" t="s">
        <v>4951</v>
      </c>
      <c r="R2586">
        <v>7</v>
      </c>
      <c r="S2586" t="str">
        <f t="shared" si="121"/>
        <v>Adult</v>
      </c>
      <c r="T2586" t="str">
        <f t="shared" si="122"/>
        <v>Medium</v>
      </c>
      <c r="U2586" t="str">
        <f t="shared" si="123"/>
        <v>Short Days</v>
      </c>
    </row>
    <row r="2587" spans="1:21">
      <c r="A2587" t="s">
        <v>2603</v>
      </c>
      <c r="B2587" s="5">
        <v>45817</v>
      </c>
      <c r="C2587" t="s">
        <v>3572</v>
      </c>
      <c r="D2587" t="s">
        <v>4591</v>
      </c>
      <c r="E2587" t="s">
        <v>4866</v>
      </c>
      <c r="F2587">
        <v>48</v>
      </c>
      <c r="G2587" t="s">
        <v>4869</v>
      </c>
      <c r="H2587" t="s">
        <v>4884</v>
      </c>
      <c r="I2587" t="s">
        <v>4897</v>
      </c>
      <c r="J2587" t="s">
        <v>4922</v>
      </c>
      <c r="K2587" t="s">
        <v>4927</v>
      </c>
      <c r="L2587" t="s">
        <v>4936</v>
      </c>
      <c r="M2587" t="s">
        <v>4942</v>
      </c>
      <c r="N2587" s="11">
        <v>14565.65</v>
      </c>
      <c r="O2587" t="s">
        <v>4946</v>
      </c>
      <c r="P2587" t="s">
        <v>4951</v>
      </c>
      <c r="R2587">
        <v>7</v>
      </c>
      <c r="S2587" t="str">
        <f t="shared" si="121"/>
        <v>Middle-Aged</v>
      </c>
      <c r="T2587" t="str">
        <f t="shared" si="122"/>
        <v>High</v>
      </c>
      <c r="U2587" t="str">
        <f t="shared" si="123"/>
        <v>Short Days</v>
      </c>
    </row>
    <row r="2588" spans="1:21">
      <c r="A2588" t="s">
        <v>2604</v>
      </c>
      <c r="B2588" s="5">
        <v>45876</v>
      </c>
      <c r="C2588" t="s">
        <v>4478</v>
      </c>
      <c r="D2588" t="s">
        <v>4590</v>
      </c>
      <c r="E2588" t="s">
        <v>4867</v>
      </c>
      <c r="F2588">
        <v>67</v>
      </c>
      <c r="G2588" t="s">
        <v>4881</v>
      </c>
      <c r="H2588" t="s">
        <v>4881</v>
      </c>
      <c r="I2588" t="s">
        <v>4895</v>
      </c>
      <c r="J2588" t="s">
        <v>4915</v>
      </c>
      <c r="K2588" t="s">
        <v>4933</v>
      </c>
      <c r="L2588" t="s">
        <v>4938</v>
      </c>
      <c r="M2588" t="s">
        <v>4945</v>
      </c>
      <c r="N2588" s="11">
        <v>8369.5</v>
      </c>
      <c r="O2588" t="s">
        <v>4946</v>
      </c>
      <c r="P2588" t="s">
        <v>4951</v>
      </c>
      <c r="Q2588">
        <v>5</v>
      </c>
      <c r="R2588">
        <v>30</v>
      </c>
      <c r="S2588" t="str">
        <f t="shared" si="121"/>
        <v>Senior</v>
      </c>
      <c r="T2588" t="str">
        <f t="shared" si="122"/>
        <v>Medium</v>
      </c>
      <c r="U2588" t="str">
        <f t="shared" si="123"/>
        <v>Short Days</v>
      </c>
    </row>
    <row r="2589" spans="1:21">
      <c r="A2589" t="s">
        <v>2605</v>
      </c>
      <c r="B2589" s="5">
        <v>45687</v>
      </c>
      <c r="C2589" t="s">
        <v>4366</v>
      </c>
      <c r="D2589" t="s">
        <v>4595</v>
      </c>
      <c r="E2589" t="s">
        <v>4867</v>
      </c>
      <c r="F2589">
        <v>32</v>
      </c>
      <c r="G2589" t="s">
        <v>4881</v>
      </c>
      <c r="H2589" t="s">
        <v>4881</v>
      </c>
      <c r="I2589" t="s">
        <v>4898</v>
      </c>
      <c r="J2589" t="s">
        <v>4909</v>
      </c>
      <c r="K2589" t="s">
        <v>4928</v>
      </c>
      <c r="L2589" t="s">
        <v>4937</v>
      </c>
      <c r="M2589" t="s">
        <v>4942</v>
      </c>
      <c r="N2589" s="11">
        <v>6851.82</v>
      </c>
      <c r="O2589" t="s">
        <v>4946</v>
      </c>
      <c r="P2589" t="s">
        <v>4951</v>
      </c>
      <c r="R2589">
        <v>90</v>
      </c>
      <c r="S2589" t="str">
        <f t="shared" si="121"/>
        <v>Adult</v>
      </c>
      <c r="T2589" t="str">
        <f t="shared" si="122"/>
        <v>Medium</v>
      </c>
      <c r="U2589" t="str">
        <f t="shared" si="123"/>
        <v>Short Days</v>
      </c>
    </row>
    <row r="2590" spans="1:21">
      <c r="A2590" t="s">
        <v>2606</v>
      </c>
      <c r="B2590" s="5">
        <v>45695</v>
      </c>
      <c r="C2590" t="s">
        <v>4159</v>
      </c>
      <c r="D2590" t="s">
        <v>4831</v>
      </c>
      <c r="E2590" t="s">
        <v>4866</v>
      </c>
      <c r="F2590">
        <v>33</v>
      </c>
      <c r="G2590" t="s">
        <v>4872</v>
      </c>
      <c r="H2590" t="s">
        <v>4887</v>
      </c>
      <c r="I2590" t="s">
        <v>4897</v>
      </c>
      <c r="J2590" t="s">
        <v>4922</v>
      </c>
      <c r="K2590" t="s">
        <v>4929</v>
      </c>
      <c r="L2590" t="s">
        <v>4941</v>
      </c>
      <c r="M2590" t="s">
        <v>4944</v>
      </c>
      <c r="N2590" s="11">
        <v>11353.16</v>
      </c>
      <c r="O2590" t="s">
        <v>4947</v>
      </c>
      <c r="P2590" t="s">
        <v>4951</v>
      </c>
      <c r="R2590">
        <v>30</v>
      </c>
      <c r="S2590" t="str">
        <f t="shared" si="121"/>
        <v>Adult</v>
      </c>
      <c r="T2590" t="str">
        <f t="shared" si="122"/>
        <v>High</v>
      </c>
      <c r="U2590" t="str">
        <f t="shared" si="123"/>
        <v>Short Days</v>
      </c>
    </row>
    <row r="2591" spans="1:21">
      <c r="A2591" t="s">
        <v>2607</v>
      </c>
      <c r="B2591" s="5">
        <v>45331</v>
      </c>
      <c r="C2591" t="s">
        <v>4353</v>
      </c>
      <c r="D2591" t="s">
        <v>4668</v>
      </c>
      <c r="E2591" t="s">
        <v>4867</v>
      </c>
      <c r="F2591">
        <v>17</v>
      </c>
      <c r="G2591" t="s">
        <v>4871</v>
      </c>
      <c r="H2591" t="s">
        <v>4886</v>
      </c>
      <c r="I2591" t="s">
        <v>4901</v>
      </c>
      <c r="J2591" t="s">
        <v>4921</v>
      </c>
      <c r="K2591" t="s">
        <v>4933</v>
      </c>
      <c r="L2591" t="s">
        <v>4939</v>
      </c>
      <c r="M2591" t="s">
        <v>4942</v>
      </c>
      <c r="N2591" s="11">
        <v>7043.27</v>
      </c>
      <c r="O2591" t="s">
        <v>4949</v>
      </c>
      <c r="P2591" t="s">
        <v>4951</v>
      </c>
      <c r="R2591">
        <v>7</v>
      </c>
      <c r="S2591" t="str">
        <f t="shared" si="121"/>
        <v>Child</v>
      </c>
      <c r="T2591" t="str">
        <f t="shared" si="122"/>
        <v>Medium</v>
      </c>
      <c r="U2591" t="str">
        <f t="shared" si="123"/>
        <v>Short Days</v>
      </c>
    </row>
    <row r="2592" spans="1:21">
      <c r="A2592" t="s">
        <v>2608</v>
      </c>
      <c r="B2592" s="5">
        <v>45649</v>
      </c>
      <c r="C2592" t="s">
        <v>4412</v>
      </c>
      <c r="D2592" t="s">
        <v>4607</v>
      </c>
      <c r="E2592" t="s">
        <v>4866</v>
      </c>
      <c r="F2592">
        <v>58</v>
      </c>
      <c r="G2592" t="s">
        <v>4876</v>
      </c>
      <c r="H2592" t="s">
        <v>4888</v>
      </c>
      <c r="I2592" t="s">
        <v>4901</v>
      </c>
      <c r="J2592" t="s">
        <v>4914</v>
      </c>
      <c r="K2592" t="s">
        <v>4928</v>
      </c>
      <c r="L2592" t="s">
        <v>4940</v>
      </c>
      <c r="M2592" t="s">
        <v>4942</v>
      </c>
      <c r="N2592" s="11">
        <v>1704.02</v>
      </c>
      <c r="O2592" t="s">
        <v>15</v>
      </c>
      <c r="P2592" t="s">
        <v>4952</v>
      </c>
      <c r="R2592">
        <v>90</v>
      </c>
      <c r="S2592" t="str">
        <f t="shared" si="121"/>
        <v>Middle-Aged</v>
      </c>
      <c r="T2592" t="str">
        <f t="shared" si="122"/>
        <v>Low</v>
      </c>
      <c r="U2592" t="str">
        <f t="shared" si="123"/>
        <v>Short Days</v>
      </c>
    </row>
    <row r="2593" spans="1:21">
      <c r="A2593" t="s">
        <v>2609</v>
      </c>
      <c r="B2593" s="5">
        <v>45624</v>
      </c>
      <c r="C2593" t="s">
        <v>4479</v>
      </c>
      <c r="D2593" t="s">
        <v>4795</v>
      </c>
      <c r="E2593" t="s">
        <v>4866</v>
      </c>
      <c r="F2593">
        <v>77</v>
      </c>
      <c r="G2593" t="s">
        <v>4869</v>
      </c>
      <c r="H2593" t="s">
        <v>4884</v>
      </c>
      <c r="I2593" t="s">
        <v>4899</v>
      </c>
      <c r="J2593" t="s">
        <v>4911</v>
      </c>
      <c r="K2593" t="s">
        <v>4931</v>
      </c>
      <c r="L2593" t="s">
        <v>4938</v>
      </c>
      <c r="M2593" t="s">
        <v>4942</v>
      </c>
      <c r="N2593" s="11">
        <v>2376.0100000000002</v>
      </c>
      <c r="O2593" t="s">
        <v>4946</v>
      </c>
      <c r="P2593" t="s">
        <v>4951</v>
      </c>
      <c r="R2593">
        <v>30</v>
      </c>
      <c r="S2593" t="str">
        <f t="shared" si="121"/>
        <v>Senior</v>
      </c>
      <c r="T2593" t="str">
        <f t="shared" si="122"/>
        <v>Low</v>
      </c>
      <c r="U2593" t="str">
        <f t="shared" si="123"/>
        <v>Short Days</v>
      </c>
    </row>
    <row r="2594" spans="1:21">
      <c r="A2594" t="s">
        <v>2610</v>
      </c>
      <c r="B2594" s="5">
        <v>45695</v>
      </c>
      <c r="C2594" t="s">
        <v>3896</v>
      </c>
      <c r="D2594" t="s">
        <v>4780</v>
      </c>
      <c r="E2594" t="s">
        <v>4866</v>
      </c>
      <c r="F2594">
        <v>45</v>
      </c>
      <c r="G2594" t="s">
        <v>4882</v>
      </c>
      <c r="H2594" t="s">
        <v>4891</v>
      </c>
      <c r="I2594" t="s">
        <v>4899</v>
      </c>
      <c r="J2594" t="s">
        <v>4912</v>
      </c>
      <c r="K2594" t="s">
        <v>4930</v>
      </c>
      <c r="L2594" t="s">
        <v>4939</v>
      </c>
      <c r="M2594" t="s">
        <v>4942</v>
      </c>
      <c r="N2594" s="11">
        <v>1808.18</v>
      </c>
      <c r="O2594" t="s">
        <v>4948</v>
      </c>
      <c r="P2594" t="s">
        <v>4951</v>
      </c>
      <c r="R2594">
        <v>14</v>
      </c>
      <c r="S2594" t="str">
        <f t="shared" si="121"/>
        <v>Middle-Aged</v>
      </c>
      <c r="T2594" t="str">
        <f t="shared" si="122"/>
        <v>Low</v>
      </c>
      <c r="U2594" t="str">
        <f t="shared" si="123"/>
        <v>Short Days</v>
      </c>
    </row>
    <row r="2595" spans="1:21">
      <c r="A2595" t="s">
        <v>2611</v>
      </c>
      <c r="B2595" s="5">
        <v>45482</v>
      </c>
      <c r="C2595" t="s">
        <v>4480</v>
      </c>
      <c r="D2595" t="s">
        <v>4806</v>
      </c>
      <c r="E2595" t="s">
        <v>4867</v>
      </c>
      <c r="F2595">
        <v>67</v>
      </c>
      <c r="G2595" t="s">
        <v>4871</v>
      </c>
      <c r="H2595" t="s">
        <v>4886</v>
      </c>
      <c r="I2595" t="s">
        <v>4898</v>
      </c>
      <c r="J2595" t="s">
        <v>4909</v>
      </c>
      <c r="K2595" t="s">
        <v>4927</v>
      </c>
      <c r="L2595" t="s">
        <v>4940</v>
      </c>
      <c r="M2595" t="s">
        <v>4942</v>
      </c>
      <c r="N2595" s="11">
        <v>11669.78</v>
      </c>
      <c r="O2595" t="s">
        <v>4949</v>
      </c>
      <c r="P2595" t="s">
        <v>4951</v>
      </c>
      <c r="R2595">
        <v>7</v>
      </c>
      <c r="S2595" t="str">
        <f t="shared" si="121"/>
        <v>Senior</v>
      </c>
      <c r="T2595" t="str">
        <f t="shared" si="122"/>
        <v>High</v>
      </c>
      <c r="U2595" t="str">
        <f t="shared" si="123"/>
        <v>Short Days</v>
      </c>
    </row>
    <row r="2596" spans="1:21">
      <c r="A2596" t="s">
        <v>2612</v>
      </c>
      <c r="B2596" s="5">
        <v>45749</v>
      </c>
      <c r="C2596" t="s">
        <v>4481</v>
      </c>
      <c r="D2596" t="s">
        <v>4667</v>
      </c>
      <c r="E2596" t="s">
        <v>4866</v>
      </c>
      <c r="F2596">
        <v>4</v>
      </c>
      <c r="G2596" t="s">
        <v>4882</v>
      </c>
      <c r="H2596" t="s">
        <v>4891</v>
      </c>
      <c r="I2596" t="s">
        <v>4902</v>
      </c>
      <c r="J2596" t="s">
        <v>4920</v>
      </c>
      <c r="K2596" t="s">
        <v>4933</v>
      </c>
      <c r="L2596" t="s">
        <v>4935</v>
      </c>
      <c r="M2596" t="s">
        <v>4944</v>
      </c>
      <c r="N2596" s="11">
        <v>23439.94</v>
      </c>
      <c r="O2596" t="s">
        <v>4948</v>
      </c>
      <c r="P2596" t="s">
        <v>4951</v>
      </c>
      <c r="R2596">
        <v>90</v>
      </c>
      <c r="S2596" t="str">
        <f t="shared" si="121"/>
        <v>Child</v>
      </c>
      <c r="T2596" t="str">
        <f t="shared" si="122"/>
        <v>High</v>
      </c>
      <c r="U2596" t="str">
        <f t="shared" si="123"/>
        <v>Short Days</v>
      </c>
    </row>
    <row r="2597" spans="1:21">
      <c r="A2597" t="s">
        <v>2613</v>
      </c>
      <c r="B2597" s="5">
        <v>45744</v>
      </c>
      <c r="C2597" t="s">
        <v>3137</v>
      </c>
      <c r="D2597" t="s">
        <v>4602</v>
      </c>
      <c r="E2597" t="s">
        <v>4868</v>
      </c>
      <c r="F2597">
        <v>35</v>
      </c>
      <c r="G2597" t="s">
        <v>4872</v>
      </c>
      <c r="H2597" t="s">
        <v>4887</v>
      </c>
      <c r="I2597" t="s">
        <v>4899</v>
      </c>
      <c r="J2597" t="s">
        <v>4911</v>
      </c>
      <c r="K2597" t="s">
        <v>4932</v>
      </c>
      <c r="L2597" t="s">
        <v>4938</v>
      </c>
      <c r="M2597" t="s">
        <v>4943</v>
      </c>
      <c r="N2597" s="11">
        <v>6001.16</v>
      </c>
      <c r="O2597" t="s">
        <v>4950</v>
      </c>
      <c r="P2597" t="s">
        <v>4951</v>
      </c>
      <c r="R2597">
        <v>90</v>
      </c>
      <c r="S2597" t="str">
        <f t="shared" si="121"/>
        <v>Adult</v>
      </c>
      <c r="T2597" t="str">
        <f t="shared" si="122"/>
        <v>Medium</v>
      </c>
      <c r="U2597" t="str">
        <f t="shared" si="123"/>
        <v>Short Days</v>
      </c>
    </row>
    <row r="2598" spans="1:21">
      <c r="A2598" t="s">
        <v>2614</v>
      </c>
      <c r="B2598" s="5">
        <v>45766</v>
      </c>
      <c r="C2598" t="s">
        <v>4270</v>
      </c>
      <c r="D2598" t="s">
        <v>4660</v>
      </c>
      <c r="E2598" t="s">
        <v>4867</v>
      </c>
      <c r="F2598">
        <v>59</v>
      </c>
      <c r="G2598" t="s">
        <v>4881</v>
      </c>
      <c r="H2598" t="s">
        <v>4881</v>
      </c>
      <c r="I2598" t="s">
        <v>4896</v>
      </c>
      <c r="J2598" t="s">
        <v>4906</v>
      </c>
      <c r="K2598" t="s">
        <v>4924</v>
      </c>
      <c r="L2598" t="s">
        <v>4937</v>
      </c>
      <c r="M2598" t="s">
        <v>4944</v>
      </c>
      <c r="N2598" s="11">
        <v>19523.669999999998</v>
      </c>
      <c r="O2598" t="s">
        <v>4946</v>
      </c>
      <c r="P2598" t="s">
        <v>4951</v>
      </c>
      <c r="S2598" t="str">
        <f t="shared" si="121"/>
        <v>Middle-Aged</v>
      </c>
      <c r="T2598" t="str">
        <f t="shared" si="122"/>
        <v>High</v>
      </c>
      <c r="U2598" t="str">
        <f t="shared" si="123"/>
        <v>Short Days</v>
      </c>
    </row>
    <row r="2599" spans="1:21">
      <c r="A2599" t="s">
        <v>2615</v>
      </c>
      <c r="B2599" s="5">
        <v>45463</v>
      </c>
      <c r="C2599" t="s">
        <v>4140</v>
      </c>
      <c r="D2599" t="s">
        <v>4602</v>
      </c>
      <c r="E2599" t="s">
        <v>4866</v>
      </c>
      <c r="F2599">
        <v>14</v>
      </c>
      <c r="G2599" t="s">
        <v>4871</v>
      </c>
      <c r="H2599" t="s">
        <v>4886</v>
      </c>
      <c r="I2599" t="s">
        <v>4893</v>
      </c>
      <c r="J2599" t="s">
        <v>4903</v>
      </c>
      <c r="K2599" t="s">
        <v>4931</v>
      </c>
      <c r="L2599" t="s">
        <v>4938</v>
      </c>
      <c r="M2599" t="s">
        <v>4942</v>
      </c>
      <c r="N2599" s="11">
        <v>714.93</v>
      </c>
      <c r="O2599" t="s">
        <v>4946</v>
      </c>
      <c r="P2599" t="s">
        <v>4951</v>
      </c>
      <c r="R2599">
        <v>7</v>
      </c>
      <c r="S2599" t="str">
        <f t="shared" si="121"/>
        <v>Child</v>
      </c>
      <c r="T2599" t="str">
        <f t="shared" si="122"/>
        <v>Low</v>
      </c>
      <c r="U2599" t="str">
        <f t="shared" si="123"/>
        <v>Short Days</v>
      </c>
    </row>
    <row r="2600" spans="1:21">
      <c r="A2600" t="s">
        <v>2616</v>
      </c>
      <c r="B2600" s="5">
        <v>45617</v>
      </c>
      <c r="C2600" t="s">
        <v>4306</v>
      </c>
      <c r="D2600" t="s">
        <v>4706</v>
      </c>
      <c r="E2600" t="s">
        <v>4866</v>
      </c>
      <c r="F2600">
        <v>47</v>
      </c>
      <c r="G2600" t="s">
        <v>4876</v>
      </c>
      <c r="H2600" t="s">
        <v>4888</v>
      </c>
      <c r="I2600" t="s">
        <v>4894</v>
      </c>
      <c r="J2600" t="s">
        <v>4910</v>
      </c>
      <c r="K2600" t="s">
        <v>4925</v>
      </c>
      <c r="L2600" t="s">
        <v>4941</v>
      </c>
      <c r="M2600" t="s">
        <v>4942</v>
      </c>
      <c r="N2600" s="11">
        <v>966.08</v>
      </c>
      <c r="O2600" t="s">
        <v>4946</v>
      </c>
      <c r="P2600" t="s">
        <v>4951</v>
      </c>
      <c r="S2600" t="str">
        <f t="shared" si="121"/>
        <v>Middle-Aged</v>
      </c>
      <c r="T2600" t="str">
        <f t="shared" si="122"/>
        <v>Low</v>
      </c>
      <c r="U2600" t="str">
        <f t="shared" si="123"/>
        <v>Short Days</v>
      </c>
    </row>
    <row r="2601" spans="1:21">
      <c r="A2601" t="s">
        <v>2617</v>
      </c>
      <c r="B2601" s="5">
        <v>45792</v>
      </c>
      <c r="C2601" t="s">
        <v>4482</v>
      </c>
      <c r="D2601" t="s">
        <v>4634</v>
      </c>
      <c r="E2601" t="s">
        <v>4867</v>
      </c>
      <c r="F2601">
        <v>61</v>
      </c>
      <c r="G2601" t="s">
        <v>4876</v>
      </c>
      <c r="H2601" t="s">
        <v>4888</v>
      </c>
      <c r="I2601" t="s">
        <v>4902</v>
      </c>
      <c r="J2601" t="s">
        <v>4916</v>
      </c>
      <c r="K2601" t="s">
        <v>4932</v>
      </c>
      <c r="L2601" t="s">
        <v>4938</v>
      </c>
      <c r="M2601" t="s">
        <v>4942</v>
      </c>
      <c r="N2601" s="11">
        <v>18040.53</v>
      </c>
      <c r="O2601" t="s">
        <v>4947</v>
      </c>
      <c r="P2601" t="s">
        <v>4951</v>
      </c>
      <c r="S2601" t="str">
        <f t="shared" si="121"/>
        <v>Senior</v>
      </c>
      <c r="T2601" t="str">
        <f t="shared" si="122"/>
        <v>High</v>
      </c>
      <c r="U2601" t="str">
        <f t="shared" si="123"/>
        <v>Short Days</v>
      </c>
    </row>
    <row r="2602" spans="1:21">
      <c r="A2602" t="s">
        <v>2618</v>
      </c>
      <c r="B2602" s="5">
        <v>45300</v>
      </c>
      <c r="C2602" t="s">
        <v>4215</v>
      </c>
      <c r="D2602" t="s">
        <v>4775</v>
      </c>
      <c r="E2602" t="s">
        <v>4867</v>
      </c>
      <c r="F2602">
        <v>58</v>
      </c>
      <c r="G2602" t="s">
        <v>4879</v>
      </c>
      <c r="H2602" t="s">
        <v>4888</v>
      </c>
      <c r="I2602" t="s">
        <v>4895</v>
      </c>
      <c r="J2602" t="s">
        <v>4905</v>
      </c>
      <c r="K2602" t="s">
        <v>4924</v>
      </c>
      <c r="L2602" t="s">
        <v>4940</v>
      </c>
      <c r="M2602" t="s">
        <v>4942</v>
      </c>
      <c r="N2602" s="11">
        <v>1147.6400000000001</v>
      </c>
      <c r="O2602" t="s">
        <v>4948</v>
      </c>
      <c r="P2602" t="s">
        <v>4951</v>
      </c>
      <c r="R2602">
        <v>90</v>
      </c>
      <c r="S2602" t="str">
        <f t="shared" si="121"/>
        <v>Middle-Aged</v>
      </c>
      <c r="T2602" t="str">
        <f t="shared" si="122"/>
        <v>Low</v>
      </c>
      <c r="U2602" t="str">
        <f t="shared" si="123"/>
        <v>Short Days</v>
      </c>
    </row>
    <row r="2603" spans="1:21">
      <c r="A2603" t="s">
        <v>2619</v>
      </c>
      <c r="B2603" s="5">
        <v>45834</v>
      </c>
      <c r="C2603" t="s">
        <v>3621</v>
      </c>
      <c r="D2603" t="s">
        <v>4801</v>
      </c>
      <c r="E2603" t="s">
        <v>4867</v>
      </c>
      <c r="F2603">
        <v>29</v>
      </c>
      <c r="G2603" t="s">
        <v>4875</v>
      </c>
      <c r="H2603" t="s">
        <v>4889</v>
      </c>
      <c r="I2603" t="s">
        <v>4900</v>
      </c>
      <c r="J2603" t="s">
        <v>4913</v>
      </c>
      <c r="K2603" t="s">
        <v>4930</v>
      </c>
      <c r="L2603" t="s">
        <v>4937</v>
      </c>
      <c r="M2603" t="s">
        <v>4942</v>
      </c>
      <c r="N2603" s="11">
        <v>173.67</v>
      </c>
      <c r="O2603" t="s">
        <v>15</v>
      </c>
      <c r="P2603" t="s">
        <v>4952</v>
      </c>
      <c r="S2603" t="str">
        <f t="shared" si="121"/>
        <v>Adult</v>
      </c>
      <c r="T2603" t="str">
        <f t="shared" si="122"/>
        <v>Low</v>
      </c>
      <c r="U2603" t="str">
        <f t="shared" si="123"/>
        <v>Short Days</v>
      </c>
    </row>
    <row r="2604" spans="1:21">
      <c r="A2604" t="s">
        <v>2620</v>
      </c>
      <c r="B2604" s="5">
        <v>45708</v>
      </c>
      <c r="C2604" t="s">
        <v>3479</v>
      </c>
      <c r="D2604" t="s">
        <v>4757</v>
      </c>
      <c r="E2604" t="s">
        <v>4866</v>
      </c>
      <c r="F2604">
        <v>32</v>
      </c>
      <c r="G2604" t="s">
        <v>4876</v>
      </c>
      <c r="H2604" t="s">
        <v>4888</v>
      </c>
      <c r="I2604" t="s">
        <v>4900</v>
      </c>
      <c r="J2604" t="s">
        <v>4913</v>
      </c>
      <c r="K2604" t="s">
        <v>4930</v>
      </c>
      <c r="L2604" t="s">
        <v>4937</v>
      </c>
      <c r="M2604" t="s">
        <v>4942</v>
      </c>
      <c r="N2604" s="11">
        <v>4352.26</v>
      </c>
      <c r="O2604" t="s">
        <v>4949</v>
      </c>
      <c r="P2604" t="s">
        <v>4951</v>
      </c>
      <c r="R2604">
        <v>7</v>
      </c>
      <c r="S2604" t="str">
        <f t="shared" si="121"/>
        <v>Adult</v>
      </c>
      <c r="T2604" t="str">
        <f t="shared" si="122"/>
        <v>Low</v>
      </c>
      <c r="U2604" t="str">
        <f t="shared" si="123"/>
        <v>Short Days</v>
      </c>
    </row>
    <row r="2605" spans="1:21">
      <c r="A2605" t="s">
        <v>2621</v>
      </c>
      <c r="B2605" s="5">
        <v>45296</v>
      </c>
      <c r="C2605" t="s">
        <v>4483</v>
      </c>
      <c r="D2605" t="s">
        <v>4768</v>
      </c>
      <c r="E2605" t="s">
        <v>4866</v>
      </c>
      <c r="F2605">
        <v>60</v>
      </c>
      <c r="G2605" t="s">
        <v>4880</v>
      </c>
      <c r="H2605" t="s">
        <v>4890</v>
      </c>
      <c r="I2605" t="s">
        <v>4901</v>
      </c>
      <c r="J2605" t="s">
        <v>4921</v>
      </c>
      <c r="K2605" t="s">
        <v>4929</v>
      </c>
      <c r="L2605" t="s">
        <v>4937</v>
      </c>
      <c r="M2605" t="s">
        <v>4942</v>
      </c>
      <c r="N2605" s="11">
        <v>394.94</v>
      </c>
      <c r="O2605" t="s">
        <v>15</v>
      </c>
      <c r="P2605" t="s">
        <v>4952</v>
      </c>
      <c r="R2605">
        <v>14</v>
      </c>
      <c r="S2605" t="str">
        <f t="shared" si="121"/>
        <v>Middle-Aged</v>
      </c>
      <c r="T2605" t="str">
        <f t="shared" si="122"/>
        <v>Low</v>
      </c>
      <c r="U2605" t="str">
        <f t="shared" si="123"/>
        <v>Short Days</v>
      </c>
    </row>
    <row r="2606" spans="1:21">
      <c r="A2606" t="s">
        <v>2622</v>
      </c>
      <c r="B2606" s="5">
        <v>45818</v>
      </c>
      <c r="C2606" t="s">
        <v>3824</v>
      </c>
      <c r="D2606" t="s">
        <v>4607</v>
      </c>
      <c r="E2606" t="s">
        <v>4867</v>
      </c>
      <c r="F2606">
        <v>49</v>
      </c>
      <c r="G2606" t="s">
        <v>4879</v>
      </c>
      <c r="H2606" t="s">
        <v>4888</v>
      </c>
      <c r="I2606" t="s">
        <v>4896</v>
      </c>
      <c r="J2606" t="s">
        <v>4906</v>
      </c>
      <c r="K2606" t="s">
        <v>4932</v>
      </c>
      <c r="L2606" t="s">
        <v>4938</v>
      </c>
      <c r="M2606" t="s">
        <v>4944</v>
      </c>
      <c r="N2606" s="11">
        <v>7217.47</v>
      </c>
      <c r="O2606" t="s">
        <v>15</v>
      </c>
      <c r="P2606" t="s">
        <v>4952</v>
      </c>
      <c r="R2606">
        <v>90</v>
      </c>
      <c r="S2606" t="str">
        <f t="shared" si="121"/>
        <v>Middle-Aged</v>
      </c>
      <c r="T2606" t="str">
        <f t="shared" si="122"/>
        <v>Medium</v>
      </c>
      <c r="U2606" t="str">
        <f t="shared" si="123"/>
        <v>Short Days</v>
      </c>
    </row>
    <row r="2607" spans="1:21">
      <c r="A2607" t="s">
        <v>2623</v>
      </c>
      <c r="B2607" s="5">
        <v>45598</v>
      </c>
      <c r="C2607" t="s">
        <v>3745</v>
      </c>
      <c r="D2607" t="s">
        <v>4765</v>
      </c>
      <c r="E2607" t="s">
        <v>4866</v>
      </c>
      <c r="F2607">
        <v>21</v>
      </c>
      <c r="G2607" t="s">
        <v>4873</v>
      </c>
      <c r="H2607" t="s">
        <v>4888</v>
      </c>
      <c r="I2607" t="s">
        <v>4896</v>
      </c>
      <c r="J2607" t="s">
        <v>4908</v>
      </c>
      <c r="K2607" t="s">
        <v>4924</v>
      </c>
      <c r="L2607" t="s">
        <v>4937</v>
      </c>
      <c r="M2607" t="s">
        <v>4942</v>
      </c>
      <c r="N2607" s="11">
        <v>3961.38</v>
      </c>
      <c r="O2607" t="s">
        <v>4949</v>
      </c>
      <c r="P2607" t="s">
        <v>4951</v>
      </c>
      <c r="R2607">
        <v>7</v>
      </c>
      <c r="S2607" t="str">
        <f t="shared" si="121"/>
        <v>Adult</v>
      </c>
      <c r="T2607" t="str">
        <f t="shared" si="122"/>
        <v>Low</v>
      </c>
      <c r="U2607" t="str">
        <f t="shared" si="123"/>
        <v>Short Days</v>
      </c>
    </row>
    <row r="2608" spans="1:21">
      <c r="A2608" t="s">
        <v>2624</v>
      </c>
      <c r="B2608" s="5">
        <v>45552</v>
      </c>
      <c r="C2608" t="s">
        <v>3603</v>
      </c>
      <c r="D2608" t="s">
        <v>4686</v>
      </c>
      <c r="E2608" t="s">
        <v>4866</v>
      </c>
      <c r="F2608">
        <v>39</v>
      </c>
      <c r="G2608" t="s">
        <v>4872</v>
      </c>
      <c r="H2608" t="s">
        <v>4887</v>
      </c>
      <c r="I2608" t="s">
        <v>4900</v>
      </c>
      <c r="J2608" t="s">
        <v>4919</v>
      </c>
      <c r="K2608" t="s">
        <v>4926</v>
      </c>
      <c r="L2608" t="s">
        <v>4941</v>
      </c>
      <c r="M2608" t="s">
        <v>4942</v>
      </c>
      <c r="N2608" s="11">
        <v>656.09</v>
      </c>
      <c r="O2608" t="s">
        <v>4949</v>
      </c>
      <c r="P2608" t="s">
        <v>4951</v>
      </c>
      <c r="S2608" t="str">
        <f t="shared" si="121"/>
        <v>Adult</v>
      </c>
      <c r="T2608" t="str">
        <f t="shared" si="122"/>
        <v>Low</v>
      </c>
      <c r="U2608" t="str">
        <f t="shared" si="123"/>
        <v>Short Days</v>
      </c>
    </row>
    <row r="2609" spans="1:21">
      <c r="A2609" t="s">
        <v>2625</v>
      </c>
      <c r="B2609" s="5">
        <v>45525</v>
      </c>
      <c r="C2609" t="s">
        <v>4484</v>
      </c>
      <c r="D2609" t="s">
        <v>4714</v>
      </c>
      <c r="E2609" t="s">
        <v>4866</v>
      </c>
      <c r="F2609">
        <v>45</v>
      </c>
      <c r="G2609" t="s">
        <v>4869</v>
      </c>
      <c r="H2609" t="s">
        <v>4884</v>
      </c>
      <c r="I2609" t="s">
        <v>4897</v>
      </c>
      <c r="J2609" t="s">
        <v>4922</v>
      </c>
      <c r="K2609" t="s">
        <v>4927</v>
      </c>
      <c r="L2609" t="s">
        <v>4941</v>
      </c>
      <c r="M2609" t="s">
        <v>4943</v>
      </c>
      <c r="N2609" s="11">
        <v>11188.33</v>
      </c>
      <c r="O2609" t="s">
        <v>4947</v>
      </c>
      <c r="P2609" t="s">
        <v>4951</v>
      </c>
      <c r="R2609">
        <v>14</v>
      </c>
      <c r="S2609" t="str">
        <f t="shared" si="121"/>
        <v>Middle-Aged</v>
      </c>
      <c r="T2609" t="str">
        <f t="shared" si="122"/>
        <v>High</v>
      </c>
      <c r="U2609" t="str">
        <f t="shared" si="123"/>
        <v>Short Days</v>
      </c>
    </row>
    <row r="2610" spans="1:21">
      <c r="A2610" t="s">
        <v>2626</v>
      </c>
      <c r="B2610" s="5">
        <v>45848</v>
      </c>
      <c r="C2610" t="s">
        <v>4485</v>
      </c>
      <c r="D2610" t="s">
        <v>4607</v>
      </c>
      <c r="E2610" t="s">
        <v>4867</v>
      </c>
      <c r="F2610">
        <v>45</v>
      </c>
      <c r="G2610" t="s">
        <v>4877</v>
      </c>
      <c r="H2610" t="s">
        <v>4888</v>
      </c>
      <c r="I2610" t="s">
        <v>4898</v>
      </c>
      <c r="J2610" t="s">
        <v>4918</v>
      </c>
      <c r="K2610" t="s">
        <v>4925</v>
      </c>
      <c r="L2610" t="s">
        <v>4937</v>
      </c>
      <c r="M2610" t="s">
        <v>4944</v>
      </c>
      <c r="N2610" s="11">
        <v>21095.84</v>
      </c>
      <c r="O2610" t="s">
        <v>4947</v>
      </c>
      <c r="P2610" t="s">
        <v>4951</v>
      </c>
      <c r="R2610">
        <v>30</v>
      </c>
      <c r="S2610" t="str">
        <f t="shared" si="121"/>
        <v>Middle-Aged</v>
      </c>
      <c r="T2610" t="str">
        <f t="shared" si="122"/>
        <v>High</v>
      </c>
      <c r="U2610" t="str">
        <f t="shared" si="123"/>
        <v>Short Days</v>
      </c>
    </row>
    <row r="2611" spans="1:21">
      <c r="A2611" t="s">
        <v>2627</v>
      </c>
      <c r="B2611" s="5">
        <v>45966</v>
      </c>
      <c r="C2611" t="s">
        <v>4182</v>
      </c>
      <c r="D2611" t="s">
        <v>4774</v>
      </c>
      <c r="E2611" t="s">
        <v>4867</v>
      </c>
      <c r="F2611">
        <v>30</v>
      </c>
      <c r="G2611" t="s">
        <v>4869</v>
      </c>
      <c r="H2611" t="s">
        <v>4884</v>
      </c>
      <c r="I2611" t="s">
        <v>4897</v>
      </c>
      <c r="J2611" t="s">
        <v>4907</v>
      </c>
      <c r="K2611" t="s">
        <v>4928</v>
      </c>
      <c r="L2611" t="s">
        <v>4934</v>
      </c>
      <c r="M2611" t="s">
        <v>4942</v>
      </c>
      <c r="N2611" s="11">
        <v>1512.18</v>
      </c>
      <c r="O2611" t="s">
        <v>15</v>
      </c>
      <c r="P2611" t="s">
        <v>4952</v>
      </c>
      <c r="S2611" t="str">
        <f t="shared" si="121"/>
        <v>Adult</v>
      </c>
      <c r="T2611" t="str">
        <f t="shared" si="122"/>
        <v>Low</v>
      </c>
      <c r="U2611" t="str">
        <f t="shared" si="123"/>
        <v>Short Days</v>
      </c>
    </row>
    <row r="2612" spans="1:21">
      <c r="A2612" t="s">
        <v>2628</v>
      </c>
      <c r="B2612" s="5">
        <v>45440</v>
      </c>
      <c r="C2612" t="s">
        <v>4320</v>
      </c>
      <c r="D2612" t="s">
        <v>4789</v>
      </c>
      <c r="E2612" t="s">
        <v>4867</v>
      </c>
      <c r="F2612">
        <v>50</v>
      </c>
      <c r="G2612" t="s">
        <v>4871</v>
      </c>
      <c r="H2612" t="s">
        <v>4886</v>
      </c>
      <c r="I2612" t="s">
        <v>4897</v>
      </c>
      <c r="J2612" t="s">
        <v>4922</v>
      </c>
      <c r="K2612" t="s">
        <v>4931</v>
      </c>
      <c r="L2612" t="s">
        <v>4938</v>
      </c>
      <c r="M2612" t="s">
        <v>4942</v>
      </c>
      <c r="N2612" s="11">
        <v>7650.69</v>
      </c>
      <c r="O2612" t="s">
        <v>4949</v>
      </c>
      <c r="P2612" t="s">
        <v>4951</v>
      </c>
      <c r="R2612">
        <v>90</v>
      </c>
      <c r="S2612" t="str">
        <f t="shared" si="121"/>
        <v>Middle-Aged</v>
      </c>
      <c r="T2612" t="str">
        <f t="shared" si="122"/>
        <v>Medium</v>
      </c>
      <c r="U2612" t="str">
        <f t="shared" si="123"/>
        <v>Short Days</v>
      </c>
    </row>
    <row r="2613" spans="1:21">
      <c r="A2613" t="s">
        <v>2629</v>
      </c>
      <c r="B2613" s="5">
        <v>45761</v>
      </c>
      <c r="C2613" t="s">
        <v>3128</v>
      </c>
      <c r="D2613" t="s">
        <v>4723</v>
      </c>
      <c r="E2613" t="s">
        <v>4868</v>
      </c>
      <c r="F2613">
        <v>44</v>
      </c>
      <c r="G2613" t="s">
        <v>4879</v>
      </c>
      <c r="H2613" t="s">
        <v>4888</v>
      </c>
      <c r="I2613" t="s">
        <v>4895</v>
      </c>
      <c r="J2613" t="s">
        <v>4915</v>
      </c>
      <c r="K2613" t="s">
        <v>4924</v>
      </c>
      <c r="L2613" t="s">
        <v>4940</v>
      </c>
      <c r="M2613" t="s">
        <v>4942</v>
      </c>
      <c r="N2613" s="11">
        <v>6869.7</v>
      </c>
      <c r="O2613" t="s">
        <v>4949</v>
      </c>
      <c r="P2613" t="s">
        <v>4951</v>
      </c>
      <c r="R2613">
        <v>90</v>
      </c>
      <c r="S2613" t="str">
        <f t="shared" si="121"/>
        <v>Middle-Aged</v>
      </c>
      <c r="T2613" t="str">
        <f t="shared" si="122"/>
        <v>Medium</v>
      </c>
      <c r="U2613" t="str">
        <f t="shared" si="123"/>
        <v>Short Days</v>
      </c>
    </row>
    <row r="2614" spans="1:21">
      <c r="A2614" t="s">
        <v>2630</v>
      </c>
      <c r="B2614" s="5">
        <v>45482</v>
      </c>
      <c r="C2614" t="s">
        <v>4486</v>
      </c>
      <c r="D2614" t="s">
        <v>4728</v>
      </c>
      <c r="E2614" t="s">
        <v>4867</v>
      </c>
      <c r="F2614">
        <v>58</v>
      </c>
      <c r="G2614" t="s">
        <v>4870</v>
      </c>
      <c r="H2614" t="s">
        <v>4885</v>
      </c>
      <c r="I2614" t="s">
        <v>4893</v>
      </c>
      <c r="J2614" t="s">
        <v>4903</v>
      </c>
      <c r="K2614" t="s">
        <v>4928</v>
      </c>
      <c r="L2614" t="s">
        <v>4935</v>
      </c>
      <c r="M2614" t="s">
        <v>4942</v>
      </c>
      <c r="N2614" s="11">
        <v>10197.49</v>
      </c>
      <c r="O2614" t="s">
        <v>15</v>
      </c>
      <c r="P2614" t="s">
        <v>4952</v>
      </c>
      <c r="R2614">
        <v>7</v>
      </c>
      <c r="S2614" t="str">
        <f t="shared" si="121"/>
        <v>Middle-Aged</v>
      </c>
      <c r="T2614" t="str">
        <f t="shared" si="122"/>
        <v>High</v>
      </c>
      <c r="U2614" t="str">
        <f t="shared" si="123"/>
        <v>Short Days</v>
      </c>
    </row>
    <row r="2615" spans="1:21">
      <c r="A2615" t="s">
        <v>2631</v>
      </c>
      <c r="B2615" s="5">
        <v>45481</v>
      </c>
      <c r="C2615" t="s">
        <v>4487</v>
      </c>
      <c r="D2615" t="s">
        <v>4619</v>
      </c>
      <c r="E2615" t="s">
        <v>4867</v>
      </c>
      <c r="F2615">
        <v>32</v>
      </c>
      <c r="G2615" t="s">
        <v>4875</v>
      </c>
      <c r="H2615" t="s">
        <v>4889</v>
      </c>
      <c r="I2615" t="s">
        <v>4893</v>
      </c>
      <c r="J2615" t="s">
        <v>4903</v>
      </c>
      <c r="K2615" t="s">
        <v>4933</v>
      </c>
      <c r="L2615" t="s">
        <v>4939</v>
      </c>
      <c r="M2615" t="s">
        <v>4942</v>
      </c>
      <c r="N2615" s="11">
        <v>942.5</v>
      </c>
      <c r="O2615" t="s">
        <v>4947</v>
      </c>
      <c r="P2615" t="s">
        <v>4951</v>
      </c>
      <c r="R2615">
        <v>30</v>
      </c>
      <c r="S2615" t="str">
        <f t="shared" si="121"/>
        <v>Adult</v>
      </c>
      <c r="T2615" t="str">
        <f t="shared" si="122"/>
        <v>Low</v>
      </c>
      <c r="U2615" t="str">
        <f t="shared" si="123"/>
        <v>Short Days</v>
      </c>
    </row>
    <row r="2616" spans="1:21">
      <c r="A2616" t="s">
        <v>2632</v>
      </c>
      <c r="B2616" s="5">
        <v>45944</v>
      </c>
      <c r="C2616" t="s">
        <v>3432</v>
      </c>
      <c r="D2616" t="s">
        <v>4685</v>
      </c>
      <c r="E2616" t="s">
        <v>4866</v>
      </c>
      <c r="F2616">
        <v>23</v>
      </c>
      <c r="G2616" t="s">
        <v>4873</v>
      </c>
      <c r="H2616" t="s">
        <v>4888</v>
      </c>
      <c r="I2616" t="s">
        <v>4896</v>
      </c>
      <c r="J2616" t="s">
        <v>4908</v>
      </c>
      <c r="K2616" t="s">
        <v>4925</v>
      </c>
      <c r="L2616" t="s">
        <v>4939</v>
      </c>
      <c r="M2616" t="s">
        <v>4942</v>
      </c>
      <c r="N2616" s="11">
        <v>6419.76</v>
      </c>
      <c r="O2616" t="s">
        <v>15</v>
      </c>
      <c r="P2616" t="s">
        <v>4952</v>
      </c>
      <c r="R2616">
        <v>30</v>
      </c>
      <c r="S2616" t="str">
        <f t="shared" si="121"/>
        <v>Adult</v>
      </c>
      <c r="T2616" t="str">
        <f t="shared" si="122"/>
        <v>Medium</v>
      </c>
      <c r="U2616" t="str">
        <f t="shared" si="123"/>
        <v>Short Days</v>
      </c>
    </row>
    <row r="2617" spans="1:21">
      <c r="A2617" t="s">
        <v>2633</v>
      </c>
      <c r="B2617" s="5">
        <v>45518</v>
      </c>
      <c r="C2617" t="s">
        <v>3390</v>
      </c>
      <c r="D2617" t="s">
        <v>4776</v>
      </c>
      <c r="E2617" t="s">
        <v>4867</v>
      </c>
      <c r="F2617">
        <v>45</v>
      </c>
      <c r="G2617" t="s">
        <v>4881</v>
      </c>
      <c r="H2617" t="s">
        <v>4881</v>
      </c>
      <c r="I2617" t="s">
        <v>4896</v>
      </c>
      <c r="J2617" t="s">
        <v>4906</v>
      </c>
      <c r="K2617" t="s">
        <v>4924</v>
      </c>
      <c r="L2617" t="s">
        <v>4940</v>
      </c>
      <c r="M2617" t="s">
        <v>4942</v>
      </c>
      <c r="N2617" s="11">
        <v>2793.5</v>
      </c>
      <c r="O2617" t="s">
        <v>4948</v>
      </c>
      <c r="P2617" t="s">
        <v>4951</v>
      </c>
      <c r="R2617">
        <v>30</v>
      </c>
      <c r="S2617" t="str">
        <f t="shared" si="121"/>
        <v>Middle-Aged</v>
      </c>
      <c r="T2617" t="str">
        <f t="shared" si="122"/>
        <v>Low</v>
      </c>
      <c r="U2617" t="str">
        <f t="shared" si="123"/>
        <v>Short Days</v>
      </c>
    </row>
    <row r="2618" spans="1:21">
      <c r="A2618" t="s">
        <v>2634</v>
      </c>
      <c r="B2618" s="5">
        <v>45384</v>
      </c>
      <c r="C2618" t="s">
        <v>4136</v>
      </c>
      <c r="D2618" t="s">
        <v>4696</v>
      </c>
      <c r="E2618" t="s">
        <v>4866</v>
      </c>
      <c r="F2618">
        <v>11</v>
      </c>
      <c r="G2618" t="s">
        <v>4870</v>
      </c>
      <c r="H2618" t="s">
        <v>4885</v>
      </c>
      <c r="I2618" t="s">
        <v>4893</v>
      </c>
      <c r="J2618" t="s">
        <v>4917</v>
      </c>
      <c r="K2618" t="s">
        <v>4931</v>
      </c>
      <c r="L2618" t="s">
        <v>4941</v>
      </c>
      <c r="M2618" t="s">
        <v>4942</v>
      </c>
      <c r="N2618" s="11">
        <v>8537.7999999999993</v>
      </c>
      <c r="O2618" t="s">
        <v>4947</v>
      </c>
      <c r="P2618" t="s">
        <v>4951</v>
      </c>
      <c r="R2618">
        <v>90</v>
      </c>
      <c r="S2618" t="str">
        <f t="shared" si="121"/>
        <v>Child</v>
      </c>
      <c r="T2618" t="str">
        <f t="shared" si="122"/>
        <v>Medium</v>
      </c>
      <c r="U2618" t="str">
        <f t="shared" si="123"/>
        <v>Short Days</v>
      </c>
    </row>
    <row r="2619" spans="1:21">
      <c r="A2619" t="s">
        <v>2635</v>
      </c>
      <c r="B2619" s="5">
        <v>45922</v>
      </c>
      <c r="C2619" t="s">
        <v>3396</v>
      </c>
      <c r="D2619" t="s">
        <v>4696</v>
      </c>
      <c r="E2619" t="s">
        <v>4866</v>
      </c>
      <c r="F2619">
        <v>57</v>
      </c>
      <c r="G2619" t="s">
        <v>4870</v>
      </c>
      <c r="H2619" t="s">
        <v>4885</v>
      </c>
      <c r="I2619" t="s">
        <v>4900</v>
      </c>
      <c r="J2619" t="s">
        <v>4919</v>
      </c>
      <c r="K2619" t="s">
        <v>4924</v>
      </c>
      <c r="L2619" t="s">
        <v>4935</v>
      </c>
      <c r="M2619" t="s">
        <v>4945</v>
      </c>
      <c r="N2619" s="11">
        <v>5406.33</v>
      </c>
      <c r="O2619" t="s">
        <v>4947</v>
      </c>
      <c r="P2619" t="s">
        <v>4951</v>
      </c>
      <c r="Q2619">
        <v>3</v>
      </c>
      <c r="S2619" t="str">
        <f t="shared" si="121"/>
        <v>Middle-Aged</v>
      </c>
      <c r="T2619" t="str">
        <f t="shared" si="122"/>
        <v>Medium</v>
      </c>
      <c r="U2619" t="str">
        <f t="shared" si="123"/>
        <v>Short Days</v>
      </c>
    </row>
    <row r="2620" spans="1:21">
      <c r="A2620" t="s">
        <v>2636</v>
      </c>
      <c r="B2620" s="5">
        <v>45593</v>
      </c>
      <c r="C2620" t="s">
        <v>3183</v>
      </c>
      <c r="D2620" t="s">
        <v>4846</v>
      </c>
      <c r="E2620" t="s">
        <v>4866</v>
      </c>
      <c r="F2620">
        <v>39</v>
      </c>
      <c r="G2620" t="s">
        <v>4877</v>
      </c>
      <c r="H2620" t="s">
        <v>4888</v>
      </c>
      <c r="I2620" t="s">
        <v>4898</v>
      </c>
      <c r="J2620" t="s">
        <v>4909</v>
      </c>
      <c r="K2620" t="s">
        <v>4925</v>
      </c>
      <c r="L2620" t="s">
        <v>4941</v>
      </c>
      <c r="M2620" t="s">
        <v>4942</v>
      </c>
      <c r="N2620" s="11">
        <v>872.78</v>
      </c>
      <c r="O2620" t="s">
        <v>4950</v>
      </c>
      <c r="P2620" t="s">
        <v>4951</v>
      </c>
      <c r="R2620">
        <v>14</v>
      </c>
      <c r="S2620" t="str">
        <f t="shared" si="121"/>
        <v>Adult</v>
      </c>
      <c r="T2620" t="str">
        <f t="shared" si="122"/>
        <v>Low</v>
      </c>
      <c r="U2620" t="str">
        <f t="shared" si="123"/>
        <v>Short Days</v>
      </c>
    </row>
    <row r="2621" spans="1:21">
      <c r="A2621" t="s">
        <v>2637</v>
      </c>
      <c r="B2621" s="5">
        <v>45717</v>
      </c>
      <c r="C2621" t="s">
        <v>4010</v>
      </c>
      <c r="D2621" t="s">
        <v>4700</v>
      </c>
      <c r="E2621" t="s">
        <v>4866</v>
      </c>
      <c r="F2621">
        <v>19</v>
      </c>
      <c r="G2621" t="s">
        <v>4882</v>
      </c>
      <c r="H2621" t="s">
        <v>4891</v>
      </c>
      <c r="I2621" t="s">
        <v>4902</v>
      </c>
      <c r="J2621" t="s">
        <v>4916</v>
      </c>
      <c r="K2621" t="s">
        <v>4930</v>
      </c>
      <c r="L2621" t="s">
        <v>4936</v>
      </c>
      <c r="M2621" t="s">
        <v>4944</v>
      </c>
      <c r="N2621" s="11">
        <v>13290.55</v>
      </c>
      <c r="O2621" t="s">
        <v>4949</v>
      </c>
      <c r="P2621" t="s">
        <v>4951</v>
      </c>
      <c r="R2621">
        <v>7</v>
      </c>
      <c r="S2621" t="str">
        <f t="shared" si="121"/>
        <v>Adult</v>
      </c>
      <c r="T2621" t="str">
        <f t="shared" si="122"/>
        <v>High</v>
      </c>
      <c r="U2621" t="str">
        <f t="shared" si="123"/>
        <v>Short Days</v>
      </c>
    </row>
    <row r="2622" spans="1:21">
      <c r="A2622" t="s">
        <v>2638</v>
      </c>
      <c r="B2622" s="5">
        <v>45640</v>
      </c>
      <c r="C2622" t="s">
        <v>3233</v>
      </c>
      <c r="D2622" t="s">
        <v>4668</v>
      </c>
      <c r="E2622" t="s">
        <v>4866</v>
      </c>
      <c r="F2622">
        <v>32</v>
      </c>
      <c r="G2622" t="s">
        <v>4875</v>
      </c>
      <c r="H2622" t="s">
        <v>4889</v>
      </c>
      <c r="I2622" t="s">
        <v>4902</v>
      </c>
      <c r="J2622" t="s">
        <v>4916</v>
      </c>
      <c r="K2622" t="s">
        <v>4931</v>
      </c>
      <c r="L2622" t="s">
        <v>4938</v>
      </c>
      <c r="M2622" t="s">
        <v>4944</v>
      </c>
      <c r="N2622" s="11">
        <v>6764.95</v>
      </c>
      <c r="O2622" t="s">
        <v>4948</v>
      </c>
      <c r="P2622" t="s">
        <v>4951</v>
      </c>
      <c r="R2622">
        <v>90</v>
      </c>
      <c r="S2622" t="str">
        <f t="shared" si="121"/>
        <v>Adult</v>
      </c>
      <c r="T2622" t="str">
        <f t="shared" si="122"/>
        <v>Medium</v>
      </c>
      <c r="U2622" t="str">
        <f t="shared" si="123"/>
        <v>Short Days</v>
      </c>
    </row>
    <row r="2623" spans="1:21">
      <c r="A2623" t="s">
        <v>2639</v>
      </c>
      <c r="B2623" s="5">
        <v>45475</v>
      </c>
      <c r="C2623" t="s">
        <v>3061</v>
      </c>
      <c r="D2623" t="s">
        <v>4629</v>
      </c>
      <c r="E2623" t="s">
        <v>4866</v>
      </c>
      <c r="F2623">
        <v>20</v>
      </c>
      <c r="G2623" t="s">
        <v>4872</v>
      </c>
      <c r="H2623" t="s">
        <v>4887</v>
      </c>
      <c r="I2623" t="s">
        <v>4897</v>
      </c>
      <c r="J2623" t="s">
        <v>4907</v>
      </c>
      <c r="K2623" t="s">
        <v>4933</v>
      </c>
      <c r="L2623" t="s">
        <v>4938</v>
      </c>
      <c r="M2623" t="s">
        <v>4942</v>
      </c>
      <c r="N2623" s="11">
        <v>6910.41</v>
      </c>
      <c r="O2623" t="s">
        <v>4948</v>
      </c>
      <c r="P2623" t="s">
        <v>4951</v>
      </c>
      <c r="R2623">
        <v>90</v>
      </c>
      <c r="S2623" t="str">
        <f t="shared" si="121"/>
        <v>Adult</v>
      </c>
      <c r="T2623" t="str">
        <f t="shared" si="122"/>
        <v>Medium</v>
      </c>
      <c r="U2623" t="str">
        <f t="shared" si="123"/>
        <v>Short Days</v>
      </c>
    </row>
    <row r="2624" spans="1:21">
      <c r="A2624" t="s">
        <v>2640</v>
      </c>
      <c r="B2624" s="5">
        <v>45473</v>
      </c>
      <c r="C2624" t="s">
        <v>3447</v>
      </c>
      <c r="D2624" t="s">
        <v>4840</v>
      </c>
      <c r="E2624" t="s">
        <v>4867</v>
      </c>
      <c r="F2624">
        <v>21</v>
      </c>
      <c r="G2624" t="s">
        <v>4875</v>
      </c>
      <c r="H2624" t="s">
        <v>4889</v>
      </c>
      <c r="I2624" t="s">
        <v>4894</v>
      </c>
      <c r="J2624" t="s">
        <v>4904</v>
      </c>
      <c r="K2624" t="s">
        <v>4929</v>
      </c>
      <c r="L2624" t="s">
        <v>4937</v>
      </c>
      <c r="M2624" t="s">
        <v>4942</v>
      </c>
      <c r="N2624" s="11">
        <v>2014.54</v>
      </c>
      <c r="O2624" t="s">
        <v>15</v>
      </c>
      <c r="P2624" t="s">
        <v>4952</v>
      </c>
      <c r="S2624" t="str">
        <f t="shared" si="121"/>
        <v>Adult</v>
      </c>
      <c r="T2624" t="str">
        <f t="shared" si="122"/>
        <v>Low</v>
      </c>
      <c r="U2624" t="str">
        <f t="shared" si="123"/>
        <v>Short Days</v>
      </c>
    </row>
    <row r="2625" spans="1:21">
      <c r="A2625" t="s">
        <v>2641</v>
      </c>
      <c r="B2625" s="5">
        <v>45742</v>
      </c>
      <c r="C2625" t="s">
        <v>3250</v>
      </c>
      <c r="D2625" t="s">
        <v>4750</v>
      </c>
      <c r="E2625" t="s">
        <v>4866</v>
      </c>
      <c r="F2625">
        <v>64</v>
      </c>
      <c r="G2625" t="s">
        <v>4873</v>
      </c>
      <c r="H2625" t="s">
        <v>4888</v>
      </c>
      <c r="I2625" t="s">
        <v>4898</v>
      </c>
      <c r="J2625" t="s">
        <v>4918</v>
      </c>
      <c r="K2625" t="s">
        <v>4930</v>
      </c>
      <c r="L2625" t="s">
        <v>4936</v>
      </c>
      <c r="M2625" t="s">
        <v>4942</v>
      </c>
      <c r="N2625" s="11">
        <v>2063.35</v>
      </c>
      <c r="O2625" t="s">
        <v>4949</v>
      </c>
      <c r="P2625" t="s">
        <v>4951</v>
      </c>
      <c r="R2625">
        <v>7</v>
      </c>
      <c r="S2625" t="str">
        <f t="shared" si="121"/>
        <v>Senior</v>
      </c>
      <c r="T2625" t="str">
        <f t="shared" si="122"/>
        <v>Low</v>
      </c>
      <c r="U2625" t="str">
        <f t="shared" si="123"/>
        <v>Short Days</v>
      </c>
    </row>
    <row r="2626" spans="1:21">
      <c r="A2626" t="s">
        <v>2642</v>
      </c>
      <c r="B2626" s="5">
        <v>45450</v>
      </c>
      <c r="C2626" t="s">
        <v>4263</v>
      </c>
      <c r="D2626" t="s">
        <v>4833</v>
      </c>
      <c r="E2626" t="s">
        <v>4868</v>
      </c>
      <c r="F2626">
        <v>40</v>
      </c>
      <c r="G2626" t="s">
        <v>4870</v>
      </c>
      <c r="H2626" t="s">
        <v>4885</v>
      </c>
      <c r="I2626" t="s">
        <v>4896</v>
      </c>
      <c r="J2626" t="s">
        <v>4908</v>
      </c>
      <c r="K2626" t="s">
        <v>4931</v>
      </c>
      <c r="L2626" t="s">
        <v>4938</v>
      </c>
      <c r="M2626" t="s">
        <v>4942</v>
      </c>
      <c r="N2626" s="11">
        <v>14599.67</v>
      </c>
      <c r="O2626" t="s">
        <v>4948</v>
      </c>
      <c r="P2626" t="s">
        <v>4951</v>
      </c>
      <c r="R2626">
        <v>30</v>
      </c>
      <c r="S2626" t="str">
        <f t="shared" si="121"/>
        <v>Adult</v>
      </c>
      <c r="T2626" t="str">
        <f t="shared" si="122"/>
        <v>High</v>
      </c>
      <c r="U2626" t="str">
        <f t="shared" si="123"/>
        <v>Short Days</v>
      </c>
    </row>
    <row r="2627" spans="1:21">
      <c r="A2627" t="s">
        <v>2643</v>
      </c>
      <c r="B2627" s="5">
        <v>45949</v>
      </c>
      <c r="C2627" t="s">
        <v>4488</v>
      </c>
      <c r="D2627" t="s">
        <v>4692</v>
      </c>
      <c r="E2627" t="s">
        <v>4867</v>
      </c>
      <c r="F2627">
        <v>48</v>
      </c>
      <c r="G2627" t="s">
        <v>4874</v>
      </c>
      <c r="H2627" t="s">
        <v>4886</v>
      </c>
      <c r="I2627" t="s">
        <v>4900</v>
      </c>
      <c r="J2627" t="s">
        <v>4919</v>
      </c>
      <c r="K2627" t="s">
        <v>4924</v>
      </c>
      <c r="L2627" t="s">
        <v>4937</v>
      </c>
      <c r="M2627" t="s">
        <v>4942</v>
      </c>
      <c r="N2627" s="11">
        <v>4093.79</v>
      </c>
      <c r="O2627" t="s">
        <v>4946</v>
      </c>
      <c r="P2627" t="s">
        <v>4951</v>
      </c>
      <c r="R2627">
        <v>14</v>
      </c>
      <c r="S2627" t="str">
        <f t="shared" ref="S2627:S2690" si="124">IF(F2627&lt;18,"Child",IF(F2627&lt;=40,"Adult",IF(F2627&lt;=60,"Middle-Aged",IF(F2627,"Senior"))))</f>
        <v>Middle-Aged</v>
      </c>
      <c r="T2627" t="str">
        <f t="shared" ref="T2627:T2690" si="125">IF(N2627&lt;=5000,"Low",IF(N2627&lt;=10000,"Medium","High"))</f>
        <v>Low</v>
      </c>
      <c r="U2627" t="str">
        <f t="shared" ref="U2627:U2690" si="126">IF(Q2627&lt;=5,"Short Days","Long Days")</f>
        <v>Short Days</v>
      </c>
    </row>
    <row r="2628" spans="1:21">
      <c r="A2628" t="s">
        <v>2644</v>
      </c>
      <c r="B2628" s="5">
        <v>45651</v>
      </c>
      <c r="C2628" t="s">
        <v>3792</v>
      </c>
      <c r="D2628" t="s">
        <v>4830</v>
      </c>
      <c r="E2628" t="s">
        <v>4866</v>
      </c>
      <c r="F2628">
        <v>53</v>
      </c>
      <c r="G2628" t="s">
        <v>4878</v>
      </c>
      <c r="H2628" t="s">
        <v>4889</v>
      </c>
      <c r="I2628" t="s">
        <v>4896</v>
      </c>
      <c r="J2628" t="s">
        <v>4908</v>
      </c>
      <c r="K2628" t="s">
        <v>4928</v>
      </c>
      <c r="L2628" t="s">
        <v>4938</v>
      </c>
      <c r="M2628" t="s">
        <v>4942</v>
      </c>
      <c r="N2628" s="11">
        <v>646.09</v>
      </c>
      <c r="O2628" t="s">
        <v>4946</v>
      </c>
      <c r="P2628" t="s">
        <v>4951</v>
      </c>
      <c r="R2628">
        <v>30</v>
      </c>
      <c r="S2628" t="str">
        <f t="shared" si="124"/>
        <v>Middle-Aged</v>
      </c>
      <c r="T2628" t="str">
        <f t="shared" si="125"/>
        <v>Low</v>
      </c>
      <c r="U2628" t="str">
        <f t="shared" si="126"/>
        <v>Short Days</v>
      </c>
    </row>
    <row r="2629" spans="1:21">
      <c r="A2629" t="s">
        <v>2645</v>
      </c>
      <c r="B2629" s="5">
        <v>45520</v>
      </c>
      <c r="C2629" t="s">
        <v>3140</v>
      </c>
      <c r="D2629" t="s">
        <v>4761</v>
      </c>
      <c r="E2629" t="s">
        <v>4866</v>
      </c>
      <c r="F2629">
        <v>45</v>
      </c>
      <c r="G2629" t="s">
        <v>4869</v>
      </c>
      <c r="H2629" t="s">
        <v>4884</v>
      </c>
      <c r="I2629" t="s">
        <v>4902</v>
      </c>
      <c r="J2629" t="s">
        <v>4920</v>
      </c>
      <c r="K2629" t="s">
        <v>4933</v>
      </c>
      <c r="L2629" t="s">
        <v>4936</v>
      </c>
      <c r="M2629" t="s">
        <v>4942</v>
      </c>
      <c r="N2629" s="11">
        <v>457.57</v>
      </c>
      <c r="O2629" t="s">
        <v>4949</v>
      </c>
      <c r="P2629" t="s">
        <v>4951</v>
      </c>
      <c r="R2629">
        <v>7</v>
      </c>
      <c r="S2629" t="str">
        <f t="shared" si="124"/>
        <v>Middle-Aged</v>
      </c>
      <c r="T2629" t="str">
        <f t="shared" si="125"/>
        <v>Low</v>
      </c>
      <c r="U2629" t="str">
        <f t="shared" si="126"/>
        <v>Short Days</v>
      </c>
    </row>
    <row r="2630" spans="1:21">
      <c r="A2630" t="s">
        <v>2646</v>
      </c>
      <c r="B2630" s="5">
        <v>45946</v>
      </c>
      <c r="C2630" t="s">
        <v>4073</v>
      </c>
      <c r="D2630" t="s">
        <v>4857</v>
      </c>
      <c r="E2630" t="s">
        <v>4866</v>
      </c>
      <c r="F2630">
        <v>32</v>
      </c>
      <c r="G2630" t="s">
        <v>4880</v>
      </c>
      <c r="H2630" t="s">
        <v>4890</v>
      </c>
      <c r="I2630" t="s">
        <v>4898</v>
      </c>
      <c r="J2630" t="s">
        <v>4909</v>
      </c>
      <c r="K2630" t="s">
        <v>4933</v>
      </c>
      <c r="L2630" t="s">
        <v>4934</v>
      </c>
      <c r="M2630" t="s">
        <v>4944</v>
      </c>
      <c r="N2630" s="11">
        <v>7210.86</v>
      </c>
      <c r="O2630" t="s">
        <v>4947</v>
      </c>
      <c r="P2630" t="s">
        <v>4951</v>
      </c>
      <c r="S2630" t="str">
        <f t="shared" si="124"/>
        <v>Adult</v>
      </c>
      <c r="T2630" t="str">
        <f t="shared" si="125"/>
        <v>Medium</v>
      </c>
      <c r="U2630" t="str">
        <f t="shared" si="126"/>
        <v>Short Days</v>
      </c>
    </row>
    <row r="2631" spans="1:21">
      <c r="A2631" t="s">
        <v>2647</v>
      </c>
      <c r="B2631" s="5">
        <v>45299</v>
      </c>
      <c r="C2631" t="s">
        <v>3522</v>
      </c>
      <c r="D2631" t="s">
        <v>4716</v>
      </c>
      <c r="E2631" t="s">
        <v>4867</v>
      </c>
      <c r="F2631">
        <v>39</v>
      </c>
      <c r="G2631" t="s">
        <v>4873</v>
      </c>
      <c r="H2631" t="s">
        <v>4888</v>
      </c>
      <c r="I2631" t="s">
        <v>4900</v>
      </c>
      <c r="J2631" t="s">
        <v>4913</v>
      </c>
      <c r="K2631" t="s">
        <v>4930</v>
      </c>
      <c r="L2631" t="s">
        <v>4935</v>
      </c>
      <c r="M2631" t="s">
        <v>4942</v>
      </c>
      <c r="N2631" s="11">
        <v>6655.08</v>
      </c>
      <c r="O2631" t="s">
        <v>4948</v>
      </c>
      <c r="P2631" t="s">
        <v>4951</v>
      </c>
      <c r="S2631" t="str">
        <f t="shared" si="124"/>
        <v>Adult</v>
      </c>
      <c r="T2631" t="str">
        <f t="shared" si="125"/>
        <v>Medium</v>
      </c>
      <c r="U2631" t="str">
        <f t="shared" si="126"/>
        <v>Short Days</v>
      </c>
    </row>
    <row r="2632" spans="1:21">
      <c r="A2632" t="s">
        <v>2648</v>
      </c>
      <c r="B2632" s="5">
        <v>45881</v>
      </c>
      <c r="C2632" t="s">
        <v>3798</v>
      </c>
      <c r="D2632" t="s">
        <v>4819</v>
      </c>
      <c r="E2632" t="s">
        <v>4867</v>
      </c>
      <c r="F2632">
        <v>54</v>
      </c>
      <c r="G2632" t="s">
        <v>4883</v>
      </c>
      <c r="H2632" t="s">
        <v>4892</v>
      </c>
      <c r="I2632" t="s">
        <v>4901</v>
      </c>
      <c r="J2632" t="s">
        <v>4914</v>
      </c>
      <c r="K2632" t="s">
        <v>4927</v>
      </c>
      <c r="L2632" t="s">
        <v>4936</v>
      </c>
      <c r="M2632" t="s">
        <v>4942</v>
      </c>
      <c r="N2632" s="11">
        <v>994.25</v>
      </c>
      <c r="O2632" t="s">
        <v>15</v>
      </c>
      <c r="P2632" t="s">
        <v>4952</v>
      </c>
      <c r="R2632">
        <v>7</v>
      </c>
      <c r="S2632" t="str">
        <f t="shared" si="124"/>
        <v>Middle-Aged</v>
      </c>
      <c r="T2632" t="str">
        <f t="shared" si="125"/>
        <v>Low</v>
      </c>
      <c r="U2632" t="str">
        <f t="shared" si="126"/>
        <v>Short Days</v>
      </c>
    </row>
    <row r="2633" spans="1:21">
      <c r="A2633" t="s">
        <v>2649</v>
      </c>
      <c r="B2633" s="5">
        <v>45682</v>
      </c>
      <c r="C2633" t="s">
        <v>4483</v>
      </c>
      <c r="D2633" t="s">
        <v>4638</v>
      </c>
      <c r="E2633" t="s">
        <v>4867</v>
      </c>
      <c r="F2633">
        <v>36</v>
      </c>
      <c r="G2633" t="s">
        <v>4880</v>
      </c>
      <c r="H2633" t="s">
        <v>4890</v>
      </c>
      <c r="I2633" t="s">
        <v>4901</v>
      </c>
      <c r="J2633" t="s">
        <v>4921</v>
      </c>
      <c r="K2633" t="s">
        <v>4928</v>
      </c>
      <c r="L2633" t="s">
        <v>4940</v>
      </c>
      <c r="M2633" t="s">
        <v>4943</v>
      </c>
      <c r="N2633" s="11">
        <v>5677.24</v>
      </c>
      <c r="O2633" t="s">
        <v>4947</v>
      </c>
      <c r="P2633" t="s">
        <v>4951</v>
      </c>
      <c r="R2633">
        <v>30</v>
      </c>
      <c r="S2633" t="str">
        <f t="shared" si="124"/>
        <v>Adult</v>
      </c>
      <c r="T2633" t="str">
        <f t="shared" si="125"/>
        <v>Medium</v>
      </c>
      <c r="U2633" t="str">
        <f t="shared" si="126"/>
        <v>Short Days</v>
      </c>
    </row>
    <row r="2634" spans="1:21">
      <c r="A2634" t="s">
        <v>2650</v>
      </c>
      <c r="B2634" s="5">
        <v>45395</v>
      </c>
      <c r="C2634" t="s">
        <v>3544</v>
      </c>
      <c r="D2634" t="s">
        <v>4645</v>
      </c>
      <c r="E2634" t="s">
        <v>4867</v>
      </c>
      <c r="F2634">
        <v>29</v>
      </c>
      <c r="G2634" t="s">
        <v>4877</v>
      </c>
      <c r="H2634" t="s">
        <v>4888</v>
      </c>
      <c r="I2634" t="s">
        <v>4901</v>
      </c>
      <c r="J2634" t="s">
        <v>4921</v>
      </c>
      <c r="K2634" t="s">
        <v>4929</v>
      </c>
      <c r="L2634" t="s">
        <v>4940</v>
      </c>
      <c r="M2634" t="s">
        <v>4942</v>
      </c>
      <c r="N2634" s="11">
        <v>5833.04</v>
      </c>
      <c r="O2634" t="s">
        <v>4949</v>
      </c>
      <c r="P2634" t="s">
        <v>4951</v>
      </c>
      <c r="S2634" t="str">
        <f t="shared" si="124"/>
        <v>Adult</v>
      </c>
      <c r="T2634" t="str">
        <f t="shared" si="125"/>
        <v>Medium</v>
      </c>
      <c r="U2634" t="str">
        <f t="shared" si="126"/>
        <v>Short Days</v>
      </c>
    </row>
    <row r="2635" spans="1:21">
      <c r="A2635" t="s">
        <v>2651</v>
      </c>
      <c r="B2635" s="5">
        <v>45538</v>
      </c>
      <c r="C2635" t="s">
        <v>3761</v>
      </c>
      <c r="D2635" t="s">
        <v>4710</v>
      </c>
      <c r="E2635" t="s">
        <v>4866</v>
      </c>
      <c r="F2635">
        <v>50</v>
      </c>
      <c r="G2635" t="s">
        <v>4875</v>
      </c>
      <c r="H2635" t="s">
        <v>4889</v>
      </c>
      <c r="I2635" t="s">
        <v>4896</v>
      </c>
      <c r="J2635" t="s">
        <v>4908</v>
      </c>
      <c r="K2635" t="s">
        <v>4927</v>
      </c>
      <c r="L2635" t="s">
        <v>4938</v>
      </c>
      <c r="M2635" t="s">
        <v>4942</v>
      </c>
      <c r="N2635" s="11">
        <v>1442.56</v>
      </c>
      <c r="O2635" t="s">
        <v>15</v>
      </c>
      <c r="P2635" t="s">
        <v>4952</v>
      </c>
      <c r="R2635">
        <v>7</v>
      </c>
      <c r="S2635" t="str">
        <f t="shared" si="124"/>
        <v>Middle-Aged</v>
      </c>
      <c r="T2635" t="str">
        <f t="shared" si="125"/>
        <v>Low</v>
      </c>
      <c r="U2635" t="str">
        <f t="shared" si="126"/>
        <v>Short Days</v>
      </c>
    </row>
    <row r="2636" spans="1:21">
      <c r="A2636" t="s">
        <v>2652</v>
      </c>
      <c r="B2636" s="5">
        <v>45925</v>
      </c>
      <c r="C2636" t="s">
        <v>4240</v>
      </c>
      <c r="D2636" t="s">
        <v>4601</v>
      </c>
      <c r="E2636" t="s">
        <v>4867</v>
      </c>
      <c r="F2636">
        <v>0</v>
      </c>
      <c r="G2636" t="s">
        <v>4882</v>
      </c>
      <c r="H2636" t="s">
        <v>4891</v>
      </c>
      <c r="I2636" t="s">
        <v>4900</v>
      </c>
      <c r="J2636" t="s">
        <v>4913</v>
      </c>
      <c r="K2636" t="s">
        <v>4933</v>
      </c>
      <c r="L2636" t="s">
        <v>4936</v>
      </c>
      <c r="M2636" t="s">
        <v>4942</v>
      </c>
      <c r="N2636" s="11">
        <v>3069.7</v>
      </c>
      <c r="O2636" t="s">
        <v>4948</v>
      </c>
      <c r="P2636" t="s">
        <v>4951</v>
      </c>
      <c r="S2636" t="str">
        <f t="shared" si="124"/>
        <v>Child</v>
      </c>
      <c r="T2636" t="str">
        <f t="shared" si="125"/>
        <v>Low</v>
      </c>
      <c r="U2636" t="str">
        <f t="shared" si="126"/>
        <v>Short Days</v>
      </c>
    </row>
    <row r="2637" spans="1:21">
      <c r="A2637" t="s">
        <v>2653</v>
      </c>
      <c r="B2637" s="5">
        <v>45716</v>
      </c>
      <c r="C2637" t="s">
        <v>3480</v>
      </c>
      <c r="D2637" t="s">
        <v>4814</v>
      </c>
      <c r="E2637" t="s">
        <v>4866</v>
      </c>
      <c r="F2637">
        <v>22</v>
      </c>
      <c r="G2637" t="s">
        <v>4872</v>
      </c>
      <c r="H2637" t="s">
        <v>4887</v>
      </c>
      <c r="I2637" t="s">
        <v>4897</v>
      </c>
      <c r="J2637" t="s">
        <v>4922</v>
      </c>
      <c r="K2637" t="s">
        <v>4930</v>
      </c>
      <c r="L2637" t="s">
        <v>4935</v>
      </c>
      <c r="M2637" t="s">
        <v>4942</v>
      </c>
      <c r="N2637" s="11">
        <v>2728.18</v>
      </c>
      <c r="O2637" t="s">
        <v>4949</v>
      </c>
      <c r="P2637" t="s">
        <v>4951</v>
      </c>
      <c r="R2637">
        <v>90</v>
      </c>
      <c r="S2637" t="str">
        <f t="shared" si="124"/>
        <v>Adult</v>
      </c>
      <c r="T2637" t="str">
        <f t="shared" si="125"/>
        <v>Low</v>
      </c>
      <c r="U2637" t="str">
        <f t="shared" si="126"/>
        <v>Short Days</v>
      </c>
    </row>
    <row r="2638" spans="1:21">
      <c r="A2638" t="s">
        <v>2654</v>
      </c>
      <c r="B2638" s="5">
        <v>45397</v>
      </c>
      <c r="C2638" t="s">
        <v>3032</v>
      </c>
      <c r="D2638" t="s">
        <v>4727</v>
      </c>
      <c r="E2638" t="s">
        <v>4867</v>
      </c>
      <c r="F2638">
        <v>27</v>
      </c>
      <c r="G2638" t="s">
        <v>4873</v>
      </c>
      <c r="H2638" t="s">
        <v>4888</v>
      </c>
      <c r="I2638" t="s">
        <v>4896</v>
      </c>
      <c r="J2638" t="s">
        <v>4906</v>
      </c>
      <c r="K2638" t="s">
        <v>4924</v>
      </c>
      <c r="L2638" t="s">
        <v>4939</v>
      </c>
      <c r="M2638" t="s">
        <v>4942</v>
      </c>
      <c r="N2638" s="11">
        <v>4405.59</v>
      </c>
      <c r="O2638" t="s">
        <v>4948</v>
      </c>
      <c r="P2638" t="s">
        <v>4951</v>
      </c>
      <c r="R2638">
        <v>14</v>
      </c>
      <c r="S2638" t="str">
        <f t="shared" si="124"/>
        <v>Adult</v>
      </c>
      <c r="T2638" t="str">
        <f t="shared" si="125"/>
        <v>Low</v>
      </c>
      <c r="U2638" t="str">
        <f t="shared" si="126"/>
        <v>Short Days</v>
      </c>
    </row>
    <row r="2639" spans="1:21">
      <c r="A2639" t="s">
        <v>2655</v>
      </c>
      <c r="B2639" s="5">
        <v>45805</v>
      </c>
      <c r="C2639" t="s">
        <v>4117</v>
      </c>
      <c r="D2639" t="s">
        <v>4651</v>
      </c>
      <c r="E2639" t="s">
        <v>4866</v>
      </c>
      <c r="F2639">
        <v>47</v>
      </c>
      <c r="G2639" t="s">
        <v>4882</v>
      </c>
      <c r="H2639" t="s">
        <v>4891</v>
      </c>
      <c r="I2639" t="s">
        <v>4901</v>
      </c>
      <c r="J2639" t="s">
        <v>4921</v>
      </c>
      <c r="K2639" t="s">
        <v>4932</v>
      </c>
      <c r="L2639" t="s">
        <v>4937</v>
      </c>
      <c r="M2639" t="s">
        <v>4944</v>
      </c>
      <c r="N2639" s="11">
        <v>5475.4</v>
      </c>
      <c r="O2639" t="s">
        <v>4947</v>
      </c>
      <c r="P2639" t="s">
        <v>4951</v>
      </c>
      <c r="R2639">
        <v>7</v>
      </c>
      <c r="S2639" t="str">
        <f t="shared" si="124"/>
        <v>Middle-Aged</v>
      </c>
      <c r="T2639" t="str">
        <f t="shared" si="125"/>
        <v>Medium</v>
      </c>
      <c r="U2639" t="str">
        <f t="shared" si="126"/>
        <v>Short Days</v>
      </c>
    </row>
    <row r="2640" spans="1:21">
      <c r="A2640" t="s">
        <v>2656</v>
      </c>
      <c r="B2640" s="5">
        <v>45827</v>
      </c>
      <c r="C2640" t="s">
        <v>4489</v>
      </c>
      <c r="D2640" t="s">
        <v>4749</v>
      </c>
      <c r="E2640" t="s">
        <v>4867</v>
      </c>
      <c r="F2640">
        <v>61</v>
      </c>
      <c r="G2640" t="s">
        <v>4878</v>
      </c>
      <c r="H2640" t="s">
        <v>4889</v>
      </c>
      <c r="I2640" t="s">
        <v>4899</v>
      </c>
      <c r="J2640" t="s">
        <v>4912</v>
      </c>
      <c r="K2640" t="s">
        <v>4930</v>
      </c>
      <c r="L2640" t="s">
        <v>4939</v>
      </c>
      <c r="M2640" t="s">
        <v>4943</v>
      </c>
      <c r="N2640" s="11">
        <v>8629</v>
      </c>
      <c r="O2640" t="s">
        <v>4947</v>
      </c>
      <c r="P2640" t="s">
        <v>4951</v>
      </c>
      <c r="R2640">
        <v>30</v>
      </c>
      <c r="S2640" t="str">
        <f t="shared" si="124"/>
        <v>Senior</v>
      </c>
      <c r="T2640" t="str">
        <f t="shared" si="125"/>
        <v>Medium</v>
      </c>
      <c r="U2640" t="str">
        <f t="shared" si="126"/>
        <v>Short Days</v>
      </c>
    </row>
    <row r="2641" spans="1:21">
      <c r="A2641" t="s">
        <v>2657</v>
      </c>
      <c r="B2641" s="5">
        <v>45324</v>
      </c>
      <c r="C2641" t="s">
        <v>4490</v>
      </c>
      <c r="D2641" t="s">
        <v>4807</v>
      </c>
      <c r="E2641" t="s">
        <v>4866</v>
      </c>
      <c r="F2641">
        <v>35</v>
      </c>
      <c r="G2641" t="s">
        <v>4882</v>
      </c>
      <c r="H2641" t="s">
        <v>4891</v>
      </c>
      <c r="I2641" t="s">
        <v>4895</v>
      </c>
      <c r="J2641" t="s">
        <v>4915</v>
      </c>
      <c r="K2641" t="s">
        <v>4924</v>
      </c>
      <c r="L2641" t="s">
        <v>4935</v>
      </c>
      <c r="M2641" t="s">
        <v>4942</v>
      </c>
      <c r="N2641" s="11">
        <v>2980.91</v>
      </c>
      <c r="O2641" t="s">
        <v>15</v>
      </c>
      <c r="P2641" t="s">
        <v>4952</v>
      </c>
      <c r="R2641">
        <v>30</v>
      </c>
      <c r="S2641" t="str">
        <f t="shared" si="124"/>
        <v>Adult</v>
      </c>
      <c r="T2641" t="str">
        <f t="shared" si="125"/>
        <v>Low</v>
      </c>
      <c r="U2641" t="str">
        <f t="shared" si="126"/>
        <v>Short Days</v>
      </c>
    </row>
    <row r="2642" spans="1:21">
      <c r="A2642" t="s">
        <v>2658</v>
      </c>
      <c r="B2642" s="5">
        <v>45430</v>
      </c>
      <c r="C2642" t="s">
        <v>3332</v>
      </c>
      <c r="D2642" t="s">
        <v>4769</v>
      </c>
      <c r="E2642" t="s">
        <v>4866</v>
      </c>
      <c r="F2642">
        <v>29</v>
      </c>
      <c r="G2642" t="s">
        <v>4869</v>
      </c>
      <c r="H2642" t="s">
        <v>4884</v>
      </c>
      <c r="I2642" t="s">
        <v>4898</v>
      </c>
      <c r="J2642" t="s">
        <v>4923</v>
      </c>
      <c r="K2642" t="s">
        <v>4932</v>
      </c>
      <c r="L2642" t="s">
        <v>4934</v>
      </c>
      <c r="M2642" t="s">
        <v>4943</v>
      </c>
      <c r="N2642" s="11">
        <v>7473.13</v>
      </c>
      <c r="O2642" t="s">
        <v>4947</v>
      </c>
      <c r="P2642" t="s">
        <v>4951</v>
      </c>
      <c r="R2642">
        <v>30</v>
      </c>
      <c r="S2642" t="str">
        <f t="shared" si="124"/>
        <v>Adult</v>
      </c>
      <c r="T2642" t="str">
        <f t="shared" si="125"/>
        <v>Medium</v>
      </c>
      <c r="U2642" t="str">
        <f t="shared" si="126"/>
        <v>Short Days</v>
      </c>
    </row>
    <row r="2643" spans="1:21">
      <c r="A2643" t="s">
        <v>2659</v>
      </c>
      <c r="B2643" s="5">
        <v>45794</v>
      </c>
      <c r="C2643" t="s">
        <v>4400</v>
      </c>
      <c r="D2643" t="s">
        <v>4625</v>
      </c>
      <c r="E2643" t="s">
        <v>4866</v>
      </c>
      <c r="F2643">
        <v>53</v>
      </c>
      <c r="G2643" t="s">
        <v>4880</v>
      </c>
      <c r="H2643" t="s">
        <v>4890</v>
      </c>
      <c r="I2643" t="s">
        <v>4895</v>
      </c>
      <c r="J2643" t="s">
        <v>4915</v>
      </c>
      <c r="K2643" t="s">
        <v>4929</v>
      </c>
      <c r="L2643" t="s">
        <v>4938</v>
      </c>
      <c r="M2643" t="s">
        <v>4942</v>
      </c>
      <c r="N2643" s="11">
        <v>3979.58</v>
      </c>
      <c r="O2643" t="s">
        <v>15</v>
      </c>
      <c r="P2643" t="s">
        <v>4952</v>
      </c>
      <c r="S2643" t="str">
        <f t="shared" si="124"/>
        <v>Middle-Aged</v>
      </c>
      <c r="T2643" t="str">
        <f t="shared" si="125"/>
        <v>Low</v>
      </c>
      <c r="U2643" t="str">
        <f t="shared" si="126"/>
        <v>Short Days</v>
      </c>
    </row>
    <row r="2644" spans="1:21">
      <c r="A2644" t="s">
        <v>2660</v>
      </c>
      <c r="B2644" s="5">
        <v>45870</v>
      </c>
      <c r="C2644" t="s">
        <v>4261</v>
      </c>
      <c r="D2644" t="s">
        <v>4773</v>
      </c>
      <c r="E2644" t="s">
        <v>4867</v>
      </c>
      <c r="F2644">
        <v>50</v>
      </c>
      <c r="G2644" t="s">
        <v>4883</v>
      </c>
      <c r="H2644" t="s">
        <v>4892</v>
      </c>
      <c r="I2644" t="s">
        <v>4893</v>
      </c>
      <c r="J2644" t="s">
        <v>4903</v>
      </c>
      <c r="K2644" t="s">
        <v>4925</v>
      </c>
      <c r="L2644" t="s">
        <v>4939</v>
      </c>
      <c r="M2644" t="s">
        <v>4942</v>
      </c>
      <c r="N2644" s="11">
        <v>5045.28</v>
      </c>
      <c r="O2644" t="s">
        <v>4949</v>
      </c>
      <c r="P2644" t="s">
        <v>4951</v>
      </c>
      <c r="R2644">
        <v>30</v>
      </c>
      <c r="S2644" t="str">
        <f t="shared" si="124"/>
        <v>Middle-Aged</v>
      </c>
      <c r="T2644" t="str">
        <f t="shared" si="125"/>
        <v>Medium</v>
      </c>
      <c r="U2644" t="str">
        <f t="shared" si="126"/>
        <v>Short Days</v>
      </c>
    </row>
    <row r="2645" spans="1:21">
      <c r="A2645" t="s">
        <v>2661</v>
      </c>
      <c r="B2645" s="5">
        <v>45785</v>
      </c>
      <c r="C2645" t="s">
        <v>4295</v>
      </c>
      <c r="D2645" t="s">
        <v>4591</v>
      </c>
      <c r="E2645" t="s">
        <v>4867</v>
      </c>
      <c r="F2645">
        <v>58</v>
      </c>
      <c r="G2645" t="s">
        <v>4881</v>
      </c>
      <c r="H2645" t="s">
        <v>4881</v>
      </c>
      <c r="I2645" t="s">
        <v>4902</v>
      </c>
      <c r="J2645" t="s">
        <v>4920</v>
      </c>
      <c r="K2645" t="s">
        <v>4933</v>
      </c>
      <c r="L2645" t="s">
        <v>4940</v>
      </c>
      <c r="M2645" t="s">
        <v>4945</v>
      </c>
      <c r="N2645" s="11">
        <v>21009.439999999999</v>
      </c>
      <c r="O2645" t="s">
        <v>4950</v>
      </c>
      <c r="P2645" t="s">
        <v>4951</v>
      </c>
      <c r="Q2645">
        <v>6</v>
      </c>
      <c r="S2645" t="str">
        <f t="shared" si="124"/>
        <v>Middle-Aged</v>
      </c>
      <c r="T2645" t="str">
        <f t="shared" si="125"/>
        <v>High</v>
      </c>
      <c r="U2645" t="str">
        <f t="shared" si="126"/>
        <v>Long Days</v>
      </c>
    </row>
    <row r="2646" spans="1:21">
      <c r="A2646" t="s">
        <v>2662</v>
      </c>
      <c r="B2646" s="5">
        <v>45586</v>
      </c>
      <c r="C2646" t="s">
        <v>4491</v>
      </c>
      <c r="D2646" t="s">
        <v>4597</v>
      </c>
      <c r="E2646" t="s">
        <v>4867</v>
      </c>
      <c r="F2646">
        <v>51</v>
      </c>
      <c r="G2646" t="s">
        <v>4883</v>
      </c>
      <c r="H2646" t="s">
        <v>4892</v>
      </c>
      <c r="I2646" t="s">
        <v>4896</v>
      </c>
      <c r="J2646" t="s">
        <v>4908</v>
      </c>
      <c r="K2646" t="s">
        <v>4933</v>
      </c>
      <c r="L2646" t="s">
        <v>4934</v>
      </c>
      <c r="M2646" t="s">
        <v>4943</v>
      </c>
      <c r="N2646" s="11">
        <v>13030.65</v>
      </c>
      <c r="O2646" t="s">
        <v>4946</v>
      </c>
      <c r="P2646" t="s">
        <v>4951</v>
      </c>
      <c r="R2646">
        <v>14</v>
      </c>
      <c r="S2646" t="str">
        <f t="shared" si="124"/>
        <v>Middle-Aged</v>
      </c>
      <c r="T2646" t="str">
        <f t="shared" si="125"/>
        <v>High</v>
      </c>
      <c r="U2646" t="str">
        <f t="shared" si="126"/>
        <v>Short Days</v>
      </c>
    </row>
    <row r="2647" spans="1:21">
      <c r="A2647" t="s">
        <v>2663</v>
      </c>
      <c r="B2647" s="5">
        <v>45742</v>
      </c>
      <c r="C2647" t="s">
        <v>3429</v>
      </c>
      <c r="D2647" t="s">
        <v>4797</v>
      </c>
      <c r="E2647" t="s">
        <v>4867</v>
      </c>
      <c r="F2647">
        <v>57</v>
      </c>
      <c r="G2647" t="s">
        <v>4878</v>
      </c>
      <c r="H2647" t="s">
        <v>4889</v>
      </c>
      <c r="I2647" t="s">
        <v>4902</v>
      </c>
      <c r="J2647" t="s">
        <v>4916</v>
      </c>
      <c r="K2647" t="s">
        <v>4924</v>
      </c>
      <c r="L2647" t="s">
        <v>4937</v>
      </c>
      <c r="M2647" t="s">
        <v>4944</v>
      </c>
      <c r="N2647" s="11">
        <v>5402.39</v>
      </c>
      <c r="O2647" t="s">
        <v>4946</v>
      </c>
      <c r="P2647" t="s">
        <v>4951</v>
      </c>
      <c r="R2647">
        <v>14</v>
      </c>
      <c r="S2647" t="str">
        <f t="shared" si="124"/>
        <v>Middle-Aged</v>
      </c>
      <c r="T2647" t="str">
        <f t="shared" si="125"/>
        <v>Medium</v>
      </c>
      <c r="U2647" t="str">
        <f t="shared" si="126"/>
        <v>Short Days</v>
      </c>
    </row>
    <row r="2648" spans="1:21">
      <c r="A2648" t="s">
        <v>2664</v>
      </c>
      <c r="B2648" s="5">
        <v>45926</v>
      </c>
      <c r="C2648" t="s">
        <v>3593</v>
      </c>
      <c r="D2648" t="s">
        <v>4696</v>
      </c>
      <c r="E2648" t="s">
        <v>4866</v>
      </c>
      <c r="F2648">
        <v>60</v>
      </c>
      <c r="G2648" t="s">
        <v>4873</v>
      </c>
      <c r="H2648" t="s">
        <v>4888</v>
      </c>
      <c r="I2648" t="s">
        <v>4901</v>
      </c>
      <c r="J2648" t="s">
        <v>4921</v>
      </c>
      <c r="K2648" t="s">
        <v>4929</v>
      </c>
      <c r="L2648" t="s">
        <v>4935</v>
      </c>
      <c r="M2648" t="s">
        <v>4942</v>
      </c>
      <c r="N2648" s="11">
        <v>8602.67</v>
      </c>
      <c r="O2648" t="s">
        <v>15</v>
      </c>
      <c r="P2648" t="s">
        <v>4952</v>
      </c>
      <c r="R2648">
        <v>14</v>
      </c>
      <c r="S2648" t="str">
        <f t="shared" si="124"/>
        <v>Middle-Aged</v>
      </c>
      <c r="T2648" t="str">
        <f t="shared" si="125"/>
        <v>Medium</v>
      </c>
      <c r="U2648" t="str">
        <f t="shared" si="126"/>
        <v>Short Days</v>
      </c>
    </row>
    <row r="2649" spans="1:21">
      <c r="A2649" t="s">
        <v>2665</v>
      </c>
      <c r="B2649" s="5">
        <v>45680</v>
      </c>
      <c r="C2649" t="s">
        <v>3820</v>
      </c>
      <c r="D2649" t="s">
        <v>4681</v>
      </c>
      <c r="E2649" t="s">
        <v>4866</v>
      </c>
      <c r="F2649">
        <v>44</v>
      </c>
      <c r="G2649" t="s">
        <v>4873</v>
      </c>
      <c r="H2649" t="s">
        <v>4888</v>
      </c>
      <c r="I2649" t="s">
        <v>4895</v>
      </c>
      <c r="J2649" t="s">
        <v>4915</v>
      </c>
      <c r="K2649" t="s">
        <v>4927</v>
      </c>
      <c r="L2649" t="s">
        <v>4940</v>
      </c>
      <c r="M2649" t="s">
        <v>4943</v>
      </c>
      <c r="N2649" s="11">
        <v>19098.05</v>
      </c>
      <c r="O2649" t="s">
        <v>4950</v>
      </c>
      <c r="P2649" t="s">
        <v>4951</v>
      </c>
      <c r="R2649">
        <v>30</v>
      </c>
      <c r="S2649" t="str">
        <f t="shared" si="124"/>
        <v>Middle-Aged</v>
      </c>
      <c r="T2649" t="str">
        <f t="shared" si="125"/>
        <v>High</v>
      </c>
      <c r="U2649" t="str">
        <f t="shared" si="126"/>
        <v>Short Days</v>
      </c>
    </row>
    <row r="2650" spans="1:21">
      <c r="A2650" t="s">
        <v>2666</v>
      </c>
      <c r="B2650" s="5">
        <v>45899</v>
      </c>
      <c r="C2650" t="s">
        <v>4492</v>
      </c>
      <c r="D2650" t="s">
        <v>4780</v>
      </c>
      <c r="E2650" t="s">
        <v>4866</v>
      </c>
      <c r="F2650">
        <v>46</v>
      </c>
      <c r="G2650" t="s">
        <v>4870</v>
      </c>
      <c r="H2650" t="s">
        <v>4885</v>
      </c>
      <c r="I2650" t="s">
        <v>4898</v>
      </c>
      <c r="J2650" t="s">
        <v>4918</v>
      </c>
      <c r="K2650" t="s">
        <v>4931</v>
      </c>
      <c r="L2650" t="s">
        <v>4940</v>
      </c>
      <c r="M2650" t="s">
        <v>4942</v>
      </c>
      <c r="N2650" s="11">
        <v>2485.54</v>
      </c>
      <c r="O2650" t="s">
        <v>4950</v>
      </c>
      <c r="P2650" t="s">
        <v>4951</v>
      </c>
      <c r="R2650">
        <v>30</v>
      </c>
      <c r="S2650" t="str">
        <f t="shared" si="124"/>
        <v>Middle-Aged</v>
      </c>
      <c r="T2650" t="str">
        <f t="shared" si="125"/>
        <v>Low</v>
      </c>
      <c r="U2650" t="str">
        <f t="shared" si="126"/>
        <v>Short Days</v>
      </c>
    </row>
    <row r="2651" spans="1:21">
      <c r="A2651" t="s">
        <v>2667</v>
      </c>
      <c r="B2651" s="5">
        <v>45820</v>
      </c>
      <c r="C2651" t="s">
        <v>4493</v>
      </c>
      <c r="D2651" t="s">
        <v>4736</v>
      </c>
      <c r="E2651" t="s">
        <v>4867</v>
      </c>
      <c r="F2651">
        <v>19</v>
      </c>
      <c r="G2651" t="s">
        <v>4871</v>
      </c>
      <c r="H2651" t="s">
        <v>4886</v>
      </c>
      <c r="I2651" t="s">
        <v>4900</v>
      </c>
      <c r="J2651" t="s">
        <v>4919</v>
      </c>
      <c r="K2651" t="s">
        <v>4926</v>
      </c>
      <c r="L2651" t="s">
        <v>4938</v>
      </c>
      <c r="M2651" t="s">
        <v>4942</v>
      </c>
      <c r="N2651" s="11">
        <v>5234.83</v>
      </c>
      <c r="O2651" t="s">
        <v>15</v>
      </c>
      <c r="P2651" t="s">
        <v>4952</v>
      </c>
      <c r="R2651">
        <v>14</v>
      </c>
      <c r="S2651" t="str">
        <f t="shared" si="124"/>
        <v>Adult</v>
      </c>
      <c r="T2651" t="str">
        <f t="shared" si="125"/>
        <v>Medium</v>
      </c>
      <c r="U2651" t="str">
        <f t="shared" si="126"/>
        <v>Short Days</v>
      </c>
    </row>
    <row r="2652" spans="1:21">
      <c r="A2652" t="s">
        <v>2668</v>
      </c>
      <c r="B2652" s="5">
        <v>45606</v>
      </c>
      <c r="C2652" t="s">
        <v>4153</v>
      </c>
      <c r="D2652" t="s">
        <v>4601</v>
      </c>
      <c r="E2652" t="s">
        <v>4866</v>
      </c>
      <c r="F2652">
        <v>25</v>
      </c>
      <c r="G2652" t="s">
        <v>4883</v>
      </c>
      <c r="H2652" t="s">
        <v>4892</v>
      </c>
      <c r="I2652" t="s">
        <v>4899</v>
      </c>
      <c r="J2652" t="s">
        <v>4911</v>
      </c>
      <c r="K2652" t="s">
        <v>4933</v>
      </c>
      <c r="L2652" t="s">
        <v>4939</v>
      </c>
      <c r="M2652" t="s">
        <v>4944</v>
      </c>
      <c r="N2652" s="11">
        <v>13278.48</v>
      </c>
      <c r="O2652" t="s">
        <v>4950</v>
      </c>
      <c r="P2652" t="s">
        <v>4951</v>
      </c>
      <c r="R2652">
        <v>90</v>
      </c>
      <c r="S2652" t="str">
        <f t="shared" si="124"/>
        <v>Adult</v>
      </c>
      <c r="T2652" t="str">
        <f t="shared" si="125"/>
        <v>High</v>
      </c>
      <c r="U2652" t="str">
        <f t="shared" si="126"/>
        <v>Short Days</v>
      </c>
    </row>
    <row r="2653" spans="1:21">
      <c r="A2653" t="s">
        <v>2669</v>
      </c>
      <c r="B2653" s="5">
        <v>45598</v>
      </c>
      <c r="C2653" t="s">
        <v>3762</v>
      </c>
      <c r="D2653" t="s">
        <v>4618</v>
      </c>
      <c r="E2653" t="s">
        <v>4867</v>
      </c>
      <c r="F2653">
        <v>71</v>
      </c>
      <c r="G2653" t="s">
        <v>4870</v>
      </c>
      <c r="H2653" t="s">
        <v>4885</v>
      </c>
      <c r="I2653" t="s">
        <v>4899</v>
      </c>
      <c r="J2653" t="s">
        <v>4911</v>
      </c>
      <c r="K2653" t="s">
        <v>4933</v>
      </c>
      <c r="L2653" t="s">
        <v>4941</v>
      </c>
      <c r="M2653" t="s">
        <v>4942</v>
      </c>
      <c r="N2653" s="11">
        <v>14391.14</v>
      </c>
      <c r="O2653" t="s">
        <v>4946</v>
      </c>
      <c r="P2653" t="s">
        <v>4951</v>
      </c>
      <c r="S2653" t="str">
        <f t="shared" si="124"/>
        <v>Senior</v>
      </c>
      <c r="T2653" t="str">
        <f t="shared" si="125"/>
        <v>High</v>
      </c>
      <c r="U2653" t="str">
        <f t="shared" si="126"/>
        <v>Short Days</v>
      </c>
    </row>
    <row r="2654" spans="1:21">
      <c r="A2654" t="s">
        <v>2670</v>
      </c>
      <c r="B2654" s="5">
        <v>45711</v>
      </c>
      <c r="C2654" t="s">
        <v>4494</v>
      </c>
      <c r="D2654" t="s">
        <v>4748</v>
      </c>
      <c r="E2654" t="s">
        <v>4866</v>
      </c>
      <c r="F2654">
        <v>21</v>
      </c>
      <c r="G2654" t="s">
        <v>4877</v>
      </c>
      <c r="H2654" t="s">
        <v>4888</v>
      </c>
      <c r="I2654" t="s">
        <v>4897</v>
      </c>
      <c r="J2654" t="s">
        <v>4907</v>
      </c>
      <c r="K2654" t="s">
        <v>4926</v>
      </c>
      <c r="L2654" t="s">
        <v>4938</v>
      </c>
      <c r="M2654" t="s">
        <v>4942</v>
      </c>
      <c r="N2654" s="11">
        <v>687.9</v>
      </c>
      <c r="O2654" t="s">
        <v>4949</v>
      </c>
      <c r="P2654" t="s">
        <v>4951</v>
      </c>
      <c r="S2654" t="str">
        <f t="shared" si="124"/>
        <v>Adult</v>
      </c>
      <c r="T2654" t="str">
        <f t="shared" si="125"/>
        <v>Low</v>
      </c>
      <c r="U2654" t="str">
        <f t="shared" si="126"/>
        <v>Short Days</v>
      </c>
    </row>
    <row r="2655" spans="1:21">
      <c r="A2655" t="s">
        <v>2671</v>
      </c>
      <c r="B2655" s="5">
        <v>45604</v>
      </c>
      <c r="C2655" t="s">
        <v>3464</v>
      </c>
      <c r="D2655" t="s">
        <v>4720</v>
      </c>
      <c r="E2655" t="s">
        <v>4866</v>
      </c>
      <c r="F2655">
        <v>60</v>
      </c>
      <c r="G2655" t="s">
        <v>4880</v>
      </c>
      <c r="H2655" t="s">
        <v>4890</v>
      </c>
      <c r="I2655" t="s">
        <v>4895</v>
      </c>
      <c r="J2655" t="s">
        <v>4915</v>
      </c>
      <c r="K2655" t="s">
        <v>4924</v>
      </c>
      <c r="L2655" t="s">
        <v>4934</v>
      </c>
      <c r="M2655" t="s">
        <v>4942</v>
      </c>
      <c r="N2655" s="11">
        <v>1386.22</v>
      </c>
      <c r="O2655" t="s">
        <v>15</v>
      </c>
      <c r="P2655" t="s">
        <v>4952</v>
      </c>
      <c r="R2655">
        <v>14</v>
      </c>
      <c r="S2655" t="str">
        <f t="shared" si="124"/>
        <v>Middle-Aged</v>
      </c>
      <c r="T2655" t="str">
        <f t="shared" si="125"/>
        <v>Low</v>
      </c>
      <c r="U2655" t="str">
        <f t="shared" si="126"/>
        <v>Short Days</v>
      </c>
    </row>
    <row r="2656" spans="1:21">
      <c r="A2656" t="s">
        <v>2672</v>
      </c>
      <c r="B2656" s="5">
        <v>45746</v>
      </c>
      <c r="C2656" t="s">
        <v>3647</v>
      </c>
      <c r="D2656" t="s">
        <v>4629</v>
      </c>
      <c r="E2656" t="s">
        <v>4866</v>
      </c>
      <c r="F2656">
        <v>18</v>
      </c>
      <c r="G2656" t="s">
        <v>4871</v>
      </c>
      <c r="H2656" t="s">
        <v>4886</v>
      </c>
      <c r="I2656" t="s">
        <v>4894</v>
      </c>
      <c r="J2656" t="s">
        <v>4904</v>
      </c>
      <c r="K2656" t="s">
        <v>4925</v>
      </c>
      <c r="L2656" t="s">
        <v>4939</v>
      </c>
      <c r="M2656" t="s">
        <v>4943</v>
      </c>
      <c r="N2656" s="11">
        <v>10571.71</v>
      </c>
      <c r="O2656" t="s">
        <v>4948</v>
      </c>
      <c r="P2656" t="s">
        <v>4951</v>
      </c>
      <c r="S2656" t="str">
        <f t="shared" si="124"/>
        <v>Adult</v>
      </c>
      <c r="T2656" t="str">
        <f t="shared" si="125"/>
        <v>High</v>
      </c>
      <c r="U2656" t="str">
        <f t="shared" si="126"/>
        <v>Short Days</v>
      </c>
    </row>
    <row r="2657" spans="1:21">
      <c r="A2657" t="s">
        <v>2673</v>
      </c>
      <c r="B2657" s="5">
        <v>45766</v>
      </c>
      <c r="C2657" t="s">
        <v>3400</v>
      </c>
      <c r="D2657" t="s">
        <v>4614</v>
      </c>
      <c r="E2657" t="s">
        <v>4866</v>
      </c>
      <c r="F2657">
        <v>50</v>
      </c>
      <c r="G2657" t="s">
        <v>4873</v>
      </c>
      <c r="H2657" t="s">
        <v>4888</v>
      </c>
      <c r="I2657" t="s">
        <v>4898</v>
      </c>
      <c r="J2657" t="s">
        <v>4918</v>
      </c>
      <c r="K2657" t="s">
        <v>4930</v>
      </c>
      <c r="L2657" t="s">
        <v>4939</v>
      </c>
      <c r="M2657" t="s">
        <v>4943</v>
      </c>
      <c r="N2657" s="11">
        <v>14492.13</v>
      </c>
      <c r="O2657" t="s">
        <v>4950</v>
      </c>
      <c r="P2657" t="s">
        <v>4951</v>
      </c>
      <c r="S2657" t="str">
        <f t="shared" si="124"/>
        <v>Middle-Aged</v>
      </c>
      <c r="T2657" t="str">
        <f t="shared" si="125"/>
        <v>High</v>
      </c>
      <c r="U2657" t="str">
        <f t="shared" si="126"/>
        <v>Short Days</v>
      </c>
    </row>
    <row r="2658" spans="1:21">
      <c r="A2658" t="s">
        <v>2674</v>
      </c>
      <c r="B2658" s="5">
        <v>45336</v>
      </c>
      <c r="C2658" t="s">
        <v>4495</v>
      </c>
      <c r="D2658" t="s">
        <v>4815</v>
      </c>
      <c r="E2658" t="s">
        <v>4867</v>
      </c>
      <c r="F2658">
        <v>19</v>
      </c>
      <c r="G2658" t="s">
        <v>4879</v>
      </c>
      <c r="H2658" t="s">
        <v>4888</v>
      </c>
      <c r="I2658" t="s">
        <v>4897</v>
      </c>
      <c r="J2658" t="s">
        <v>4907</v>
      </c>
      <c r="K2658" t="s">
        <v>4924</v>
      </c>
      <c r="L2658" t="s">
        <v>4941</v>
      </c>
      <c r="M2658" t="s">
        <v>4944</v>
      </c>
      <c r="N2658" s="11">
        <v>7790.64</v>
      </c>
      <c r="O2658" t="s">
        <v>4947</v>
      </c>
      <c r="P2658" t="s">
        <v>4951</v>
      </c>
      <c r="R2658">
        <v>7</v>
      </c>
      <c r="S2658" t="str">
        <f t="shared" si="124"/>
        <v>Adult</v>
      </c>
      <c r="T2658" t="str">
        <f t="shared" si="125"/>
        <v>Medium</v>
      </c>
      <c r="U2658" t="str">
        <f t="shared" si="126"/>
        <v>Short Days</v>
      </c>
    </row>
    <row r="2659" spans="1:21">
      <c r="A2659" t="s">
        <v>2675</v>
      </c>
      <c r="B2659" s="5">
        <v>45700</v>
      </c>
      <c r="C2659" t="s">
        <v>4444</v>
      </c>
      <c r="D2659" t="s">
        <v>4830</v>
      </c>
      <c r="E2659" t="s">
        <v>4867</v>
      </c>
      <c r="F2659">
        <v>19</v>
      </c>
      <c r="G2659" t="s">
        <v>4871</v>
      </c>
      <c r="H2659" t="s">
        <v>4886</v>
      </c>
      <c r="I2659" t="s">
        <v>4896</v>
      </c>
      <c r="J2659" t="s">
        <v>4908</v>
      </c>
      <c r="K2659" t="s">
        <v>4933</v>
      </c>
      <c r="L2659" t="s">
        <v>4940</v>
      </c>
      <c r="M2659" t="s">
        <v>4944</v>
      </c>
      <c r="N2659" s="11">
        <v>11474.62</v>
      </c>
      <c r="O2659" t="s">
        <v>4947</v>
      </c>
      <c r="P2659" t="s">
        <v>4951</v>
      </c>
      <c r="R2659">
        <v>14</v>
      </c>
      <c r="S2659" t="str">
        <f t="shared" si="124"/>
        <v>Adult</v>
      </c>
      <c r="T2659" t="str">
        <f t="shared" si="125"/>
        <v>High</v>
      </c>
      <c r="U2659" t="str">
        <f t="shared" si="126"/>
        <v>Short Days</v>
      </c>
    </row>
    <row r="2660" spans="1:21">
      <c r="A2660" t="s">
        <v>2676</v>
      </c>
      <c r="B2660" s="5">
        <v>45305</v>
      </c>
      <c r="C2660" t="s">
        <v>4414</v>
      </c>
      <c r="D2660" t="s">
        <v>4724</v>
      </c>
      <c r="E2660" t="s">
        <v>4867</v>
      </c>
      <c r="F2660">
        <v>34</v>
      </c>
      <c r="G2660" t="s">
        <v>4876</v>
      </c>
      <c r="H2660" t="s">
        <v>4888</v>
      </c>
      <c r="I2660" t="s">
        <v>4897</v>
      </c>
      <c r="J2660" t="s">
        <v>4922</v>
      </c>
      <c r="K2660" t="s">
        <v>4933</v>
      </c>
      <c r="L2660" t="s">
        <v>4939</v>
      </c>
      <c r="M2660" t="s">
        <v>4945</v>
      </c>
      <c r="N2660" s="11">
        <v>5302.76</v>
      </c>
      <c r="O2660" t="s">
        <v>4947</v>
      </c>
      <c r="P2660" t="s">
        <v>4951</v>
      </c>
      <c r="Q2660">
        <v>6</v>
      </c>
      <c r="S2660" t="str">
        <f t="shared" si="124"/>
        <v>Adult</v>
      </c>
      <c r="T2660" t="str">
        <f t="shared" si="125"/>
        <v>Medium</v>
      </c>
      <c r="U2660" t="str">
        <f t="shared" si="126"/>
        <v>Long Days</v>
      </c>
    </row>
    <row r="2661" spans="1:21">
      <c r="A2661" t="s">
        <v>2677</v>
      </c>
      <c r="B2661" s="5">
        <v>45660</v>
      </c>
      <c r="C2661" t="s">
        <v>3687</v>
      </c>
      <c r="D2661" t="s">
        <v>4780</v>
      </c>
      <c r="E2661" t="s">
        <v>4866</v>
      </c>
      <c r="F2661">
        <v>27</v>
      </c>
      <c r="G2661" t="s">
        <v>4877</v>
      </c>
      <c r="H2661" t="s">
        <v>4888</v>
      </c>
      <c r="I2661" t="s">
        <v>4900</v>
      </c>
      <c r="J2661" t="s">
        <v>4913</v>
      </c>
      <c r="K2661" t="s">
        <v>4929</v>
      </c>
      <c r="L2661" t="s">
        <v>4939</v>
      </c>
      <c r="M2661" t="s">
        <v>4942</v>
      </c>
      <c r="N2661" s="11">
        <v>5076.7700000000004</v>
      </c>
      <c r="O2661" t="s">
        <v>15</v>
      </c>
      <c r="P2661" t="s">
        <v>4952</v>
      </c>
      <c r="R2661">
        <v>30</v>
      </c>
      <c r="S2661" t="str">
        <f t="shared" si="124"/>
        <v>Adult</v>
      </c>
      <c r="T2661" t="str">
        <f t="shared" si="125"/>
        <v>Medium</v>
      </c>
      <c r="U2661" t="str">
        <f t="shared" si="126"/>
        <v>Short Days</v>
      </c>
    </row>
    <row r="2662" spans="1:21">
      <c r="A2662" t="s">
        <v>2678</v>
      </c>
      <c r="B2662" s="5">
        <v>45339</v>
      </c>
      <c r="C2662" t="s">
        <v>4496</v>
      </c>
      <c r="D2662" t="s">
        <v>4597</v>
      </c>
      <c r="E2662" t="s">
        <v>4867</v>
      </c>
      <c r="F2662">
        <v>25</v>
      </c>
      <c r="G2662" t="s">
        <v>4872</v>
      </c>
      <c r="H2662" t="s">
        <v>4887</v>
      </c>
      <c r="I2662" t="s">
        <v>4897</v>
      </c>
      <c r="J2662" t="s">
        <v>4922</v>
      </c>
      <c r="K2662" t="s">
        <v>4924</v>
      </c>
      <c r="L2662" t="s">
        <v>4940</v>
      </c>
      <c r="M2662" t="s">
        <v>4942</v>
      </c>
      <c r="N2662" s="11">
        <v>8262.02</v>
      </c>
      <c r="O2662" t="s">
        <v>15</v>
      </c>
      <c r="P2662" t="s">
        <v>4952</v>
      </c>
      <c r="S2662" t="str">
        <f t="shared" si="124"/>
        <v>Adult</v>
      </c>
      <c r="T2662" t="str">
        <f t="shared" si="125"/>
        <v>Medium</v>
      </c>
      <c r="U2662" t="str">
        <f t="shared" si="126"/>
        <v>Short Days</v>
      </c>
    </row>
    <row r="2663" spans="1:21">
      <c r="A2663" t="s">
        <v>2679</v>
      </c>
      <c r="B2663" s="5">
        <v>45744</v>
      </c>
      <c r="C2663" t="s">
        <v>3111</v>
      </c>
      <c r="D2663" t="s">
        <v>4805</v>
      </c>
      <c r="E2663" t="s">
        <v>4866</v>
      </c>
      <c r="F2663">
        <v>62</v>
      </c>
      <c r="G2663" t="s">
        <v>4875</v>
      </c>
      <c r="H2663" t="s">
        <v>4889</v>
      </c>
      <c r="I2663" t="s">
        <v>4901</v>
      </c>
      <c r="J2663" t="s">
        <v>4914</v>
      </c>
      <c r="K2663" t="s">
        <v>4926</v>
      </c>
      <c r="L2663" t="s">
        <v>4940</v>
      </c>
      <c r="M2663" t="s">
        <v>4942</v>
      </c>
      <c r="N2663" s="11">
        <v>1053.48</v>
      </c>
      <c r="O2663" t="s">
        <v>4946</v>
      </c>
      <c r="P2663" t="s">
        <v>4951</v>
      </c>
      <c r="R2663">
        <v>14</v>
      </c>
      <c r="S2663" t="str">
        <f t="shared" si="124"/>
        <v>Senior</v>
      </c>
      <c r="T2663" t="str">
        <f t="shared" si="125"/>
        <v>Low</v>
      </c>
      <c r="U2663" t="str">
        <f t="shared" si="126"/>
        <v>Short Days</v>
      </c>
    </row>
    <row r="2664" spans="1:21">
      <c r="A2664" t="s">
        <v>2680</v>
      </c>
      <c r="B2664" s="5">
        <v>45541</v>
      </c>
      <c r="C2664" t="s">
        <v>3318</v>
      </c>
      <c r="D2664" t="s">
        <v>4610</v>
      </c>
      <c r="E2664" t="s">
        <v>4867</v>
      </c>
      <c r="F2664">
        <v>59</v>
      </c>
      <c r="G2664" t="s">
        <v>4873</v>
      </c>
      <c r="H2664" t="s">
        <v>4888</v>
      </c>
      <c r="I2664" t="s">
        <v>4899</v>
      </c>
      <c r="J2664" t="s">
        <v>4911</v>
      </c>
      <c r="K2664" t="s">
        <v>4929</v>
      </c>
      <c r="L2664" t="s">
        <v>4938</v>
      </c>
      <c r="M2664" t="s">
        <v>4943</v>
      </c>
      <c r="N2664" s="11">
        <v>12107.01</v>
      </c>
      <c r="O2664" t="s">
        <v>4950</v>
      </c>
      <c r="P2664" t="s">
        <v>4951</v>
      </c>
      <c r="R2664">
        <v>90</v>
      </c>
      <c r="S2664" t="str">
        <f t="shared" si="124"/>
        <v>Middle-Aged</v>
      </c>
      <c r="T2664" t="str">
        <f t="shared" si="125"/>
        <v>High</v>
      </c>
      <c r="U2664" t="str">
        <f t="shared" si="126"/>
        <v>Short Days</v>
      </c>
    </row>
    <row r="2665" spans="1:21">
      <c r="A2665" t="s">
        <v>2681</v>
      </c>
      <c r="B2665" s="5">
        <v>45688</v>
      </c>
      <c r="C2665" t="s">
        <v>3617</v>
      </c>
      <c r="D2665" t="s">
        <v>4841</v>
      </c>
      <c r="E2665" t="s">
        <v>4866</v>
      </c>
      <c r="F2665">
        <v>70</v>
      </c>
      <c r="G2665" t="s">
        <v>4875</v>
      </c>
      <c r="H2665" t="s">
        <v>4889</v>
      </c>
      <c r="I2665" t="s">
        <v>4899</v>
      </c>
      <c r="J2665" t="s">
        <v>4912</v>
      </c>
      <c r="K2665" t="s">
        <v>4930</v>
      </c>
      <c r="L2665" t="s">
        <v>4939</v>
      </c>
      <c r="M2665" t="s">
        <v>4942</v>
      </c>
      <c r="N2665" s="11">
        <v>3064.55</v>
      </c>
      <c r="O2665" t="s">
        <v>4947</v>
      </c>
      <c r="P2665" t="s">
        <v>4951</v>
      </c>
      <c r="R2665">
        <v>7</v>
      </c>
      <c r="S2665" t="str">
        <f t="shared" si="124"/>
        <v>Senior</v>
      </c>
      <c r="T2665" t="str">
        <f t="shared" si="125"/>
        <v>Low</v>
      </c>
      <c r="U2665" t="str">
        <f t="shared" si="126"/>
        <v>Short Days</v>
      </c>
    </row>
    <row r="2666" spans="1:21">
      <c r="A2666" t="s">
        <v>2682</v>
      </c>
      <c r="B2666" s="5">
        <v>45819</v>
      </c>
      <c r="C2666" t="s">
        <v>4042</v>
      </c>
      <c r="D2666" t="s">
        <v>4818</v>
      </c>
      <c r="E2666" t="s">
        <v>4867</v>
      </c>
      <c r="F2666">
        <v>50</v>
      </c>
      <c r="G2666" t="s">
        <v>4878</v>
      </c>
      <c r="H2666" t="s">
        <v>4889</v>
      </c>
      <c r="I2666" t="s">
        <v>4894</v>
      </c>
      <c r="J2666" t="s">
        <v>4910</v>
      </c>
      <c r="K2666" t="s">
        <v>4930</v>
      </c>
      <c r="L2666" t="s">
        <v>4938</v>
      </c>
      <c r="M2666" t="s">
        <v>4942</v>
      </c>
      <c r="N2666" s="11">
        <v>539.51</v>
      </c>
      <c r="O2666" t="s">
        <v>4947</v>
      </c>
      <c r="P2666" t="s">
        <v>4951</v>
      </c>
      <c r="R2666">
        <v>7</v>
      </c>
      <c r="S2666" t="str">
        <f t="shared" si="124"/>
        <v>Middle-Aged</v>
      </c>
      <c r="T2666" t="str">
        <f t="shared" si="125"/>
        <v>Low</v>
      </c>
      <c r="U2666" t="str">
        <f t="shared" si="126"/>
        <v>Short Days</v>
      </c>
    </row>
    <row r="2667" spans="1:21">
      <c r="A2667" t="s">
        <v>2683</v>
      </c>
      <c r="B2667" s="5">
        <v>45586</v>
      </c>
      <c r="C2667" t="s">
        <v>4260</v>
      </c>
      <c r="D2667" t="s">
        <v>4633</v>
      </c>
      <c r="E2667" t="s">
        <v>4866</v>
      </c>
      <c r="F2667">
        <v>60</v>
      </c>
      <c r="G2667" t="s">
        <v>4877</v>
      </c>
      <c r="H2667" t="s">
        <v>4888</v>
      </c>
      <c r="I2667" t="s">
        <v>4899</v>
      </c>
      <c r="J2667" t="s">
        <v>4912</v>
      </c>
      <c r="K2667" t="s">
        <v>4929</v>
      </c>
      <c r="L2667" t="s">
        <v>4941</v>
      </c>
      <c r="M2667" t="s">
        <v>4944</v>
      </c>
      <c r="N2667" s="11">
        <v>7555.17</v>
      </c>
      <c r="O2667" t="s">
        <v>15</v>
      </c>
      <c r="P2667" t="s">
        <v>4952</v>
      </c>
      <c r="R2667">
        <v>14</v>
      </c>
      <c r="S2667" t="str">
        <f t="shared" si="124"/>
        <v>Middle-Aged</v>
      </c>
      <c r="T2667" t="str">
        <f t="shared" si="125"/>
        <v>Medium</v>
      </c>
      <c r="U2667" t="str">
        <f t="shared" si="126"/>
        <v>Short Days</v>
      </c>
    </row>
    <row r="2668" spans="1:21">
      <c r="A2668" t="s">
        <v>2684</v>
      </c>
      <c r="B2668" s="5">
        <v>45614</v>
      </c>
      <c r="C2668" t="s">
        <v>4497</v>
      </c>
      <c r="D2668" t="s">
        <v>4850</v>
      </c>
      <c r="E2668" t="s">
        <v>4866</v>
      </c>
      <c r="F2668">
        <v>52</v>
      </c>
      <c r="G2668" t="s">
        <v>4874</v>
      </c>
      <c r="H2668" t="s">
        <v>4886</v>
      </c>
      <c r="I2668" t="s">
        <v>4902</v>
      </c>
      <c r="J2668" t="s">
        <v>4916</v>
      </c>
      <c r="K2668" t="s">
        <v>4930</v>
      </c>
      <c r="L2668" t="s">
        <v>4941</v>
      </c>
      <c r="M2668" t="s">
        <v>4942</v>
      </c>
      <c r="N2668" s="11">
        <v>4064.46</v>
      </c>
      <c r="O2668" t="s">
        <v>4949</v>
      </c>
      <c r="P2668" t="s">
        <v>4951</v>
      </c>
      <c r="R2668">
        <v>90</v>
      </c>
      <c r="S2668" t="str">
        <f t="shared" si="124"/>
        <v>Middle-Aged</v>
      </c>
      <c r="T2668" t="str">
        <f t="shared" si="125"/>
        <v>Low</v>
      </c>
      <c r="U2668" t="str">
        <f t="shared" si="126"/>
        <v>Short Days</v>
      </c>
    </row>
    <row r="2669" spans="1:21">
      <c r="A2669" t="s">
        <v>2685</v>
      </c>
      <c r="B2669" s="5">
        <v>45919</v>
      </c>
      <c r="C2669" t="s">
        <v>4143</v>
      </c>
      <c r="D2669" t="s">
        <v>4589</v>
      </c>
      <c r="E2669" t="s">
        <v>4867</v>
      </c>
      <c r="F2669">
        <v>38</v>
      </c>
      <c r="G2669" t="s">
        <v>4874</v>
      </c>
      <c r="H2669" t="s">
        <v>4886</v>
      </c>
      <c r="I2669" t="s">
        <v>4895</v>
      </c>
      <c r="J2669" t="s">
        <v>4915</v>
      </c>
      <c r="K2669" t="s">
        <v>4931</v>
      </c>
      <c r="L2669" t="s">
        <v>4939</v>
      </c>
      <c r="M2669" t="s">
        <v>4943</v>
      </c>
      <c r="N2669" s="11">
        <v>5071.1400000000003</v>
      </c>
      <c r="O2669" t="s">
        <v>15</v>
      </c>
      <c r="P2669" t="s">
        <v>4952</v>
      </c>
      <c r="R2669">
        <v>30</v>
      </c>
      <c r="S2669" t="str">
        <f t="shared" si="124"/>
        <v>Adult</v>
      </c>
      <c r="T2669" t="str">
        <f t="shared" si="125"/>
        <v>Medium</v>
      </c>
      <c r="U2669" t="str">
        <f t="shared" si="126"/>
        <v>Short Days</v>
      </c>
    </row>
    <row r="2670" spans="1:21">
      <c r="A2670" t="s">
        <v>2686</v>
      </c>
      <c r="B2670" s="5">
        <v>45596</v>
      </c>
      <c r="C2670" t="s">
        <v>3843</v>
      </c>
      <c r="D2670" t="s">
        <v>4795</v>
      </c>
      <c r="E2670" t="s">
        <v>4867</v>
      </c>
      <c r="F2670">
        <v>39</v>
      </c>
      <c r="G2670" t="s">
        <v>4875</v>
      </c>
      <c r="H2670" t="s">
        <v>4889</v>
      </c>
      <c r="I2670" t="s">
        <v>4900</v>
      </c>
      <c r="J2670" t="s">
        <v>4919</v>
      </c>
      <c r="K2670" t="s">
        <v>4926</v>
      </c>
      <c r="L2670" t="s">
        <v>4938</v>
      </c>
      <c r="M2670" t="s">
        <v>4944</v>
      </c>
      <c r="N2670" s="11">
        <v>23123.24</v>
      </c>
      <c r="O2670" t="s">
        <v>4946</v>
      </c>
      <c r="P2670" t="s">
        <v>4951</v>
      </c>
      <c r="R2670">
        <v>7</v>
      </c>
      <c r="S2670" t="str">
        <f t="shared" si="124"/>
        <v>Adult</v>
      </c>
      <c r="T2670" t="str">
        <f t="shared" si="125"/>
        <v>High</v>
      </c>
      <c r="U2670" t="str">
        <f t="shared" si="126"/>
        <v>Short Days</v>
      </c>
    </row>
    <row r="2671" spans="1:21">
      <c r="A2671" t="s">
        <v>2687</v>
      </c>
      <c r="B2671" s="5">
        <v>45787</v>
      </c>
      <c r="C2671" t="s">
        <v>3904</v>
      </c>
      <c r="D2671" t="s">
        <v>4613</v>
      </c>
      <c r="E2671" t="s">
        <v>4867</v>
      </c>
      <c r="F2671">
        <v>54</v>
      </c>
      <c r="G2671" t="s">
        <v>4878</v>
      </c>
      <c r="H2671" t="s">
        <v>4889</v>
      </c>
      <c r="I2671" t="s">
        <v>4900</v>
      </c>
      <c r="J2671" t="s">
        <v>4913</v>
      </c>
      <c r="K2671" t="s">
        <v>4926</v>
      </c>
      <c r="L2671" t="s">
        <v>4936</v>
      </c>
      <c r="M2671" t="s">
        <v>4943</v>
      </c>
      <c r="N2671" s="11">
        <v>5788.45</v>
      </c>
      <c r="O2671" t="s">
        <v>15</v>
      </c>
      <c r="P2671" t="s">
        <v>4952</v>
      </c>
      <c r="R2671">
        <v>30</v>
      </c>
      <c r="S2671" t="str">
        <f t="shared" si="124"/>
        <v>Middle-Aged</v>
      </c>
      <c r="T2671" t="str">
        <f t="shared" si="125"/>
        <v>Medium</v>
      </c>
      <c r="U2671" t="str">
        <f t="shared" si="126"/>
        <v>Short Days</v>
      </c>
    </row>
    <row r="2672" spans="1:21">
      <c r="A2672" t="s">
        <v>2688</v>
      </c>
      <c r="B2672" s="5">
        <v>45590</v>
      </c>
      <c r="C2672" t="s">
        <v>4254</v>
      </c>
      <c r="D2672" t="s">
        <v>4840</v>
      </c>
      <c r="E2672" t="s">
        <v>4867</v>
      </c>
      <c r="F2672">
        <v>7</v>
      </c>
      <c r="G2672" t="s">
        <v>4879</v>
      </c>
      <c r="H2672" t="s">
        <v>4888</v>
      </c>
      <c r="I2672" t="s">
        <v>4901</v>
      </c>
      <c r="J2672" t="s">
        <v>4914</v>
      </c>
      <c r="K2672" t="s">
        <v>4924</v>
      </c>
      <c r="L2672" t="s">
        <v>4938</v>
      </c>
      <c r="M2672" t="s">
        <v>4942</v>
      </c>
      <c r="N2672" s="11">
        <v>9566.25</v>
      </c>
      <c r="O2672" t="s">
        <v>4948</v>
      </c>
      <c r="P2672" t="s">
        <v>4951</v>
      </c>
      <c r="R2672">
        <v>90</v>
      </c>
      <c r="S2672" t="str">
        <f t="shared" si="124"/>
        <v>Child</v>
      </c>
      <c r="T2672" t="str">
        <f t="shared" si="125"/>
        <v>Medium</v>
      </c>
      <c r="U2672" t="str">
        <f t="shared" si="126"/>
        <v>Short Days</v>
      </c>
    </row>
    <row r="2673" spans="1:21">
      <c r="A2673" t="s">
        <v>2689</v>
      </c>
      <c r="B2673" s="5">
        <v>45555</v>
      </c>
      <c r="C2673" t="s">
        <v>3248</v>
      </c>
      <c r="D2673" t="s">
        <v>4793</v>
      </c>
      <c r="E2673" t="s">
        <v>4867</v>
      </c>
      <c r="F2673">
        <v>33</v>
      </c>
      <c r="G2673" t="s">
        <v>4878</v>
      </c>
      <c r="H2673" t="s">
        <v>4889</v>
      </c>
      <c r="I2673" t="s">
        <v>4902</v>
      </c>
      <c r="J2673" t="s">
        <v>4920</v>
      </c>
      <c r="K2673" t="s">
        <v>4929</v>
      </c>
      <c r="L2673" t="s">
        <v>4941</v>
      </c>
      <c r="M2673" t="s">
        <v>4944</v>
      </c>
      <c r="N2673" s="11">
        <v>9731.0499999999993</v>
      </c>
      <c r="O2673" t="s">
        <v>4946</v>
      </c>
      <c r="P2673" t="s">
        <v>4951</v>
      </c>
      <c r="R2673">
        <v>7</v>
      </c>
      <c r="S2673" t="str">
        <f t="shared" si="124"/>
        <v>Adult</v>
      </c>
      <c r="T2673" t="str">
        <f t="shared" si="125"/>
        <v>Medium</v>
      </c>
      <c r="U2673" t="str">
        <f t="shared" si="126"/>
        <v>Short Days</v>
      </c>
    </row>
    <row r="2674" spans="1:21">
      <c r="A2674" t="s">
        <v>2690</v>
      </c>
      <c r="B2674" s="5">
        <v>45864</v>
      </c>
      <c r="C2674" t="s">
        <v>4210</v>
      </c>
      <c r="D2674" t="s">
        <v>4711</v>
      </c>
      <c r="E2674" t="s">
        <v>4866</v>
      </c>
      <c r="F2674">
        <v>21</v>
      </c>
      <c r="G2674" t="s">
        <v>4873</v>
      </c>
      <c r="H2674" t="s">
        <v>4888</v>
      </c>
      <c r="I2674" t="s">
        <v>4901</v>
      </c>
      <c r="J2674" t="s">
        <v>4921</v>
      </c>
      <c r="K2674" t="s">
        <v>4926</v>
      </c>
      <c r="L2674" t="s">
        <v>4934</v>
      </c>
      <c r="M2674" t="s">
        <v>4944</v>
      </c>
      <c r="N2674" s="11">
        <v>9219.4500000000007</v>
      </c>
      <c r="O2674" t="s">
        <v>4950</v>
      </c>
      <c r="P2674" t="s">
        <v>4951</v>
      </c>
      <c r="R2674">
        <v>7</v>
      </c>
      <c r="S2674" t="str">
        <f t="shared" si="124"/>
        <v>Adult</v>
      </c>
      <c r="T2674" t="str">
        <f t="shared" si="125"/>
        <v>Medium</v>
      </c>
      <c r="U2674" t="str">
        <f t="shared" si="126"/>
        <v>Short Days</v>
      </c>
    </row>
    <row r="2675" spans="1:21">
      <c r="A2675" t="s">
        <v>2691</v>
      </c>
      <c r="B2675" s="5">
        <v>45515</v>
      </c>
      <c r="C2675" t="s">
        <v>3761</v>
      </c>
      <c r="D2675" t="s">
        <v>4631</v>
      </c>
      <c r="E2675" t="s">
        <v>4867</v>
      </c>
      <c r="F2675">
        <v>25</v>
      </c>
      <c r="G2675" t="s">
        <v>4873</v>
      </c>
      <c r="H2675" t="s">
        <v>4888</v>
      </c>
      <c r="I2675" t="s">
        <v>4897</v>
      </c>
      <c r="J2675" t="s">
        <v>4922</v>
      </c>
      <c r="K2675" t="s">
        <v>4927</v>
      </c>
      <c r="L2675" t="s">
        <v>4936</v>
      </c>
      <c r="M2675" t="s">
        <v>4944</v>
      </c>
      <c r="N2675" s="11">
        <v>5901.12</v>
      </c>
      <c r="O2675" t="s">
        <v>4946</v>
      </c>
      <c r="P2675" t="s">
        <v>4951</v>
      </c>
      <c r="R2675">
        <v>90</v>
      </c>
      <c r="S2675" t="str">
        <f t="shared" si="124"/>
        <v>Adult</v>
      </c>
      <c r="T2675" t="str">
        <f t="shared" si="125"/>
        <v>Medium</v>
      </c>
      <c r="U2675" t="str">
        <f t="shared" si="126"/>
        <v>Short Days</v>
      </c>
    </row>
    <row r="2676" spans="1:21">
      <c r="A2676" t="s">
        <v>2692</v>
      </c>
      <c r="B2676" s="5">
        <v>45828</v>
      </c>
      <c r="C2676" t="s">
        <v>3107</v>
      </c>
      <c r="D2676" t="s">
        <v>4757</v>
      </c>
      <c r="E2676" t="s">
        <v>4867</v>
      </c>
      <c r="F2676">
        <v>35</v>
      </c>
      <c r="G2676" t="s">
        <v>4877</v>
      </c>
      <c r="H2676" t="s">
        <v>4888</v>
      </c>
      <c r="I2676" t="s">
        <v>4896</v>
      </c>
      <c r="J2676" t="s">
        <v>4906</v>
      </c>
      <c r="K2676" t="s">
        <v>4928</v>
      </c>
      <c r="L2676" t="s">
        <v>4934</v>
      </c>
      <c r="M2676" t="s">
        <v>4942</v>
      </c>
      <c r="N2676" s="11">
        <v>1754.64</v>
      </c>
      <c r="O2676" t="s">
        <v>4948</v>
      </c>
      <c r="P2676" t="s">
        <v>4951</v>
      </c>
      <c r="S2676" t="str">
        <f t="shared" si="124"/>
        <v>Adult</v>
      </c>
      <c r="T2676" t="str">
        <f t="shared" si="125"/>
        <v>Low</v>
      </c>
      <c r="U2676" t="str">
        <f t="shared" si="126"/>
        <v>Short Days</v>
      </c>
    </row>
    <row r="2677" spans="1:21">
      <c r="A2677" t="s">
        <v>2693</v>
      </c>
      <c r="B2677" s="5">
        <v>45410</v>
      </c>
      <c r="C2677" t="s">
        <v>3546</v>
      </c>
      <c r="D2677" t="s">
        <v>4847</v>
      </c>
      <c r="E2677" t="s">
        <v>4866</v>
      </c>
      <c r="F2677">
        <v>40</v>
      </c>
      <c r="G2677" t="s">
        <v>4873</v>
      </c>
      <c r="H2677" t="s">
        <v>4888</v>
      </c>
      <c r="I2677" t="s">
        <v>4900</v>
      </c>
      <c r="J2677" t="s">
        <v>4913</v>
      </c>
      <c r="K2677" t="s">
        <v>4931</v>
      </c>
      <c r="L2677" t="s">
        <v>4937</v>
      </c>
      <c r="M2677" t="s">
        <v>4942</v>
      </c>
      <c r="N2677" s="11">
        <v>604.32000000000005</v>
      </c>
      <c r="O2677" t="s">
        <v>4947</v>
      </c>
      <c r="P2677" t="s">
        <v>4951</v>
      </c>
      <c r="S2677" t="str">
        <f t="shared" si="124"/>
        <v>Adult</v>
      </c>
      <c r="T2677" t="str">
        <f t="shared" si="125"/>
        <v>Low</v>
      </c>
      <c r="U2677" t="str">
        <f t="shared" si="126"/>
        <v>Short Days</v>
      </c>
    </row>
    <row r="2678" spans="1:21">
      <c r="A2678" t="s">
        <v>2694</v>
      </c>
      <c r="B2678" s="5">
        <v>45490</v>
      </c>
      <c r="C2678" t="s">
        <v>3184</v>
      </c>
      <c r="D2678" t="s">
        <v>4809</v>
      </c>
      <c r="E2678" t="s">
        <v>4866</v>
      </c>
      <c r="F2678">
        <v>48</v>
      </c>
      <c r="G2678" t="s">
        <v>4879</v>
      </c>
      <c r="H2678" t="s">
        <v>4888</v>
      </c>
      <c r="I2678" t="s">
        <v>4898</v>
      </c>
      <c r="J2678" t="s">
        <v>4918</v>
      </c>
      <c r="K2678" t="s">
        <v>4931</v>
      </c>
      <c r="L2678" t="s">
        <v>4936</v>
      </c>
      <c r="M2678" t="s">
        <v>4944</v>
      </c>
      <c r="N2678" s="11">
        <v>6710.33</v>
      </c>
      <c r="O2678" t="s">
        <v>4947</v>
      </c>
      <c r="P2678" t="s">
        <v>4951</v>
      </c>
      <c r="S2678" t="str">
        <f t="shared" si="124"/>
        <v>Middle-Aged</v>
      </c>
      <c r="T2678" t="str">
        <f t="shared" si="125"/>
        <v>Medium</v>
      </c>
      <c r="U2678" t="str">
        <f t="shared" si="126"/>
        <v>Short Days</v>
      </c>
    </row>
    <row r="2679" spans="1:21">
      <c r="A2679" t="s">
        <v>2695</v>
      </c>
      <c r="B2679" s="5">
        <v>45503</v>
      </c>
      <c r="C2679" t="s">
        <v>3524</v>
      </c>
      <c r="D2679" t="s">
        <v>4595</v>
      </c>
      <c r="E2679" t="s">
        <v>4867</v>
      </c>
      <c r="F2679">
        <v>20</v>
      </c>
      <c r="G2679" t="s">
        <v>4872</v>
      </c>
      <c r="H2679" t="s">
        <v>4887</v>
      </c>
      <c r="I2679" t="s">
        <v>4895</v>
      </c>
      <c r="J2679" t="s">
        <v>4915</v>
      </c>
      <c r="K2679" t="s">
        <v>4927</v>
      </c>
      <c r="L2679" t="s">
        <v>4939</v>
      </c>
      <c r="M2679" t="s">
        <v>4942</v>
      </c>
      <c r="N2679" s="11">
        <v>2512.89</v>
      </c>
      <c r="O2679" t="s">
        <v>15</v>
      </c>
      <c r="P2679" t="s">
        <v>4952</v>
      </c>
      <c r="R2679">
        <v>14</v>
      </c>
      <c r="S2679" t="str">
        <f t="shared" si="124"/>
        <v>Adult</v>
      </c>
      <c r="T2679" t="str">
        <f t="shared" si="125"/>
        <v>Low</v>
      </c>
      <c r="U2679" t="str">
        <f t="shared" si="126"/>
        <v>Short Days</v>
      </c>
    </row>
    <row r="2680" spans="1:21">
      <c r="A2680" t="s">
        <v>2696</v>
      </c>
      <c r="B2680" s="5">
        <v>45329</v>
      </c>
      <c r="C2680" t="s">
        <v>3713</v>
      </c>
      <c r="D2680" t="s">
        <v>4688</v>
      </c>
      <c r="E2680" t="s">
        <v>4867</v>
      </c>
      <c r="F2680">
        <v>43</v>
      </c>
      <c r="G2680" t="s">
        <v>4877</v>
      </c>
      <c r="H2680" t="s">
        <v>4888</v>
      </c>
      <c r="I2680" t="s">
        <v>4895</v>
      </c>
      <c r="J2680" t="s">
        <v>4915</v>
      </c>
      <c r="K2680" t="s">
        <v>4933</v>
      </c>
      <c r="L2680" t="s">
        <v>4939</v>
      </c>
      <c r="M2680" t="s">
        <v>4942</v>
      </c>
      <c r="N2680" s="11">
        <v>7041.68</v>
      </c>
      <c r="O2680" t="s">
        <v>15</v>
      </c>
      <c r="P2680" t="s">
        <v>4952</v>
      </c>
      <c r="R2680">
        <v>14</v>
      </c>
      <c r="S2680" t="str">
        <f t="shared" si="124"/>
        <v>Middle-Aged</v>
      </c>
      <c r="T2680" t="str">
        <f t="shared" si="125"/>
        <v>Medium</v>
      </c>
      <c r="U2680" t="str">
        <f t="shared" si="126"/>
        <v>Short Days</v>
      </c>
    </row>
    <row r="2681" spans="1:21">
      <c r="A2681" t="s">
        <v>2697</v>
      </c>
      <c r="B2681" s="5">
        <v>45663</v>
      </c>
      <c r="C2681" t="s">
        <v>4498</v>
      </c>
      <c r="D2681" t="s">
        <v>4716</v>
      </c>
      <c r="E2681" t="s">
        <v>4866</v>
      </c>
      <c r="F2681">
        <v>10</v>
      </c>
      <c r="G2681" t="s">
        <v>4875</v>
      </c>
      <c r="H2681" t="s">
        <v>4889</v>
      </c>
      <c r="I2681" t="s">
        <v>4896</v>
      </c>
      <c r="J2681" t="s">
        <v>4908</v>
      </c>
      <c r="K2681" t="s">
        <v>4926</v>
      </c>
      <c r="L2681" t="s">
        <v>4939</v>
      </c>
      <c r="M2681" t="s">
        <v>4942</v>
      </c>
      <c r="N2681" s="11">
        <v>1309.6500000000001</v>
      </c>
      <c r="O2681" t="s">
        <v>15</v>
      </c>
      <c r="P2681" t="s">
        <v>4952</v>
      </c>
      <c r="R2681">
        <v>30</v>
      </c>
      <c r="S2681" t="str">
        <f t="shared" si="124"/>
        <v>Child</v>
      </c>
      <c r="T2681" t="str">
        <f t="shared" si="125"/>
        <v>Low</v>
      </c>
      <c r="U2681" t="str">
        <f t="shared" si="126"/>
        <v>Short Days</v>
      </c>
    </row>
    <row r="2682" spans="1:21">
      <c r="A2682" t="s">
        <v>2698</v>
      </c>
      <c r="B2682" s="5">
        <v>45961</v>
      </c>
      <c r="C2682" t="s">
        <v>3427</v>
      </c>
      <c r="D2682" t="s">
        <v>4768</v>
      </c>
      <c r="E2682" t="s">
        <v>4866</v>
      </c>
      <c r="F2682">
        <v>59</v>
      </c>
      <c r="G2682" t="s">
        <v>4869</v>
      </c>
      <c r="H2682" t="s">
        <v>4884</v>
      </c>
      <c r="I2682" t="s">
        <v>4894</v>
      </c>
      <c r="J2682" t="s">
        <v>4904</v>
      </c>
      <c r="K2682" t="s">
        <v>4930</v>
      </c>
      <c r="L2682" t="s">
        <v>4940</v>
      </c>
      <c r="M2682" t="s">
        <v>4944</v>
      </c>
      <c r="N2682" s="11">
        <v>7848.54</v>
      </c>
      <c r="O2682" t="s">
        <v>4949</v>
      </c>
      <c r="P2682" t="s">
        <v>4951</v>
      </c>
      <c r="S2682" t="str">
        <f t="shared" si="124"/>
        <v>Middle-Aged</v>
      </c>
      <c r="T2682" t="str">
        <f t="shared" si="125"/>
        <v>Medium</v>
      </c>
      <c r="U2682" t="str">
        <f t="shared" si="126"/>
        <v>Short Days</v>
      </c>
    </row>
    <row r="2683" spans="1:21">
      <c r="A2683" t="s">
        <v>2699</v>
      </c>
      <c r="B2683" s="5">
        <v>45465</v>
      </c>
      <c r="C2683" t="s">
        <v>4158</v>
      </c>
      <c r="D2683" t="s">
        <v>4595</v>
      </c>
      <c r="E2683" t="s">
        <v>4866</v>
      </c>
      <c r="F2683">
        <v>27</v>
      </c>
      <c r="G2683" t="s">
        <v>4880</v>
      </c>
      <c r="H2683" t="s">
        <v>4890</v>
      </c>
      <c r="I2683" t="s">
        <v>4894</v>
      </c>
      <c r="J2683" t="s">
        <v>4904</v>
      </c>
      <c r="K2683" t="s">
        <v>4931</v>
      </c>
      <c r="L2683" t="s">
        <v>4938</v>
      </c>
      <c r="M2683" t="s">
        <v>4942</v>
      </c>
      <c r="N2683" s="11">
        <v>17965.900000000001</v>
      </c>
      <c r="O2683" t="s">
        <v>4949</v>
      </c>
      <c r="P2683" t="s">
        <v>4951</v>
      </c>
      <c r="S2683" t="str">
        <f t="shared" si="124"/>
        <v>Adult</v>
      </c>
      <c r="T2683" t="str">
        <f t="shared" si="125"/>
        <v>High</v>
      </c>
      <c r="U2683" t="str">
        <f t="shared" si="126"/>
        <v>Short Days</v>
      </c>
    </row>
    <row r="2684" spans="1:21">
      <c r="A2684" t="s">
        <v>2700</v>
      </c>
      <c r="B2684" s="5">
        <v>45347</v>
      </c>
      <c r="C2684" t="s">
        <v>3207</v>
      </c>
      <c r="D2684" t="s">
        <v>4791</v>
      </c>
      <c r="E2684" t="s">
        <v>4866</v>
      </c>
      <c r="F2684">
        <v>45</v>
      </c>
      <c r="G2684" t="s">
        <v>4879</v>
      </c>
      <c r="H2684" t="s">
        <v>4888</v>
      </c>
      <c r="I2684" t="s">
        <v>4898</v>
      </c>
      <c r="J2684" t="s">
        <v>4909</v>
      </c>
      <c r="K2684" t="s">
        <v>4932</v>
      </c>
      <c r="L2684" t="s">
        <v>4940</v>
      </c>
      <c r="M2684" t="s">
        <v>4942</v>
      </c>
      <c r="N2684" s="11">
        <v>1380.66</v>
      </c>
      <c r="O2684" t="s">
        <v>4947</v>
      </c>
      <c r="P2684" t="s">
        <v>4951</v>
      </c>
      <c r="S2684" t="str">
        <f t="shared" si="124"/>
        <v>Middle-Aged</v>
      </c>
      <c r="T2684" t="str">
        <f t="shared" si="125"/>
        <v>Low</v>
      </c>
      <c r="U2684" t="str">
        <f t="shared" si="126"/>
        <v>Short Days</v>
      </c>
    </row>
    <row r="2685" spans="1:21">
      <c r="A2685" t="s">
        <v>2701</v>
      </c>
      <c r="B2685" s="5">
        <v>45966</v>
      </c>
      <c r="C2685" t="s">
        <v>4499</v>
      </c>
      <c r="D2685" t="s">
        <v>4847</v>
      </c>
      <c r="E2685" t="s">
        <v>4867</v>
      </c>
      <c r="F2685">
        <v>50</v>
      </c>
      <c r="G2685" t="s">
        <v>4878</v>
      </c>
      <c r="H2685" t="s">
        <v>4889</v>
      </c>
      <c r="I2685" t="s">
        <v>4895</v>
      </c>
      <c r="J2685" t="s">
        <v>4915</v>
      </c>
      <c r="K2685" t="s">
        <v>4930</v>
      </c>
      <c r="L2685" t="s">
        <v>4940</v>
      </c>
      <c r="M2685" t="s">
        <v>4944</v>
      </c>
      <c r="N2685" s="11">
        <v>7240.96</v>
      </c>
      <c r="O2685" t="s">
        <v>4948</v>
      </c>
      <c r="P2685" t="s">
        <v>4951</v>
      </c>
      <c r="S2685" t="str">
        <f t="shared" si="124"/>
        <v>Middle-Aged</v>
      </c>
      <c r="T2685" t="str">
        <f t="shared" si="125"/>
        <v>Medium</v>
      </c>
      <c r="U2685" t="str">
        <f t="shared" si="126"/>
        <v>Short Days</v>
      </c>
    </row>
    <row r="2686" spans="1:21">
      <c r="A2686" t="s">
        <v>2702</v>
      </c>
      <c r="B2686" s="5">
        <v>45440</v>
      </c>
      <c r="C2686" t="s">
        <v>4500</v>
      </c>
      <c r="D2686" t="s">
        <v>4865</v>
      </c>
      <c r="E2686" t="s">
        <v>4867</v>
      </c>
      <c r="F2686">
        <v>61</v>
      </c>
      <c r="G2686" t="s">
        <v>4874</v>
      </c>
      <c r="H2686" t="s">
        <v>4886</v>
      </c>
      <c r="I2686" t="s">
        <v>4900</v>
      </c>
      <c r="J2686" t="s">
        <v>4913</v>
      </c>
      <c r="K2686" t="s">
        <v>4927</v>
      </c>
      <c r="L2686" t="s">
        <v>4940</v>
      </c>
      <c r="M2686" t="s">
        <v>4944</v>
      </c>
      <c r="N2686" s="11">
        <v>10075.32</v>
      </c>
      <c r="O2686" t="s">
        <v>4946</v>
      </c>
      <c r="P2686" t="s">
        <v>4951</v>
      </c>
      <c r="R2686">
        <v>7</v>
      </c>
      <c r="S2686" t="str">
        <f t="shared" si="124"/>
        <v>Senior</v>
      </c>
      <c r="T2686" t="str">
        <f t="shared" si="125"/>
        <v>High</v>
      </c>
      <c r="U2686" t="str">
        <f t="shared" si="126"/>
        <v>Short Days</v>
      </c>
    </row>
    <row r="2687" spans="1:21">
      <c r="A2687" t="s">
        <v>2703</v>
      </c>
      <c r="B2687" s="5">
        <v>45863</v>
      </c>
      <c r="C2687" t="s">
        <v>4501</v>
      </c>
      <c r="D2687" t="s">
        <v>4658</v>
      </c>
      <c r="E2687" t="s">
        <v>4866</v>
      </c>
      <c r="F2687">
        <v>32</v>
      </c>
      <c r="G2687" t="s">
        <v>4871</v>
      </c>
      <c r="H2687" t="s">
        <v>4886</v>
      </c>
      <c r="I2687" t="s">
        <v>4898</v>
      </c>
      <c r="J2687" t="s">
        <v>4909</v>
      </c>
      <c r="K2687" t="s">
        <v>4933</v>
      </c>
      <c r="L2687" t="s">
        <v>4939</v>
      </c>
      <c r="M2687" t="s">
        <v>4942</v>
      </c>
      <c r="N2687" s="11">
        <v>3124.7</v>
      </c>
      <c r="O2687" t="s">
        <v>4949</v>
      </c>
      <c r="P2687" t="s">
        <v>4951</v>
      </c>
      <c r="R2687">
        <v>7</v>
      </c>
      <c r="S2687" t="str">
        <f t="shared" si="124"/>
        <v>Adult</v>
      </c>
      <c r="T2687" t="str">
        <f t="shared" si="125"/>
        <v>Low</v>
      </c>
      <c r="U2687" t="str">
        <f t="shared" si="126"/>
        <v>Short Days</v>
      </c>
    </row>
    <row r="2688" spans="1:21">
      <c r="A2688" t="s">
        <v>2704</v>
      </c>
      <c r="B2688" s="5">
        <v>45355</v>
      </c>
      <c r="C2688" t="s">
        <v>4390</v>
      </c>
      <c r="D2688" t="s">
        <v>4775</v>
      </c>
      <c r="E2688" t="s">
        <v>4867</v>
      </c>
      <c r="F2688">
        <v>56</v>
      </c>
      <c r="G2688" t="s">
        <v>4880</v>
      </c>
      <c r="H2688" t="s">
        <v>4890</v>
      </c>
      <c r="I2688" t="s">
        <v>4900</v>
      </c>
      <c r="J2688" t="s">
        <v>4913</v>
      </c>
      <c r="K2688" t="s">
        <v>4926</v>
      </c>
      <c r="L2688" t="s">
        <v>4938</v>
      </c>
      <c r="M2688" t="s">
        <v>4942</v>
      </c>
      <c r="N2688" s="11">
        <v>11396.73</v>
      </c>
      <c r="O2688" t="s">
        <v>4948</v>
      </c>
      <c r="P2688" t="s">
        <v>4951</v>
      </c>
      <c r="S2688" t="str">
        <f t="shared" si="124"/>
        <v>Middle-Aged</v>
      </c>
      <c r="T2688" t="str">
        <f t="shared" si="125"/>
        <v>High</v>
      </c>
      <c r="U2688" t="str">
        <f t="shared" si="126"/>
        <v>Short Days</v>
      </c>
    </row>
    <row r="2689" spans="1:21">
      <c r="A2689" t="s">
        <v>2705</v>
      </c>
      <c r="B2689" s="5">
        <v>45306</v>
      </c>
      <c r="C2689" t="s">
        <v>3876</v>
      </c>
      <c r="D2689" t="s">
        <v>4775</v>
      </c>
      <c r="E2689" t="s">
        <v>4867</v>
      </c>
      <c r="F2689">
        <v>22</v>
      </c>
      <c r="G2689" t="s">
        <v>4871</v>
      </c>
      <c r="H2689" t="s">
        <v>4886</v>
      </c>
      <c r="I2689" t="s">
        <v>4901</v>
      </c>
      <c r="J2689" t="s">
        <v>4914</v>
      </c>
      <c r="K2689" t="s">
        <v>4924</v>
      </c>
      <c r="L2689" t="s">
        <v>4940</v>
      </c>
      <c r="M2689" t="s">
        <v>4942</v>
      </c>
      <c r="N2689" s="11">
        <v>4184.6000000000004</v>
      </c>
      <c r="O2689" t="s">
        <v>4946</v>
      </c>
      <c r="P2689" t="s">
        <v>4951</v>
      </c>
      <c r="R2689">
        <v>30</v>
      </c>
      <c r="S2689" t="str">
        <f t="shared" si="124"/>
        <v>Adult</v>
      </c>
      <c r="T2689" t="str">
        <f t="shared" si="125"/>
        <v>Low</v>
      </c>
      <c r="U2689" t="str">
        <f t="shared" si="126"/>
        <v>Short Days</v>
      </c>
    </row>
    <row r="2690" spans="1:21">
      <c r="A2690" t="s">
        <v>2706</v>
      </c>
      <c r="B2690" s="5">
        <v>45467</v>
      </c>
      <c r="C2690" t="s">
        <v>4281</v>
      </c>
      <c r="D2690" t="s">
        <v>4856</v>
      </c>
      <c r="E2690" t="s">
        <v>4866</v>
      </c>
      <c r="F2690">
        <v>32</v>
      </c>
      <c r="G2690" t="s">
        <v>4869</v>
      </c>
      <c r="H2690" t="s">
        <v>4884</v>
      </c>
      <c r="I2690" t="s">
        <v>4895</v>
      </c>
      <c r="J2690" t="s">
        <v>4915</v>
      </c>
      <c r="K2690" t="s">
        <v>4926</v>
      </c>
      <c r="L2690" t="s">
        <v>4939</v>
      </c>
      <c r="M2690" t="s">
        <v>4945</v>
      </c>
      <c r="N2690" s="11">
        <v>9138.5400000000009</v>
      </c>
      <c r="O2690" t="s">
        <v>15</v>
      </c>
      <c r="P2690" t="s">
        <v>4952</v>
      </c>
      <c r="Q2690">
        <v>4</v>
      </c>
      <c r="R2690">
        <v>14</v>
      </c>
      <c r="S2690" t="str">
        <f t="shared" si="124"/>
        <v>Adult</v>
      </c>
      <c r="T2690" t="str">
        <f t="shared" si="125"/>
        <v>Medium</v>
      </c>
      <c r="U2690" t="str">
        <f t="shared" si="126"/>
        <v>Short Days</v>
      </c>
    </row>
    <row r="2691" spans="1:21">
      <c r="A2691" t="s">
        <v>2707</v>
      </c>
      <c r="B2691" s="5">
        <v>45315</v>
      </c>
      <c r="C2691" t="s">
        <v>3360</v>
      </c>
      <c r="D2691" t="s">
        <v>4689</v>
      </c>
      <c r="E2691" t="s">
        <v>4867</v>
      </c>
      <c r="F2691">
        <v>37</v>
      </c>
      <c r="G2691" t="s">
        <v>4875</v>
      </c>
      <c r="H2691" t="s">
        <v>4889</v>
      </c>
      <c r="I2691" t="s">
        <v>4897</v>
      </c>
      <c r="J2691" t="s">
        <v>4907</v>
      </c>
      <c r="K2691" t="s">
        <v>4926</v>
      </c>
      <c r="L2691" t="s">
        <v>4937</v>
      </c>
      <c r="M2691" t="s">
        <v>4942</v>
      </c>
      <c r="N2691" s="11">
        <v>2205.1799999999998</v>
      </c>
      <c r="O2691" t="s">
        <v>4949</v>
      </c>
      <c r="P2691" t="s">
        <v>4951</v>
      </c>
      <c r="S2691" t="str">
        <f t="shared" ref="S2691:S2754" si="127">IF(F2691&lt;18,"Child",IF(F2691&lt;=40,"Adult",IF(F2691&lt;=60,"Middle-Aged",IF(F2691,"Senior"))))</f>
        <v>Adult</v>
      </c>
      <c r="T2691" t="str">
        <f t="shared" ref="T2691:T2754" si="128">IF(N2691&lt;=5000,"Low",IF(N2691&lt;=10000,"Medium","High"))</f>
        <v>Low</v>
      </c>
      <c r="U2691" t="str">
        <f t="shared" ref="U2691:U2754" si="129">IF(Q2691&lt;=5,"Short Days","Long Days")</f>
        <v>Short Days</v>
      </c>
    </row>
    <row r="2692" spans="1:21">
      <c r="A2692" t="s">
        <v>2708</v>
      </c>
      <c r="B2692" s="5">
        <v>45507</v>
      </c>
      <c r="C2692" t="s">
        <v>3146</v>
      </c>
      <c r="D2692" t="s">
        <v>4735</v>
      </c>
      <c r="E2692" t="s">
        <v>4867</v>
      </c>
      <c r="F2692">
        <v>22</v>
      </c>
      <c r="G2692" t="s">
        <v>4882</v>
      </c>
      <c r="H2692" t="s">
        <v>4891</v>
      </c>
      <c r="I2692" t="s">
        <v>4901</v>
      </c>
      <c r="J2692" t="s">
        <v>4914</v>
      </c>
      <c r="K2692" t="s">
        <v>4931</v>
      </c>
      <c r="L2692" t="s">
        <v>4939</v>
      </c>
      <c r="M2692" t="s">
        <v>4945</v>
      </c>
      <c r="N2692" s="11">
        <v>11059.83</v>
      </c>
      <c r="O2692" t="s">
        <v>4946</v>
      </c>
      <c r="P2692" t="s">
        <v>4951</v>
      </c>
      <c r="Q2692">
        <v>6</v>
      </c>
      <c r="R2692">
        <v>30</v>
      </c>
      <c r="S2692" t="str">
        <f t="shared" si="127"/>
        <v>Adult</v>
      </c>
      <c r="T2692" t="str">
        <f t="shared" si="128"/>
        <v>High</v>
      </c>
      <c r="U2692" t="str">
        <f t="shared" si="129"/>
        <v>Long Days</v>
      </c>
    </row>
    <row r="2693" spans="1:21">
      <c r="A2693" t="s">
        <v>2709</v>
      </c>
      <c r="B2693" s="5">
        <v>45637</v>
      </c>
      <c r="C2693" t="s">
        <v>3543</v>
      </c>
      <c r="D2693" t="s">
        <v>4828</v>
      </c>
      <c r="E2693" t="s">
        <v>4867</v>
      </c>
      <c r="F2693">
        <v>41</v>
      </c>
      <c r="G2693" t="s">
        <v>4869</v>
      </c>
      <c r="H2693" t="s">
        <v>4884</v>
      </c>
      <c r="I2693" t="s">
        <v>4900</v>
      </c>
      <c r="J2693" t="s">
        <v>4919</v>
      </c>
      <c r="K2693" t="s">
        <v>4933</v>
      </c>
      <c r="L2693" t="s">
        <v>4934</v>
      </c>
      <c r="M2693" t="s">
        <v>4944</v>
      </c>
      <c r="N2693" s="11">
        <v>8159.97</v>
      </c>
      <c r="O2693" t="s">
        <v>15</v>
      </c>
      <c r="P2693" t="s">
        <v>4952</v>
      </c>
      <c r="R2693">
        <v>90</v>
      </c>
      <c r="S2693" t="str">
        <f t="shared" si="127"/>
        <v>Middle-Aged</v>
      </c>
      <c r="T2693" t="str">
        <f t="shared" si="128"/>
        <v>Medium</v>
      </c>
      <c r="U2693" t="str">
        <f t="shared" si="129"/>
        <v>Short Days</v>
      </c>
    </row>
    <row r="2694" spans="1:21">
      <c r="A2694" t="s">
        <v>2710</v>
      </c>
      <c r="B2694" s="5">
        <v>45582</v>
      </c>
      <c r="C2694" t="s">
        <v>3796</v>
      </c>
      <c r="D2694" t="s">
        <v>4751</v>
      </c>
      <c r="E2694" t="s">
        <v>4866</v>
      </c>
      <c r="F2694">
        <v>35</v>
      </c>
      <c r="G2694" t="s">
        <v>4874</v>
      </c>
      <c r="H2694" t="s">
        <v>4886</v>
      </c>
      <c r="I2694" t="s">
        <v>4893</v>
      </c>
      <c r="J2694" t="s">
        <v>4917</v>
      </c>
      <c r="K2694" t="s">
        <v>4930</v>
      </c>
      <c r="L2694" t="s">
        <v>4940</v>
      </c>
      <c r="M2694" t="s">
        <v>4943</v>
      </c>
      <c r="N2694" s="11">
        <v>5098.09</v>
      </c>
      <c r="O2694" t="s">
        <v>4947</v>
      </c>
      <c r="P2694" t="s">
        <v>4951</v>
      </c>
      <c r="R2694">
        <v>30</v>
      </c>
      <c r="S2694" t="str">
        <f t="shared" si="127"/>
        <v>Adult</v>
      </c>
      <c r="T2694" t="str">
        <f t="shared" si="128"/>
        <v>Medium</v>
      </c>
      <c r="U2694" t="str">
        <f t="shared" si="129"/>
        <v>Short Days</v>
      </c>
    </row>
    <row r="2695" spans="1:21">
      <c r="A2695" t="s">
        <v>2711</v>
      </c>
      <c r="B2695" s="5">
        <v>45371</v>
      </c>
      <c r="C2695" t="s">
        <v>4196</v>
      </c>
      <c r="D2695" t="s">
        <v>4770</v>
      </c>
      <c r="E2695" t="s">
        <v>4866</v>
      </c>
      <c r="F2695">
        <v>47</v>
      </c>
      <c r="G2695" t="s">
        <v>4878</v>
      </c>
      <c r="H2695" t="s">
        <v>4889</v>
      </c>
      <c r="I2695" t="s">
        <v>4899</v>
      </c>
      <c r="J2695" t="s">
        <v>4912</v>
      </c>
      <c r="K2695" t="s">
        <v>4933</v>
      </c>
      <c r="L2695" t="s">
        <v>4939</v>
      </c>
      <c r="M2695" t="s">
        <v>4942</v>
      </c>
      <c r="N2695" s="11">
        <v>2435.69</v>
      </c>
      <c r="O2695" t="s">
        <v>4947</v>
      </c>
      <c r="P2695" t="s">
        <v>4951</v>
      </c>
      <c r="R2695">
        <v>30</v>
      </c>
      <c r="S2695" t="str">
        <f t="shared" si="127"/>
        <v>Middle-Aged</v>
      </c>
      <c r="T2695" t="str">
        <f t="shared" si="128"/>
        <v>Low</v>
      </c>
      <c r="U2695" t="str">
        <f t="shared" si="129"/>
        <v>Short Days</v>
      </c>
    </row>
    <row r="2696" spans="1:21">
      <c r="A2696" t="s">
        <v>2712</v>
      </c>
      <c r="B2696" s="5">
        <v>45580</v>
      </c>
      <c r="C2696" t="s">
        <v>3815</v>
      </c>
      <c r="D2696" t="s">
        <v>4651</v>
      </c>
      <c r="E2696" t="s">
        <v>4867</v>
      </c>
      <c r="F2696">
        <v>41</v>
      </c>
      <c r="G2696" t="s">
        <v>4870</v>
      </c>
      <c r="H2696" t="s">
        <v>4885</v>
      </c>
      <c r="I2696" t="s">
        <v>4902</v>
      </c>
      <c r="J2696" t="s">
        <v>4916</v>
      </c>
      <c r="K2696" t="s">
        <v>4928</v>
      </c>
      <c r="L2696" t="s">
        <v>4939</v>
      </c>
      <c r="M2696" t="s">
        <v>4944</v>
      </c>
      <c r="N2696" s="11">
        <v>11617.04</v>
      </c>
      <c r="O2696" t="s">
        <v>15</v>
      </c>
      <c r="P2696" t="s">
        <v>4952</v>
      </c>
      <c r="S2696" t="str">
        <f t="shared" si="127"/>
        <v>Middle-Aged</v>
      </c>
      <c r="T2696" t="str">
        <f t="shared" si="128"/>
        <v>High</v>
      </c>
      <c r="U2696" t="str">
        <f t="shared" si="129"/>
        <v>Short Days</v>
      </c>
    </row>
    <row r="2697" spans="1:21">
      <c r="A2697" t="s">
        <v>2713</v>
      </c>
      <c r="B2697" s="5">
        <v>45478</v>
      </c>
      <c r="C2697" t="s">
        <v>3926</v>
      </c>
      <c r="D2697" t="s">
        <v>4847</v>
      </c>
      <c r="E2697" t="s">
        <v>4867</v>
      </c>
      <c r="F2697">
        <v>45</v>
      </c>
      <c r="G2697" t="s">
        <v>4876</v>
      </c>
      <c r="H2697" t="s">
        <v>4888</v>
      </c>
      <c r="I2697" t="s">
        <v>4896</v>
      </c>
      <c r="J2697" t="s">
        <v>4906</v>
      </c>
      <c r="K2697" t="s">
        <v>4932</v>
      </c>
      <c r="L2697" t="s">
        <v>4940</v>
      </c>
      <c r="M2697" t="s">
        <v>4942</v>
      </c>
      <c r="N2697" s="11">
        <v>12985.41</v>
      </c>
      <c r="O2697" t="s">
        <v>4947</v>
      </c>
      <c r="P2697" t="s">
        <v>4951</v>
      </c>
      <c r="S2697" t="str">
        <f t="shared" si="127"/>
        <v>Middle-Aged</v>
      </c>
      <c r="T2697" t="str">
        <f t="shared" si="128"/>
        <v>High</v>
      </c>
      <c r="U2697" t="str">
        <f t="shared" si="129"/>
        <v>Short Days</v>
      </c>
    </row>
    <row r="2698" spans="1:21">
      <c r="A2698" t="s">
        <v>2714</v>
      </c>
      <c r="B2698" s="5">
        <v>45768</v>
      </c>
      <c r="C2698" t="s">
        <v>4502</v>
      </c>
      <c r="D2698" t="s">
        <v>4702</v>
      </c>
      <c r="E2698" t="s">
        <v>4867</v>
      </c>
      <c r="F2698">
        <v>4</v>
      </c>
      <c r="G2698" t="s">
        <v>4877</v>
      </c>
      <c r="H2698" t="s">
        <v>4888</v>
      </c>
      <c r="I2698" t="s">
        <v>4902</v>
      </c>
      <c r="J2698" t="s">
        <v>4920</v>
      </c>
      <c r="K2698" t="s">
        <v>4932</v>
      </c>
      <c r="L2698" t="s">
        <v>4935</v>
      </c>
      <c r="M2698" t="s">
        <v>4942</v>
      </c>
      <c r="N2698" s="11">
        <v>13611.09</v>
      </c>
      <c r="O2698" t="s">
        <v>15</v>
      </c>
      <c r="P2698" t="s">
        <v>4952</v>
      </c>
      <c r="R2698">
        <v>90</v>
      </c>
      <c r="S2698" t="str">
        <f t="shared" si="127"/>
        <v>Child</v>
      </c>
      <c r="T2698" t="str">
        <f t="shared" si="128"/>
        <v>High</v>
      </c>
      <c r="U2698" t="str">
        <f t="shared" si="129"/>
        <v>Short Days</v>
      </c>
    </row>
    <row r="2699" spans="1:21">
      <c r="A2699" t="s">
        <v>2715</v>
      </c>
      <c r="B2699" s="5">
        <v>45481</v>
      </c>
      <c r="C2699" t="s">
        <v>4318</v>
      </c>
      <c r="D2699" t="s">
        <v>4618</v>
      </c>
      <c r="E2699" t="s">
        <v>4866</v>
      </c>
      <c r="F2699">
        <v>73</v>
      </c>
      <c r="G2699" t="s">
        <v>4876</v>
      </c>
      <c r="H2699" t="s">
        <v>4888</v>
      </c>
      <c r="I2699" t="s">
        <v>4902</v>
      </c>
      <c r="J2699" t="s">
        <v>4916</v>
      </c>
      <c r="K2699" t="s">
        <v>4928</v>
      </c>
      <c r="L2699" t="s">
        <v>4936</v>
      </c>
      <c r="M2699" t="s">
        <v>4944</v>
      </c>
      <c r="N2699" s="11">
        <v>5284.87</v>
      </c>
      <c r="O2699" t="s">
        <v>15</v>
      </c>
      <c r="P2699" t="s">
        <v>4952</v>
      </c>
      <c r="R2699">
        <v>7</v>
      </c>
      <c r="S2699" t="str">
        <f t="shared" si="127"/>
        <v>Senior</v>
      </c>
      <c r="T2699" t="str">
        <f t="shared" si="128"/>
        <v>Medium</v>
      </c>
      <c r="U2699" t="str">
        <f t="shared" si="129"/>
        <v>Short Days</v>
      </c>
    </row>
    <row r="2700" spans="1:21">
      <c r="A2700" t="s">
        <v>2716</v>
      </c>
      <c r="B2700" s="5">
        <v>45593</v>
      </c>
      <c r="C2700" t="s">
        <v>3675</v>
      </c>
      <c r="D2700" t="s">
        <v>4819</v>
      </c>
      <c r="E2700" t="s">
        <v>4867</v>
      </c>
      <c r="F2700">
        <v>34</v>
      </c>
      <c r="G2700" t="s">
        <v>4870</v>
      </c>
      <c r="H2700" t="s">
        <v>4885</v>
      </c>
      <c r="I2700" t="s">
        <v>4899</v>
      </c>
      <c r="J2700" t="s">
        <v>4911</v>
      </c>
      <c r="K2700" t="s">
        <v>4930</v>
      </c>
      <c r="L2700" t="s">
        <v>4937</v>
      </c>
      <c r="M2700" t="s">
        <v>4942</v>
      </c>
      <c r="N2700" s="11">
        <v>1579.98</v>
      </c>
      <c r="O2700" t="s">
        <v>4946</v>
      </c>
      <c r="P2700" t="s">
        <v>4951</v>
      </c>
      <c r="R2700">
        <v>14</v>
      </c>
      <c r="S2700" t="str">
        <f t="shared" si="127"/>
        <v>Adult</v>
      </c>
      <c r="T2700" t="str">
        <f t="shared" si="128"/>
        <v>Low</v>
      </c>
      <c r="U2700" t="str">
        <f t="shared" si="129"/>
        <v>Short Days</v>
      </c>
    </row>
    <row r="2701" spans="1:21">
      <c r="A2701" t="s">
        <v>2717</v>
      </c>
      <c r="B2701" s="5">
        <v>45441</v>
      </c>
      <c r="C2701" t="s">
        <v>4340</v>
      </c>
      <c r="D2701" t="s">
        <v>4668</v>
      </c>
      <c r="E2701" t="s">
        <v>4866</v>
      </c>
      <c r="F2701">
        <v>53</v>
      </c>
      <c r="G2701" t="s">
        <v>4881</v>
      </c>
      <c r="H2701" t="s">
        <v>4881</v>
      </c>
      <c r="I2701" t="s">
        <v>4898</v>
      </c>
      <c r="J2701" t="s">
        <v>4923</v>
      </c>
      <c r="K2701" t="s">
        <v>4924</v>
      </c>
      <c r="L2701" t="s">
        <v>4937</v>
      </c>
      <c r="M2701" t="s">
        <v>4942</v>
      </c>
      <c r="N2701" s="11">
        <v>2915.46</v>
      </c>
      <c r="O2701" t="s">
        <v>4950</v>
      </c>
      <c r="P2701" t="s">
        <v>4951</v>
      </c>
      <c r="R2701">
        <v>7</v>
      </c>
      <c r="S2701" t="str">
        <f t="shared" si="127"/>
        <v>Middle-Aged</v>
      </c>
      <c r="T2701" t="str">
        <f t="shared" si="128"/>
        <v>Low</v>
      </c>
      <c r="U2701" t="str">
        <f t="shared" si="129"/>
        <v>Short Days</v>
      </c>
    </row>
    <row r="2702" spans="1:21">
      <c r="A2702" t="s">
        <v>2718</v>
      </c>
      <c r="B2702" s="5">
        <v>45813</v>
      </c>
      <c r="C2702" t="s">
        <v>4149</v>
      </c>
      <c r="D2702" t="s">
        <v>4597</v>
      </c>
      <c r="E2702" t="s">
        <v>4867</v>
      </c>
      <c r="F2702">
        <v>60</v>
      </c>
      <c r="G2702" t="s">
        <v>4880</v>
      </c>
      <c r="H2702" t="s">
        <v>4890</v>
      </c>
      <c r="I2702" t="s">
        <v>4893</v>
      </c>
      <c r="J2702" t="s">
        <v>4903</v>
      </c>
      <c r="K2702" t="s">
        <v>4931</v>
      </c>
      <c r="L2702" t="s">
        <v>4938</v>
      </c>
      <c r="M2702" t="s">
        <v>4942</v>
      </c>
      <c r="N2702" s="11">
        <v>13090.75</v>
      </c>
      <c r="O2702" t="s">
        <v>4946</v>
      </c>
      <c r="P2702" t="s">
        <v>4951</v>
      </c>
      <c r="R2702">
        <v>90</v>
      </c>
      <c r="S2702" t="str">
        <f t="shared" si="127"/>
        <v>Middle-Aged</v>
      </c>
      <c r="T2702" t="str">
        <f t="shared" si="128"/>
        <v>High</v>
      </c>
      <c r="U2702" t="str">
        <f t="shared" si="129"/>
        <v>Short Days</v>
      </c>
    </row>
    <row r="2703" spans="1:21">
      <c r="A2703" t="s">
        <v>2719</v>
      </c>
      <c r="B2703" s="5">
        <v>45737</v>
      </c>
      <c r="C2703" t="s">
        <v>4262</v>
      </c>
      <c r="D2703" t="s">
        <v>4593</v>
      </c>
      <c r="E2703" t="s">
        <v>4866</v>
      </c>
      <c r="F2703">
        <v>46</v>
      </c>
      <c r="G2703" t="s">
        <v>4879</v>
      </c>
      <c r="H2703" t="s">
        <v>4888</v>
      </c>
      <c r="I2703" t="s">
        <v>4895</v>
      </c>
      <c r="J2703" t="s">
        <v>4915</v>
      </c>
      <c r="K2703" t="s">
        <v>4932</v>
      </c>
      <c r="L2703" t="s">
        <v>4936</v>
      </c>
      <c r="M2703" t="s">
        <v>4942</v>
      </c>
      <c r="N2703" s="11">
        <v>8202.1200000000008</v>
      </c>
      <c r="O2703" t="s">
        <v>4949</v>
      </c>
      <c r="P2703" t="s">
        <v>4951</v>
      </c>
      <c r="R2703">
        <v>14</v>
      </c>
      <c r="S2703" t="str">
        <f t="shared" si="127"/>
        <v>Middle-Aged</v>
      </c>
      <c r="T2703" t="str">
        <f t="shared" si="128"/>
        <v>Medium</v>
      </c>
      <c r="U2703" t="str">
        <f t="shared" si="129"/>
        <v>Short Days</v>
      </c>
    </row>
    <row r="2704" spans="1:21">
      <c r="A2704" t="s">
        <v>2720</v>
      </c>
      <c r="B2704" s="5">
        <v>45540</v>
      </c>
      <c r="C2704" t="s">
        <v>3384</v>
      </c>
      <c r="D2704" t="s">
        <v>4590</v>
      </c>
      <c r="E2704" t="s">
        <v>4866</v>
      </c>
      <c r="F2704">
        <v>29</v>
      </c>
      <c r="G2704" t="s">
        <v>4880</v>
      </c>
      <c r="H2704" t="s">
        <v>4890</v>
      </c>
      <c r="I2704" t="s">
        <v>4902</v>
      </c>
      <c r="J2704" t="s">
        <v>4916</v>
      </c>
      <c r="K2704" t="s">
        <v>4925</v>
      </c>
      <c r="L2704" t="s">
        <v>4936</v>
      </c>
      <c r="M2704" t="s">
        <v>4943</v>
      </c>
      <c r="N2704" s="11">
        <v>6798.8</v>
      </c>
      <c r="O2704" t="s">
        <v>4948</v>
      </c>
      <c r="P2704" t="s">
        <v>4951</v>
      </c>
      <c r="R2704">
        <v>90</v>
      </c>
      <c r="S2704" t="str">
        <f t="shared" si="127"/>
        <v>Adult</v>
      </c>
      <c r="T2704" t="str">
        <f t="shared" si="128"/>
        <v>Medium</v>
      </c>
      <c r="U2704" t="str">
        <f t="shared" si="129"/>
        <v>Short Days</v>
      </c>
    </row>
    <row r="2705" spans="1:21">
      <c r="A2705" t="s">
        <v>2721</v>
      </c>
      <c r="B2705" s="5">
        <v>45662</v>
      </c>
      <c r="C2705" t="s">
        <v>3999</v>
      </c>
      <c r="D2705" t="s">
        <v>4663</v>
      </c>
      <c r="E2705" t="s">
        <v>4867</v>
      </c>
      <c r="F2705">
        <v>47</v>
      </c>
      <c r="G2705" t="s">
        <v>4876</v>
      </c>
      <c r="H2705" t="s">
        <v>4888</v>
      </c>
      <c r="I2705" t="s">
        <v>4900</v>
      </c>
      <c r="J2705" t="s">
        <v>4919</v>
      </c>
      <c r="K2705" t="s">
        <v>4927</v>
      </c>
      <c r="L2705" t="s">
        <v>4935</v>
      </c>
      <c r="M2705" t="s">
        <v>4942</v>
      </c>
      <c r="N2705" s="11">
        <v>5415.06</v>
      </c>
      <c r="O2705" t="s">
        <v>15</v>
      </c>
      <c r="P2705" t="s">
        <v>4952</v>
      </c>
      <c r="R2705">
        <v>7</v>
      </c>
      <c r="S2705" t="str">
        <f t="shared" si="127"/>
        <v>Middle-Aged</v>
      </c>
      <c r="T2705" t="str">
        <f t="shared" si="128"/>
        <v>Medium</v>
      </c>
      <c r="U2705" t="str">
        <f t="shared" si="129"/>
        <v>Short Days</v>
      </c>
    </row>
    <row r="2706" spans="1:21">
      <c r="A2706" t="s">
        <v>2722</v>
      </c>
      <c r="B2706" s="5">
        <v>45698</v>
      </c>
      <c r="C2706" t="s">
        <v>4503</v>
      </c>
      <c r="D2706" t="s">
        <v>4595</v>
      </c>
      <c r="E2706" t="s">
        <v>4866</v>
      </c>
      <c r="F2706">
        <v>26</v>
      </c>
      <c r="G2706" t="s">
        <v>4872</v>
      </c>
      <c r="H2706" t="s">
        <v>4887</v>
      </c>
      <c r="I2706" t="s">
        <v>4898</v>
      </c>
      <c r="J2706" t="s">
        <v>4918</v>
      </c>
      <c r="K2706" t="s">
        <v>4926</v>
      </c>
      <c r="L2706" t="s">
        <v>4941</v>
      </c>
      <c r="M2706" t="s">
        <v>4942</v>
      </c>
      <c r="N2706" s="11">
        <v>4065.52</v>
      </c>
      <c r="O2706" t="s">
        <v>4946</v>
      </c>
      <c r="P2706" t="s">
        <v>4951</v>
      </c>
      <c r="R2706">
        <v>30</v>
      </c>
      <c r="S2706" t="str">
        <f t="shared" si="127"/>
        <v>Adult</v>
      </c>
      <c r="T2706" t="str">
        <f t="shared" si="128"/>
        <v>Low</v>
      </c>
      <c r="U2706" t="str">
        <f t="shared" si="129"/>
        <v>Short Days</v>
      </c>
    </row>
    <row r="2707" spans="1:21">
      <c r="A2707" t="s">
        <v>2723</v>
      </c>
      <c r="B2707" s="5">
        <v>45920</v>
      </c>
      <c r="C2707" t="s">
        <v>4083</v>
      </c>
      <c r="D2707" t="s">
        <v>4739</v>
      </c>
      <c r="E2707" t="s">
        <v>4866</v>
      </c>
      <c r="F2707">
        <v>37</v>
      </c>
      <c r="G2707" t="s">
        <v>4874</v>
      </c>
      <c r="H2707" t="s">
        <v>4886</v>
      </c>
      <c r="I2707" t="s">
        <v>4900</v>
      </c>
      <c r="J2707" t="s">
        <v>4913</v>
      </c>
      <c r="K2707" t="s">
        <v>4927</v>
      </c>
      <c r="L2707" t="s">
        <v>4934</v>
      </c>
      <c r="M2707" t="s">
        <v>4944</v>
      </c>
      <c r="N2707" s="11">
        <v>5054.76</v>
      </c>
      <c r="O2707" t="s">
        <v>4947</v>
      </c>
      <c r="P2707" t="s">
        <v>4951</v>
      </c>
      <c r="R2707">
        <v>7</v>
      </c>
      <c r="S2707" t="str">
        <f t="shared" si="127"/>
        <v>Adult</v>
      </c>
      <c r="T2707" t="str">
        <f t="shared" si="128"/>
        <v>Medium</v>
      </c>
      <c r="U2707" t="str">
        <f t="shared" si="129"/>
        <v>Short Days</v>
      </c>
    </row>
    <row r="2708" spans="1:21">
      <c r="A2708" t="s">
        <v>2724</v>
      </c>
      <c r="B2708" s="5">
        <v>45628</v>
      </c>
      <c r="C2708" t="s">
        <v>3079</v>
      </c>
      <c r="D2708" t="s">
        <v>4784</v>
      </c>
      <c r="E2708" t="s">
        <v>4866</v>
      </c>
      <c r="F2708">
        <v>26</v>
      </c>
      <c r="G2708" t="s">
        <v>4875</v>
      </c>
      <c r="H2708" t="s">
        <v>4889</v>
      </c>
      <c r="I2708" t="s">
        <v>4896</v>
      </c>
      <c r="J2708" t="s">
        <v>4908</v>
      </c>
      <c r="K2708" t="s">
        <v>4926</v>
      </c>
      <c r="L2708" t="s">
        <v>4938</v>
      </c>
      <c r="M2708" t="s">
        <v>4942</v>
      </c>
      <c r="N2708" s="11">
        <v>24883.040000000001</v>
      </c>
      <c r="O2708" t="s">
        <v>4949</v>
      </c>
      <c r="P2708" t="s">
        <v>4951</v>
      </c>
      <c r="S2708" t="str">
        <f t="shared" si="127"/>
        <v>Adult</v>
      </c>
      <c r="T2708" t="str">
        <f t="shared" si="128"/>
        <v>High</v>
      </c>
      <c r="U2708" t="str">
        <f t="shared" si="129"/>
        <v>Short Days</v>
      </c>
    </row>
    <row r="2709" spans="1:21">
      <c r="A2709" t="s">
        <v>2725</v>
      </c>
      <c r="B2709" s="5">
        <v>45357</v>
      </c>
      <c r="C2709" t="s">
        <v>3493</v>
      </c>
      <c r="D2709" t="s">
        <v>4604</v>
      </c>
      <c r="E2709" t="s">
        <v>4867</v>
      </c>
      <c r="F2709">
        <v>74</v>
      </c>
      <c r="G2709" t="s">
        <v>4874</v>
      </c>
      <c r="H2709" t="s">
        <v>4886</v>
      </c>
      <c r="I2709" t="s">
        <v>4901</v>
      </c>
      <c r="J2709" t="s">
        <v>4914</v>
      </c>
      <c r="K2709" t="s">
        <v>4928</v>
      </c>
      <c r="L2709" t="s">
        <v>4934</v>
      </c>
      <c r="M2709" t="s">
        <v>4942</v>
      </c>
      <c r="N2709" s="11">
        <v>2099.1</v>
      </c>
      <c r="O2709" t="s">
        <v>4947</v>
      </c>
      <c r="P2709" t="s">
        <v>4951</v>
      </c>
      <c r="R2709">
        <v>14</v>
      </c>
      <c r="S2709" t="str">
        <f t="shared" si="127"/>
        <v>Senior</v>
      </c>
      <c r="T2709" t="str">
        <f t="shared" si="128"/>
        <v>Low</v>
      </c>
      <c r="U2709" t="str">
        <f t="shared" si="129"/>
        <v>Short Days</v>
      </c>
    </row>
    <row r="2710" spans="1:21">
      <c r="A2710" t="s">
        <v>2726</v>
      </c>
      <c r="B2710" s="5">
        <v>45845</v>
      </c>
      <c r="C2710" t="s">
        <v>4504</v>
      </c>
      <c r="D2710" t="s">
        <v>4633</v>
      </c>
      <c r="E2710" t="s">
        <v>4867</v>
      </c>
      <c r="F2710">
        <v>35</v>
      </c>
      <c r="G2710" t="s">
        <v>4882</v>
      </c>
      <c r="H2710" t="s">
        <v>4891</v>
      </c>
      <c r="I2710" t="s">
        <v>4896</v>
      </c>
      <c r="J2710" t="s">
        <v>4906</v>
      </c>
      <c r="K2710" t="s">
        <v>4929</v>
      </c>
      <c r="L2710" t="s">
        <v>4937</v>
      </c>
      <c r="M2710" t="s">
        <v>4943</v>
      </c>
      <c r="N2710" s="11">
        <v>6468.94</v>
      </c>
      <c r="O2710" t="s">
        <v>4948</v>
      </c>
      <c r="P2710" t="s">
        <v>4951</v>
      </c>
      <c r="S2710" t="str">
        <f t="shared" si="127"/>
        <v>Adult</v>
      </c>
      <c r="T2710" t="str">
        <f t="shared" si="128"/>
        <v>Medium</v>
      </c>
      <c r="U2710" t="str">
        <f t="shared" si="129"/>
        <v>Short Days</v>
      </c>
    </row>
    <row r="2711" spans="1:21">
      <c r="A2711" t="s">
        <v>2727</v>
      </c>
      <c r="B2711" s="5">
        <v>45759</v>
      </c>
      <c r="C2711" t="s">
        <v>4425</v>
      </c>
      <c r="D2711" t="s">
        <v>4637</v>
      </c>
      <c r="E2711" t="s">
        <v>4867</v>
      </c>
      <c r="F2711">
        <v>40</v>
      </c>
      <c r="G2711" t="s">
        <v>4869</v>
      </c>
      <c r="H2711" t="s">
        <v>4884</v>
      </c>
      <c r="I2711" t="s">
        <v>4895</v>
      </c>
      <c r="J2711" t="s">
        <v>4915</v>
      </c>
      <c r="K2711" t="s">
        <v>4933</v>
      </c>
      <c r="L2711" t="s">
        <v>4940</v>
      </c>
      <c r="M2711" t="s">
        <v>4942</v>
      </c>
      <c r="N2711" s="11">
        <v>1299.3399999999999</v>
      </c>
      <c r="O2711" t="s">
        <v>4949</v>
      </c>
      <c r="P2711" t="s">
        <v>4951</v>
      </c>
      <c r="R2711">
        <v>14</v>
      </c>
      <c r="S2711" t="str">
        <f t="shared" si="127"/>
        <v>Adult</v>
      </c>
      <c r="T2711" t="str">
        <f t="shared" si="128"/>
        <v>Low</v>
      </c>
      <c r="U2711" t="str">
        <f t="shared" si="129"/>
        <v>Short Days</v>
      </c>
    </row>
    <row r="2712" spans="1:21">
      <c r="A2712" t="s">
        <v>2728</v>
      </c>
      <c r="B2712" s="5">
        <v>45683</v>
      </c>
      <c r="C2712" t="s">
        <v>4451</v>
      </c>
      <c r="D2712" t="s">
        <v>4859</v>
      </c>
      <c r="E2712" t="s">
        <v>4866</v>
      </c>
      <c r="F2712">
        <v>43</v>
      </c>
      <c r="G2712" t="s">
        <v>4875</v>
      </c>
      <c r="H2712" t="s">
        <v>4889</v>
      </c>
      <c r="I2712" t="s">
        <v>4898</v>
      </c>
      <c r="J2712" t="s">
        <v>4909</v>
      </c>
      <c r="K2712" t="s">
        <v>4932</v>
      </c>
      <c r="L2712" t="s">
        <v>4939</v>
      </c>
      <c r="M2712" t="s">
        <v>4942</v>
      </c>
      <c r="N2712" s="11">
        <v>12566.45</v>
      </c>
      <c r="O2712" t="s">
        <v>4947</v>
      </c>
      <c r="P2712" t="s">
        <v>4951</v>
      </c>
      <c r="R2712">
        <v>14</v>
      </c>
      <c r="S2712" t="str">
        <f t="shared" si="127"/>
        <v>Middle-Aged</v>
      </c>
      <c r="T2712" t="str">
        <f t="shared" si="128"/>
        <v>High</v>
      </c>
      <c r="U2712" t="str">
        <f t="shared" si="129"/>
        <v>Short Days</v>
      </c>
    </row>
    <row r="2713" spans="1:21">
      <c r="A2713" t="s">
        <v>2729</v>
      </c>
      <c r="B2713" s="5">
        <v>45548</v>
      </c>
      <c r="C2713" t="s">
        <v>3801</v>
      </c>
      <c r="D2713" t="s">
        <v>4741</v>
      </c>
      <c r="E2713" t="s">
        <v>4866</v>
      </c>
      <c r="F2713">
        <v>3</v>
      </c>
      <c r="G2713" t="s">
        <v>4870</v>
      </c>
      <c r="H2713" t="s">
        <v>4885</v>
      </c>
      <c r="I2713" t="s">
        <v>4900</v>
      </c>
      <c r="J2713" t="s">
        <v>4913</v>
      </c>
      <c r="K2713" t="s">
        <v>4928</v>
      </c>
      <c r="L2713" t="s">
        <v>4938</v>
      </c>
      <c r="M2713" t="s">
        <v>4943</v>
      </c>
      <c r="N2713" s="11">
        <v>19235.88</v>
      </c>
      <c r="O2713" t="s">
        <v>4946</v>
      </c>
      <c r="P2713" t="s">
        <v>4951</v>
      </c>
      <c r="S2713" t="str">
        <f t="shared" si="127"/>
        <v>Child</v>
      </c>
      <c r="T2713" t="str">
        <f t="shared" si="128"/>
        <v>High</v>
      </c>
      <c r="U2713" t="str">
        <f t="shared" si="129"/>
        <v>Short Days</v>
      </c>
    </row>
    <row r="2714" spans="1:21">
      <c r="A2714" t="s">
        <v>2730</v>
      </c>
      <c r="B2714" s="5">
        <v>45689</v>
      </c>
      <c r="C2714" t="s">
        <v>3384</v>
      </c>
      <c r="D2714" t="s">
        <v>4862</v>
      </c>
      <c r="E2714" t="s">
        <v>4867</v>
      </c>
      <c r="F2714">
        <v>49</v>
      </c>
      <c r="G2714" t="s">
        <v>4874</v>
      </c>
      <c r="H2714" t="s">
        <v>4886</v>
      </c>
      <c r="I2714" t="s">
        <v>4902</v>
      </c>
      <c r="J2714" t="s">
        <v>4920</v>
      </c>
      <c r="K2714" t="s">
        <v>4933</v>
      </c>
      <c r="L2714" t="s">
        <v>4940</v>
      </c>
      <c r="M2714" t="s">
        <v>4942</v>
      </c>
      <c r="N2714" s="11">
        <v>92.57</v>
      </c>
      <c r="O2714" t="s">
        <v>4947</v>
      </c>
      <c r="P2714" t="s">
        <v>4951</v>
      </c>
      <c r="R2714">
        <v>90</v>
      </c>
      <c r="S2714" t="str">
        <f t="shared" si="127"/>
        <v>Middle-Aged</v>
      </c>
      <c r="T2714" t="str">
        <f t="shared" si="128"/>
        <v>Low</v>
      </c>
      <c r="U2714" t="str">
        <f t="shared" si="129"/>
        <v>Short Days</v>
      </c>
    </row>
    <row r="2715" spans="1:21">
      <c r="A2715" t="s">
        <v>2731</v>
      </c>
      <c r="B2715" s="5">
        <v>45857</v>
      </c>
      <c r="C2715" t="s">
        <v>3541</v>
      </c>
      <c r="D2715" t="s">
        <v>4798</v>
      </c>
      <c r="E2715" t="s">
        <v>4866</v>
      </c>
      <c r="F2715">
        <v>65</v>
      </c>
      <c r="G2715" t="s">
        <v>4869</v>
      </c>
      <c r="H2715" t="s">
        <v>4884</v>
      </c>
      <c r="I2715" t="s">
        <v>4896</v>
      </c>
      <c r="J2715" t="s">
        <v>4906</v>
      </c>
      <c r="K2715" t="s">
        <v>4927</v>
      </c>
      <c r="L2715" t="s">
        <v>4937</v>
      </c>
      <c r="M2715" t="s">
        <v>4945</v>
      </c>
      <c r="N2715" s="11">
        <v>5592.92</v>
      </c>
      <c r="O2715" t="s">
        <v>4946</v>
      </c>
      <c r="P2715" t="s">
        <v>4951</v>
      </c>
      <c r="Q2715">
        <v>7</v>
      </c>
      <c r="S2715" t="str">
        <f t="shared" si="127"/>
        <v>Senior</v>
      </c>
      <c r="T2715" t="str">
        <f t="shared" si="128"/>
        <v>Medium</v>
      </c>
      <c r="U2715" t="str">
        <f t="shared" si="129"/>
        <v>Long Days</v>
      </c>
    </row>
    <row r="2716" spans="1:21">
      <c r="A2716" t="s">
        <v>2732</v>
      </c>
      <c r="B2716" s="5">
        <v>45590</v>
      </c>
      <c r="C2716" t="s">
        <v>3952</v>
      </c>
      <c r="D2716" t="s">
        <v>4756</v>
      </c>
      <c r="E2716" t="s">
        <v>4866</v>
      </c>
      <c r="F2716">
        <v>50</v>
      </c>
      <c r="G2716" t="s">
        <v>4883</v>
      </c>
      <c r="H2716" t="s">
        <v>4892</v>
      </c>
      <c r="I2716" t="s">
        <v>4894</v>
      </c>
      <c r="J2716" t="s">
        <v>4904</v>
      </c>
      <c r="K2716" t="s">
        <v>4929</v>
      </c>
      <c r="L2716" t="s">
        <v>4936</v>
      </c>
      <c r="M2716" t="s">
        <v>4942</v>
      </c>
      <c r="N2716" s="11">
        <v>1263.58</v>
      </c>
      <c r="O2716" t="s">
        <v>4948</v>
      </c>
      <c r="P2716" t="s">
        <v>4951</v>
      </c>
      <c r="R2716">
        <v>30</v>
      </c>
      <c r="S2716" t="str">
        <f t="shared" si="127"/>
        <v>Middle-Aged</v>
      </c>
      <c r="T2716" t="str">
        <f t="shared" si="128"/>
        <v>Low</v>
      </c>
      <c r="U2716" t="str">
        <f t="shared" si="129"/>
        <v>Short Days</v>
      </c>
    </row>
    <row r="2717" spans="1:21">
      <c r="A2717" t="s">
        <v>2733</v>
      </c>
      <c r="B2717" s="5">
        <v>45552</v>
      </c>
      <c r="C2717" t="s">
        <v>3824</v>
      </c>
      <c r="D2717" t="s">
        <v>4682</v>
      </c>
      <c r="E2717" t="s">
        <v>4867</v>
      </c>
      <c r="F2717">
        <v>48</v>
      </c>
      <c r="G2717" t="s">
        <v>4870</v>
      </c>
      <c r="H2717" t="s">
        <v>4885</v>
      </c>
      <c r="I2717" t="s">
        <v>4898</v>
      </c>
      <c r="J2717" t="s">
        <v>4918</v>
      </c>
      <c r="K2717" t="s">
        <v>4925</v>
      </c>
      <c r="L2717" t="s">
        <v>4936</v>
      </c>
      <c r="M2717" t="s">
        <v>4943</v>
      </c>
      <c r="N2717" s="11">
        <v>17423.150000000001</v>
      </c>
      <c r="O2717" t="s">
        <v>4947</v>
      </c>
      <c r="P2717" t="s">
        <v>4951</v>
      </c>
      <c r="R2717">
        <v>30</v>
      </c>
      <c r="S2717" t="str">
        <f t="shared" si="127"/>
        <v>Middle-Aged</v>
      </c>
      <c r="T2717" t="str">
        <f t="shared" si="128"/>
        <v>High</v>
      </c>
      <c r="U2717" t="str">
        <f t="shared" si="129"/>
        <v>Short Days</v>
      </c>
    </row>
    <row r="2718" spans="1:21">
      <c r="A2718" t="s">
        <v>2734</v>
      </c>
      <c r="B2718" s="5">
        <v>45393</v>
      </c>
      <c r="C2718" t="s">
        <v>4505</v>
      </c>
      <c r="D2718" t="s">
        <v>4785</v>
      </c>
      <c r="E2718" t="s">
        <v>4867</v>
      </c>
      <c r="F2718">
        <v>46</v>
      </c>
      <c r="G2718" t="s">
        <v>4876</v>
      </c>
      <c r="H2718" t="s">
        <v>4888</v>
      </c>
      <c r="I2718" t="s">
        <v>4895</v>
      </c>
      <c r="J2718" t="s">
        <v>4905</v>
      </c>
      <c r="K2718" t="s">
        <v>4929</v>
      </c>
      <c r="L2718" t="s">
        <v>4941</v>
      </c>
      <c r="M2718" t="s">
        <v>4942</v>
      </c>
      <c r="N2718" s="11">
        <v>364.41</v>
      </c>
      <c r="O2718" t="s">
        <v>4949</v>
      </c>
      <c r="P2718" t="s">
        <v>4951</v>
      </c>
      <c r="R2718">
        <v>7</v>
      </c>
      <c r="S2718" t="str">
        <f t="shared" si="127"/>
        <v>Middle-Aged</v>
      </c>
      <c r="T2718" t="str">
        <f t="shared" si="128"/>
        <v>Low</v>
      </c>
      <c r="U2718" t="str">
        <f t="shared" si="129"/>
        <v>Short Days</v>
      </c>
    </row>
    <row r="2719" spans="1:21">
      <c r="A2719" t="s">
        <v>2735</v>
      </c>
      <c r="B2719" s="5">
        <v>45374</v>
      </c>
      <c r="C2719" t="s">
        <v>3249</v>
      </c>
      <c r="D2719" t="s">
        <v>4701</v>
      </c>
      <c r="E2719" t="s">
        <v>4866</v>
      </c>
      <c r="F2719">
        <v>17</v>
      </c>
      <c r="G2719" t="s">
        <v>4876</v>
      </c>
      <c r="H2719" t="s">
        <v>4888</v>
      </c>
      <c r="I2719" t="s">
        <v>4897</v>
      </c>
      <c r="J2719" t="s">
        <v>4922</v>
      </c>
      <c r="K2719" t="s">
        <v>4930</v>
      </c>
      <c r="L2719" t="s">
        <v>4940</v>
      </c>
      <c r="M2719" t="s">
        <v>4942</v>
      </c>
      <c r="N2719" s="11">
        <v>1765.81</v>
      </c>
      <c r="O2719" t="s">
        <v>4947</v>
      </c>
      <c r="P2719" t="s">
        <v>4951</v>
      </c>
      <c r="R2719">
        <v>90</v>
      </c>
      <c r="S2719" t="str">
        <f t="shared" si="127"/>
        <v>Child</v>
      </c>
      <c r="T2719" t="str">
        <f t="shared" si="128"/>
        <v>Low</v>
      </c>
      <c r="U2719" t="str">
        <f t="shared" si="129"/>
        <v>Short Days</v>
      </c>
    </row>
    <row r="2720" spans="1:21">
      <c r="A2720" t="s">
        <v>2736</v>
      </c>
      <c r="B2720" s="5">
        <v>45864</v>
      </c>
      <c r="C2720" t="s">
        <v>4108</v>
      </c>
      <c r="D2720" t="s">
        <v>4615</v>
      </c>
      <c r="E2720" t="s">
        <v>4866</v>
      </c>
      <c r="F2720">
        <v>28</v>
      </c>
      <c r="G2720" t="s">
        <v>4878</v>
      </c>
      <c r="H2720" t="s">
        <v>4889</v>
      </c>
      <c r="I2720" t="s">
        <v>4896</v>
      </c>
      <c r="J2720" t="s">
        <v>4908</v>
      </c>
      <c r="K2720" t="s">
        <v>4929</v>
      </c>
      <c r="L2720" t="s">
        <v>4940</v>
      </c>
      <c r="M2720" t="s">
        <v>4944</v>
      </c>
      <c r="N2720" s="11">
        <v>8136.85</v>
      </c>
      <c r="O2720" t="s">
        <v>4946</v>
      </c>
      <c r="P2720" t="s">
        <v>4951</v>
      </c>
      <c r="S2720" t="str">
        <f t="shared" si="127"/>
        <v>Adult</v>
      </c>
      <c r="T2720" t="str">
        <f t="shared" si="128"/>
        <v>Medium</v>
      </c>
      <c r="U2720" t="str">
        <f t="shared" si="129"/>
        <v>Short Days</v>
      </c>
    </row>
    <row r="2721" spans="1:21">
      <c r="A2721" t="s">
        <v>2737</v>
      </c>
      <c r="B2721" s="5">
        <v>45601</v>
      </c>
      <c r="C2721" t="s">
        <v>3384</v>
      </c>
      <c r="D2721" t="s">
        <v>4648</v>
      </c>
      <c r="E2721" t="s">
        <v>4867</v>
      </c>
      <c r="F2721">
        <v>42</v>
      </c>
      <c r="G2721" t="s">
        <v>4879</v>
      </c>
      <c r="H2721" t="s">
        <v>4888</v>
      </c>
      <c r="I2721" t="s">
        <v>4893</v>
      </c>
      <c r="J2721" t="s">
        <v>4903</v>
      </c>
      <c r="K2721" t="s">
        <v>4927</v>
      </c>
      <c r="L2721" t="s">
        <v>4941</v>
      </c>
      <c r="M2721" t="s">
        <v>4942</v>
      </c>
      <c r="N2721" s="11">
        <v>11575.15</v>
      </c>
      <c r="O2721" t="s">
        <v>15</v>
      </c>
      <c r="P2721" t="s">
        <v>4952</v>
      </c>
      <c r="R2721">
        <v>30</v>
      </c>
      <c r="S2721" t="str">
        <f t="shared" si="127"/>
        <v>Middle-Aged</v>
      </c>
      <c r="T2721" t="str">
        <f t="shared" si="128"/>
        <v>High</v>
      </c>
      <c r="U2721" t="str">
        <f t="shared" si="129"/>
        <v>Short Days</v>
      </c>
    </row>
    <row r="2722" spans="1:21">
      <c r="A2722" t="s">
        <v>2738</v>
      </c>
      <c r="B2722" s="5">
        <v>45920</v>
      </c>
      <c r="C2722" t="s">
        <v>4506</v>
      </c>
      <c r="D2722" t="s">
        <v>4731</v>
      </c>
      <c r="E2722" t="s">
        <v>4866</v>
      </c>
      <c r="F2722">
        <v>21</v>
      </c>
      <c r="G2722" t="s">
        <v>4883</v>
      </c>
      <c r="H2722" t="s">
        <v>4892</v>
      </c>
      <c r="I2722" t="s">
        <v>4893</v>
      </c>
      <c r="J2722" t="s">
        <v>4917</v>
      </c>
      <c r="K2722" t="s">
        <v>4924</v>
      </c>
      <c r="L2722" t="s">
        <v>4941</v>
      </c>
      <c r="M2722" t="s">
        <v>4942</v>
      </c>
      <c r="N2722" s="11">
        <v>1902.3</v>
      </c>
      <c r="O2722" t="s">
        <v>4950</v>
      </c>
      <c r="P2722" t="s">
        <v>4951</v>
      </c>
      <c r="S2722" t="str">
        <f t="shared" si="127"/>
        <v>Adult</v>
      </c>
      <c r="T2722" t="str">
        <f t="shared" si="128"/>
        <v>Low</v>
      </c>
      <c r="U2722" t="str">
        <f t="shared" si="129"/>
        <v>Short Days</v>
      </c>
    </row>
    <row r="2723" spans="1:21">
      <c r="A2723" t="s">
        <v>2739</v>
      </c>
      <c r="B2723" s="5">
        <v>45886</v>
      </c>
      <c r="C2723" t="s">
        <v>3513</v>
      </c>
      <c r="D2723" t="s">
        <v>4620</v>
      </c>
      <c r="E2723" t="s">
        <v>4866</v>
      </c>
      <c r="F2723">
        <v>18</v>
      </c>
      <c r="G2723" t="s">
        <v>4875</v>
      </c>
      <c r="H2723" t="s">
        <v>4889</v>
      </c>
      <c r="I2723" t="s">
        <v>4899</v>
      </c>
      <c r="J2723" t="s">
        <v>4912</v>
      </c>
      <c r="K2723" t="s">
        <v>4927</v>
      </c>
      <c r="L2723" t="s">
        <v>4940</v>
      </c>
      <c r="M2723" t="s">
        <v>4942</v>
      </c>
      <c r="N2723" s="11">
        <v>1767.94</v>
      </c>
      <c r="O2723" t="s">
        <v>4948</v>
      </c>
      <c r="P2723" t="s">
        <v>4951</v>
      </c>
      <c r="R2723">
        <v>90</v>
      </c>
      <c r="S2723" t="str">
        <f t="shared" si="127"/>
        <v>Adult</v>
      </c>
      <c r="T2723" t="str">
        <f t="shared" si="128"/>
        <v>Low</v>
      </c>
      <c r="U2723" t="str">
        <f t="shared" si="129"/>
        <v>Short Days</v>
      </c>
    </row>
    <row r="2724" spans="1:21">
      <c r="A2724" t="s">
        <v>2740</v>
      </c>
      <c r="B2724" s="5">
        <v>45750</v>
      </c>
      <c r="C2724" t="s">
        <v>4356</v>
      </c>
      <c r="D2724" t="s">
        <v>4658</v>
      </c>
      <c r="E2724" t="s">
        <v>4866</v>
      </c>
      <c r="F2724">
        <v>48</v>
      </c>
      <c r="G2724" t="s">
        <v>4880</v>
      </c>
      <c r="H2724" t="s">
        <v>4890</v>
      </c>
      <c r="I2724" t="s">
        <v>4896</v>
      </c>
      <c r="J2724" t="s">
        <v>4908</v>
      </c>
      <c r="K2724" t="s">
        <v>4930</v>
      </c>
      <c r="L2724" t="s">
        <v>4936</v>
      </c>
      <c r="M2724" t="s">
        <v>4944</v>
      </c>
      <c r="N2724" s="11">
        <v>13138.2</v>
      </c>
      <c r="O2724" t="s">
        <v>4947</v>
      </c>
      <c r="P2724" t="s">
        <v>4951</v>
      </c>
      <c r="R2724">
        <v>90</v>
      </c>
      <c r="S2724" t="str">
        <f t="shared" si="127"/>
        <v>Middle-Aged</v>
      </c>
      <c r="T2724" t="str">
        <f t="shared" si="128"/>
        <v>High</v>
      </c>
      <c r="U2724" t="str">
        <f t="shared" si="129"/>
        <v>Short Days</v>
      </c>
    </row>
    <row r="2725" spans="1:21">
      <c r="A2725" t="s">
        <v>2741</v>
      </c>
      <c r="B2725" s="5">
        <v>45766</v>
      </c>
      <c r="C2725" t="s">
        <v>3527</v>
      </c>
      <c r="D2725" t="s">
        <v>4604</v>
      </c>
      <c r="E2725" t="s">
        <v>4866</v>
      </c>
      <c r="F2725">
        <v>61</v>
      </c>
      <c r="G2725" t="s">
        <v>4882</v>
      </c>
      <c r="H2725" t="s">
        <v>4891</v>
      </c>
      <c r="I2725" t="s">
        <v>4896</v>
      </c>
      <c r="J2725" t="s">
        <v>4906</v>
      </c>
      <c r="K2725" t="s">
        <v>4924</v>
      </c>
      <c r="L2725" t="s">
        <v>4936</v>
      </c>
      <c r="M2725" t="s">
        <v>4944</v>
      </c>
      <c r="N2725" s="11">
        <v>5986.37</v>
      </c>
      <c r="O2725" t="s">
        <v>15</v>
      </c>
      <c r="P2725" t="s">
        <v>4952</v>
      </c>
      <c r="R2725">
        <v>30</v>
      </c>
      <c r="S2725" t="str">
        <f t="shared" si="127"/>
        <v>Senior</v>
      </c>
      <c r="T2725" t="str">
        <f t="shared" si="128"/>
        <v>Medium</v>
      </c>
      <c r="U2725" t="str">
        <f t="shared" si="129"/>
        <v>Short Days</v>
      </c>
    </row>
    <row r="2726" spans="1:21">
      <c r="A2726" t="s">
        <v>2742</v>
      </c>
      <c r="B2726" s="5">
        <v>45722</v>
      </c>
      <c r="C2726" t="s">
        <v>3725</v>
      </c>
      <c r="D2726" t="s">
        <v>4747</v>
      </c>
      <c r="E2726" t="s">
        <v>4866</v>
      </c>
      <c r="F2726">
        <v>28</v>
      </c>
      <c r="G2726" t="s">
        <v>4883</v>
      </c>
      <c r="H2726" t="s">
        <v>4892</v>
      </c>
      <c r="I2726" t="s">
        <v>4901</v>
      </c>
      <c r="J2726" t="s">
        <v>4914</v>
      </c>
      <c r="K2726" t="s">
        <v>4926</v>
      </c>
      <c r="L2726" t="s">
        <v>4940</v>
      </c>
      <c r="M2726" t="s">
        <v>4942</v>
      </c>
      <c r="N2726" s="11">
        <v>5134.79</v>
      </c>
      <c r="O2726" t="s">
        <v>4948</v>
      </c>
      <c r="P2726" t="s">
        <v>4951</v>
      </c>
      <c r="S2726" t="str">
        <f t="shared" si="127"/>
        <v>Adult</v>
      </c>
      <c r="T2726" t="str">
        <f t="shared" si="128"/>
        <v>Medium</v>
      </c>
      <c r="U2726" t="str">
        <f t="shared" si="129"/>
        <v>Short Days</v>
      </c>
    </row>
    <row r="2727" spans="1:21">
      <c r="A2727" t="s">
        <v>2743</v>
      </c>
      <c r="B2727" s="5">
        <v>45807</v>
      </c>
      <c r="C2727" t="s">
        <v>3519</v>
      </c>
      <c r="D2727" t="s">
        <v>4687</v>
      </c>
      <c r="E2727" t="s">
        <v>4867</v>
      </c>
      <c r="F2727">
        <f>AVERAGE(F2720,F2726)</f>
        <v>28</v>
      </c>
      <c r="G2727" t="s">
        <v>4881</v>
      </c>
      <c r="H2727" t="s">
        <v>4888</v>
      </c>
      <c r="I2727" t="s">
        <v>4895</v>
      </c>
      <c r="J2727" t="s">
        <v>4905</v>
      </c>
      <c r="K2727" t="s">
        <v>4953</v>
      </c>
      <c r="L2727" t="s">
        <v>4939</v>
      </c>
      <c r="M2727" t="s">
        <v>4942</v>
      </c>
      <c r="N2727" s="11">
        <v>578.83000000000004</v>
      </c>
      <c r="O2727" t="s">
        <v>4947</v>
      </c>
      <c r="P2727" t="s">
        <v>4951</v>
      </c>
      <c r="R2727">
        <v>7</v>
      </c>
      <c r="S2727" t="str">
        <f t="shared" si="127"/>
        <v>Adult</v>
      </c>
      <c r="T2727" t="str">
        <f t="shared" si="128"/>
        <v>Low</v>
      </c>
      <c r="U2727" t="str">
        <f t="shared" si="129"/>
        <v>Short Days</v>
      </c>
    </row>
    <row r="2728" spans="1:21">
      <c r="A2728" t="s">
        <v>2744</v>
      </c>
      <c r="B2728" s="5">
        <v>45777</v>
      </c>
      <c r="C2728" t="s">
        <v>4083</v>
      </c>
      <c r="D2728" t="s">
        <v>4782</v>
      </c>
      <c r="E2728" t="s">
        <v>4867</v>
      </c>
      <c r="F2728">
        <v>47</v>
      </c>
      <c r="G2728" t="s">
        <v>4883</v>
      </c>
      <c r="H2728" t="s">
        <v>4892</v>
      </c>
      <c r="I2728" t="s">
        <v>4901</v>
      </c>
      <c r="J2728" t="s">
        <v>4921</v>
      </c>
      <c r="K2728" t="s">
        <v>4931</v>
      </c>
      <c r="L2728" t="s">
        <v>4934</v>
      </c>
      <c r="M2728" t="s">
        <v>4944</v>
      </c>
      <c r="N2728" s="11">
        <v>23834.14</v>
      </c>
      <c r="O2728" t="s">
        <v>4949</v>
      </c>
      <c r="P2728" t="s">
        <v>4951</v>
      </c>
      <c r="S2728" t="str">
        <f t="shared" si="127"/>
        <v>Middle-Aged</v>
      </c>
      <c r="T2728" t="str">
        <f t="shared" si="128"/>
        <v>High</v>
      </c>
      <c r="U2728" t="str">
        <f t="shared" si="129"/>
        <v>Short Days</v>
      </c>
    </row>
    <row r="2729" spans="1:21">
      <c r="A2729" t="s">
        <v>2745</v>
      </c>
      <c r="B2729" s="5">
        <v>45435</v>
      </c>
      <c r="C2729" t="s">
        <v>4507</v>
      </c>
      <c r="D2729" t="s">
        <v>4594</v>
      </c>
      <c r="E2729" t="s">
        <v>4867</v>
      </c>
      <c r="F2729">
        <v>44</v>
      </c>
      <c r="G2729" t="s">
        <v>4872</v>
      </c>
      <c r="H2729" t="s">
        <v>4887</v>
      </c>
      <c r="I2729" t="s">
        <v>4899</v>
      </c>
      <c r="J2729" t="s">
        <v>4912</v>
      </c>
      <c r="K2729" t="s">
        <v>4931</v>
      </c>
      <c r="L2729" t="s">
        <v>4941</v>
      </c>
      <c r="M2729" t="s">
        <v>4943</v>
      </c>
      <c r="N2729" s="11">
        <v>7432.87</v>
      </c>
      <c r="O2729" t="s">
        <v>4946</v>
      </c>
      <c r="P2729" t="s">
        <v>4951</v>
      </c>
      <c r="R2729">
        <v>90</v>
      </c>
      <c r="S2729" t="str">
        <f t="shared" si="127"/>
        <v>Middle-Aged</v>
      </c>
      <c r="T2729" t="str">
        <f t="shared" si="128"/>
        <v>Medium</v>
      </c>
      <c r="U2729" t="str">
        <f t="shared" si="129"/>
        <v>Short Days</v>
      </c>
    </row>
    <row r="2730" spans="1:21">
      <c r="A2730" t="s">
        <v>2746</v>
      </c>
      <c r="B2730" s="5">
        <v>45860</v>
      </c>
      <c r="C2730" t="s">
        <v>3523</v>
      </c>
      <c r="D2730" t="s">
        <v>4706</v>
      </c>
      <c r="E2730" t="s">
        <v>4867</v>
      </c>
      <c r="F2730">
        <v>43</v>
      </c>
      <c r="G2730" t="s">
        <v>4872</v>
      </c>
      <c r="H2730" t="s">
        <v>4887</v>
      </c>
      <c r="I2730" t="s">
        <v>4902</v>
      </c>
      <c r="J2730" t="s">
        <v>4916</v>
      </c>
      <c r="K2730" t="s">
        <v>4928</v>
      </c>
      <c r="L2730" t="s">
        <v>4938</v>
      </c>
      <c r="M2730" t="s">
        <v>4942</v>
      </c>
      <c r="N2730" s="11">
        <v>6542.88</v>
      </c>
      <c r="O2730" t="s">
        <v>4949</v>
      </c>
      <c r="P2730" t="s">
        <v>4951</v>
      </c>
      <c r="R2730">
        <v>14</v>
      </c>
      <c r="S2730" t="str">
        <f t="shared" si="127"/>
        <v>Middle-Aged</v>
      </c>
      <c r="T2730" t="str">
        <f t="shared" si="128"/>
        <v>Medium</v>
      </c>
      <c r="U2730" t="str">
        <f t="shared" si="129"/>
        <v>Short Days</v>
      </c>
    </row>
    <row r="2731" spans="1:21">
      <c r="A2731" t="s">
        <v>2747</v>
      </c>
      <c r="B2731" s="5">
        <v>45458</v>
      </c>
      <c r="C2731" t="s">
        <v>4290</v>
      </c>
      <c r="D2731" t="s">
        <v>4746</v>
      </c>
      <c r="E2731" t="s">
        <v>4866</v>
      </c>
      <c r="F2731">
        <v>46</v>
      </c>
      <c r="G2731" t="s">
        <v>4875</v>
      </c>
      <c r="H2731" t="s">
        <v>4889</v>
      </c>
      <c r="I2731" t="s">
        <v>4899</v>
      </c>
      <c r="J2731" t="s">
        <v>4912</v>
      </c>
      <c r="K2731" t="s">
        <v>4932</v>
      </c>
      <c r="L2731" t="s">
        <v>4935</v>
      </c>
      <c r="M2731" t="s">
        <v>4944</v>
      </c>
      <c r="N2731" s="11">
        <v>5030.74</v>
      </c>
      <c r="O2731" t="s">
        <v>4946</v>
      </c>
      <c r="P2731" t="s">
        <v>4951</v>
      </c>
      <c r="R2731">
        <v>90</v>
      </c>
      <c r="S2731" t="str">
        <f t="shared" si="127"/>
        <v>Middle-Aged</v>
      </c>
      <c r="T2731" t="str">
        <f t="shared" si="128"/>
        <v>Medium</v>
      </c>
      <c r="U2731" t="str">
        <f t="shared" si="129"/>
        <v>Short Days</v>
      </c>
    </row>
    <row r="2732" spans="1:21">
      <c r="A2732" t="s">
        <v>2748</v>
      </c>
      <c r="B2732" s="5">
        <v>45661</v>
      </c>
      <c r="C2732" t="s">
        <v>3923</v>
      </c>
      <c r="D2732" t="s">
        <v>4613</v>
      </c>
      <c r="E2732" t="s">
        <v>4867</v>
      </c>
      <c r="F2732">
        <v>46</v>
      </c>
      <c r="G2732" t="s">
        <v>4877</v>
      </c>
      <c r="H2732" t="s">
        <v>4888</v>
      </c>
      <c r="I2732" t="s">
        <v>4900</v>
      </c>
      <c r="J2732" t="s">
        <v>4913</v>
      </c>
      <c r="K2732" t="s">
        <v>4927</v>
      </c>
      <c r="L2732" t="s">
        <v>4941</v>
      </c>
      <c r="M2732" t="s">
        <v>4942</v>
      </c>
      <c r="N2732" s="11">
        <v>1372.01</v>
      </c>
      <c r="O2732" t="s">
        <v>15</v>
      </c>
      <c r="P2732" t="s">
        <v>4952</v>
      </c>
      <c r="S2732" t="str">
        <f t="shared" si="127"/>
        <v>Middle-Aged</v>
      </c>
      <c r="T2732" t="str">
        <f t="shared" si="128"/>
        <v>Low</v>
      </c>
      <c r="U2732" t="str">
        <f t="shared" si="129"/>
        <v>Short Days</v>
      </c>
    </row>
    <row r="2733" spans="1:21">
      <c r="A2733" t="s">
        <v>2749</v>
      </c>
      <c r="B2733" s="5">
        <v>45962</v>
      </c>
      <c r="C2733" t="s">
        <v>3315</v>
      </c>
      <c r="D2733" t="s">
        <v>4697</v>
      </c>
      <c r="E2733" t="s">
        <v>4867</v>
      </c>
      <c r="F2733">
        <v>30</v>
      </c>
      <c r="G2733" t="s">
        <v>4876</v>
      </c>
      <c r="H2733" t="s">
        <v>4888</v>
      </c>
      <c r="I2733" t="s">
        <v>4893</v>
      </c>
      <c r="J2733" t="s">
        <v>4903</v>
      </c>
      <c r="K2733" t="s">
        <v>4932</v>
      </c>
      <c r="L2733" t="s">
        <v>4934</v>
      </c>
      <c r="M2733" t="s">
        <v>4942</v>
      </c>
      <c r="N2733" s="11">
        <v>2355.4499999999998</v>
      </c>
      <c r="O2733" t="s">
        <v>4947</v>
      </c>
      <c r="P2733" t="s">
        <v>4951</v>
      </c>
      <c r="R2733">
        <v>7</v>
      </c>
      <c r="S2733" t="str">
        <f t="shared" si="127"/>
        <v>Adult</v>
      </c>
      <c r="T2733" t="str">
        <f t="shared" si="128"/>
        <v>Low</v>
      </c>
      <c r="U2733" t="str">
        <f t="shared" si="129"/>
        <v>Short Days</v>
      </c>
    </row>
    <row r="2734" spans="1:21">
      <c r="A2734" t="s">
        <v>2750</v>
      </c>
      <c r="B2734" s="5">
        <v>45446</v>
      </c>
      <c r="C2734" t="s">
        <v>3391</v>
      </c>
      <c r="D2734" t="s">
        <v>4828</v>
      </c>
      <c r="E2734" t="s">
        <v>4866</v>
      </c>
      <c r="F2734">
        <v>31</v>
      </c>
      <c r="G2734" t="s">
        <v>4879</v>
      </c>
      <c r="H2734" t="s">
        <v>4888</v>
      </c>
      <c r="I2734" t="s">
        <v>4899</v>
      </c>
      <c r="J2734" t="s">
        <v>4911</v>
      </c>
      <c r="K2734" t="s">
        <v>4929</v>
      </c>
      <c r="L2734" t="s">
        <v>4941</v>
      </c>
      <c r="M2734" t="s">
        <v>4942</v>
      </c>
      <c r="N2734" s="11">
        <v>4316.78</v>
      </c>
      <c r="O2734" t="s">
        <v>4949</v>
      </c>
      <c r="P2734" t="s">
        <v>4951</v>
      </c>
      <c r="R2734">
        <v>90</v>
      </c>
      <c r="S2734" t="str">
        <f t="shared" si="127"/>
        <v>Adult</v>
      </c>
      <c r="T2734" t="str">
        <f t="shared" si="128"/>
        <v>Low</v>
      </c>
      <c r="U2734" t="str">
        <f t="shared" si="129"/>
        <v>Short Days</v>
      </c>
    </row>
    <row r="2735" spans="1:21">
      <c r="A2735" t="s">
        <v>2751</v>
      </c>
      <c r="B2735" s="5">
        <v>45926</v>
      </c>
      <c r="C2735" t="s">
        <v>3292</v>
      </c>
      <c r="D2735" t="s">
        <v>4771</v>
      </c>
      <c r="E2735" t="s">
        <v>4866</v>
      </c>
      <c r="F2735">
        <v>34</v>
      </c>
      <c r="G2735" t="s">
        <v>4874</v>
      </c>
      <c r="H2735" t="s">
        <v>4886</v>
      </c>
      <c r="I2735" t="s">
        <v>4895</v>
      </c>
      <c r="J2735" t="s">
        <v>4915</v>
      </c>
      <c r="K2735" t="s">
        <v>4925</v>
      </c>
      <c r="L2735" t="s">
        <v>4936</v>
      </c>
      <c r="M2735" t="s">
        <v>4942</v>
      </c>
      <c r="N2735" s="11">
        <v>148.63999999999999</v>
      </c>
      <c r="O2735" t="s">
        <v>4946</v>
      </c>
      <c r="P2735" t="s">
        <v>4951</v>
      </c>
      <c r="R2735">
        <v>14</v>
      </c>
      <c r="S2735" t="str">
        <f t="shared" si="127"/>
        <v>Adult</v>
      </c>
      <c r="T2735" t="str">
        <f t="shared" si="128"/>
        <v>Low</v>
      </c>
      <c r="U2735" t="str">
        <f t="shared" si="129"/>
        <v>Short Days</v>
      </c>
    </row>
    <row r="2736" spans="1:21">
      <c r="A2736" t="s">
        <v>2752</v>
      </c>
      <c r="B2736" s="5">
        <v>45574</v>
      </c>
      <c r="C2736" t="s">
        <v>4458</v>
      </c>
      <c r="D2736" t="s">
        <v>4628</v>
      </c>
      <c r="E2736" t="s">
        <v>4867</v>
      </c>
      <c r="F2736">
        <v>34</v>
      </c>
      <c r="G2736" t="s">
        <v>4870</v>
      </c>
      <c r="H2736" t="s">
        <v>4885</v>
      </c>
      <c r="I2736" t="s">
        <v>4897</v>
      </c>
      <c r="J2736" t="s">
        <v>4922</v>
      </c>
      <c r="K2736" t="s">
        <v>4926</v>
      </c>
      <c r="L2736" t="s">
        <v>4934</v>
      </c>
      <c r="M2736" t="s">
        <v>4942</v>
      </c>
      <c r="N2736" s="11">
        <v>1225.49</v>
      </c>
      <c r="O2736" t="s">
        <v>4946</v>
      </c>
      <c r="P2736" t="s">
        <v>4951</v>
      </c>
      <c r="R2736">
        <v>30</v>
      </c>
      <c r="S2736" t="str">
        <f t="shared" si="127"/>
        <v>Adult</v>
      </c>
      <c r="T2736" t="str">
        <f t="shared" si="128"/>
        <v>Low</v>
      </c>
      <c r="U2736" t="str">
        <f t="shared" si="129"/>
        <v>Short Days</v>
      </c>
    </row>
    <row r="2737" spans="1:21">
      <c r="A2737" t="s">
        <v>2753</v>
      </c>
      <c r="B2737" s="5">
        <v>45308</v>
      </c>
      <c r="C2737" t="s">
        <v>4508</v>
      </c>
      <c r="D2737" t="s">
        <v>4720</v>
      </c>
      <c r="E2737" t="s">
        <v>4866</v>
      </c>
      <c r="F2737">
        <v>28</v>
      </c>
      <c r="G2737" t="s">
        <v>4870</v>
      </c>
      <c r="H2737" t="s">
        <v>4885</v>
      </c>
      <c r="I2737" t="s">
        <v>4897</v>
      </c>
      <c r="J2737" t="s">
        <v>4922</v>
      </c>
      <c r="K2737" t="s">
        <v>4930</v>
      </c>
      <c r="L2737" t="s">
        <v>4934</v>
      </c>
      <c r="M2737" t="s">
        <v>4942</v>
      </c>
      <c r="N2737" s="11">
        <v>56.99</v>
      </c>
      <c r="O2737" t="s">
        <v>15</v>
      </c>
      <c r="P2737" t="s">
        <v>4952</v>
      </c>
      <c r="R2737">
        <v>14</v>
      </c>
      <c r="S2737" t="str">
        <f t="shared" si="127"/>
        <v>Adult</v>
      </c>
      <c r="T2737" t="str">
        <f t="shared" si="128"/>
        <v>Low</v>
      </c>
      <c r="U2737" t="str">
        <f t="shared" si="129"/>
        <v>Short Days</v>
      </c>
    </row>
    <row r="2738" spans="1:21">
      <c r="A2738" t="s">
        <v>2754</v>
      </c>
      <c r="B2738" s="5">
        <v>45782</v>
      </c>
      <c r="C2738" t="s">
        <v>4509</v>
      </c>
      <c r="D2738" t="s">
        <v>4665</v>
      </c>
      <c r="E2738" t="s">
        <v>4867</v>
      </c>
      <c r="F2738">
        <v>47</v>
      </c>
      <c r="G2738" t="s">
        <v>4883</v>
      </c>
      <c r="H2738" t="s">
        <v>4892</v>
      </c>
      <c r="I2738" t="s">
        <v>4895</v>
      </c>
      <c r="J2738" t="s">
        <v>4915</v>
      </c>
      <c r="K2738" t="s">
        <v>4927</v>
      </c>
      <c r="L2738" t="s">
        <v>4939</v>
      </c>
      <c r="M2738" t="s">
        <v>4942</v>
      </c>
      <c r="N2738" s="11">
        <v>78.489999999999995</v>
      </c>
      <c r="O2738" t="s">
        <v>4949</v>
      </c>
      <c r="P2738" t="s">
        <v>4951</v>
      </c>
      <c r="R2738">
        <v>14</v>
      </c>
      <c r="S2738" t="str">
        <f t="shared" si="127"/>
        <v>Middle-Aged</v>
      </c>
      <c r="T2738" t="str">
        <f t="shared" si="128"/>
        <v>Low</v>
      </c>
      <c r="U2738" t="str">
        <f t="shared" si="129"/>
        <v>Short Days</v>
      </c>
    </row>
    <row r="2739" spans="1:21">
      <c r="A2739" t="s">
        <v>2755</v>
      </c>
      <c r="B2739" s="5">
        <v>45333</v>
      </c>
      <c r="C2739" t="s">
        <v>3392</v>
      </c>
      <c r="D2739" t="s">
        <v>4589</v>
      </c>
      <c r="E2739" t="s">
        <v>4867</v>
      </c>
      <c r="F2739">
        <v>40</v>
      </c>
      <c r="G2739" t="s">
        <v>4873</v>
      </c>
      <c r="H2739" t="s">
        <v>4888</v>
      </c>
      <c r="I2739" t="s">
        <v>4902</v>
      </c>
      <c r="J2739" t="s">
        <v>4920</v>
      </c>
      <c r="K2739" t="s">
        <v>4933</v>
      </c>
      <c r="L2739" t="s">
        <v>4937</v>
      </c>
      <c r="M2739" t="s">
        <v>4944</v>
      </c>
      <c r="N2739" s="11">
        <v>19298.13</v>
      </c>
      <c r="O2739" t="s">
        <v>4947</v>
      </c>
      <c r="P2739" t="s">
        <v>4951</v>
      </c>
      <c r="R2739">
        <v>30</v>
      </c>
      <c r="S2739" t="str">
        <f t="shared" si="127"/>
        <v>Adult</v>
      </c>
      <c r="T2739" t="str">
        <f t="shared" si="128"/>
        <v>High</v>
      </c>
      <c r="U2739" t="str">
        <f t="shared" si="129"/>
        <v>Short Days</v>
      </c>
    </row>
    <row r="2740" spans="1:21">
      <c r="A2740" t="s">
        <v>2756</v>
      </c>
      <c r="B2740" s="5">
        <v>45503</v>
      </c>
      <c r="C2740" t="s">
        <v>4132</v>
      </c>
      <c r="D2740" t="s">
        <v>4713</v>
      </c>
      <c r="E2740" t="s">
        <v>4866</v>
      </c>
      <c r="F2740">
        <v>41</v>
      </c>
      <c r="G2740" t="s">
        <v>4881</v>
      </c>
      <c r="H2740" t="s">
        <v>4881</v>
      </c>
      <c r="I2740" t="s">
        <v>4898</v>
      </c>
      <c r="J2740" t="s">
        <v>4918</v>
      </c>
      <c r="K2740" t="s">
        <v>4932</v>
      </c>
      <c r="L2740" t="s">
        <v>4939</v>
      </c>
      <c r="M2740" t="s">
        <v>4943</v>
      </c>
      <c r="N2740" s="11">
        <v>10659.59</v>
      </c>
      <c r="O2740" t="s">
        <v>4949</v>
      </c>
      <c r="P2740" t="s">
        <v>4951</v>
      </c>
      <c r="R2740">
        <v>30</v>
      </c>
      <c r="S2740" t="str">
        <f t="shared" si="127"/>
        <v>Middle-Aged</v>
      </c>
      <c r="T2740" t="str">
        <f t="shared" si="128"/>
        <v>High</v>
      </c>
      <c r="U2740" t="str">
        <f t="shared" si="129"/>
        <v>Short Days</v>
      </c>
    </row>
    <row r="2741" spans="1:21">
      <c r="A2741" t="s">
        <v>2757</v>
      </c>
      <c r="B2741" s="5">
        <v>45898</v>
      </c>
      <c r="C2741" t="s">
        <v>3201</v>
      </c>
      <c r="D2741" t="s">
        <v>4781</v>
      </c>
      <c r="E2741" t="s">
        <v>4867</v>
      </c>
      <c r="F2741">
        <v>11</v>
      </c>
      <c r="G2741" t="s">
        <v>4875</v>
      </c>
      <c r="H2741" t="s">
        <v>4889</v>
      </c>
      <c r="I2741" t="s">
        <v>4898</v>
      </c>
      <c r="J2741" t="s">
        <v>4909</v>
      </c>
      <c r="K2741" t="s">
        <v>4929</v>
      </c>
      <c r="L2741" t="s">
        <v>4936</v>
      </c>
      <c r="M2741" t="s">
        <v>4944</v>
      </c>
      <c r="N2741" s="11">
        <v>5902.02</v>
      </c>
      <c r="O2741" t="s">
        <v>4950</v>
      </c>
      <c r="P2741" t="s">
        <v>4951</v>
      </c>
      <c r="R2741">
        <v>90</v>
      </c>
      <c r="S2741" t="str">
        <f t="shared" si="127"/>
        <v>Child</v>
      </c>
      <c r="T2741" t="str">
        <f t="shared" si="128"/>
        <v>Medium</v>
      </c>
      <c r="U2741" t="str">
        <f t="shared" si="129"/>
        <v>Short Days</v>
      </c>
    </row>
    <row r="2742" spans="1:21">
      <c r="A2742" t="s">
        <v>2758</v>
      </c>
      <c r="B2742" s="5">
        <v>45582</v>
      </c>
      <c r="C2742" t="s">
        <v>3648</v>
      </c>
      <c r="D2742" t="s">
        <v>4636</v>
      </c>
      <c r="E2742" t="s">
        <v>4866</v>
      </c>
      <c r="F2742">
        <v>53</v>
      </c>
      <c r="G2742" t="s">
        <v>4877</v>
      </c>
      <c r="H2742" t="s">
        <v>4888</v>
      </c>
      <c r="I2742" t="s">
        <v>4895</v>
      </c>
      <c r="J2742" t="s">
        <v>4905</v>
      </c>
      <c r="K2742" t="s">
        <v>4926</v>
      </c>
      <c r="L2742" t="s">
        <v>4934</v>
      </c>
      <c r="M2742" t="s">
        <v>4944</v>
      </c>
      <c r="N2742" s="11">
        <v>6274.28</v>
      </c>
      <c r="O2742" t="s">
        <v>4948</v>
      </c>
      <c r="P2742" t="s">
        <v>4951</v>
      </c>
      <c r="R2742">
        <v>90</v>
      </c>
      <c r="S2742" t="str">
        <f t="shared" si="127"/>
        <v>Middle-Aged</v>
      </c>
      <c r="T2742" t="str">
        <f t="shared" si="128"/>
        <v>Medium</v>
      </c>
      <c r="U2742" t="str">
        <f t="shared" si="129"/>
        <v>Short Days</v>
      </c>
    </row>
    <row r="2743" spans="1:21">
      <c r="A2743" t="s">
        <v>2759</v>
      </c>
      <c r="B2743" s="5">
        <v>45878</v>
      </c>
      <c r="C2743" t="s">
        <v>3042</v>
      </c>
      <c r="D2743" t="s">
        <v>4829</v>
      </c>
      <c r="E2743" t="s">
        <v>4867</v>
      </c>
      <c r="F2743">
        <v>37</v>
      </c>
      <c r="G2743" t="s">
        <v>4878</v>
      </c>
      <c r="H2743" t="s">
        <v>4889</v>
      </c>
      <c r="I2743" t="s">
        <v>4896</v>
      </c>
      <c r="J2743" t="s">
        <v>4908</v>
      </c>
      <c r="K2743" t="s">
        <v>4933</v>
      </c>
      <c r="L2743" t="s">
        <v>4935</v>
      </c>
      <c r="M2743" t="s">
        <v>4945</v>
      </c>
      <c r="N2743" s="11">
        <v>7131.38</v>
      </c>
      <c r="O2743" t="s">
        <v>4949</v>
      </c>
      <c r="P2743" t="s">
        <v>4951</v>
      </c>
      <c r="Q2743">
        <v>2</v>
      </c>
      <c r="R2743">
        <v>14</v>
      </c>
      <c r="S2743" t="str">
        <f t="shared" si="127"/>
        <v>Adult</v>
      </c>
      <c r="T2743" t="str">
        <f t="shared" si="128"/>
        <v>Medium</v>
      </c>
      <c r="U2743" t="str">
        <f t="shared" si="129"/>
        <v>Short Days</v>
      </c>
    </row>
    <row r="2744" spans="1:21">
      <c r="A2744" t="s">
        <v>2760</v>
      </c>
      <c r="B2744" s="5">
        <v>45403</v>
      </c>
      <c r="C2744" t="s">
        <v>4510</v>
      </c>
      <c r="D2744" t="s">
        <v>4743</v>
      </c>
      <c r="E2744" t="s">
        <v>4866</v>
      </c>
      <c r="F2744">
        <v>68</v>
      </c>
      <c r="G2744" t="s">
        <v>4871</v>
      </c>
      <c r="H2744" t="s">
        <v>4886</v>
      </c>
      <c r="I2744" t="s">
        <v>4900</v>
      </c>
      <c r="J2744" t="s">
        <v>4913</v>
      </c>
      <c r="K2744" t="s">
        <v>4929</v>
      </c>
      <c r="L2744" t="s">
        <v>4936</v>
      </c>
      <c r="M2744" t="s">
        <v>4942</v>
      </c>
      <c r="N2744" s="11">
        <v>14743.69</v>
      </c>
      <c r="O2744" t="s">
        <v>4947</v>
      </c>
      <c r="P2744" t="s">
        <v>4951</v>
      </c>
      <c r="S2744" t="str">
        <f t="shared" si="127"/>
        <v>Senior</v>
      </c>
      <c r="T2744" t="str">
        <f t="shared" si="128"/>
        <v>High</v>
      </c>
      <c r="U2744" t="str">
        <f t="shared" si="129"/>
        <v>Short Days</v>
      </c>
    </row>
    <row r="2745" spans="1:21">
      <c r="A2745" t="s">
        <v>2761</v>
      </c>
      <c r="B2745" s="5">
        <v>45616</v>
      </c>
      <c r="C2745" t="s">
        <v>3323</v>
      </c>
      <c r="D2745" t="s">
        <v>4644</v>
      </c>
      <c r="E2745" t="s">
        <v>4867</v>
      </c>
      <c r="F2745">
        <v>40</v>
      </c>
      <c r="G2745" t="s">
        <v>4877</v>
      </c>
      <c r="H2745" t="s">
        <v>4888</v>
      </c>
      <c r="I2745" t="s">
        <v>4895</v>
      </c>
      <c r="J2745" t="s">
        <v>4915</v>
      </c>
      <c r="K2745" t="s">
        <v>4924</v>
      </c>
      <c r="L2745" t="s">
        <v>4936</v>
      </c>
      <c r="M2745" t="s">
        <v>4944</v>
      </c>
      <c r="N2745" s="11">
        <v>8721.56</v>
      </c>
      <c r="O2745" t="s">
        <v>4946</v>
      </c>
      <c r="P2745" t="s">
        <v>4951</v>
      </c>
      <c r="R2745">
        <v>30</v>
      </c>
      <c r="S2745" t="str">
        <f t="shared" si="127"/>
        <v>Adult</v>
      </c>
      <c r="T2745" t="str">
        <f t="shared" si="128"/>
        <v>Medium</v>
      </c>
      <c r="U2745" t="str">
        <f t="shared" si="129"/>
        <v>Short Days</v>
      </c>
    </row>
    <row r="2746" spans="1:21">
      <c r="A2746" t="s">
        <v>2762</v>
      </c>
      <c r="B2746" s="5">
        <v>45767</v>
      </c>
      <c r="C2746" t="s">
        <v>4511</v>
      </c>
      <c r="D2746" t="s">
        <v>4677</v>
      </c>
      <c r="E2746" t="s">
        <v>4866</v>
      </c>
      <c r="F2746">
        <v>61</v>
      </c>
      <c r="G2746" t="s">
        <v>4874</v>
      </c>
      <c r="H2746" t="s">
        <v>4886</v>
      </c>
      <c r="I2746" t="s">
        <v>4895</v>
      </c>
      <c r="J2746" t="s">
        <v>4915</v>
      </c>
      <c r="K2746" t="s">
        <v>4924</v>
      </c>
      <c r="L2746" t="s">
        <v>4938</v>
      </c>
      <c r="M2746" t="s">
        <v>4942</v>
      </c>
      <c r="N2746" s="11">
        <v>4966.18</v>
      </c>
      <c r="O2746" t="s">
        <v>4949</v>
      </c>
      <c r="P2746" t="s">
        <v>4951</v>
      </c>
      <c r="R2746">
        <v>30</v>
      </c>
      <c r="S2746" t="str">
        <f t="shared" si="127"/>
        <v>Senior</v>
      </c>
      <c r="T2746" t="str">
        <f t="shared" si="128"/>
        <v>Low</v>
      </c>
      <c r="U2746" t="str">
        <f t="shared" si="129"/>
        <v>Short Days</v>
      </c>
    </row>
    <row r="2747" spans="1:21">
      <c r="A2747" t="s">
        <v>2763</v>
      </c>
      <c r="B2747" s="5">
        <v>45931</v>
      </c>
      <c r="C2747" t="s">
        <v>3504</v>
      </c>
      <c r="D2747" t="s">
        <v>4796</v>
      </c>
      <c r="E2747" t="s">
        <v>4866</v>
      </c>
      <c r="F2747">
        <v>45</v>
      </c>
      <c r="G2747" t="s">
        <v>4880</v>
      </c>
      <c r="H2747" t="s">
        <v>4890</v>
      </c>
      <c r="I2747" t="s">
        <v>4901</v>
      </c>
      <c r="J2747" t="s">
        <v>4921</v>
      </c>
      <c r="K2747" t="s">
        <v>4930</v>
      </c>
      <c r="L2747" t="s">
        <v>4941</v>
      </c>
      <c r="M2747" t="s">
        <v>4942</v>
      </c>
      <c r="N2747" s="11">
        <v>3978.45</v>
      </c>
      <c r="O2747" t="s">
        <v>15</v>
      </c>
      <c r="P2747" t="s">
        <v>4952</v>
      </c>
      <c r="S2747" t="str">
        <f t="shared" si="127"/>
        <v>Middle-Aged</v>
      </c>
      <c r="T2747" t="str">
        <f t="shared" si="128"/>
        <v>Low</v>
      </c>
      <c r="U2747" t="str">
        <f t="shared" si="129"/>
        <v>Short Days</v>
      </c>
    </row>
    <row r="2748" spans="1:21">
      <c r="A2748" t="s">
        <v>2764</v>
      </c>
      <c r="B2748" s="5">
        <v>45622</v>
      </c>
      <c r="C2748" t="s">
        <v>3876</v>
      </c>
      <c r="D2748" t="s">
        <v>4673</v>
      </c>
      <c r="E2748" t="s">
        <v>4866</v>
      </c>
      <c r="F2748">
        <v>42</v>
      </c>
      <c r="G2748" t="s">
        <v>4873</v>
      </c>
      <c r="H2748" t="s">
        <v>4888</v>
      </c>
      <c r="I2748" t="s">
        <v>4900</v>
      </c>
      <c r="J2748" t="s">
        <v>4913</v>
      </c>
      <c r="K2748" t="s">
        <v>4927</v>
      </c>
      <c r="L2748" t="s">
        <v>4940</v>
      </c>
      <c r="M2748" t="s">
        <v>4942</v>
      </c>
      <c r="N2748" s="11">
        <v>15940.65</v>
      </c>
      <c r="O2748" t="s">
        <v>4947</v>
      </c>
      <c r="P2748" t="s">
        <v>4951</v>
      </c>
      <c r="S2748" t="str">
        <f t="shared" si="127"/>
        <v>Middle-Aged</v>
      </c>
      <c r="T2748" t="str">
        <f t="shared" si="128"/>
        <v>High</v>
      </c>
      <c r="U2748" t="str">
        <f t="shared" si="129"/>
        <v>Short Days</v>
      </c>
    </row>
    <row r="2749" spans="1:21">
      <c r="A2749" t="s">
        <v>2765</v>
      </c>
      <c r="B2749" s="5">
        <v>45811</v>
      </c>
      <c r="C2749" t="s">
        <v>4512</v>
      </c>
      <c r="D2749" t="s">
        <v>4646</v>
      </c>
      <c r="E2749" t="s">
        <v>4867</v>
      </c>
      <c r="F2749">
        <v>18</v>
      </c>
      <c r="G2749" t="s">
        <v>4877</v>
      </c>
      <c r="H2749" t="s">
        <v>4888</v>
      </c>
      <c r="I2749" t="s">
        <v>4894</v>
      </c>
      <c r="J2749" t="s">
        <v>4904</v>
      </c>
      <c r="K2749" t="s">
        <v>4933</v>
      </c>
      <c r="L2749" t="s">
        <v>4938</v>
      </c>
      <c r="M2749" t="s">
        <v>4945</v>
      </c>
      <c r="N2749" s="11">
        <v>6835.45</v>
      </c>
      <c r="O2749" t="s">
        <v>4946</v>
      </c>
      <c r="P2749" t="s">
        <v>4951</v>
      </c>
      <c r="Q2749">
        <v>6</v>
      </c>
      <c r="R2749">
        <v>30</v>
      </c>
      <c r="S2749" t="str">
        <f t="shared" si="127"/>
        <v>Adult</v>
      </c>
      <c r="T2749" t="str">
        <f t="shared" si="128"/>
        <v>Medium</v>
      </c>
      <c r="U2749" t="str">
        <f t="shared" si="129"/>
        <v>Long Days</v>
      </c>
    </row>
    <row r="2750" spans="1:21">
      <c r="A2750" t="s">
        <v>2766</v>
      </c>
      <c r="B2750" s="5">
        <v>45645</v>
      </c>
      <c r="C2750" t="s">
        <v>3333</v>
      </c>
      <c r="D2750" t="s">
        <v>4762</v>
      </c>
      <c r="E2750" t="s">
        <v>4867</v>
      </c>
      <c r="F2750">
        <v>49</v>
      </c>
      <c r="G2750" t="s">
        <v>4883</v>
      </c>
      <c r="H2750" t="s">
        <v>4892</v>
      </c>
      <c r="I2750" t="s">
        <v>4901</v>
      </c>
      <c r="J2750" t="s">
        <v>4914</v>
      </c>
      <c r="K2750" t="s">
        <v>4928</v>
      </c>
      <c r="L2750" t="s">
        <v>4941</v>
      </c>
      <c r="M2750" t="s">
        <v>4943</v>
      </c>
      <c r="N2750" s="11">
        <v>14821.68</v>
      </c>
      <c r="O2750" t="s">
        <v>4948</v>
      </c>
      <c r="P2750" t="s">
        <v>4951</v>
      </c>
      <c r="R2750">
        <v>30</v>
      </c>
      <c r="S2750" t="str">
        <f t="shared" si="127"/>
        <v>Middle-Aged</v>
      </c>
      <c r="T2750" t="str">
        <f t="shared" si="128"/>
        <v>High</v>
      </c>
      <c r="U2750" t="str">
        <f t="shared" si="129"/>
        <v>Short Days</v>
      </c>
    </row>
    <row r="2751" spans="1:21">
      <c r="A2751" t="s">
        <v>2767</v>
      </c>
      <c r="B2751" s="5">
        <v>45612</v>
      </c>
      <c r="C2751" t="s">
        <v>3058</v>
      </c>
      <c r="D2751" t="s">
        <v>4654</v>
      </c>
      <c r="E2751" t="s">
        <v>4866</v>
      </c>
      <c r="F2751">
        <v>36</v>
      </c>
      <c r="G2751" t="s">
        <v>4882</v>
      </c>
      <c r="H2751" t="s">
        <v>4891</v>
      </c>
      <c r="I2751" t="s">
        <v>4897</v>
      </c>
      <c r="J2751" t="s">
        <v>4922</v>
      </c>
      <c r="K2751" t="s">
        <v>4924</v>
      </c>
      <c r="L2751" t="s">
        <v>4936</v>
      </c>
      <c r="M2751" t="s">
        <v>4942</v>
      </c>
      <c r="N2751" s="11">
        <v>5075.47</v>
      </c>
      <c r="O2751" t="s">
        <v>4947</v>
      </c>
      <c r="P2751" t="s">
        <v>4951</v>
      </c>
      <c r="R2751">
        <v>30</v>
      </c>
      <c r="S2751" t="str">
        <f t="shared" si="127"/>
        <v>Adult</v>
      </c>
      <c r="T2751" t="str">
        <f t="shared" si="128"/>
        <v>Medium</v>
      </c>
      <c r="U2751" t="str">
        <f t="shared" si="129"/>
        <v>Short Days</v>
      </c>
    </row>
    <row r="2752" spans="1:21">
      <c r="A2752" t="s">
        <v>2768</v>
      </c>
      <c r="B2752" s="5">
        <v>45898</v>
      </c>
      <c r="C2752" t="s">
        <v>4137</v>
      </c>
      <c r="D2752" t="s">
        <v>4712</v>
      </c>
      <c r="E2752" t="s">
        <v>4867</v>
      </c>
      <c r="F2752">
        <v>46</v>
      </c>
      <c r="G2752" t="s">
        <v>4870</v>
      </c>
      <c r="H2752" t="s">
        <v>4885</v>
      </c>
      <c r="I2752" t="s">
        <v>4895</v>
      </c>
      <c r="J2752" t="s">
        <v>4915</v>
      </c>
      <c r="K2752" t="s">
        <v>4928</v>
      </c>
      <c r="L2752" t="s">
        <v>4935</v>
      </c>
      <c r="M2752" t="s">
        <v>4944</v>
      </c>
      <c r="N2752" s="11">
        <v>9742.5499999999993</v>
      </c>
      <c r="O2752" t="s">
        <v>4946</v>
      </c>
      <c r="P2752" t="s">
        <v>4951</v>
      </c>
      <c r="R2752">
        <v>14</v>
      </c>
      <c r="S2752" t="str">
        <f t="shared" si="127"/>
        <v>Middle-Aged</v>
      </c>
      <c r="T2752" t="str">
        <f t="shared" si="128"/>
        <v>Medium</v>
      </c>
      <c r="U2752" t="str">
        <f t="shared" si="129"/>
        <v>Short Days</v>
      </c>
    </row>
    <row r="2753" spans="1:21">
      <c r="A2753" t="s">
        <v>2769</v>
      </c>
      <c r="B2753" s="5">
        <v>45683</v>
      </c>
      <c r="C2753" t="s">
        <v>4308</v>
      </c>
      <c r="D2753" t="s">
        <v>4787</v>
      </c>
      <c r="E2753" t="s">
        <v>4866</v>
      </c>
      <c r="F2753">
        <v>35</v>
      </c>
      <c r="G2753" t="s">
        <v>4871</v>
      </c>
      <c r="H2753" t="s">
        <v>4886</v>
      </c>
      <c r="I2753" t="s">
        <v>4895</v>
      </c>
      <c r="J2753" t="s">
        <v>4915</v>
      </c>
      <c r="K2753" t="s">
        <v>4931</v>
      </c>
      <c r="L2753" t="s">
        <v>4936</v>
      </c>
      <c r="M2753" t="s">
        <v>4942</v>
      </c>
      <c r="N2753" s="11">
        <v>190.97</v>
      </c>
      <c r="O2753" t="s">
        <v>4949</v>
      </c>
      <c r="P2753" t="s">
        <v>4951</v>
      </c>
      <c r="R2753">
        <v>90</v>
      </c>
      <c r="S2753" t="str">
        <f t="shared" si="127"/>
        <v>Adult</v>
      </c>
      <c r="T2753" t="str">
        <f t="shared" si="128"/>
        <v>Low</v>
      </c>
      <c r="U2753" t="str">
        <f t="shared" si="129"/>
        <v>Short Days</v>
      </c>
    </row>
    <row r="2754" spans="1:21">
      <c r="A2754" t="s">
        <v>2770</v>
      </c>
      <c r="B2754" s="5">
        <v>45420</v>
      </c>
      <c r="C2754" t="s">
        <v>3938</v>
      </c>
      <c r="D2754" t="s">
        <v>4830</v>
      </c>
      <c r="E2754" t="s">
        <v>4867</v>
      </c>
      <c r="F2754">
        <v>38</v>
      </c>
      <c r="G2754" t="s">
        <v>4883</v>
      </c>
      <c r="H2754" t="s">
        <v>4892</v>
      </c>
      <c r="I2754" t="s">
        <v>4897</v>
      </c>
      <c r="J2754" t="s">
        <v>4907</v>
      </c>
      <c r="K2754" t="s">
        <v>4933</v>
      </c>
      <c r="L2754" t="s">
        <v>4941</v>
      </c>
      <c r="M2754" t="s">
        <v>4942</v>
      </c>
      <c r="N2754" s="11">
        <v>9326.48</v>
      </c>
      <c r="O2754" t="s">
        <v>4946</v>
      </c>
      <c r="P2754" t="s">
        <v>4951</v>
      </c>
      <c r="S2754" t="str">
        <f t="shared" si="127"/>
        <v>Adult</v>
      </c>
      <c r="T2754" t="str">
        <f t="shared" si="128"/>
        <v>Medium</v>
      </c>
      <c r="U2754" t="str">
        <f t="shared" si="129"/>
        <v>Short Days</v>
      </c>
    </row>
    <row r="2755" spans="1:21">
      <c r="A2755" t="s">
        <v>2771</v>
      </c>
      <c r="B2755" s="5">
        <v>45371</v>
      </c>
      <c r="C2755" t="s">
        <v>3456</v>
      </c>
      <c r="D2755" t="s">
        <v>4846</v>
      </c>
      <c r="E2755" t="s">
        <v>4867</v>
      </c>
      <c r="F2755">
        <v>47</v>
      </c>
      <c r="G2755" t="s">
        <v>4881</v>
      </c>
      <c r="H2755" t="s">
        <v>4881</v>
      </c>
      <c r="I2755" t="s">
        <v>4893</v>
      </c>
      <c r="J2755" t="s">
        <v>4917</v>
      </c>
      <c r="K2755" t="s">
        <v>4933</v>
      </c>
      <c r="L2755" t="s">
        <v>4938</v>
      </c>
      <c r="M2755" t="s">
        <v>4943</v>
      </c>
      <c r="N2755" s="11">
        <v>5541.46</v>
      </c>
      <c r="O2755" t="s">
        <v>4946</v>
      </c>
      <c r="P2755" t="s">
        <v>4951</v>
      </c>
      <c r="R2755">
        <v>90</v>
      </c>
      <c r="S2755" t="str">
        <f t="shared" ref="S2755:S2818" si="130">IF(F2755&lt;18,"Child",IF(F2755&lt;=40,"Adult",IF(F2755&lt;=60,"Middle-Aged",IF(F2755,"Senior"))))</f>
        <v>Middle-Aged</v>
      </c>
      <c r="T2755" t="str">
        <f t="shared" ref="T2755:T2818" si="131">IF(N2755&lt;=5000,"Low",IF(N2755&lt;=10000,"Medium","High"))</f>
        <v>Medium</v>
      </c>
      <c r="U2755" t="str">
        <f t="shared" ref="U2755:U2818" si="132">IF(Q2755&lt;=5,"Short Days","Long Days")</f>
        <v>Short Days</v>
      </c>
    </row>
    <row r="2756" spans="1:21">
      <c r="A2756" t="s">
        <v>2772</v>
      </c>
      <c r="B2756" s="5">
        <v>45443</v>
      </c>
      <c r="C2756" t="s">
        <v>4032</v>
      </c>
      <c r="D2756" t="s">
        <v>4807</v>
      </c>
      <c r="E2756" t="s">
        <v>4866</v>
      </c>
      <c r="F2756">
        <v>34</v>
      </c>
      <c r="G2756" t="s">
        <v>4881</v>
      </c>
      <c r="H2756" t="s">
        <v>4881</v>
      </c>
      <c r="I2756" t="s">
        <v>4896</v>
      </c>
      <c r="J2756" t="s">
        <v>4908</v>
      </c>
      <c r="K2756" t="s">
        <v>4930</v>
      </c>
      <c r="L2756" t="s">
        <v>4937</v>
      </c>
      <c r="M2756" t="s">
        <v>4944</v>
      </c>
      <c r="N2756" s="11">
        <v>6118.26</v>
      </c>
      <c r="O2756" t="s">
        <v>4947</v>
      </c>
      <c r="P2756" t="s">
        <v>4951</v>
      </c>
      <c r="R2756">
        <v>30</v>
      </c>
      <c r="S2756" t="str">
        <f t="shared" si="130"/>
        <v>Adult</v>
      </c>
      <c r="T2756" t="str">
        <f t="shared" si="131"/>
        <v>Medium</v>
      </c>
      <c r="U2756" t="str">
        <f t="shared" si="132"/>
        <v>Short Days</v>
      </c>
    </row>
    <row r="2757" spans="1:21">
      <c r="A2757" t="s">
        <v>2773</v>
      </c>
      <c r="B2757" s="5">
        <v>45436</v>
      </c>
      <c r="C2757" t="s">
        <v>3904</v>
      </c>
      <c r="D2757" t="s">
        <v>4802</v>
      </c>
      <c r="E2757" t="s">
        <v>4867</v>
      </c>
      <c r="F2757">
        <v>11</v>
      </c>
      <c r="G2757" t="s">
        <v>4883</v>
      </c>
      <c r="H2757" t="s">
        <v>4892</v>
      </c>
      <c r="I2757" t="s">
        <v>4895</v>
      </c>
      <c r="J2757" t="s">
        <v>4905</v>
      </c>
      <c r="K2757" t="s">
        <v>4925</v>
      </c>
      <c r="L2757" t="s">
        <v>4938</v>
      </c>
      <c r="M2757" t="s">
        <v>4943</v>
      </c>
      <c r="N2757" s="11">
        <v>13077.96</v>
      </c>
      <c r="O2757" t="s">
        <v>4949</v>
      </c>
      <c r="P2757" t="s">
        <v>4951</v>
      </c>
      <c r="S2757" t="str">
        <f t="shared" si="130"/>
        <v>Child</v>
      </c>
      <c r="T2757" t="str">
        <f t="shared" si="131"/>
        <v>High</v>
      </c>
      <c r="U2757" t="str">
        <f t="shared" si="132"/>
        <v>Short Days</v>
      </c>
    </row>
    <row r="2758" spans="1:21">
      <c r="A2758" t="s">
        <v>2774</v>
      </c>
      <c r="B2758" s="5">
        <v>45632</v>
      </c>
      <c r="C2758" t="s">
        <v>4513</v>
      </c>
      <c r="D2758" t="s">
        <v>4609</v>
      </c>
      <c r="E2758" t="s">
        <v>4866</v>
      </c>
      <c r="F2758">
        <v>36</v>
      </c>
      <c r="G2758" t="s">
        <v>4877</v>
      </c>
      <c r="H2758" t="s">
        <v>4888</v>
      </c>
      <c r="I2758" t="s">
        <v>4894</v>
      </c>
      <c r="J2758" t="s">
        <v>4904</v>
      </c>
      <c r="K2758" t="s">
        <v>4932</v>
      </c>
      <c r="L2758" t="s">
        <v>4940</v>
      </c>
      <c r="M2758" t="s">
        <v>4942</v>
      </c>
      <c r="N2758" s="11">
        <v>34935.19</v>
      </c>
      <c r="O2758" t="s">
        <v>4946</v>
      </c>
      <c r="P2758" t="s">
        <v>4951</v>
      </c>
      <c r="S2758" t="str">
        <f t="shared" si="130"/>
        <v>Adult</v>
      </c>
      <c r="T2758" t="str">
        <f t="shared" si="131"/>
        <v>High</v>
      </c>
      <c r="U2758" t="str">
        <f t="shared" si="132"/>
        <v>Short Days</v>
      </c>
    </row>
    <row r="2759" spans="1:21">
      <c r="A2759" t="s">
        <v>2775</v>
      </c>
      <c r="B2759" s="5">
        <v>45623</v>
      </c>
      <c r="C2759" t="s">
        <v>3083</v>
      </c>
      <c r="D2759" t="s">
        <v>4816</v>
      </c>
      <c r="E2759" t="s">
        <v>4867</v>
      </c>
      <c r="F2759">
        <v>21</v>
      </c>
      <c r="G2759" t="s">
        <v>4877</v>
      </c>
      <c r="H2759" t="s">
        <v>4888</v>
      </c>
      <c r="I2759" t="s">
        <v>4894</v>
      </c>
      <c r="J2759" t="s">
        <v>4910</v>
      </c>
      <c r="K2759" t="s">
        <v>4933</v>
      </c>
      <c r="L2759" t="s">
        <v>4936</v>
      </c>
      <c r="M2759" t="s">
        <v>4942</v>
      </c>
      <c r="N2759" s="11">
        <v>2090.66</v>
      </c>
      <c r="O2759" t="s">
        <v>4946</v>
      </c>
      <c r="P2759" t="s">
        <v>4951</v>
      </c>
      <c r="R2759">
        <v>7</v>
      </c>
      <c r="S2759" t="str">
        <f t="shared" si="130"/>
        <v>Adult</v>
      </c>
      <c r="T2759" t="str">
        <f t="shared" si="131"/>
        <v>Low</v>
      </c>
      <c r="U2759" t="str">
        <f t="shared" si="132"/>
        <v>Short Days</v>
      </c>
    </row>
    <row r="2760" spans="1:21">
      <c r="A2760" t="s">
        <v>2776</v>
      </c>
      <c r="B2760" s="5">
        <v>45579</v>
      </c>
      <c r="C2760" t="s">
        <v>4480</v>
      </c>
      <c r="D2760" t="s">
        <v>4823</v>
      </c>
      <c r="E2760" t="s">
        <v>4866</v>
      </c>
      <c r="F2760">
        <v>49</v>
      </c>
      <c r="G2760" t="s">
        <v>4880</v>
      </c>
      <c r="H2760" t="s">
        <v>4890</v>
      </c>
      <c r="I2760" t="s">
        <v>4900</v>
      </c>
      <c r="J2760" t="s">
        <v>4919</v>
      </c>
      <c r="K2760" t="s">
        <v>4928</v>
      </c>
      <c r="L2760" t="s">
        <v>4937</v>
      </c>
      <c r="M2760" t="s">
        <v>4942</v>
      </c>
      <c r="N2760" s="11">
        <v>21265.17</v>
      </c>
      <c r="O2760" t="s">
        <v>4947</v>
      </c>
      <c r="P2760" t="s">
        <v>4951</v>
      </c>
      <c r="R2760">
        <v>7</v>
      </c>
      <c r="S2760" t="str">
        <f t="shared" si="130"/>
        <v>Middle-Aged</v>
      </c>
      <c r="T2760" t="str">
        <f t="shared" si="131"/>
        <v>High</v>
      </c>
      <c r="U2760" t="str">
        <f t="shared" si="132"/>
        <v>Short Days</v>
      </c>
    </row>
    <row r="2761" spans="1:21">
      <c r="A2761" t="s">
        <v>2777</v>
      </c>
      <c r="B2761" s="5">
        <v>45940</v>
      </c>
      <c r="C2761" t="s">
        <v>4514</v>
      </c>
      <c r="D2761" t="s">
        <v>4821</v>
      </c>
      <c r="E2761" t="s">
        <v>4867</v>
      </c>
      <c r="F2761">
        <v>46</v>
      </c>
      <c r="G2761" t="s">
        <v>4883</v>
      </c>
      <c r="H2761" t="s">
        <v>4892</v>
      </c>
      <c r="I2761" t="s">
        <v>4899</v>
      </c>
      <c r="J2761" t="s">
        <v>4911</v>
      </c>
      <c r="K2761" t="s">
        <v>4925</v>
      </c>
      <c r="L2761" t="s">
        <v>4937</v>
      </c>
      <c r="M2761" t="s">
        <v>4942</v>
      </c>
      <c r="N2761" s="11">
        <v>4182.83</v>
      </c>
      <c r="O2761" t="s">
        <v>4948</v>
      </c>
      <c r="P2761" t="s">
        <v>4951</v>
      </c>
      <c r="R2761">
        <v>30</v>
      </c>
      <c r="S2761" t="str">
        <f t="shared" si="130"/>
        <v>Middle-Aged</v>
      </c>
      <c r="T2761" t="str">
        <f t="shared" si="131"/>
        <v>Low</v>
      </c>
      <c r="U2761" t="str">
        <f t="shared" si="132"/>
        <v>Short Days</v>
      </c>
    </row>
    <row r="2762" spans="1:21">
      <c r="A2762" t="s">
        <v>2778</v>
      </c>
      <c r="B2762" s="5">
        <v>45503</v>
      </c>
      <c r="C2762" t="s">
        <v>3246</v>
      </c>
      <c r="D2762" t="s">
        <v>4713</v>
      </c>
      <c r="E2762" t="s">
        <v>4866</v>
      </c>
      <c r="F2762">
        <v>16</v>
      </c>
      <c r="G2762" t="s">
        <v>4880</v>
      </c>
      <c r="H2762" t="s">
        <v>4890</v>
      </c>
      <c r="I2762" t="s">
        <v>4897</v>
      </c>
      <c r="J2762" t="s">
        <v>4922</v>
      </c>
      <c r="K2762" t="s">
        <v>4924</v>
      </c>
      <c r="L2762" t="s">
        <v>4940</v>
      </c>
      <c r="M2762" t="s">
        <v>4942</v>
      </c>
      <c r="N2762" s="11">
        <v>10277.219999999999</v>
      </c>
      <c r="O2762" t="s">
        <v>4947</v>
      </c>
      <c r="P2762" t="s">
        <v>4951</v>
      </c>
      <c r="R2762">
        <v>7</v>
      </c>
      <c r="S2762" t="str">
        <f t="shared" si="130"/>
        <v>Child</v>
      </c>
      <c r="T2762" t="str">
        <f t="shared" si="131"/>
        <v>High</v>
      </c>
      <c r="U2762" t="str">
        <f t="shared" si="132"/>
        <v>Short Days</v>
      </c>
    </row>
    <row r="2763" spans="1:21">
      <c r="A2763" t="s">
        <v>2779</v>
      </c>
      <c r="B2763" s="5">
        <v>45793</v>
      </c>
      <c r="C2763" t="s">
        <v>4286</v>
      </c>
      <c r="D2763" t="s">
        <v>4621</v>
      </c>
      <c r="E2763" t="s">
        <v>4866</v>
      </c>
      <c r="F2763">
        <v>58</v>
      </c>
      <c r="G2763" t="s">
        <v>4869</v>
      </c>
      <c r="H2763" t="s">
        <v>4884</v>
      </c>
      <c r="I2763" t="s">
        <v>4902</v>
      </c>
      <c r="J2763" t="s">
        <v>4920</v>
      </c>
      <c r="K2763" t="s">
        <v>4927</v>
      </c>
      <c r="L2763" t="s">
        <v>4937</v>
      </c>
      <c r="M2763" t="s">
        <v>4943</v>
      </c>
      <c r="N2763" s="11">
        <v>16297.98</v>
      </c>
      <c r="O2763" t="s">
        <v>4947</v>
      </c>
      <c r="P2763" t="s">
        <v>4951</v>
      </c>
      <c r="R2763">
        <v>30</v>
      </c>
      <c r="S2763" t="str">
        <f t="shared" si="130"/>
        <v>Middle-Aged</v>
      </c>
      <c r="T2763" t="str">
        <f t="shared" si="131"/>
        <v>High</v>
      </c>
      <c r="U2763" t="str">
        <f t="shared" si="132"/>
        <v>Short Days</v>
      </c>
    </row>
    <row r="2764" spans="1:21">
      <c r="A2764" t="s">
        <v>2780</v>
      </c>
      <c r="B2764" s="5">
        <v>45921</v>
      </c>
      <c r="C2764" t="s">
        <v>4515</v>
      </c>
      <c r="D2764" t="s">
        <v>4812</v>
      </c>
      <c r="E2764" t="s">
        <v>4867</v>
      </c>
      <c r="F2764">
        <v>16</v>
      </c>
      <c r="G2764" t="s">
        <v>4871</v>
      </c>
      <c r="H2764" t="s">
        <v>4886</v>
      </c>
      <c r="I2764" t="s">
        <v>4893</v>
      </c>
      <c r="J2764" t="s">
        <v>4903</v>
      </c>
      <c r="K2764" t="s">
        <v>4928</v>
      </c>
      <c r="L2764" t="s">
        <v>4939</v>
      </c>
      <c r="M2764" t="s">
        <v>4944</v>
      </c>
      <c r="N2764" s="11">
        <v>6234.77</v>
      </c>
      <c r="O2764" t="s">
        <v>15</v>
      </c>
      <c r="P2764" t="s">
        <v>4952</v>
      </c>
      <c r="R2764">
        <v>90</v>
      </c>
      <c r="S2764" t="str">
        <f t="shared" si="130"/>
        <v>Child</v>
      </c>
      <c r="T2764" t="str">
        <f t="shared" si="131"/>
        <v>Medium</v>
      </c>
      <c r="U2764" t="str">
        <f t="shared" si="132"/>
        <v>Short Days</v>
      </c>
    </row>
    <row r="2765" spans="1:21">
      <c r="A2765" t="s">
        <v>2781</v>
      </c>
      <c r="B2765" s="5">
        <v>45831</v>
      </c>
      <c r="C2765" t="s">
        <v>3188</v>
      </c>
      <c r="D2765" t="s">
        <v>4835</v>
      </c>
      <c r="E2765" t="s">
        <v>4866</v>
      </c>
      <c r="F2765">
        <v>59</v>
      </c>
      <c r="G2765" t="s">
        <v>4876</v>
      </c>
      <c r="H2765" t="s">
        <v>4888</v>
      </c>
      <c r="I2765" t="s">
        <v>4895</v>
      </c>
      <c r="J2765" t="s">
        <v>4905</v>
      </c>
      <c r="K2765" t="s">
        <v>4932</v>
      </c>
      <c r="L2765" t="s">
        <v>4935</v>
      </c>
      <c r="M2765" t="s">
        <v>4944</v>
      </c>
      <c r="N2765" s="11">
        <v>9072.1</v>
      </c>
      <c r="O2765" t="s">
        <v>4947</v>
      </c>
      <c r="P2765" t="s">
        <v>4951</v>
      </c>
      <c r="R2765">
        <v>14</v>
      </c>
      <c r="S2765" t="str">
        <f t="shared" si="130"/>
        <v>Middle-Aged</v>
      </c>
      <c r="T2765" t="str">
        <f t="shared" si="131"/>
        <v>Medium</v>
      </c>
      <c r="U2765" t="str">
        <f t="shared" si="132"/>
        <v>Short Days</v>
      </c>
    </row>
    <row r="2766" spans="1:21">
      <c r="A2766" t="s">
        <v>2782</v>
      </c>
      <c r="B2766" s="5">
        <v>45612</v>
      </c>
      <c r="C2766" t="s">
        <v>3680</v>
      </c>
      <c r="D2766" t="s">
        <v>4847</v>
      </c>
      <c r="E2766" t="s">
        <v>4867</v>
      </c>
      <c r="F2766">
        <v>23</v>
      </c>
      <c r="G2766" t="s">
        <v>4869</v>
      </c>
      <c r="H2766" t="s">
        <v>4884</v>
      </c>
      <c r="I2766" t="s">
        <v>4900</v>
      </c>
      <c r="J2766" t="s">
        <v>4913</v>
      </c>
      <c r="K2766" t="s">
        <v>4932</v>
      </c>
      <c r="L2766" t="s">
        <v>4939</v>
      </c>
      <c r="M2766" t="s">
        <v>4942</v>
      </c>
      <c r="N2766" s="11">
        <v>2406.2800000000002</v>
      </c>
      <c r="O2766" t="s">
        <v>4949</v>
      </c>
      <c r="P2766" t="s">
        <v>4951</v>
      </c>
      <c r="R2766">
        <v>90</v>
      </c>
      <c r="S2766" t="str">
        <f t="shared" si="130"/>
        <v>Adult</v>
      </c>
      <c r="T2766" t="str">
        <f t="shared" si="131"/>
        <v>Low</v>
      </c>
      <c r="U2766" t="str">
        <f t="shared" si="132"/>
        <v>Short Days</v>
      </c>
    </row>
    <row r="2767" spans="1:21">
      <c r="A2767" t="s">
        <v>2783</v>
      </c>
      <c r="B2767" s="5">
        <v>45298</v>
      </c>
      <c r="C2767" t="s">
        <v>3676</v>
      </c>
      <c r="D2767" t="s">
        <v>4677</v>
      </c>
      <c r="E2767" t="s">
        <v>4867</v>
      </c>
      <c r="F2767">
        <v>47</v>
      </c>
      <c r="G2767" t="s">
        <v>4882</v>
      </c>
      <c r="H2767" t="s">
        <v>4891</v>
      </c>
      <c r="I2767" t="s">
        <v>4894</v>
      </c>
      <c r="J2767" t="s">
        <v>4904</v>
      </c>
      <c r="K2767" t="s">
        <v>4929</v>
      </c>
      <c r="L2767" t="s">
        <v>4941</v>
      </c>
      <c r="M2767" t="s">
        <v>4942</v>
      </c>
      <c r="N2767" s="11">
        <v>896.32</v>
      </c>
      <c r="O2767" t="s">
        <v>4947</v>
      </c>
      <c r="P2767" t="s">
        <v>4951</v>
      </c>
      <c r="R2767">
        <v>90</v>
      </c>
      <c r="S2767" t="str">
        <f t="shared" si="130"/>
        <v>Middle-Aged</v>
      </c>
      <c r="T2767" t="str">
        <f t="shared" si="131"/>
        <v>Low</v>
      </c>
      <c r="U2767" t="str">
        <f t="shared" si="132"/>
        <v>Short Days</v>
      </c>
    </row>
    <row r="2768" spans="1:21">
      <c r="A2768" t="s">
        <v>2784</v>
      </c>
      <c r="B2768" s="5">
        <v>45656</v>
      </c>
      <c r="C2768" t="s">
        <v>3364</v>
      </c>
      <c r="D2768" t="s">
        <v>4652</v>
      </c>
      <c r="E2768" t="s">
        <v>4867</v>
      </c>
      <c r="F2768">
        <v>34</v>
      </c>
      <c r="G2768" t="s">
        <v>4872</v>
      </c>
      <c r="H2768" t="s">
        <v>4887</v>
      </c>
      <c r="I2768" t="s">
        <v>4896</v>
      </c>
      <c r="J2768" t="s">
        <v>4908</v>
      </c>
      <c r="K2768" t="s">
        <v>4928</v>
      </c>
      <c r="L2768" t="s">
        <v>4937</v>
      </c>
      <c r="M2768" t="s">
        <v>4944</v>
      </c>
      <c r="N2768" s="11">
        <v>5784.81</v>
      </c>
      <c r="O2768" t="s">
        <v>15</v>
      </c>
      <c r="P2768" t="s">
        <v>4952</v>
      </c>
      <c r="R2768">
        <v>14</v>
      </c>
      <c r="S2768" t="str">
        <f t="shared" si="130"/>
        <v>Adult</v>
      </c>
      <c r="T2768" t="str">
        <f t="shared" si="131"/>
        <v>Medium</v>
      </c>
      <c r="U2768" t="str">
        <f t="shared" si="132"/>
        <v>Short Days</v>
      </c>
    </row>
    <row r="2769" spans="1:21">
      <c r="A2769" t="s">
        <v>2785</v>
      </c>
      <c r="B2769" s="5">
        <v>45672</v>
      </c>
      <c r="C2769" t="s">
        <v>4516</v>
      </c>
      <c r="D2769" t="s">
        <v>4859</v>
      </c>
      <c r="E2769" t="s">
        <v>4866</v>
      </c>
      <c r="F2769">
        <v>24</v>
      </c>
      <c r="G2769" t="s">
        <v>4878</v>
      </c>
      <c r="H2769" t="s">
        <v>4889</v>
      </c>
      <c r="I2769" t="s">
        <v>4895</v>
      </c>
      <c r="J2769" t="s">
        <v>4905</v>
      </c>
      <c r="K2769" t="s">
        <v>4931</v>
      </c>
      <c r="L2769" t="s">
        <v>4935</v>
      </c>
      <c r="M2769" t="s">
        <v>4942</v>
      </c>
      <c r="N2769" s="11">
        <v>2336.46</v>
      </c>
      <c r="O2769" t="s">
        <v>4946</v>
      </c>
      <c r="P2769" t="s">
        <v>4951</v>
      </c>
      <c r="R2769">
        <v>7</v>
      </c>
      <c r="S2769" t="str">
        <f t="shared" si="130"/>
        <v>Adult</v>
      </c>
      <c r="T2769" t="str">
        <f t="shared" si="131"/>
        <v>Low</v>
      </c>
      <c r="U2769" t="str">
        <f t="shared" si="132"/>
        <v>Short Days</v>
      </c>
    </row>
    <row r="2770" spans="1:21">
      <c r="A2770" t="s">
        <v>2786</v>
      </c>
      <c r="B2770" s="5">
        <v>45721</v>
      </c>
      <c r="C2770" t="s">
        <v>4517</v>
      </c>
      <c r="D2770" t="s">
        <v>4698</v>
      </c>
      <c r="E2770" t="s">
        <v>4866</v>
      </c>
      <c r="F2770">
        <v>15</v>
      </c>
      <c r="G2770" t="s">
        <v>4870</v>
      </c>
      <c r="H2770" t="s">
        <v>4885</v>
      </c>
      <c r="I2770" t="s">
        <v>4901</v>
      </c>
      <c r="J2770" t="s">
        <v>4914</v>
      </c>
      <c r="K2770" t="s">
        <v>4930</v>
      </c>
      <c r="L2770" t="s">
        <v>4941</v>
      </c>
      <c r="M2770" t="s">
        <v>4942</v>
      </c>
      <c r="N2770" s="11">
        <v>744.71</v>
      </c>
      <c r="O2770" t="s">
        <v>4947</v>
      </c>
      <c r="P2770" t="s">
        <v>4951</v>
      </c>
      <c r="R2770">
        <v>90</v>
      </c>
      <c r="S2770" t="str">
        <f t="shared" si="130"/>
        <v>Child</v>
      </c>
      <c r="T2770" t="str">
        <f t="shared" si="131"/>
        <v>Low</v>
      </c>
      <c r="U2770" t="str">
        <f t="shared" si="132"/>
        <v>Short Days</v>
      </c>
    </row>
    <row r="2771" spans="1:21">
      <c r="A2771" t="s">
        <v>2787</v>
      </c>
      <c r="B2771" s="5">
        <v>45881</v>
      </c>
      <c r="C2771" t="s">
        <v>4157</v>
      </c>
      <c r="D2771" t="s">
        <v>4689</v>
      </c>
      <c r="E2771" t="s">
        <v>4866</v>
      </c>
      <c r="F2771">
        <v>63</v>
      </c>
      <c r="G2771" t="s">
        <v>4872</v>
      </c>
      <c r="H2771" t="s">
        <v>4887</v>
      </c>
      <c r="I2771" t="s">
        <v>4899</v>
      </c>
      <c r="J2771" t="s">
        <v>4911</v>
      </c>
      <c r="K2771" t="s">
        <v>4924</v>
      </c>
      <c r="L2771" t="s">
        <v>4939</v>
      </c>
      <c r="M2771" t="s">
        <v>4942</v>
      </c>
      <c r="N2771" s="11">
        <v>4136.01</v>
      </c>
      <c r="O2771" t="s">
        <v>4946</v>
      </c>
      <c r="P2771" t="s">
        <v>4951</v>
      </c>
      <c r="R2771">
        <v>90</v>
      </c>
      <c r="S2771" t="str">
        <f t="shared" si="130"/>
        <v>Senior</v>
      </c>
      <c r="T2771" t="str">
        <f t="shared" si="131"/>
        <v>Low</v>
      </c>
      <c r="U2771" t="str">
        <f t="shared" si="132"/>
        <v>Short Days</v>
      </c>
    </row>
    <row r="2772" spans="1:21">
      <c r="A2772" t="s">
        <v>2788</v>
      </c>
      <c r="B2772" s="5">
        <v>45643</v>
      </c>
      <c r="C2772" t="s">
        <v>3694</v>
      </c>
      <c r="D2772" t="s">
        <v>4827</v>
      </c>
      <c r="E2772" t="s">
        <v>4866</v>
      </c>
      <c r="F2772">
        <v>46</v>
      </c>
      <c r="G2772" t="s">
        <v>4878</v>
      </c>
      <c r="H2772" t="s">
        <v>4889</v>
      </c>
      <c r="I2772" t="s">
        <v>4894</v>
      </c>
      <c r="J2772" t="s">
        <v>4910</v>
      </c>
      <c r="K2772" t="s">
        <v>4925</v>
      </c>
      <c r="L2772" t="s">
        <v>4937</v>
      </c>
      <c r="M2772" t="s">
        <v>4944</v>
      </c>
      <c r="N2772" s="11">
        <v>7790.86</v>
      </c>
      <c r="O2772" t="s">
        <v>4950</v>
      </c>
      <c r="P2772" t="s">
        <v>4951</v>
      </c>
      <c r="R2772">
        <v>90</v>
      </c>
      <c r="S2772" t="str">
        <f t="shared" si="130"/>
        <v>Middle-Aged</v>
      </c>
      <c r="T2772" t="str">
        <f t="shared" si="131"/>
        <v>Medium</v>
      </c>
      <c r="U2772" t="str">
        <f t="shared" si="132"/>
        <v>Short Days</v>
      </c>
    </row>
    <row r="2773" spans="1:21">
      <c r="A2773" t="s">
        <v>2789</v>
      </c>
      <c r="B2773" s="5">
        <v>45433</v>
      </c>
      <c r="C2773" t="s">
        <v>3953</v>
      </c>
      <c r="D2773" t="s">
        <v>4618</v>
      </c>
      <c r="E2773" t="s">
        <v>4867</v>
      </c>
      <c r="F2773">
        <v>43</v>
      </c>
      <c r="G2773" t="s">
        <v>4874</v>
      </c>
      <c r="H2773" t="s">
        <v>4886</v>
      </c>
      <c r="I2773" t="s">
        <v>4900</v>
      </c>
      <c r="J2773" t="s">
        <v>4913</v>
      </c>
      <c r="K2773" t="s">
        <v>4930</v>
      </c>
      <c r="L2773" t="s">
        <v>4938</v>
      </c>
      <c r="M2773" t="s">
        <v>4942</v>
      </c>
      <c r="N2773" s="11">
        <v>7650.43</v>
      </c>
      <c r="O2773" t="s">
        <v>4946</v>
      </c>
      <c r="P2773" t="s">
        <v>4951</v>
      </c>
      <c r="R2773">
        <v>14</v>
      </c>
      <c r="S2773" t="str">
        <f t="shared" si="130"/>
        <v>Middle-Aged</v>
      </c>
      <c r="T2773" t="str">
        <f t="shared" si="131"/>
        <v>Medium</v>
      </c>
      <c r="U2773" t="str">
        <f t="shared" si="132"/>
        <v>Short Days</v>
      </c>
    </row>
    <row r="2774" spans="1:21">
      <c r="A2774" t="s">
        <v>2790</v>
      </c>
      <c r="B2774" s="5">
        <v>45668</v>
      </c>
      <c r="C2774" t="s">
        <v>3738</v>
      </c>
      <c r="D2774" t="s">
        <v>4793</v>
      </c>
      <c r="E2774" t="s">
        <v>4866</v>
      </c>
      <c r="F2774">
        <v>46</v>
      </c>
      <c r="G2774" t="s">
        <v>4878</v>
      </c>
      <c r="H2774" t="s">
        <v>4889</v>
      </c>
      <c r="I2774" t="s">
        <v>4894</v>
      </c>
      <c r="J2774" t="s">
        <v>4910</v>
      </c>
      <c r="K2774" t="s">
        <v>4928</v>
      </c>
      <c r="L2774" t="s">
        <v>4937</v>
      </c>
      <c r="M2774" t="s">
        <v>4942</v>
      </c>
      <c r="N2774" s="11">
        <v>2469.0300000000002</v>
      </c>
      <c r="O2774" t="s">
        <v>4947</v>
      </c>
      <c r="P2774" t="s">
        <v>4951</v>
      </c>
      <c r="S2774" t="str">
        <f t="shared" si="130"/>
        <v>Middle-Aged</v>
      </c>
      <c r="T2774" t="str">
        <f t="shared" si="131"/>
        <v>Low</v>
      </c>
      <c r="U2774" t="str">
        <f t="shared" si="132"/>
        <v>Short Days</v>
      </c>
    </row>
    <row r="2775" spans="1:21">
      <c r="A2775" t="s">
        <v>2791</v>
      </c>
      <c r="B2775" s="5">
        <v>45522</v>
      </c>
      <c r="C2775" t="s">
        <v>3736</v>
      </c>
      <c r="D2775" t="s">
        <v>4806</v>
      </c>
      <c r="E2775" t="s">
        <v>4867</v>
      </c>
      <c r="F2775">
        <v>35</v>
      </c>
      <c r="G2775" t="s">
        <v>4870</v>
      </c>
      <c r="H2775" t="s">
        <v>4885</v>
      </c>
      <c r="I2775" t="s">
        <v>4894</v>
      </c>
      <c r="J2775" t="s">
        <v>4910</v>
      </c>
      <c r="K2775" t="s">
        <v>4927</v>
      </c>
      <c r="L2775" t="s">
        <v>4940</v>
      </c>
      <c r="M2775" t="s">
        <v>4943</v>
      </c>
      <c r="N2775" s="11">
        <v>11195.48</v>
      </c>
      <c r="O2775" t="s">
        <v>15</v>
      </c>
      <c r="P2775" t="s">
        <v>4952</v>
      </c>
      <c r="S2775" t="str">
        <f t="shared" si="130"/>
        <v>Adult</v>
      </c>
      <c r="T2775" t="str">
        <f t="shared" si="131"/>
        <v>High</v>
      </c>
      <c r="U2775" t="str">
        <f t="shared" si="132"/>
        <v>Short Days</v>
      </c>
    </row>
    <row r="2776" spans="1:21">
      <c r="A2776" t="s">
        <v>2792</v>
      </c>
      <c r="B2776" s="5">
        <v>45423</v>
      </c>
      <c r="C2776" t="s">
        <v>3660</v>
      </c>
      <c r="D2776" t="s">
        <v>4780</v>
      </c>
      <c r="E2776" t="s">
        <v>4866</v>
      </c>
      <c r="F2776">
        <v>51</v>
      </c>
      <c r="G2776" t="s">
        <v>4871</v>
      </c>
      <c r="H2776" t="s">
        <v>4886</v>
      </c>
      <c r="I2776" t="s">
        <v>4899</v>
      </c>
      <c r="J2776" t="s">
        <v>4912</v>
      </c>
      <c r="K2776" t="s">
        <v>4933</v>
      </c>
      <c r="L2776" t="s">
        <v>4937</v>
      </c>
      <c r="M2776" t="s">
        <v>4944</v>
      </c>
      <c r="N2776" s="11">
        <v>8257.27</v>
      </c>
      <c r="O2776" t="s">
        <v>4947</v>
      </c>
      <c r="P2776" t="s">
        <v>4951</v>
      </c>
      <c r="R2776">
        <v>30</v>
      </c>
      <c r="S2776" t="str">
        <f t="shared" si="130"/>
        <v>Middle-Aged</v>
      </c>
      <c r="T2776" t="str">
        <f t="shared" si="131"/>
        <v>Medium</v>
      </c>
      <c r="U2776" t="str">
        <f t="shared" si="132"/>
        <v>Short Days</v>
      </c>
    </row>
    <row r="2777" spans="1:21">
      <c r="A2777" t="s">
        <v>2793</v>
      </c>
      <c r="B2777" s="5">
        <v>45932</v>
      </c>
      <c r="C2777" t="s">
        <v>3355</v>
      </c>
      <c r="D2777" t="s">
        <v>4664</v>
      </c>
      <c r="E2777" t="s">
        <v>4867</v>
      </c>
      <c r="F2777">
        <v>40</v>
      </c>
      <c r="G2777" t="s">
        <v>4883</v>
      </c>
      <c r="H2777" t="s">
        <v>4892</v>
      </c>
      <c r="I2777" t="s">
        <v>4899</v>
      </c>
      <c r="J2777" t="s">
        <v>4911</v>
      </c>
      <c r="K2777" t="s">
        <v>4931</v>
      </c>
      <c r="L2777" t="s">
        <v>4939</v>
      </c>
      <c r="M2777" t="s">
        <v>4942</v>
      </c>
      <c r="N2777" s="11">
        <v>3992.15</v>
      </c>
      <c r="O2777" t="s">
        <v>15</v>
      </c>
      <c r="P2777" t="s">
        <v>4952</v>
      </c>
      <c r="R2777">
        <v>14</v>
      </c>
      <c r="S2777" t="str">
        <f t="shared" si="130"/>
        <v>Adult</v>
      </c>
      <c r="T2777" t="str">
        <f t="shared" si="131"/>
        <v>Low</v>
      </c>
      <c r="U2777" t="str">
        <f t="shared" si="132"/>
        <v>Short Days</v>
      </c>
    </row>
    <row r="2778" spans="1:21">
      <c r="A2778" t="s">
        <v>2794</v>
      </c>
      <c r="B2778" s="5">
        <v>45948</v>
      </c>
      <c r="C2778" t="s">
        <v>4492</v>
      </c>
      <c r="D2778" t="s">
        <v>4738</v>
      </c>
      <c r="E2778" t="s">
        <v>4867</v>
      </c>
      <c r="F2778">
        <v>40</v>
      </c>
      <c r="G2778" t="s">
        <v>4878</v>
      </c>
      <c r="H2778" t="s">
        <v>4889</v>
      </c>
      <c r="I2778" t="s">
        <v>4894</v>
      </c>
      <c r="J2778" t="s">
        <v>4904</v>
      </c>
      <c r="K2778" t="s">
        <v>4931</v>
      </c>
      <c r="L2778" t="s">
        <v>4941</v>
      </c>
      <c r="M2778" t="s">
        <v>4942</v>
      </c>
      <c r="N2778" s="11">
        <v>4254.22</v>
      </c>
      <c r="O2778" t="s">
        <v>4946</v>
      </c>
      <c r="P2778" t="s">
        <v>4951</v>
      </c>
      <c r="R2778">
        <v>30</v>
      </c>
      <c r="S2778" t="str">
        <f t="shared" si="130"/>
        <v>Adult</v>
      </c>
      <c r="T2778" t="str">
        <f t="shared" si="131"/>
        <v>Low</v>
      </c>
      <c r="U2778" t="str">
        <f t="shared" si="132"/>
        <v>Short Days</v>
      </c>
    </row>
    <row r="2779" spans="1:21">
      <c r="A2779" t="s">
        <v>2795</v>
      </c>
      <c r="B2779" s="5">
        <v>45364</v>
      </c>
      <c r="C2779" t="s">
        <v>4518</v>
      </c>
      <c r="D2779" t="s">
        <v>4593</v>
      </c>
      <c r="E2779" t="s">
        <v>4867</v>
      </c>
      <c r="F2779">
        <v>46</v>
      </c>
      <c r="G2779" t="s">
        <v>4870</v>
      </c>
      <c r="H2779" t="s">
        <v>4885</v>
      </c>
      <c r="I2779" t="s">
        <v>4899</v>
      </c>
      <c r="J2779" t="s">
        <v>4912</v>
      </c>
      <c r="K2779" t="s">
        <v>4932</v>
      </c>
      <c r="L2779" t="s">
        <v>4937</v>
      </c>
      <c r="M2779" t="s">
        <v>4942</v>
      </c>
      <c r="N2779" s="11">
        <v>5458.06</v>
      </c>
      <c r="O2779" t="s">
        <v>15</v>
      </c>
      <c r="P2779" t="s">
        <v>4952</v>
      </c>
      <c r="R2779">
        <v>14</v>
      </c>
      <c r="S2779" t="str">
        <f t="shared" si="130"/>
        <v>Middle-Aged</v>
      </c>
      <c r="T2779" t="str">
        <f t="shared" si="131"/>
        <v>Medium</v>
      </c>
      <c r="U2779" t="str">
        <f t="shared" si="132"/>
        <v>Short Days</v>
      </c>
    </row>
    <row r="2780" spans="1:21">
      <c r="A2780" t="s">
        <v>2796</v>
      </c>
      <c r="B2780" s="5">
        <v>45491</v>
      </c>
      <c r="C2780" t="s">
        <v>3685</v>
      </c>
      <c r="D2780" t="s">
        <v>4854</v>
      </c>
      <c r="E2780" t="s">
        <v>4867</v>
      </c>
      <c r="F2780">
        <v>34</v>
      </c>
      <c r="G2780" t="s">
        <v>4877</v>
      </c>
      <c r="H2780" t="s">
        <v>4888</v>
      </c>
      <c r="I2780" t="s">
        <v>4902</v>
      </c>
      <c r="J2780" t="s">
        <v>4920</v>
      </c>
      <c r="K2780" t="s">
        <v>4931</v>
      </c>
      <c r="L2780" t="s">
        <v>4935</v>
      </c>
      <c r="M2780" t="s">
        <v>4944</v>
      </c>
      <c r="N2780" s="11">
        <v>5731.25</v>
      </c>
      <c r="O2780" t="s">
        <v>4946</v>
      </c>
      <c r="P2780" t="s">
        <v>4951</v>
      </c>
      <c r="R2780">
        <v>7</v>
      </c>
      <c r="S2780" t="str">
        <f t="shared" si="130"/>
        <v>Adult</v>
      </c>
      <c r="T2780" t="str">
        <f t="shared" si="131"/>
        <v>Medium</v>
      </c>
      <c r="U2780" t="str">
        <f t="shared" si="132"/>
        <v>Short Days</v>
      </c>
    </row>
    <row r="2781" spans="1:21">
      <c r="A2781" t="s">
        <v>2797</v>
      </c>
      <c r="B2781" s="5">
        <v>45338</v>
      </c>
      <c r="C2781" t="s">
        <v>4519</v>
      </c>
      <c r="D2781" t="s">
        <v>4776</v>
      </c>
      <c r="E2781" t="s">
        <v>4866</v>
      </c>
      <c r="F2781">
        <v>19</v>
      </c>
      <c r="G2781" t="s">
        <v>4878</v>
      </c>
      <c r="H2781" t="s">
        <v>4889</v>
      </c>
      <c r="I2781" t="s">
        <v>4898</v>
      </c>
      <c r="J2781" t="s">
        <v>4909</v>
      </c>
      <c r="K2781" t="s">
        <v>4926</v>
      </c>
      <c r="L2781" t="s">
        <v>4939</v>
      </c>
      <c r="M2781" t="s">
        <v>4942</v>
      </c>
      <c r="N2781" s="11">
        <v>10177.76</v>
      </c>
      <c r="O2781" t="s">
        <v>4946</v>
      </c>
      <c r="P2781" t="s">
        <v>4951</v>
      </c>
      <c r="S2781" t="str">
        <f t="shared" si="130"/>
        <v>Adult</v>
      </c>
      <c r="T2781" t="str">
        <f t="shared" si="131"/>
        <v>High</v>
      </c>
      <c r="U2781" t="str">
        <f t="shared" si="132"/>
        <v>Short Days</v>
      </c>
    </row>
    <row r="2782" spans="1:21">
      <c r="A2782" t="s">
        <v>2798</v>
      </c>
      <c r="B2782" s="5">
        <v>45961</v>
      </c>
      <c r="C2782" t="s">
        <v>3751</v>
      </c>
      <c r="D2782" t="s">
        <v>4786</v>
      </c>
      <c r="E2782" t="s">
        <v>4866</v>
      </c>
      <c r="F2782">
        <v>33</v>
      </c>
      <c r="G2782" t="s">
        <v>4880</v>
      </c>
      <c r="H2782" t="s">
        <v>4890</v>
      </c>
      <c r="I2782" t="s">
        <v>4900</v>
      </c>
      <c r="J2782" t="s">
        <v>4913</v>
      </c>
      <c r="K2782" t="s">
        <v>4929</v>
      </c>
      <c r="L2782" t="s">
        <v>4935</v>
      </c>
      <c r="M2782" t="s">
        <v>4945</v>
      </c>
      <c r="N2782" s="11">
        <v>6899.86</v>
      </c>
      <c r="O2782" t="s">
        <v>4946</v>
      </c>
      <c r="P2782" t="s">
        <v>4951</v>
      </c>
      <c r="Q2782">
        <v>11</v>
      </c>
      <c r="S2782" t="str">
        <f t="shared" si="130"/>
        <v>Adult</v>
      </c>
      <c r="T2782" t="str">
        <f t="shared" si="131"/>
        <v>Medium</v>
      </c>
      <c r="U2782" t="str">
        <f t="shared" si="132"/>
        <v>Long Days</v>
      </c>
    </row>
    <row r="2783" spans="1:21">
      <c r="A2783" t="s">
        <v>2799</v>
      </c>
      <c r="B2783" s="5">
        <v>45956</v>
      </c>
      <c r="C2783" t="s">
        <v>4396</v>
      </c>
      <c r="D2783" t="s">
        <v>4832</v>
      </c>
      <c r="E2783" t="s">
        <v>4866</v>
      </c>
      <c r="F2783">
        <v>65</v>
      </c>
      <c r="G2783" t="s">
        <v>4875</v>
      </c>
      <c r="H2783" t="s">
        <v>4889</v>
      </c>
      <c r="I2783" t="s">
        <v>4893</v>
      </c>
      <c r="J2783" t="s">
        <v>4903</v>
      </c>
      <c r="K2783" t="s">
        <v>4932</v>
      </c>
      <c r="L2783" t="s">
        <v>4937</v>
      </c>
      <c r="M2783" t="s">
        <v>4942</v>
      </c>
      <c r="N2783" s="11">
        <v>4913.71</v>
      </c>
      <c r="O2783" t="s">
        <v>4946</v>
      </c>
      <c r="P2783" t="s">
        <v>4951</v>
      </c>
      <c r="R2783">
        <v>14</v>
      </c>
      <c r="S2783" t="str">
        <f t="shared" si="130"/>
        <v>Senior</v>
      </c>
      <c r="T2783" t="str">
        <f t="shared" si="131"/>
        <v>Low</v>
      </c>
      <c r="U2783" t="str">
        <f t="shared" si="132"/>
        <v>Short Days</v>
      </c>
    </row>
    <row r="2784" spans="1:21">
      <c r="A2784" t="s">
        <v>2800</v>
      </c>
      <c r="B2784" s="5">
        <v>45659</v>
      </c>
      <c r="C2784" t="s">
        <v>4520</v>
      </c>
      <c r="D2784" t="s">
        <v>4695</v>
      </c>
      <c r="E2784" t="s">
        <v>4866</v>
      </c>
      <c r="F2784">
        <v>20</v>
      </c>
      <c r="G2784" t="s">
        <v>4882</v>
      </c>
      <c r="H2784" t="s">
        <v>4891</v>
      </c>
      <c r="I2784" t="s">
        <v>4899</v>
      </c>
      <c r="J2784" t="s">
        <v>4912</v>
      </c>
      <c r="K2784" t="s">
        <v>4931</v>
      </c>
      <c r="L2784" t="s">
        <v>4935</v>
      </c>
      <c r="M2784" t="s">
        <v>4942</v>
      </c>
      <c r="N2784" s="11">
        <v>2200.48</v>
      </c>
      <c r="O2784" t="s">
        <v>15</v>
      </c>
      <c r="P2784" t="s">
        <v>4952</v>
      </c>
      <c r="R2784">
        <v>90</v>
      </c>
      <c r="S2784" t="str">
        <f t="shared" si="130"/>
        <v>Adult</v>
      </c>
      <c r="T2784" t="str">
        <f t="shared" si="131"/>
        <v>Low</v>
      </c>
      <c r="U2784" t="str">
        <f t="shared" si="132"/>
        <v>Short Days</v>
      </c>
    </row>
    <row r="2785" spans="1:21">
      <c r="A2785" t="s">
        <v>2801</v>
      </c>
      <c r="B2785" s="5">
        <v>45342</v>
      </c>
      <c r="C2785" t="s">
        <v>4521</v>
      </c>
      <c r="D2785" t="s">
        <v>4849</v>
      </c>
      <c r="E2785" t="s">
        <v>4866</v>
      </c>
      <c r="F2785">
        <v>42</v>
      </c>
      <c r="G2785" t="s">
        <v>4872</v>
      </c>
      <c r="H2785" t="s">
        <v>4887</v>
      </c>
      <c r="I2785" t="s">
        <v>4894</v>
      </c>
      <c r="J2785" t="s">
        <v>4904</v>
      </c>
      <c r="K2785" t="s">
        <v>4925</v>
      </c>
      <c r="L2785" t="s">
        <v>4941</v>
      </c>
      <c r="M2785" t="s">
        <v>4942</v>
      </c>
      <c r="N2785" s="11">
        <v>3907.31</v>
      </c>
      <c r="O2785" t="s">
        <v>4949</v>
      </c>
      <c r="P2785" t="s">
        <v>4951</v>
      </c>
      <c r="R2785">
        <v>7</v>
      </c>
      <c r="S2785" t="str">
        <f t="shared" si="130"/>
        <v>Middle-Aged</v>
      </c>
      <c r="T2785" t="str">
        <f t="shared" si="131"/>
        <v>Low</v>
      </c>
      <c r="U2785" t="str">
        <f t="shared" si="132"/>
        <v>Short Days</v>
      </c>
    </row>
    <row r="2786" spans="1:21">
      <c r="A2786" t="s">
        <v>2802</v>
      </c>
      <c r="B2786" s="5">
        <v>45434</v>
      </c>
      <c r="C2786" t="s">
        <v>4522</v>
      </c>
      <c r="D2786" t="s">
        <v>4746</v>
      </c>
      <c r="E2786" t="s">
        <v>4866</v>
      </c>
      <c r="F2786">
        <v>53</v>
      </c>
      <c r="G2786" t="s">
        <v>4881</v>
      </c>
      <c r="H2786" t="s">
        <v>4881</v>
      </c>
      <c r="I2786" t="s">
        <v>4901</v>
      </c>
      <c r="J2786" t="s">
        <v>4914</v>
      </c>
      <c r="K2786" t="s">
        <v>4931</v>
      </c>
      <c r="L2786" t="s">
        <v>4936</v>
      </c>
      <c r="M2786" t="s">
        <v>4945</v>
      </c>
      <c r="N2786" s="11">
        <v>21734.36</v>
      </c>
      <c r="O2786" t="s">
        <v>4948</v>
      </c>
      <c r="P2786" t="s">
        <v>4951</v>
      </c>
      <c r="Q2786">
        <v>5</v>
      </c>
      <c r="R2786">
        <v>90</v>
      </c>
      <c r="S2786" t="str">
        <f t="shared" si="130"/>
        <v>Middle-Aged</v>
      </c>
      <c r="T2786" t="str">
        <f t="shared" si="131"/>
        <v>High</v>
      </c>
      <c r="U2786" t="str">
        <f t="shared" si="132"/>
        <v>Short Days</v>
      </c>
    </row>
    <row r="2787" spans="1:21">
      <c r="A2787" t="s">
        <v>2803</v>
      </c>
      <c r="B2787" s="5">
        <v>45379</v>
      </c>
      <c r="C2787" t="s">
        <v>3293</v>
      </c>
      <c r="D2787" t="s">
        <v>4803</v>
      </c>
      <c r="E2787" t="s">
        <v>4866</v>
      </c>
      <c r="F2787">
        <v>61</v>
      </c>
      <c r="G2787" t="s">
        <v>4881</v>
      </c>
      <c r="H2787" t="s">
        <v>4881</v>
      </c>
      <c r="I2787" t="s">
        <v>4898</v>
      </c>
      <c r="J2787" t="s">
        <v>4923</v>
      </c>
      <c r="K2787" t="s">
        <v>4925</v>
      </c>
      <c r="L2787" t="s">
        <v>4937</v>
      </c>
      <c r="M2787" t="s">
        <v>4945</v>
      </c>
      <c r="N2787" s="11">
        <v>11533.49</v>
      </c>
      <c r="O2787" t="s">
        <v>15</v>
      </c>
      <c r="P2787" t="s">
        <v>4952</v>
      </c>
      <c r="Q2787">
        <v>8</v>
      </c>
      <c r="R2787">
        <v>90</v>
      </c>
      <c r="S2787" t="str">
        <f t="shared" si="130"/>
        <v>Senior</v>
      </c>
      <c r="T2787" t="str">
        <f t="shared" si="131"/>
        <v>High</v>
      </c>
      <c r="U2787" t="str">
        <f t="shared" si="132"/>
        <v>Long Days</v>
      </c>
    </row>
    <row r="2788" spans="1:21">
      <c r="A2788" t="s">
        <v>2804</v>
      </c>
      <c r="B2788" s="5">
        <v>45690</v>
      </c>
      <c r="C2788" t="s">
        <v>3299</v>
      </c>
      <c r="D2788" t="s">
        <v>4781</v>
      </c>
      <c r="E2788" t="s">
        <v>4867</v>
      </c>
      <c r="F2788">
        <v>70</v>
      </c>
      <c r="G2788" t="s">
        <v>4883</v>
      </c>
      <c r="H2788" t="s">
        <v>4892</v>
      </c>
      <c r="I2788" t="s">
        <v>4898</v>
      </c>
      <c r="J2788" t="s">
        <v>4918</v>
      </c>
      <c r="K2788" t="s">
        <v>4931</v>
      </c>
      <c r="L2788" t="s">
        <v>4940</v>
      </c>
      <c r="M2788" t="s">
        <v>4944</v>
      </c>
      <c r="N2788" s="11">
        <v>10842</v>
      </c>
      <c r="O2788" t="s">
        <v>4948</v>
      </c>
      <c r="P2788" t="s">
        <v>4951</v>
      </c>
      <c r="R2788">
        <v>7</v>
      </c>
      <c r="S2788" t="str">
        <f t="shared" si="130"/>
        <v>Senior</v>
      </c>
      <c r="T2788" t="str">
        <f t="shared" si="131"/>
        <v>High</v>
      </c>
      <c r="U2788" t="str">
        <f t="shared" si="132"/>
        <v>Short Days</v>
      </c>
    </row>
    <row r="2789" spans="1:21">
      <c r="A2789" t="s">
        <v>2805</v>
      </c>
      <c r="B2789" s="5">
        <v>45350</v>
      </c>
      <c r="C2789" t="s">
        <v>4153</v>
      </c>
      <c r="D2789" t="s">
        <v>4712</v>
      </c>
      <c r="E2789" t="s">
        <v>4867</v>
      </c>
      <c r="F2789">
        <v>37</v>
      </c>
      <c r="G2789" t="s">
        <v>4872</v>
      </c>
      <c r="H2789" t="s">
        <v>4887</v>
      </c>
      <c r="I2789" t="s">
        <v>4901</v>
      </c>
      <c r="J2789" t="s">
        <v>4914</v>
      </c>
      <c r="K2789" t="s">
        <v>4933</v>
      </c>
      <c r="L2789" t="s">
        <v>4941</v>
      </c>
      <c r="M2789" t="s">
        <v>4943</v>
      </c>
      <c r="N2789" s="11">
        <v>8656.32</v>
      </c>
      <c r="O2789" t="s">
        <v>4949</v>
      </c>
      <c r="P2789" t="s">
        <v>4951</v>
      </c>
      <c r="R2789">
        <v>30</v>
      </c>
      <c r="S2789" t="str">
        <f t="shared" si="130"/>
        <v>Adult</v>
      </c>
      <c r="T2789" t="str">
        <f t="shared" si="131"/>
        <v>Medium</v>
      </c>
      <c r="U2789" t="str">
        <f t="shared" si="132"/>
        <v>Short Days</v>
      </c>
    </row>
    <row r="2790" spans="1:21">
      <c r="A2790" t="s">
        <v>2806</v>
      </c>
      <c r="B2790" s="5">
        <v>45879</v>
      </c>
      <c r="C2790" t="s">
        <v>3659</v>
      </c>
      <c r="D2790" t="s">
        <v>4786</v>
      </c>
      <c r="E2790" t="s">
        <v>4867</v>
      </c>
      <c r="F2790">
        <v>41</v>
      </c>
      <c r="G2790" t="s">
        <v>4876</v>
      </c>
      <c r="H2790" t="s">
        <v>4888</v>
      </c>
      <c r="I2790" t="s">
        <v>4896</v>
      </c>
      <c r="J2790" t="s">
        <v>4908</v>
      </c>
      <c r="K2790" t="s">
        <v>4925</v>
      </c>
      <c r="L2790" t="s">
        <v>4934</v>
      </c>
      <c r="M2790" t="s">
        <v>4942</v>
      </c>
      <c r="N2790" s="11">
        <v>1262.54</v>
      </c>
      <c r="O2790" t="s">
        <v>4949</v>
      </c>
      <c r="P2790" t="s">
        <v>4951</v>
      </c>
      <c r="R2790">
        <v>7</v>
      </c>
      <c r="S2790" t="str">
        <f t="shared" si="130"/>
        <v>Middle-Aged</v>
      </c>
      <c r="T2790" t="str">
        <f t="shared" si="131"/>
        <v>Low</v>
      </c>
      <c r="U2790" t="str">
        <f t="shared" si="132"/>
        <v>Short Days</v>
      </c>
    </row>
    <row r="2791" spans="1:21">
      <c r="A2791" t="s">
        <v>2807</v>
      </c>
      <c r="B2791" s="5">
        <v>45788</v>
      </c>
      <c r="C2791" t="s">
        <v>3657</v>
      </c>
      <c r="D2791" t="s">
        <v>4605</v>
      </c>
      <c r="E2791" t="s">
        <v>4866</v>
      </c>
      <c r="F2791">
        <v>36</v>
      </c>
      <c r="G2791" t="s">
        <v>4876</v>
      </c>
      <c r="H2791" t="s">
        <v>4888</v>
      </c>
      <c r="I2791" t="s">
        <v>4897</v>
      </c>
      <c r="J2791" t="s">
        <v>4907</v>
      </c>
      <c r="K2791" t="s">
        <v>4929</v>
      </c>
      <c r="L2791" t="s">
        <v>4937</v>
      </c>
      <c r="M2791" t="s">
        <v>4942</v>
      </c>
      <c r="N2791" s="11">
        <v>240.35</v>
      </c>
      <c r="O2791" t="s">
        <v>4946</v>
      </c>
      <c r="P2791" t="s">
        <v>4951</v>
      </c>
      <c r="R2791">
        <v>30</v>
      </c>
      <c r="S2791" t="str">
        <f t="shared" si="130"/>
        <v>Adult</v>
      </c>
      <c r="T2791" t="str">
        <f t="shared" si="131"/>
        <v>Low</v>
      </c>
      <c r="U2791" t="str">
        <f t="shared" si="132"/>
        <v>Short Days</v>
      </c>
    </row>
    <row r="2792" spans="1:21">
      <c r="A2792" t="s">
        <v>2808</v>
      </c>
      <c r="B2792" s="5">
        <v>45644</v>
      </c>
      <c r="C2792" t="s">
        <v>4523</v>
      </c>
      <c r="D2792" t="s">
        <v>4810</v>
      </c>
      <c r="E2792" t="s">
        <v>4866</v>
      </c>
      <c r="F2792">
        <v>16</v>
      </c>
      <c r="G2792" t="s">
        <v>4881</v>
      </c>
      <c r="H2792" t="s">
        <v>4881</v>
      </c>
      <c r="I2792" t="s">
        <v>4896</v>
      </c>
      <c r="J2792" t="s">
        <v>4906</v>
      </c>
      <c r="K2792" t="s">
        <v>4927</v>
      </c>
      <c r="L2792" t="s">
        <v>4935</v>
      </c>
      <c r="M2792" t="s">
        <v>4942</v>
      </c>
      <c r="N2792" s="11">
        <v>968.47</v>
      </c>
      <c r="O2792" t="s">
        <v>15</v>
      </c>
      <c r="P2792" t="s">
        <v>4952</v>
      </c>
      <c r="R2792">
        <v>14</v>
      </c>
      <c r="S2792" t="str">
        <f t="shared" si="130"/>
        <v>Child</v>
      </c>
      <c r="T2792" t="str">
        <f t="shared" si="131"/>
        <v>Low</v>
      </c>
      <c r="U2792" t="str">
        <f t="shared" si="132"/>
        <v>Short Days</v>
      </c>
    </row>
    <row r="2793" spans="1:21">
      <c r="A2793" t="s">
        <v>2809</v>
      </c>
      <c r="B2793" s="5">
        <v>45401</v>
      </c>
      <c r="C2793" t="s">
        <v>3160</v>
      </c>
      <c r="D2793" t="s">
        <v>4842</v>
      </c>
      <c r="E2793" t="s">
        <v>4868</v>
      </c>
      <c r="F2793">
        <v>31</v>
      </c>
      <c r="G2793" t="s">
        <v>4871</v>
      </c>
      <c r="H2793" t="s">
        <v>4886</v>
      </c>
      <c r="I2793" t="s">
        <v>4897</v>
      </c>
      <c r="J2793" t="s">
        <v>4907</v>
      </c>
      <c r="K2793" t="s">
        <v>4929</v>
      </c>
      <c r="L2793" t="s">
        <v>4935</v>
      </c>
      <c r="M2793" t="s">
        <v>4942</v>
      </c>
      <c r="N2793" s="11">
        <v>1501.42</v>
      </c>
      <c r="O2793" t="s">
        <v>4947</v>
      </c>
      <c r="P2793" t="s">
        <v>4951</v>
      </c>
      <c r="S2793" t="str">
        <f t="shared" si="130"/>
        <v>Adult</v>
      </c>
      <c r="T2793" t="str">
        <f t="shared" si="131"/>
        <v>Low</v>
      </c>
      <c r="U2793" t="str">
        <f t="shared" si="132"/>
        <v>Short Days</v>
      </c>
    </row>
    <row r="2794" spans="1:21">
      <c r="A2794" t="s">
        <v>2810</v>
      </c>
      <c r="B2794" s="5">
        <v>45470</v>
      </c>
      <c r="C2794" t="s">
        <v>4524</v>
      </c>
      <c r="D2794" t="s">
        <v>4862</v>
      </c>
      <c r="E2794" t="s">
        <v>4866</v>
      </c>
      <c r="F2794">
        <v>34</v>
      </c>
      <c r="G2794" t="s">
        <v>4876</v>
      </c>
      <c r="H2794" t="s">
        <v>4888</v>
      </c>
      <c r="I2794" t="s">
        <v>4900</v>
      </c>
      <c r="J2794" t="s">
        <v>4913</v>
      </c>
      <c r="K2794" t="s">
        <v>4928</v>
      </c>
      <c r="L2794" t="s">
        <v>4934</v>
      </c>
      <c r="M2794" t="s">
        <v>4942</v>
      </c>
      <c r="N2794" s="11">
        <v>65.89</v>
      </c>
      <c r="O2794" t="s">
        <v>15</v>
      </c>
      <c r="P2794" t="s">
        <v>4952</v>
      </c>
      <c r="R2794">
        <v>14</v>
      </c>
      <c r="S2794" t="str">
        <f t="shared" si="130"/>
        <v>Adult</v>
      </c>
      <c r="T2794" t="str">
        <f t="shared" si="131"/>
        <v>Low</v>
      </c>
      <c r="U2794" t="str">
        <f t="shared" si="132"/>
        <v>Short Days</v>
      </c>
    </row>
    <row r="2795" spans="1:21">
      <c r="A2795" t="s">
        <v>2811</v>
      </c>
      <c r="B2795" s="5">
        <v>45921</v>
      </c>
      <c r="C2795" t="s">
        <v>4335</v>
      </c>
      <c r="D2795" t="s">
        <v>4628</v>
      </c>
      <c r="E2795" t="s">
        <v>4866</v>
      </c>
      <c r="F2795">
        <v>46</v>
      </c>
      <c r="G2795" t="s">
        <v>4870</v>
      </c>
      <c r="H2795" t="s">
        <v>4885</v>
      </c>
      <c r="I2795" t="s">
        <v>4894</v>
      </c>
      <c r="J2795" t="s">
        <v>4904</v>
      </c>
      <c r="K2795" t="s">
        <v>4927</v>
      </c>
      <c r="L2795" t="s">
        <v>4935</v>
      </c>
      <c r="M2795" t="s">
        <v>4942</v>
      </c>
      <c r="N2795" s="11">
        <v>9506.09</v>
      </c>
      <c r="O2795" t="s">
        <v>4950</v>
      </c>
      <c r="P2795" t="s">
        <v>4951</v>
      </c>
      <c r="R2795">
        <v>90</v>
      </c>
      <c r="S2795" t="str">
        <f t="shared" si="130"/>
        <v>Middle-Aged</v>
      </c>
      <c r="T2795" t="str">
        <f t="shared" si="131"/>
        <v>Medium</v>
      </c>
      <c r="U2795" t="str">
        <f t="shared" si="132"/>
        <v>Short Days</v>
      </c>
    </row>
    <row r="2796" spans="1:21">
      <c r="A2796" t="s">
        <v>2812</v>
      </c>
      <c r="B2796" s="5">
        <v>45374</v>
      </c>
      <c r="C2796" t="s">
        <v>3903</v>
      </c>
      <c r="D2796" t="s">
        <v>4721</v>
      </c>
      <c r="E2796" t="s">
        <v>4868</v>
      </c>
      <c r="F2796">
        <v>41</v>
      </c>
      <c r="G2796" t="s">
        <v>4871</v>
      </c>
      <c r="H2796" t="s">
        <v>4886</v>
      </c>
      <c r="I2796" t="s">
        <v>4894</v>
      </c>
      <c r="J2796" t="s">
        <v>4910</v>
      </c>
      <c r="K2796" t="s">
        <v>4924</v>
      </c>
      <c r="L2796" t="s">
        <v>4940</v>
      </c>
      <c r="M2796" t="s">
        <v>4942</v>
      </c>
      <c r="N2796" s="11">
        <v>2532.2800000000002</v>
      </c>
      <c r="O2796" t="s">
        <v>4948</v>
      </c>
      <c r="P2796" t="s">
        <v>4951</v>
      </c>
      <c r="S2796" t="str">
        <f t="shared" si="130"/>
        <v>Middle-Aged</v>
      </c>
      <c r="T2796" t="str">
        <f t="shared" si="131"/>
        <v>Low</v>
      </c>
      <c r="U2796" t="str">
        <f t="shared" si="132"/>
        <v>Short Days</v>
      </c>
    </row>
    <row r="2797" spans="1:21">
      <c r="A2797" t="s">
        <v>2813</v>
      </c>
      <c r="B2797" s="5">
        <v>45618</v>
      </c>
      <c r="C2797" t="s">
        <v>4525</v>
      </c>
      <c r="D2797" t="s">
        <v>4627</v>
      </c>
      <c r="E2797" t="s">
        <v>4867</v>
      </c>
      <c r="F2797">
        <v>41</v>
      </c>
      <c r="G2797" t="s">
        <v>4875</v>
      </c>
      <c r="H2797" t="s">
        <v>4889</v>
      </c>
      <c r="I2797" t="s">
        <v>4893</v>
      </c>
      <c r="J2797" t="s">
        <v>4903</v>
      </c>
      <c r="K2797" t="s">
        <v>4930</v>
      </c>
      <c r="L2797" t="s">
        <v>4941</v>
      </c>
      <c r="M2797" t="s">
        <v>4944</v>
      </c>
      <c r="N2797" s="11">
        <v>9331.94</v>
      </c>
      <c r="O2797" t="s">
        <v>4946</v>
      </c>
      <c r="P2797" t="s">
        <v>4951</v>
      </c>
      <c r="R2797">
        <v>30</v>
      </c>
      <c r="S2797" t="str">
        <f t="shared" si="130"/>
        <v>Middle-Aged</v>
      </c>
      <c r="T2797" t="str">
        <f t="shared" si="131"/>
        <v>Medium</v>
      </c>
      <c r="U2797" t="str">
        <f t="shared" si="132"/>
        <v>Short Days</v>
      </c>
    </row>
    <row r="2798" spans="1:21">
      <c r="A2798" t="s">
        <v>2814</v>
      </c>
      <c r="B2798" s="5">
        <v>45311</v>
      </c>
      <c r="C2798" t="s">
        <v>3154</v>
      </c>
      <c r="D2798" t="s">
        <v>4652</v>
      </c>
      <c r="E2798" t="s">
        <v>4867</v>
      </c>
      <c r="F2798">
        <v>30</v>
      </c>
      <c r="G2798" t="s">
        <v>4872</v>
      </c>
      <c r="H2798" t="s">
        <v>4887</v>
      </c>
      <c r="I2798" t="s">
        <v>4899</v>
      </c>
      <c r="J2798" t="s">
        <v>4912</v>
      </c>
      <c r="K2798" t="s">
        <v>4927</v>
      </c>
      <c r="L2798" t="s">
        <v>4939</v>
      </c>
      <c r="M2798" t="s">
        <v>4943</v>
      </c>
      <c r="N2798" s="11">
        <v>6406.86</v>
      </c>
      <c r="O2798" t="s">
        <v>4946</v>
      </c>
      <c r="P2798" t="s">
        <v>4951</v>
      </c>
      <c r="S2798" t="str">
        <f t="shared" si="130"/>
        <v>Adult</v>
      </c>
      <c r="T2798" t="str">
        <f t="shared" si="131"/>
        <v>Medium</v>
      </c>
      <c r="U2798" t="str">
        <f t="shared" si="132"/>
        <v>Short Days</v>
      </c>
    </row>
    <row r="2799" spans="1:21">
      <c r="A2799" t="s">
        <v>2815</v>
      </c>
      <c r="B2799" s="5">
        <v>45497</v>
      </c>
      <c r="C2799" t="s">
        <v>3670</v>
      </c>
      <c r="D2799" t="s">
        <v>4860</v>
      </c>
      <c r="E2799" t="s">
        <v>4866</v>
      </c>
      <c r="F2799">
        <v>64</v>
      </c>
      <c r="G2799" t="s">
        <v>4869</v>
      </c>
      <c r="H2799" t="s">
        <v>4884</v>
      </c>
      <c r="I2799" t="s">
        <v>4897</v>
      </c>
      <c r="J2799" t="s">
        <v>4922</v>
      </c>
      <c r="K2799" t="s">
        <v>4933</v>
      </c>
      <c r="L2799" t="s">
        <v>4940</v>
      </c>
      <c r="M2799" t="s">
        <v>4942</v>
      </c>
      <c r="N2799" s="11">
        <v>1038.54</v>
      </c>
      <c r="O2799" t="s">
        <v>4950</v>
      </c>
      <c r="P2799" t="s">
        <v>4951</v>
      </c>
      <c r="R2799">
        <v>30</v>
      </c>
      <c r="S2799" t="str">
        <f t="shared" si="130"/>
        <v>Senior</v>
      </c>
      <c r="T2799" t="str">
        <f t="shared" si="131"/>
        <v>Low</v>
      </c>
      <c r="U2799" t="str">
        <f t="shared" si="132"/>
        <v>Short Days</v>
      </c>
    </row>
    <row r="2800" spans="1:21">
      <c r="A2800" t="s">
        <v>2816</v>
      </c>
      <c r="B2800" s="5">
        <v>45760</v>
      </c>
      <c r="C2800" t="s">
        <v>3535</v>
      </c>
      <c r="D2800" t="s">
        <v>4777</v>
      </c>
      <c r="E2800" t="s">
        <v>4867</v>
      </c>
      <c r="F2800">
        <v>11</v>
      </c>
      <c r="G2800" t="s">
        <v>4871</v>
      </c>
      <c r="H2800" t="s">
        <v>4886</v>
      </c>
      <c r="I2800" t="s">
        <v>4901</v>
      </c>
      <c r="J2800" t="s">
        <v>4914</v>
      </c>
      <c r="K2800" t="s">
        <v>4930</v>
      </c>
      <c r="L2800" t="s">
        <v>4937</v>
      </c>
      <c r="M2800" t="s">
        <v>4942</v>
      </c>
      <c r="N2800" s="11">
        <v>2805.92</v>
      </c>
      <c r="O2800" t="s">
        <v>4949</v>
      </c>
      <c r="P2800" t="s">
        <v>4951</v>
      </c>
      <c r="R2800">
        <v>90</v>
      </c>
      <c r="S2800" t="str">
        <f t="shared" si="130"/>
        <v>Child</v>
      </c>
      <c r="T2800" t="str">
        <f t="shared" si="131"/>
        <v>Low</v>
      </c>
      <c r="U2800" t="str">
        <f t="shared" si="132"/>
        <v>Short Days</v>
      </c>
    </row>
    <row r="2801" spans="1:21">
      <c r="A2801" t="s">
        <v>2817</v>
      </c>
      <c r="B2801" s="5">
        <v>45354</v>
      </c>
      <c r="C2801" t="s">
        <v>3189</v>
      </c>
      <c r="D2801" t="s">
        <v>4760</v>
      </c>
      <c r="E2801" t="s">
        <v>4867</v>
      </c>
      <c r="F2801">
        <v>8</v>
      </c>
      <c r="G2801" t="s">
        <v>4876</v>
      </c>
      <c r="H2801" t="s">
        <v>4888</v>
      </c>
      <c r="I2801" t="s">
        <v>4897</v>
      </c>
      <c r="J2801" t="s">
        <v>4922</v>
      </c>
      <c r="K2801" t="s">
        <v>4932</v>
      </c>
      <c r="L2801" t="s">
        <v>4937</v>
      </c>
      <c r="M2801" t="s">
        <v>4942</v>
      </c>
      <c r="N2801" s="11">
        <v>1992.81</v>
      </c>
      <c r="O2801" t="s">
        <v>15</v>
      </c>
      <c r="P2801" t="s">
        <v>4952</v>
      </c>
      <c r="R2801">
        <v>7</v>
      </c>
      <c r="S2801" t="str">
        <f t="shared" si="130"/>
        <v>Child</v>
      </c>
      <c r="T2801" t="str">
        <f t="shared" si="131"/>
        <v>Low</v>
      </c>
      <c r="U2801" t="str">
        <f t="shared" si="132"/>
        <v>Short Days</v>
      </c>
    </row>
    <row r="2802" spans="1:21">
      <c r="A2802" t="s">
        <v>2818</v>
      </c>
      <c r="B2802" s="5">
        <v>45464</v>
      </c>
      <c r="C2802" t="s">
        <v>4526</v>
      </c>
      <c r="D2802" t="s">
        <v>4721</v>
      </c>
      <c r="E2802" t="s">
        <v>4866</v>
      </c>
      <c r="F2802">
        <v>51</v>
      </c>
      <c r="G2802" t="s">
        <v>4878</v>
      </c>
      <c r="H2802" t="s">
        <v>4889</v>
      </c>
      <c r="I2802" t="s">
        <v>4895</v>
      </c>
      <c r="J2802" t="s">
        <v>4915</v>
      </c>
      <c r="K2802" t="s">
        <v>4933</v>
      </c>
      <c r="L2802" t="s">
        <v>4940</v>
      </c>
      <c r="M2802" t="s">
        <v>4942</v>
      </c>
      <c r="N2802" s="11">
        <v>2344.75</v>
      </c>
      <c r="O2802" t="s">
        <v>15</v>
      </c>
      <c r="P2802" t="s">
        <v>4952</v>
      </c>
      <c r="R2802">
        <v>30</v>
      </c>
      <c r="S2802" t="str">
        <f t="shared" si="130"/>
        <v>Middle-Aged</v>
      </c>
      <c r="T2802" t="str">
        <f t="shared" si="131"/>
        <v>Low</v>
      </c>
      <c r="U2802" t="str">
        <f t="shared" si="132"/>
        <v>Short Days</v>
      </c>
    </row>
    <row r="2803" spans="1:21">
      <c r="A2803" t="s">
        <v>2819</v>
      </c>
      <c r="B2803" s="5">
        <v>45553</v>
      </c>
      <c r="C2803" t="s">
        <v>3141</v>
      </c>
      <c r="D2803" t="s">
        <v>4778</v>
      </c>
      <c r="E2803" t="s">
        <v>4866</v>
      </c>
      <c r="F2803">
        <v>35</v>
      </c>
      <c r="G2803" t="s">
        <v>4869</v>
      </c>
      <c r="H2803" t="s">
        <v>4884</v>
      </c>
      <c r="I2803" t="s">
        <v>4893</v>
      </c>
      <c r="J2803" t="s">
        <v>4917</v>
      </c>
      <c r="K2803" t="s">
        <v>4924</v>
      </c>
      <c r="L2803" t="s">
        <v>4938</v>
      </c>
      <c r="M2803" t="s">
        <v>4942</v>
      </c>
      <c r="N2803" s="11">
        <v>4703.68</v>
      </c>
      <c r="O2803" t="s">
        <v>4948</v>
      </c>
      <c r="P2803" t="s">
        <v>4951</v>
      </c>
      <c r="S2803" t="str">
        <f t="shared" si="130"/>
        <v>Adult</v>
      </c>
      <c r="T2803" t="str">
        <f t="shared" si="131"/>
        <v>Low</v>
      </c>
      <c r="U2803" t="str">
        <f t="shared" si="132"/>
        <v>Short Days</v>
      </c>
    </row>
    <row r="2804" spans="1:21">
      <c r="A2804" t="s">
        <v>2820</v>
      </c>
      <c r="B2804" s="5">
        <v>45479</v>
      </c>
      <c r="C2804" t="s">
        <v>3583</v>
      </c>
      <c r="D2804" t="s">
        <v>4774</v>
      </c>
      <c r="E2804" t="s">
        <v>4866</v>
      </c>
      <c r="F2804">
        <v>9</v>
      </c>
      <c r="G2804" t="s">
        <v>4883</v>
      </c>
      <c r="H2804" t="s">
        <v>4892</v>
      </c>
      <c r="I2804" t="s">
        <v>4902</v>
      </c>
      <c r="J2804" t="s">
        <v>4916</v>
      </c>
      <c r="K2804" t="s">
        <v>4925</v>
      </c>
      <c r="L2804" t="s">
        <v>4934</v>
      </c>
      <c r="M2804" t="s">
        <v>4942</v>
      </c>
      <c r="N2804" s="11">
        <v>1270.6099999999999</v>
      </c>
      <c r="O2804" t="s">
        <v>4948</v>
      </c>
      <c r="P2804" t="s">
        <v>4951</v>
      </c>
      <c r="R2804">
        <v>14</v>
      </c>
      <c r="S2804" t="str">
        <f t="shared" si="130"/>
        <v>Child</v>
      </c>
      <c r="T2804" t="str">
        <f t="shared" si="131"/>
        <v>Low</v>
      </c>
      <c r="U2804" t="str">
        <f t="shared" si="132"/>
        <v>Short Days</v>
      </c>
    </row>
    <row r="2805" spans="1:21">
      <c r="A2805" t="s">
        <v>2821</v>
      </c>
      <c r="B2805" s="5">
        <v>45389</v>
      </c>
      <c r="C2805" t="s">
        <v>3727</v>
      </c>
      <c r="D2805" t="s">
        <v>4594</v>
      </c>
      <c r="E2805" t="s">
        <v>4867</v>
      </c>
      <c r="F2805">
        <v>61</v>
      </c>
      <c r="G2805" t="s">
        <v>4875</v>
      </c>
      <c r="H2805" t="s">
        <v>4889</v>
      </c>
      <c r="I2805" t="s">
        <v>4896</v>
      </c>
      <c r="J2805" t="s">
        <v>4908</v>
      </c>
      <c r="K2805" t="s">
        <v>4930</v>
      </c>
      <c r="L2805" t="s">
        <v>4940</v>
      </c>
      <c r="M2805" t="s">
        <v>4942</v>
      </c>
      <c r="N2805" s="11">
        <v>2756.81</v>
      </c>
      <c r="O2805" t="s">
        <v>4946</v>
      </c>
      <c r="P2805" t="s">
        <v>4951</v>
      </c>
      <c r="R2805">
        <v>90</v>
      </c>
      <c r="S2805" t="str">
        <f t="shared" si="130"/>
        <v>Senior</v>
      </c>
      <c r="T2805" t="str">
        <f t="shared" si="131"/>
        <v>Low</v>
      </c>
      <c r="U2805" t="str">
        <f t="shared" si="132"/>
        <v>Short Days</v>
      </c>
    </row>
    <row r="2806" spans="1:21">
      <c r="A2806" t="s">
        <v>2822</v>
      </c>
      <c r="B2806" s="5">
        <v>45297</v>
      </c>
      <c r="C2806" t="s">
        <v>4513</v>
      </c>
      <c r="D2806" t="s">
        <v>4794</v>
      </c>
      <c r="E2806" t="s">
        <v>4867</v>
      </c>
      <c r="F2806">
        <v>51</v>
      </c>
      <c r="G2806" t="s">
        <v>4876</v>
      </c>
      <c r="H2806" t="s">
        <v>4888</v>
      </c>
      <c r="I2806" t="s">
        <v>4900</v>
      </c>
      <c r="J2806" t="s">
        <v>4919</v>
      </c>
      <c r="K2806" t="s">
        <v>4932</v>
      </c>
      <c r="L2806" t="s">
        <v>4935</v>
      </c>
      <c r="M2806" t="s">
        <v>4945</v>
      </c>
      <c r="N2806" s="11">
        <v>7509.84</v>
      </c>
      <c r="O2806" t="s">
        <v>4947</v>
      </c>
      <c r="P2806" t="s">
        <v>4951</v>
      </c>
      <c r="Q2806">
        <v>6</v>
      </c>
      <c r="R2806">
        <v>30</v>
      </c>
      <c r="S2806" t="str">
        <f t="shared" si="130"/>
        <v>Middle-Aged</v>
      </c>
      <c r="T2806" t="str">
        <f t="shared" si="131"/>
        <v>Medium</v>
      </c>
      <c r="U2806" t="str">
        <f t="shared" si="132"/>
        <v>Long Days</v>
      </c>
    </row>
    <row r="2807" spans="1:21">
      <c r="A2807" t="s">
        <v>2823</v>
      </c>
      <c r="B2807" s="5">
        <v>45784</v>
      </c>
      <c r="C2807" t="s">
        <v>4527</v>
      </c>
      <c r="D2807" t="s">
        <v>4725</v>
      </c>
      <c r="E2807" t="s">
        <v>4866</v>
      </c>
      <c r="F2807">
        <v>46</v>
      </c>
      <c r="G2807" t="s">
        <v>4875</v>
      </c>
      <c r="H2807" t="s">
        <v>4889</v>
      </c>
      <c r="I2807" t="s">
        <v>4894</v>
      </c>
      <c r="J2807" t="s">
        <v>4904</v>
      </c>
      <c r="K2807" t="s">
        <v>4925</v>
      </c>
      <c r="L2807" t="s">
        <v>4934</v>
      </c>
      <c r="M2807" t="s">
        <v>4942</v>
      </c>
      <c r="N2807" s="11">
        <v>2128.52</v>
      </c>
      <c r="O2807" t="s">
        <v>15</v>
      </c>
      <c r="P2807" t="s">
        <v>4952</v>
      </c>
      <c r="R2807">
        <v>90</v>
      </c>
      <c r="S2807" t="str">
        <f t="shared" si="130"/>
        <v>Middle-Aged</v>
      </c>
      <c r="T2807" t="str">
        <f t="shared" si="131"/>
        <v>Low</v>
      </c>
      <c r="U2807" t="str">
        <f t="shared" si="132"/>
        <v>Short Days</v>
      </c>
    </row>
    <row r="2808" spans="1:21">
      <c r="A2808" t="s">
        <v>2824</v>
      </c>
      <c r="B2808" s="5">
        <v>45406</v>
      </c>
      <c r="C2808" t="s">
        <v>3196</v>
      </c>
      <c r="D2808" t="s">
        <v>4660</v>
      </c>
      <c r="E2808" t="s">
        <v>4867</v>
      </c>
      <c r="F2808">
        <v>19</v>
      </c>
      <c r="G2808" t="s">
        <v>4875</v>
      </c>
      <c r="H2808" t="s">
        <v>4889</v>
      </c>
      <c r="I2808" t="s">
        <v>4899</v>
      </c>
      <c r="J2808" t="s">
        <v>4911</v>
      </c>
      <c r="K2808" t="s">
        <v>4933</v>
      </c>
      <c r="L2808" t="s">
        <v>4940</v>
      </c>
      <c r="M2808" t="s">
        <v>4942</v>
      </c>
      <c r="N2808" s="11">
        <v>6524.96</v>
      </c>
      <c r="O2808" t="s">
        <v>4946</v>
      </c>
      <c r="P2808" t="s">
        <v>4951</v>
      </c>
      <c r="R2808">
        <v>14</v>
      </c>
      <c r="S2808" t="str">
        <f t="shared" si="130"/>
        <v>Adult</v>
      </c>
      <c r="T2808" t="str">
        <f t="shared" si="131"/>
        <v>Medium</v>
      </c>
      <c r="U2808" t="str">
        <f t="shared" si="132"/>
        <v>Short Days</v>
      </c>
    </row>
    <row r="2809" spans="1:21">
      <c r="A2809" t="s">
        <v>2825</v>
      </c>
      <c r="B2809" s="5">
        <v>45524</v>
      </c>
      <c r="C2809" t="s">
        <v>4528</v>
      </c>
      <c r="D2809" t="s">
        <v>4694</v>
      </c>
      <c r="E2809" t="s">
        <v>4867</v>
      </c>
      <c r="F2809">
        <v>42</v>
      </c>
      <c r="G2809" t="s">
        <v>4877</v>
      </c>
      <c r="H2809" t="s">
        <v>4888</v>
      </c>
      <c r="I2809" t="s">
        <v>4901</v>
      </c>
      <c r="J2809" t="s">
        <v>4921</v>
      </c>
      <c r="K2809" t="s">
        <v>4931</v>
      </c>
      <c r="L2809" t="s">
        <v>4937</v>
      </c>
      <c r="M2809" t="s">
        <v>4942</v>
      </c>
      <c r="N2809" s="11">
        <v>1376.21</v>
      </c>
      <c r="O2809" t="s">
        <v>15</v>
      </c>
      <c r="P2809" t="s">
        <v>4952</v>
      </c>
      <c r="S2809" t="str">
        <f t="shared" si="130"/>
        <v>Middle-Aged</v>
      </c>
      <c r="T2809" t="str">
        <f t="shared" si="131"/>
        <v>Low</v>
      </c>
      <c r="U2809" t="str">
        <f t="shared" si="132"/>
        <v>Short Days</v>
      </c>
    </row>
    <row r="2810" spans="1:21">
      <c r="A2810" t="s">
        <v>2826</v>
      </c>
      <c r="B2810" s="5">
        <v>45729</v>
      </c>
      <c r="C2810" t="s">
        <v>3223</v>
      </c>
      <c r="D2810" t="s">
        <v>4666</v>
      </c>
      <c r="E2810" t="s">
        <v>4866</v>
      </c>
      <c r="F2810">
        <v>24</v>
      </c>
      <c r="G2810" t="s">
        <v>4879</v>
      </c>
      <c r="H2810" t="s">
        <v>4888</v>
      </c>
      <c r="I2810" t="s">
        <v>4899</v>
      </c>
      <c r="J2810" t="s">
        <v>4911</v>
      </c>
      <c r="K2810" t="s">
        <v>4930</v>
      </c>
      <c r="L2810" t="s">
        <v>4938</v>
      </c>
      <c r="M2810" t="s">
        <v>4942</v>
      </c>
      <c r="N2810" s="11">
        <v>6939.19</v>
      </c>
      <c r="O2810" t="s">
        <v>4949</v>
      </c>
      <c r="P2810" t="s">
        <v>4951</v>
      </c>
      <c r="S2810" t="str">
        <f t="shared" si="130"/>
        <v>Adult</v>
      </c>
      <c r="T2810" t="str">
        <f t="shared" si="131"/>
        <v>Medium</v>
      </c>
      <c r="U2810" t="str">
        <f t="shared" si="132"/>
        <v>Short Days</v>
      </c>
    </row>
    <row r="2811" spans="1:21">
      <c r="A2811" t="s">
        <v>2827</v>
      </c>
      <c r="B2811" s="5">
        <v>45908</v>
      </c>
      <c r="C2811" t="s">
        <v>4261</v>
      </c>
      <c r="D2811" t="s">
        <v>4768</v>
      </c>
      <c r="E2811" t="s">
        <v>4867</v>
      </c>
      <c r="F2811">
        <v>51</v>
      </c>
      <c r="G2811" t="s">
        <v>4878</v>
      </c>
      <c r="H2811" t="s">
        <v>4889</v>
      </c>
      <c r="I2811" t="s">
        <v>4893</v>
      </c>
      <c r="J2811" t="s">
        <v>4903</v>
      </c>
      <c r="K2811" t="s">
        <v>4932</v>
      </c>
      <c r="L2811" t="s">
        <v>4939</v>
      </c>
      <c r="M2811" t="s">
        <v>4943</v>
      </c>
      <c r="N2811" s="11">
        <v>8328.75</v>
      </c>
      <c r="O2811" t="s">
        <v>15</v>
      </c>
      <c r="P2811" t="s">
        <v>4952</v>
      </c>
      <c r="S2811" t="str">
        <f t="shared" si="130"/>
        <v>Middle-Aged</v>
      </c>
      <c r="T2811" t="str">
        <f t="shared" si="131"/>
        <v>Medium</v>
      </c>
      <c r="U2811" t="str">
        <f t="shared" si="132"/>
        <v>Short Days</v>
      </c>
    </row>
    <row r="2812" spans="1:21">
      <c r="A2812" t="s">
        <v>2828</v>
      </c>
      <c r="B2812" s="5">
        <v>45519</v>
      </c>
      <c r="C2812" t="s">
        <v>4383</v>
      </c>
      <c r="D2812" t="s">
        <v>4616</v>
      </c>
      <c r="E2812" t="s">
        <v>4867</v>
      </c>
      <c r="F2812">
        <v>58</v>
      </c>
      <c r="G2812" t="s">
        <v>4871</v>
      </c>
      <c r="H2812" t="s">
        <v>4886</v>
      </c>
      <c r="I2812" t="s">
        <v>4896</v>
      </c>
      <c r="J2812" t="s">
        <v>4906</v>
      </c>
      <c r="K2812" t="s">
        <v>4932</v>
      </c>
      <c r="L2812" t="s">
        <v>4940</v>
      </c>
      <c r="M2812" t="s">
        <v>4944</v>
      </c>
      <c r="N2812" s="11">
        <v>8650.99</v>
      </c>
      <c r="O2812" t="s">
        <v>4946</v>
      </c>
      <c r="P2812" t="s">
        <v>4951</v>
      </c>
      <c r="R2812">
        <v>30</v>
      </c>
      <c r="S2812" t="str">
        <f t="shared" si="130"/>
        <v>Middle-Aged</v>
      </c>
      <c r="T2812" t="str">
        <f t="shared" si="131"/>
        <v>Medium</v>
      </c>
      <c r="U2812" t="str">
        <f t="shared" si="132"/>
        <v>Short Days</v>
      </c>
    </row>
    <row r="2813" spans="1:21">
      <c r="A2813" t="s">
        <v>2829</v>
      </c>
      <c r="B2813" s="5">
        <v>45568</v>
      </c>
      <c r="C2813" t="s">
        <v>3182</v>
      </c>
      <c r="D2813" t="s">
        <v>4715</v>
      </c>
      <c r="E2813" t="s">
        <v>4866</v>
      </c>
      <c r="F2813">
        <v>32</v>
      </c>
      <c r="G2813" t="s">
        <v>4876</v>
      </c>
      <c r="H2813" t="s">
        <v>4888</v>
      </c>
      <c r="I2813" t="s">
        <v>4898</v>
      </c>
      <c r="J2813" t="s">
        <v>4923</v>
      </c>
      <c r="K2813" t="s">
        <v>4933</v>
      </c>
      <c r="L2813" t="s">
        <v>4935</v>
      </c>
      <c r="M2813" t="s">
        <v>4942</v>
      </c>
      <c r="N2813" s="11">
        <v>2890.02</v>
      </c>
      <c r="O2813" t="s">
        <v>4946</v>
      </c>
      <c r="P2813" t="s">
        <v>4951</v>
      </c>
      <c r="R2813">
        <v>90</v>
      </c>
      <c r="S2813" t="str">
        <f t="shared" si="130"/>
        <v>Adult</v>
      </c>
      <c r="T2813" t="str">
        <f t="shared" si="131"/>
        <v>Low</v>
      </c>
      <c r="U2813" t="str">
        <f t="shared" si="132"/>
        <v>Short Days</v>
      </c>
    </row>
    <row r="2814" spans="1:21">
      <c r="A2814" t="s">
        <v>2830</v>
      </c>
      <c r="B2814" s="5">
        <v>45750</v>
      </c>
      <c r="C2814" t="s">
        <v>3566</v>
      </c>
      <c r="D2814" t="s">
        <v>4628</v>
      </c>
      <c r="E2814" t="s">
        <v>4866</v>
      </c>
      <c r="F2814">
        <v>65</v>
      </c>
      <c r="G2814" t="s">
        <v>4873</v>
      </c>
      <c r="H2814" t="s">
        <v>4888</v>
      </c>
      <c r="I2814" t="s">
        <v>4902</v>
      </c>
      <c r="J2814" t="s">
        <v>4916</v>
      </c>
      <c r="K2814" t="s">
        <v>4929</v>
      </c>
      <c r="L2814" t="s">
        <v>4937</v>
      </c>
      <c r="M2814" t="s">
        <v>4944</v>
      </c>
      <c r="N2814" s="11">
        <v>7651.48</v>
      </c>
      <c r="O2814" t="s">
        <v>4948</v>
      </c>
      <c r="P2814" t="s">
        <v>4951</v>
      </c>
      <c r="R2814">
        <v>14</v>
      </c>
      <c r="S2814" t="str">
        <f t="shared" si="130"/>
        <v>Senior</v>
      </c>
      <c r="T2814" t="str">
        <f t="shared" si="131"/>
        <v>Medium</v>
      </c>
      <c r="U2814" t="str">
        <f t="shared" si="132"/>
        <v>Short Days</v>
      </c>
    </row>
    <row r="2815" spans="1:21">
      <c r="A2815" t="s">
        <v>2831</v>
      </c>
      <c r="B2815" s="5">
        <v>45945</v>
      </c>
      <c r="C2815" t="s">
        <v>4529</v>
      </c>
      <c r="D2815" t="s">
        <v>4722</v>
      </c>
      <c r="E2815" t="s">
        <v>4866</v>
      </c>
      <c r="F2815">
        <v>54</v>
      </c>
      <c r="G2815" t="s">
        <v>4869</v>
      </c>
      <c r="H2815" t="s">
        <v>4884</v>
      </c>
      <c r="I2815" t="s">
        <v>4899</v>
      </c>
      <c r="J2815" t="s">
        <v>4912</v>
      </c>
      <c r="K2815" t="s">
        <v>4929</v>
      </c>
      <c r="L2815" t="s">
        <v>4936</v>
      </c>
      <c r="M2815" t="s">
        <v>4942</v>
      </c>
      <c r="N2815" s="11">
        <v>6903.08</v>
      </c>
      <c r="O2815" t="s">
        <v>15</v>
      </c>
      <c r="P2815" t="s">
        <v>4952</v>
      </c>
      <c r="S2815" t="str">
        <f t="shared" si="130"/>
        <v>Middle-Aged</v>
      </c>
      <c r="T2815" t="str">
        <f t="shared" si="131"/>
        <v>Medium</v>
      </c>
      <c r="U2815" t="str">
        <f t="shared" si="132"/>
        <v>Short Days</v>
      </c>
    </row>
    <row r="2816" spans="1:21">
      <c r="A2816" t="s">
        <v>2832</v>
      </c>
      <c r="B2816" s="5">
        <v>45636</v>
      </c>
      <c r="C2816" t="s">
        <v>3838</v>
      </c>
      <c r="D2816" t="s">
        <v>4852</v>
      </c>
      <c r="E2816" t="s">
        <v>4866</v>
      </c>
      <c r="F2816">
        <v>24</v>
      </c>
      <c r="G2816" t="s">
        <v>4882</v>
      </c>
      <c r="H2816" t="s">
        <v>4891</v>
      </c>
      <c r="I2816" t="s">
        <v>4899</v>
      </c>
      <c r="J2816" t="s">
        <v>4912</v>
      </c>
      <c r="K2816" t="s">
        <v>4929</v>
      </c>
      <c r="L2816" t="s">
        <v>4937</v>
      </c>
      <c r="M2816" t="s">
        <v>4945</v>
      </c>
      <c r="N2816" s="11">
        <v>6881.98</v>
      </c>
      <c r="O2816" t="s">
        <v>4948</v>
      </c>
      <c r="P2816" t="s">
        <v>4951</v>
      </c>
      <c r="Q2816">
        <v>3</v>
      </c>
      <c r="R2816">
        <v>14</v>
      </c>
      <c r="S2816" t="str">
        <f t="shared" si="130"/>
        <v>Adult</v>
      </c>
      <c r="T2816" t="str">
        <f t="shared" si="131"/>
        <v>Medium</v>
      </c>
      <c r="U2816" t="str">
        <f t="shared" si="132"/>
        <v>Short Days</v>
      </c>
    </row>
    <row r="2817" spans="1:21">
      <c r="A2817" t="s">
        <v>2833</v>
      </c>
      <c r="B2817" s="5">
        <v>45765</v>
      </c>
      <c r="C2817" t="s">
        <v>4530</v>
      </c>
      <c r="D2817" t="s">
        <v>4676</v>
      </c>
      <c r="E2817" t="s">
        <v>4867</v>
      </c>
      <c r="F2817">
        <v>35</v>
      </c>
      <c r="G2817" t="s">
        <v>4876</v>
      </c>
      <c r="H2817" t="s">
        <v>4888</v>
      </c>
      <c r="I2817" t="s">
        <v>4894</v>
      </c>
      <c r="J2817" t="s">
        <v>4904</v>
      </c>
      <c r="K2817" t="s">
        <v>4932</v>
      </c>
      <c r="L2817" t="s">
        <v>4941</v>
      </c>
      <c r="M2817" t="s">
        <v>4942</v>
      </c>
      <c r="N2817" s="11">
        <v>3155.55</v>
      </c>
      <c r="O2817" t="s">
        <v>4949</v>
      </c>
      <c r="P2817" t="s">
        <v>4951</v>
      </c>
      <c r="R2817">
        <v>30</v>
      </c>
      <c r="S2817" t="str">
        <f t="shared" si="130"/>
        <v>Adult</v>
      </c>
      <c r="T2817" t="str">
        <f t="shared" si="131"/>
        <v>Low</v>
      </c>
      <c r="U2817" t="str">
        <f t="shared" si="132"/>
        <v>Short Days</v>
      </c>
    </row>
    <row r="2818" spans="1:21">
      <c r="A2818" t="s">
        <v>2834</v>
      </c>
      <c r="B2818" s="5">
        <v>45723</v>
      </c>
      <c r="C2818" t="s">
        <v>4309</v>
      </c>
      <c r="D2818" t="s">
        <v>4696</v>
      </c>
      <c r="E2818" t="s">
        <v>4866</v>
      </c>
      <c r="F2818">
        <v>73</v>
      </c>
      <c r="G2818" t="s">
        <v>4878</v>
      </c>
      <c r="H2818" t="s">
        <v>4889</v>
      </c>
      <c r="I2818" t="s">
        <v>4895</v>
      </c>
      <c r="J2818" t="s">
        <v>4915</v>
      </c>
      <c r="K2818" t="s">
        <v>4933</v>
      </c>
      <c r="L2818" t="s">
        <v>4936</v>
      </c>
      <c r="M2818" t="s">
        <v>4942</v>
      </c>
      <c r="N2818" s="11">
        <v>235</v>
      </c>
      <c r="O2818" t="s">
        <v>4950</v>
      </c>
      <c r="P2818" t="s">
        <v>4951</v>
      </c>
      <c r="S2818" t="str">
        <f t="shared" si="130"/>
        <v>Senior</v>
      </c>
      <c r="T2818" t="str">
        <f t="shared" si="131"/>
        <v>Low</v>
      </c>
      <c r="U2818" t="str">
        <f t="shared" si="132"/>
        <v>Short Days</v>
      </c>
    </row>
    <row r="2819" spans="1:21">
      <c r="A2819" t="s">
        <v>2835</v>
      </c>
      <c r="B2819" s="5">
        <v>45294</v>
      </c>
      <c r="C2819" t="s">
        <v>4531</v>
      </c>
      <c r="D2819" t="s">
        <v>4666</v>
      </c>
      <c r="E2819" t="s">
        <v>4867</v>
      </c>
      <c r="F2819">
        <v>37</v>
      </c>
      <c r="G2819" t="s">
        <v>4873</v>
      </c>
      <c r="H2819" t="s">
        <v>4888</v>
      </c>
      <c r="I2819" t="s">
        <v>4900</v>
      </c>
      <c r="J2819" t="s">
        <v>4913</v>
      </c>
      <c r="K2819" t="s">
        <v>4928</v>
      </c>
      <c r="L2819" t="s">
        <v>4935</v>
      </c>
      <c r="M2819" t="s">
        <v>4942</v>
      </c>
      <c r="N2819" s="11">
        <v>3399.6</v>
      </c>
      <c r="O2819" t="s">
        <v>4947</v>
      </c>
      <c r="P2819" t="s">
        <v>4951</v>
      </c>
      <c r="R2819">
        <v>7</v>
      </c>
      <c r="S2819" t="str">
        <f t="shared" ref="S2819:S2882" si="133">IF(F2819&lt;18,"Child",IF(F2819&lt;=40,"Adult",IF(F2819&lt;=60,"Middle-Aged",IF(F2819,"Senior"))))</f>
        <v>Adult</v>
      </c>
      <c r="T2819" t="str">
        <f t="shared" ref="T2819:T2882" si="134">IF(N2819&lt;=5000,"Low",IF(N2819&lt;=10000,"Medium","High"))</f>
        <v>Low</v>
      </c>
      <c r="U2819" t="str">
        <f t="shared" ref="U2819:U2882" si="135">IF(Q2819&lt;=5,"Short Days","Long Days")</f>
        <v>Short Days</v>
      </c>
    </row>
    <row r="2820" spans="1:21">
      <c r="A2820" t="s">
        <v>2836</v>
      </c>
      <c r="B2820" s="5">
        <v>45911</v>
      </c>
      <c r="C2820" t="s">
        <v>4532</v>
      </c>
      <c r="D2820" t="s">
        <v>4828</v>
      </c>
      <c r="E2820" t="s">
        <v>4867</v>
      </c>
      <c r="F2820">
        <v>44</v>
      </c>
      <c r="G2820" t="s">
        <v>4875</v>
      </c>
      <c r="H2820" t="s">
        <v>4889</v>
      </c>
      <c r="I2820" t="s">
        <v>4900</v>
      </c>
      <c r="J2820" t="s">
        <v>4913</v>
      </c>
      <c r="K2820" t="s">
        <v>4929</v>
      </c>
      <c r="L2820" t="s">
        <v>4938</v>
      </c>
      <c r="M2820" t="s">
        <v>4944</v>
      </c>
      <c r="N2820" s="11">
        <v>13307.26</v>
      </c>
      <c r="O2820" t="s">
        <v>4946</v>
      </c>
      <c r="P2820" t="s">
        <v>4951</v>
      </c>
      <c r="R2820">
        <v>14</v>
      </c>
      <c r="S2820" t="str">
        <f t="shared" si="133"/>
        <v>Middle-Aged</v>
      </c>
      <c r="T2820" t="str">
        <f t="shared" si="134"/>
        <v>High</v>
      </c>
      <c r="U2820" t="str">
        <f t="shared" si="135"/>
        <v>Short Days</v>
      </c>
    </row>
    <row r="2821" spans="1:21">
      <c r="A2821" t="s">
        <v>2837</v>
      </c>
      <c r="B2821" s="5">
        <v>45665</v>
      </c>
      <c r="C2821" t="s">
        <v>4277</v>
      </c>
      <c r="D2821" t="s">
        <v>4702</v>
      </c>
      <c r="E2821" t="s">
        <v>4867</v>
      </c>
      <c r="F2821">
        <v>65</v>
      </c>
      <c r="G2821" t="s">
        <v>4881</v>
      </c>
      <c r="H2821" t="s">
        <v>4881</v>
      </c>
      <c r="I2821" t="s">
        <v>4896</v>
      </c>
      <c r="J2821" t="s">
        <v>4908</v>
      </c>
      <c r="K2821" t="s">
        <v>4933</v>
      </c>
      <c r="L2821" t="s">
        <v>4934</v>
      </c>
      <c r="M2821" t="s">
        <v>4942</v>
      </c>
      <c r="N2821" s="11">
        <v>1524.73</v>
      </c>
      <c r="O2821" t="s">
        <v>4946</v>
      </c>
      <c r="P2821" t="s">
        <v>4951</v>
      </c>
      <c r="R2821">
        <v>90</v>
      </c>
      <c r="S2821" t="str">
        <f t="shared" si="133"/>
        <v>Senior</v>
      </c>
      <c r="T2821" t="str">
        <f t="shared" si="134"/>
        <v>Low</v>
      </c>
      <c r="U2821" t="str">
        <f t="shared" si="135"/>
        <v>Short Days</v>
      </c>
    </row>
    <row r="2822" spans="1:21">
      <c r="A2822" t="s">
        <v>2838</v>
      </c>
      <c r="B2822" s="5">
        <v>45657</v>
      </c>
      <c r="C2822" t="s">
        <v>4533</v>
      </c>
      <c r="D2822" t="s">
        <v>4596</v>
      </c>
      <c r="E2822" t="s">
        <v>4867</v>
      </c>
      <c r="F2822">
        <v>38</v>
      </c>
      <c r="G2822" t="s">
        <v>4869</v>
      </c>
      <c r="H2822" t="s">
        <v>4884</v>
      </c>
      <c r="I2822" t="s">
        <v>4893</v>
      </c>
      <c r="J2822" t="s">
        <v>4903</v>
      </c>
      <c r="K2822" t="s">
        <v>4930</v>
      </c>
      <c r="L2822" t="s">
        <v>4934</v>
      </c>
      <c r="M2822" t="s">
        <v>4942</v>
      </c>
      <c r="N2822" s="11">
        <v>288.14</v>
      </c>
      <c r="O2822" t="s">
        <v>4949</v>
      </c>
      <c r="P2822" t="s">
        <v>4951</v>
      </c>
      <c r="R2822">
        <v>7</v>
      </c>
      <c r="S2822" t="str">
        <f t="shared" si="133"/>
        <v>Adult</v>
      </c>
      <c r="T2822" t="str">
        <f t="shared" si="134"/>
        <v>Low</v>
      </c>
      <c r="U2822" t="str">
        <f t="shared" si="135"/>
        <v>Short Days</v>
      </c>
    </row>
    <row r="2823" spans="1:21">
      <c r="A2823" t="s">
        <v>2839</v>
      </c>
      <c r="B2823" s="5">
        <v>45403</v>
      </c>
      <c r="C2823" t="s">
        <v>3147</v>
      </c>
      <c r="D2823" t="s">
        <v>4805</v>
      </c>
      <c r="E2823" t="s">
        <v>4866</v>
      </c>
      <c r="F2823">
        <v>44</v>
      </c>
      <c r="G2823" t="s">
        <v>4877</v>
      </c>
      <c r="H2823" t="s">
        <v>4888</v>
      </c>
      <c r="I2823" t="s">
        <v>4902</v>
      </c>
      <c r="J2823" t="s">
        <v>4916</v>
      </c>
      <c r="K2823" t="s">
        <v>4931</v>
      </c>
      <c r="L2823" t="s">
        <v>4936</v>
      </c>
      <c r="M2823" t="s">
        <v>4943</v>
      </c>
      <c r="N2823" s="11">
        <v>7098.7</v>
      </c>
      <c r="O2823" t="s">
        <v>4946</v>
      </c>
      <c r="P2823" t="s">
        <v>4951</v>
      </c>
      <c r="R2823">
        <v>90</v>
      </c>
      <c r="S2823" t="str">
        <f t="shared" si="133"/>
        <v>Middle-Aged</v>
      </c>
      <c r="T2823" t="str">
        <f t="shared" si="134"/>
        <v>Medium</v>
      </c>
      <c r="U2823" t="str">
        <f t="shared" si="135"/>
        <v>Short Days</v>
      </c>
    </row>
    <row r="2824" spans="1:21">
      <c r="A2824" t="s">
        <v>2840</v>
      </c>
      <c r="B2824" s="5">
        <v>45296</v>
      </c>
      <c r="C2824" t="s">
        <v>4534</v>
      </c>
      <c r="D2824" t="s">
        <v>4802</v>
      </c>
      <c r="E2824" t="s">
        <v>4867</v>
      </c>
      <c r="F2824">
        <v>75</v>
      </c>
      <c r="G2824" t="s">
        <v>4880</v>
      </c>
      <c r="H2824" t="s">
        <v>4890</v>
      </c>
      <c r="I2824" t="s">
        <v>4897</v>
      </c>
      <c r="J2824" t="s">
        <v>4907</v>
      </c>
      <c r="K2824" t="s">
        <v>4925</v>
      </c>
      <c r="L2824" t="s">
        <v>4937</v>
      </c>
      <c r="M2824" t="s">
        <v>4944</v>
      </c>
      <c r="N2824" s="11">
        <v>5573.34</v>
      </c>
      <c r="O2824" t="s">
        <v>4947</v>
      </c>
      <c r="P2824" t="s">
        <v>4951</v>
      </c>
      <c r="R2824">
        <v>7</v>
      </c>
      <c r="S2824" t="str">
        <f t="shared" si="133"/>
        <v>Senior</v>
      </c>
      <c r="T2824" t="str">
        <f t="shared" si="134"/>
        <v>Medium</v>
      </c>
      <c r="U2824" t="str">
        <f t="shared" si="135"/>
        <v>Short Days</v>
      </c>
    </row>
    <row r="2825" spans="1:21">
      <c r="A2825" t="s">
        <v>2841</v>
      </c>
      <c r="B2825" s="5">
        <v>45845</v>
      </c>
      <c r="C2825" t="s">
        <v>4263</v>
      </c>
      <c r="D2825" t="s">
        <v>4640</v>
      </c>
      <c r="E2825" t="s">
        <v>4866</v>
      </c>
      <c r="F2825">
        <v>25</v>
      </c>
      <c r="G2825" t="s">
        <v>4880</v>
      </c>
      <c r="H2825" t="s">
        <v>4890</v>
      </c>
      <c r="I2825" t="s">
        <v>4895</v>
      </c>
      <c r="J2825" t="s">
        <v>4905</v>
      </c>
      <c r="K2825" t="s">
        <v>4926</v>
      </c>
      <c r="L2825" t="s">
        <v>4937</v>
      </c>
      <c r="M2825" t="s">
        <v>4942</v>
      </c>
      <c r="N2825" s="11">
        <v>56.24</v>
      </c>
      <c r="O2825" t="s">
        <v>4947</v>
      </c>
      <c r="P2825" t="s">
        <v>4951</v>
      </c>
      <c r="R2825">
        <v>14</v>
      </c>
      <c r="S2825" t="str">
        <f t="shared" si="133"/>
        <v>Adult</v>
      </c>
      <c r="T2825" t="str">
        <f t="shared" si="134"/>
        <v>Low</v>
      </c>
      <c r="U2825" t="str">
        <f t="shared" si="135"/>
        <v>Short Days</v>
      </c>
    </row>
    <row r="2826" spans="1:21">
      <c r="A2826" t="s">
        <v>2842</v>
      </c>
      <c r="B2826" s="5">
        <v>45359</v>
      </c>
      <c r="C2826" t="s">
        <v>4535</v>
      </c>
      <c r="D2826" t="s">
        <v>4715</v>
      </c>
      <c r="E2826" t="s">
        <v>4866</v>
      </c>
      <c r="F2826">
        <v>62</v>
      </c>
      <c r="G2826" t="s">
        <v>4883</v>
      </c>
      <c r="H2826" t="s">
        <v>4892</v>
      </c>
      <c r="I2826" t="s">
        <v>4893</v>
      </c>
      <c r="J2826" t="s">
        <v>4903</v>
      </c>
      <c r="K2826" t="s">
        <v>4924</v>
      </c>
      <c r="L2826" t="s">
        <v>4938</v>
      </c>
      <c r="M2826" t="s">
        <v>4942</v>
      </c>
      <c r="N2826" s="11">
        <v>8476.51</v>
      </c>
      <c r="O2826" t="s">
        <v>15</v>
      </c>
      <c r="P2826" t="s">
        <v>4952</v>
      </c>
      <c r="R2826">
        <v>7</v>
      </c>
      <c r="S2826" t="str">
        <f t="shared" si="133"/>
        <v>Senior</v>
      </c>
      <c r="T2826" t="str">
        <f t="shared" si="134"/>
        <v>Medium</v>
      </c>
      <c r="U2826" t="str">
        <f t="shared" si="135"/>
        <v>Short Days</v>
      </c>
    </row>
    <row r="2827" spans="1:21">
      <c r="A2827" t="s">
        <v>2843</v>
      </c>
      <c r="B2827" s="5">
        <v>45530</v>
      </c>
      <c r="C2827" t="s">
        <v>4536</v>
      </c>
      <c r="D2827" t="s">
        <v>4673</v>
      </c>
      <c r="E2827" t="s">
        <v>4866</v>
      </c>
      <c r="F2827">
        <v>78</v>
      </c>
      <c r="G2827" t="s">
        <v>4871</v>
      </c>
      <c r="H2827" t="s">
        <v>4886</v>
      </c>
      <c r="I2827" t="s">
        <v>4902</v>
      </c>
      <c r="J2827" t="s">
        <v>4920</v>
      </c>
      <c r="K2827" t="s">
        <v>4930</v>
      </c>
      <c r="L2827" t="s">
        <v>4940</v>
      </c>
      <c r="M2827" t="s">
        <v>4944</v>
      </c>
      <c r="N2827" s="11">
        <v>5180.17</v>
      </c>
      <c r="O2827" t="s">
        <v>4948</v>
      </c>
      <c r="P2827" t="s">
        <v>4951</v>
      </c>
      <c r="S2827" t="str">
        <f t="shared" si="133"/>
        <v>Senior</v>
      </c>
      <c r="T2827" t="str">
        <f t="shared" si="134"/>
        <v>Medium</v>
      </c>
      <c r="U2827" t="str">
        <f t="shared" si="135"/>
        <v>Short Days</v>
      </c>
    </row>
    <row r="2828" spans="1:21">
      <c r="A2828" t="s">
        <v>2844</v>
      </c>
      <c r="B2828" s="5">
        <v>45324</v>
      </c>
      <c r="C2828" t="s">
        <v>4537</v>
      </c>
      <c r="D2828" t="s">
        <v>4623</v>
      </c>
      <c r="E2828" t="s">
        <v>4867</v>
      </c>
      <c r="F2828">
        <v>91</v>
      </c>
      <c r="G2828" t="s">
        <v>4873</v>
      </c>
      <c r="H2828" t="s">
        <v>4888</v>
      </c>
      <c r="I2828" t="s">
        <v>4893</v>
      </c>
      <c r="J2828" t="s">
        <v>4917</v>
      </c>
      <c r="K2828" t="s">
        <v>4932</v>
      </c>
      <c r="L2828" t="s">
        <v>4937</v>
      </c>
      <c r="M2828" t="s">
        <v>4942</v>
      </c>
      <c r="N2828" s="11">
        <v>11645.64</v>
      </c>
      <c r="O2828" t="s">
        <v>4946</v>
      </c>
      <c r="P2828" t="s">
        <v>4951</v>
      </c>
      <c r="S2828" t="str">
        <f t="shared" si="133"/>
        <v>Senior</v>
      </c>
      <c r="T2828" t="str">
        <f t="shared" si="134"/>
        <v>High</v>
      </c>
      <c r="U2828" t="str">
        <f t="shared" si="135"/>
        <v>Short Days</v>
      </c>
    </row>
    <row r="2829" spans="1:21">
      <c r="A2829" t="s">
        <v>2845</v>
      </c>
      <c r="B2829" s="5">
        <v>45524</v>
      </c>
      <c r="C2829" t="s">
        <v>3678</v>
      </c>
      <c r="D2829" t="s">
        <v>4852</v>
      </c>
      <c r="E2829" t="s">
        <v>4867</v>
      </c>
      <c r="F2829">
        <v>53</v>
      </c>
      <c r="G2829" t="s">
        <v>4869</v>
      </c>
      <c r="H2829" t="s">
        <v>4884</v>
      </c>
      <c r="I2829" t="s">
        <v>4894</v>
      </c>
      <c r="J2829" t="s">
        <v>4904</v>
      </c>
      <c r="K2829" t="s">
        <v>4932</v>
      </c>
      <c r="L2829" t="s">
        <v>4934</v>
      </c>
      <c r="M2829" t="s">
        <v>4942</v>
      </c>
      <c r="N2829" s="11">
        <v>8357.8700000000008</v>
      </c>
      <c r="O2829" t="s">
        <v>4947</v>
      </c>
      <c r="P2829" t="s">
        <v>4951</v>
      </c>
      <c r="R2829">
        <v>90</v>
      </c>
      <c r="S2829" t="str">
        <f t="shared" si="133"/>
        <v>Middle-Aged</v>
      </c>
      <c r="T2829" t="str">
        <f t="shared" si="134"/>
        <v>Medium</v>
      </c>
      <c r="U2829" t="str">
        <f t="shared" si="135"/>
        <v>Short Days</v>
      </c>
    </row>
    <row r="2830" spans="1:21">
      <c r="A2830" t="s">
        <v>2846</v>
      </c>
      <c r="B2830" s="5">
        <v>45640</v>
      </c>
      <c r="C2830" t="s">
        <v>3867</v>
      </c>
      <c r="D2830" t="s">
        <v>4642</v>
      </c>
      <c r="E2830" t="s">
        <v>4866</v>
      </c>
      <c r="F2830">
        <v>52</v>
      </c>
      <c r="G2830" t="s">
        <v>4879</v>
      </c>
      <c r="H2830" t="s">
        <v>4888</v>
      </c>
      <c r="I2830" t="s">
        <v>4897</v>
      </c>
      <c r="J2830" t="s">
        <v>4922</v>
      </c>
      <c r="K2830" t="s">
        <v>4924</v>
      </c>
      <c r="L2830" t="s">
        <v>4939</v>
      </c>
      <c r="M2830" t="s">
        <v>4942</v>
      </c>
      <c r="N2830" s="11">
        <v>6822.4</v>
      </c>
      <c r="O2830" t="s">
        <v>4950</v>
      </c>
      <c r="P2830" t="s">
        <v>4951</v>
      </c>
      <c r="R2830">
        <v>7</v>
      </c>
      <c r="S2830" t="str">
        <f t="shared" si="133"/>
        <v>Middle-Aged</v>
      </c>
      <c r="T2830" t="str">
        <f t="shared" si="134"/>
        <v>Medium</v>
      </c>
      <c r="U2830" t="str">
        <f t="shared" si="135"/>
        <v>Short Days</v>
      </c>
    </row>
    <row r="2831" spans="1:21">
      <c r="A2831" t="s">
        <v>2847</v>
      </c>
      <c r="B2831" s="5">
        <v>45594</v>
      </c>
      <c r="C2831" t="s">
        <v>4538</v>
      </c>
      <c r="D2831" t="s">
        <v>4725</v>
      </c>
      <c r="E2831" t="s">
        <v>4866</v>
      </c>
      <c r="F2831">
        <v>32</v>
      </c>
      <c r="G2831" t="s">
        <v>4880</v>
      </c>
      <c r="H2831" t="s">
        <v>4890</v>
      </c>
      <c r="I2831" t="s">
        <v>4899</v>
      </c>
      <c r="J2831" t="s">
        <v>4911</v>
      </c>
      <c r="K2831" t="s">
        <v>4930</v>
      </c>
      <c r="L2831" t="s">
        <v>4939</v>
      </c>
      <c r="M2831" t="s">
        <v>4945</v>
      </c>
      <c r="N2831" s="11">
        <v>9035.7099999999991</v>
      </c>
      <c r="O2831" t="s">
        <v>4947</v>
      </c>
      <c r="P2831" t="s">
        <v>4951</v>
      </c>
      <c r="Q2831">
        <v>6</v>
      </c>
      <c r="R2831">
        <v>30</v>
      </c>
      <c r="S2831" t="str">
        <f t="shared" si="133"/>
        <v>Adult</v>
      </c>
      <c r="T2831" t="str">
        <f t="shared" si="134"/>
        <v>Medium</v>
      </c>
      <c r="U2831" t="str">
        <f t="shared" si="135"/>
        <v>Long Days</v>
      </c>
    </row>
    <row r="2832" spans="1:21">
      <c r="A2832" t="s">
        <v>2848</v>
      </c>
      <c r="B2832" s="5">
        <v>45311</v>
      </c>
      <c r="C2832" t="s">
        <v>4456</v>
      </c>
      <c r="D2832" t="s">
        <v>4721</v>
      </c>
      <c r="E2832" t="s">
        <v>4866</v>
      </c>
      <c r="F2832">
        <v>20</v>
      </c>
      <c r="G2832" t="s">
        <v>4878</v>
      </c>
      <c r="H2832" t="s">
        <v>4889</v>
      </c>
      <c r="I2832" t="s">
        <v>4902</v>
      </c>
      <c r="J2832" t="s">
        <v>4916</v>
      </c>
      <c r="K2832" t="s">
        <v>4933</v>
      </c>
      <c r="L2832" t="s">
        <v>4940</v>
      </c>
      <c r="M2832" t="s">
        <v>4944</v>
      </c>
      <c r="N2832" s="11">
        <v>7554.15</v>
      </c>
      <c r="O2832" t="s">
        <v>4947</v>
      </c>
      <c r="P2832" t="s">
        <v>4951</v>
      </c>
      <c r="R2832">
        <v>90</v>
      </c>
      <c r="S2832" t="str">
        <f t="shared" si="133"/>
        <v>Adult</v>
      </c>
      <c r="T2832" t="str">
        <f t="shared" si="134"/>
        <v>Medium</v>
      </c>
      <c r="U2832" t="str">
        <f t="shared" si="135"/>
        <v>Short Days</v>
      </c>
    </row>
    <row r="2833" spans="1:21">
      <c r="A2833" t="s">
        <v>2849</v>
      </c>
      <c r="B2833" s="5">
        <v>45805</v>
      </c>
      <c r="C2833" t="s">
        <v>3026</v>
      </c>
      <c r="D2833" t="s">
        <v>4656</v>
      </c>
      <c r="E2833" t="s">
        <v>4866</v>
      </c>
      <c r="F2833">
        <v>39</v>
      </c>
      <c r="G2833" t="s">
        <v>4870</v>
      </c>
      <c r="H2833" t="s">
        <v>4885</v>
      </c>
      <c r="I2833" t="s">
        <v>4896</v>
      </c>
      <c r="J2833" t="s">
        <v>4908</v>
      </c>
      <c r="K2833" t="s">
        <v>4933</v>
      </c>
      <c r="L2833" t="s">
        <v>4936</v>
      </c>
      <c r="M2833" t="s">
        <v>4942</v>
      </c>
      <c r="N2833" s="11">
        <v>2700.31</v>
      </c>
      <c r="O2833" t="s">
        <v>4948</v>
      </c>
      <c r="P2833" t="s">
        <v>4951</v>
      </c>
      <c r="R2833">
        <v>7</v>
      </c>
      <c r="S2833" t="str">
        <f t="shared" si="133"/>
        <v>Adult</v>
      </c>
      <c r="T2833" t="str">
        <f t="shared" si="134"/>
        <v>Low</v>
      </c>
      <c r="U2833" t="str">
        <f t="shared" si="135"/>
        <v>Short Days</v>
      </c>
    </row>
    <row r="2834" spans="1:21">
      <c r="A2834" t="s">
        <v>2850</v>
      </c>
      <c r="B2834" s="5">
        <v>45820</v>
      </c>
      <c r="C2834" t="s">
        <v>3378</v>
      </c>
      <c r="D2834" t="s">
        <v>4681</v>
      </c>
      <c r="E2834" t="s">
        <v>4866</v>
      </c>
      <c r="F2834">
        <v>14</v>
      </c>
      <c r="G2834" t="s">
        <v>4871</v>
      </c>
      <c r="H2834" t="s">
        <v>4886</v>
      </c>
      <c r="I2834" t="s">
        <v>4900</v>
      </c>
      <c r="J2834" t="s">
        <v>4913</v>
      </c>
      <c r="K2834" t="s">
        <v>4931</v>
      </c>
      <c r="L2834" t="s">
        <v>4937</v>
      </c>
      <c r="M2834" t="s">
        <v>4944</v>
      </c>
      <c r="N2834" s="11">
        <v>11201.08</v>
      </c>
      <c r="O2834" t="s">
        <v>4946</v>
      </c>
      <c r="P2834" t="s">
        <v>4951</v>
      </c>
      <c r="R2834">
        <v>7</v>
      </c>
      <c r="S2834" t="str">
        <f t="shared" si="133"/>
        <v>Child</v>
      </c>
      <c r="T2834" t="str">
        <f t="shared" si="134"/>
        <v>High</v>
      </c>
      <c r="U2834" t="str">
        <f t="shared" si="135"/>
        <v>Short Days</v>
      </c>
    </row>
    <row r="2835" spans="1:21">
      <c r="A2835" t="s">
        <v>2851</v>
      </c>
      <c r="B2835" s="5">
        <v>45380</v>
      </c>
      <c r="C2835" t="s">
        <v>3574</v>
      </c>
      <c r="D2835" t="s">
        <v>4588</v>
      </c>
      <c r="E2835" t="s">
        <v>4867</v>
      </c>
      <c r="F2835">
        <v>68</v>
      </c>
      <c r="G2835" t="s">
        <v>4872</v>
      </c>
      <c r="H2835" t="s">
        <v>4887</v>
      </c>
      <c r="I2835" t="s">
        <v>4894</v>
      </c>
      <c r="J2835" t="s">
        <v>4910</v>
      </c>
      <c r="K2835" t="s">
        <v>4930</v>
      </c>
      <c r="L2835" t="s">
        <v>4938</v>
      </c>
      <c r="M2835" t="s">
        <v>4942</v>
      </c>
      <c r="N2835" s="11">
        <v>9878.7099999999991</v>
      </c>
      <c r="O2835" t="s">
        <v>4950</v>
      </c>
      <c r="P2835" t="s">
        <v>4951</v>
      </c>
      <c r="S2835" t="str">
        <f t="shared" si="133"/>
        <v>Senior</v>
      </c>
      <c r="T2835" t="str">
        <f t="shared" si="134"/>
        <v>Medium</v>
      </c>
      <c r="U2835" t="str">
        <f t="shared" si="135"/>
        <v>Short Days</v>
      </c>
    </row>
    <row r="2836" spans="1:21">
      <c r="A2836" t="s">
        <v>2852</v>
      </c>
      <c r="B2836" s="5">
        <v>45747</v>
      </c>
      <c r="C2836" t="s">
        <v>4539</v>
      </c>
      <c r="D2836" t="s">
        <v>4602</v>
      </c>
      <c r="E2836" t="s">
        <v>4867</v>
      </c>
      <c r="F2836">
        <v>12</v>
      </c>
      <c r="G2836" t="s">
        <v>4882</v>
      </c>
      <c r="H2836" t="s">
        <v>4891</v>
      </c>
      <c r="I2836" t="s">
        <v>4902</v>
      </c>
      <c r="J2836" t="s">
        <v>4920</v>
      </c>
      <c r="K2836" t="s">
        <v>4930</v>
      </c>
      <c r="L2836" t="s">
        <v>4941</v>
      </c>
      <c r="M2836" t="s">
        <v>4942</v>
      </c>
      <c r="N2836" s="11">
        <v>356.4</v>
      </c>
      <c r="O2836" t="s">
        <v>4946</v>
      </c>
      <c r="P2836" t="s">
        <v>4951</v>
      </c>
      <c r="R2836">
        <v>7</v>
      </c>
      <c r="S2836" t="str">
        <f t="shared" si="133"/>
        <v>Child</v>
      </c>
      <c r="T2836" t="str">
        <f t="shared" si="134"/>
        <v>Low</v>
      </c>
      <c r="U2836" t="str">
        <f t="shared" si="135"/>
        <v>Short Days</v>
      </c>
    </row>
    <row r="2837" spans="1:21">
      <c r="A2837" t="s">
        <v>2853</v>
      </c>
      <c r="B2837" s="5">
        <v>45406</v>
      </c>
      <c r="C2837" t="s">
        <v>4540</v>
      </c>
      <c r="D2837" t="s">
        <v>4802</v>
      </c>
      <c r="E2837" t="s">
        <v>4866</v>
      </c>
      <c r="F2837">
        <v>47</v>
      </c>
      <c r="G2837" t="s">
        <v>4875</v>
      </c>
      <c r="H2837" t="s">
        <v>4889</v>
      </c>
      <c r="I2837" t="s">
        <v>4895</v>
      </c>
      <c r="J2837" t="s">
        <v>4915</v>
      </c>
      <c r="K2837" t="s">
        <v>4927</v>
      </c>
      <c r="L2837" t="s">
        <v>4936</v>
      </c>
      <c r="M2837" t="s">
        <v>4942</v>
      </c>
      <c r="N2837" s="11">
        <v>7565.81</v>
      </c>
      <c r="O2837" t="s">
        <v>4946</v>
      </c>
      <c r="P2837" t="s">
        <v>4951</v>
      </c>
      <c r="R2837">
        <v>7</v>
      </c>
      <c r="S2837" t="str">
        <f t="shared" si="133"/>
        <v>Middle-Aged</v>
      </c>
      <c r="T2837" t="str">
        <f t="shared" si="134"/>
        <v>Medium</v>
      </c>
      <c r="U2837" t="str">
        <f t="shared" si="135"/>
        <v>Short Days</v>
      </c>
    </row>
    <row r="2838" spans="1:21">
      <c r="A2838" t="s">
        <v>2854</v>
      </c>
      <c r="B2838" s="5">
        <v>45463</v>
      </c>
      <c r="C2838" t="s">
        <v>3293</v>
      </c>
      <c r="D2838" t="s">
        <v>4799</v>
      </c>
      <c r="E2838" t="s">
        <v>4867</v>
      </c>
      <c r="F2838">
        <v>41</v>
      </c>
      <c r="G2838" t="s">
        <v>4873</v>
      </c>
      <c r="H2838" t="s">
        <v>4888</v>
      </c>
      <c r="I2838" t="s">
        <v>4895</v>
      </c>
      <c r="J2838" t="s">
        <v>4905</v>
      </c>
      <c r="K2838" t="s">
        <v>4927</v>
      </c>
      <c r="L2838" t="s">
        <v>4937</v>
      </c>
      <c r="M2838" t="s">
        <v>4942</v>
      </c>
      <c r="N2838" s="11">
        <v>7783.6</v>
      </c>
      <c r="O2838" t="s">
        <v>4948</v>
      </c>
      <c r="P2838" t="s">
        <v>4951</v>
      </c>
      <c r="S2838" t="str">
        <f t="shared" si="133"/>
        <v>Middle-Aged</v>
      </c>
      <c r="T2838" t="str">
        <f t="shared" si="134"/>
        <v>Medium</v>
      </c>
      <c r="U2838" t="str">
        <f t="shared" si="135"/>
        <v>Short Days</v>
      </c>
    </row>
    <row r="2839" spans="1:21">
      <c r="A2839" t="s">
        <v>2855</v>
      </c>
      <c r="B2839" s="5">
        <v>45379</v>
      </c>
      <c r="C2839" t="s">
        <v>4034</v>
      </c>
      <c r="D2839" t="s">
        <v>4822</v>
      </c>
      <c r="E2839" t="s">
        <v>4866</v>
      </c>
      <c r="F2839">
        <v>29</v>
      </c>
      <c r="G2839" t="s">
        <v>4879</v>
      </c>
      <c r="H2839" t="s">
        <v>4888</v>
      </c>
      <c r="I2839" t="s">
        <v>4895</v>
      </c>
      <c r="J2839" t="s">
        <v>4915</v>
      </c>
      <c r="K2839" t="s">
        <v>4927</v>
      </c>
      <c r="L2839" t="s">
        <v>4936</v>
      </c>
      <c r="M2839" t="s">
        <v>4942</v>
      </c>
      <c r="N2839" s="11">
        <v>1492.26</v>
      </c>
      <c r="O2839" t="s">
        <v>15</v>
      </c>
      <c r="P2839" t="s">
        <v>4952</v>
      </c>
      <c r="R2839">
        <v>90</v>
      </c>
      <c r="S2839" t="str">
        <f t="shared" si="133"/>
        <v>Adult</v>
      </c>
      <c r="T2839" t="str">
        <f t="shared" si="134"/>
        <v>Low</v>
      </c>
      <c r="U2839" t="str">
        <f t="shared" si="135"/>
        <v>Short Days</v>
      </c>
    </row>
    <row r="2840" spans="1:21">
      <c r="A2840" t="s">
        <v>2856</v>
      </c>
      <c r="B2840" s="5">
        <v>45606</v>
      </c>
      <c r="C2840" t="s">
        <v>4541</v>
      </c>
      <c r="D2840" t="s">
        <v>4811</v>
      </c>
      <c r="E2840" t="s">
        <v>4867</v>
      </c>
      <c r="F2840">
        <v>2</v>
      </c>
      <c r="G2840" t="s">
        <v>4881</v>
      </c>
      <c r="H2840" t="s">
        <v>4881</v>
      </c>
      <c r="I2840" t="s">
        <v>4896</v>
      </c>
      <c r="J2840" t="s">
        <v>4906</v>
      </c>
      <c r="K2840" t="s">
        <v>4928</v>
      </c>
      <c r="L2840" t="s">
        <v>4935</v>
      </c>
      <c r="M2840" t="s">
        <v>4942</v>
      </c>
      <c r="N2840" s="11">
        <v>5699.06</v>
      </c>
      <c r="O2840" t="s">
        <v>15</v>
      </c>
      <c r="P2840" t="s">
        <v>4952</v>
      </c>
      <c r="S2840" t="str">
        <f t="shared" si="133"/>
        <v>Child</v>
      </c>
      <c r="T2840" t="str">
        <f t="shared" si="134"/>
        <v>Medium</v>
      </c>
      <c r="U2840" t="str">
        <f t="shared" si="135"/>
        <v>Short Days</v>
      </c>
    </row>
    <row r="2841" spans="1:21">
      <c r="A2841" t="s">
        <v>2857</v>
      </c>
      <c r="B2841" s="5">
        <v>45936</v>
      </c>
      <c r="C2841" t="s">
        <v>4542</v>
      </c>
      <c r="D2841" t="s">
        <v>4740</v>
      </c>
      <c r="E2841" t="s">
        <v>4868</v>
      </c>
      <c r="F2841">
        <v>56</v>
      </c>
      <c r="G2841" t="s">
        <v>4870</v>
      </c>
      <c r="H2841" t="s">
        <v>4885</v>
      </c>
      <c r="I2841" t="s">
        <v>4900</v>
      </c>
      <c r="J2841" t="s">
        <v>4913</v>
      </c>
      <c r="K2841" t="s">
        <v>4930</v>
      </c>
      <c r="L2841" t="s">
        <v>4936</v>
      </c>
      <c r="M2841" t="s">
        <v>4942</v>
      </c>
      <c r="N2841" s="11">
        <v>3392.22</v>
      </c>
      <c r="O2841" t="s">
        <v>4947</v>
      </c>
      <c r="P2841" t="s">
        <v>4951</v>
      </c>
      <c r="R2841">
        <v>7</v>
      </c>
      <c r="S2841" t="str">
        <f t="shared" si="133"/>
        <v>Middle-Aged</v>
      </c>
      <c r="T2841" t="str">
        <f t="shared" si="134"/>
        <v>Low</v>
      </c>
      <c r="U2841" t="str">
        <f t="shared" si="135"/>
        <v>Short Days</v>
      </c>
    </row>
    <row r="2842" spans="1:21">
      <c r="A2842" t="s">
        <v>2858</v>
      </c>
      <c r="B2842" s="5">
        <v>45694</v>
      </c>
      <c r="C2842" t="s">
        <v>4543</v>
      </c>
      <c r="D2842" t="s">
        <v>4752</v>
      </c>
      <c r="E2842" t="s">
        <v>4867</v>
      </c>
      <c r="F2842">
        <v>59</v>
      </c>
      <c r="G2842" t="s">
        <v>4883</v>
      </c>
      <c r="H2842" t="s">
        <v>4892</v>
      </c>
      <c r="I2842" t="s">
        <v>4900</v>
      </c>
      <c r="J2842" t="s">
        <v>4913</v>
      </c>
      <c r="K2842" t="s">
        <v>4933</v>
      </c>
      <c r="L2842" t="s">
        <v>4938</v>
      </c>
      <c r="M2842" t="s">
        <v>4944</v>
      </c>
      <c r="N2842" s="11">
        <v>10225.5</v>
      </c>
      <c r="O2842" t="s">
        <v>15</v>
      </c>
      <c r="P2842" t="s">
        <v>4952</v>
      </c>
      <c r="R2842">
        <v>14</v>
      </c>
      <c r="S2842" t="str">
        <f t="shared" si="133"/>
        <v>Middle-Aged</v>
      </c>
      <c r="T2842" t="str">
        <f t="shared" si="134"/>
        <v>High</v>
      </c>
      <c r="U2842" t="str">
        <f t="shared" si="135"/>
        <v>Short Days</v>
      </c>
    </row>
    <row r="2843" spans="1:21">
      <c r="A2843" t="s">
        <v>2859</v>
      </c>
      <c r="B2843" s="5">
        <v>45771</v>
      </c>
      <c r="C2843" t="s">
        <v>4237</v>
      </c>
      <c r="D2843" t="s">
        <v>4693</v>
      </c>
      <c r="E2843" t="s">
        <v>4866</v>
      </c>
      <c r="F2843">
        <v>43</v>
      </c>
      <c r="G2843" t="s">
        <v>4870</v>
      </c>
      <c r="H2843" t="s">
        <v>4885</v>
      </c>
      <c r="I2843" t="s">
        <v>4895</v>
      </c>
      <c r="J2843" t="s">
        <v>4905</v>
      </c>
      <c r="K2843" t="s">
        <v>4931</v>
      </c>
      <c r="L2843" t="s">
        <v>4941</v>
      </c>
      <c r="M2843" t="s">
        <v>4944</v>
      </c>
      <c r="N2843" s="11">
        <v>5504.7</v>
      </c>
      <c r="O2843" t="s">
        <v>15</v>
      </c>
      <c r="P2843" t="s">
        <v>4952</v>
      </c>
      <c r="R2843">
        <v>90</v>
      </c>
      <c r="S2843" t="str">
        <f t="shared" si="133"/>
        <v>Middle-Aged</v>
      </c>
      <c r="T2843" t="str">
        <f t="shared" si="134"/>
        <v>Medium</v>
      </c>
      <c r="U2843" t="str">
        <f t="shared" si="135"/>
        <v>Short Days</v>
      </c>
    </row>
    <row r="2844" spans="1:21">
      <c r="A2844" t="s">
        <v>2860</v>
      </c>
      <c r="B2844" s="5">
        <v>45448</v>
      </c>
      <c r="C2844" t="s">
        <v>3777</v>
      </c>
      <c r="D2844" t="s">
        <v>4635</v>
      </c>
      <c r="E2844" t="s">
        <v>4867</v>
      </c>
      <c r="F2844">
        <v>18</v>
      </c>
      <c r="G2844" t="s">
        <v>4883</v>
      </c>
      <c r="H2844" t="s">
        <v>4892</v>
      </c>
      <c r="I2844" t="s">
        <v>4902</v>
      </c>
      <c r="J2844" t="s">
        <v>4916</v>
      </c>
      <c r="K2844" t="s">
        <v>4927</v>
      </c>
      <c r="L2844" t="s">
        <v>4935</v>
      </c>
      <c r="M2844" t="s">
        <v>4942</v>
      </c>
      <c r="N2844" s="11">
        <v>10937.62</v>
      </c>
      <c r="O2844" t="s">
        <v>4946</v>
      </c>
      <c r="P2844" t="s">
        <v>4951</v>
      </c>
      <c r="S2844" t="str">
        <f t="shared" si="133"/>
        <v>Adult</v>
      </c>
      <c r="T2844" t="str">
        <f t="shared" si="134"/>
        <v>High</v>
      </c>
      <c r="U2844" t="str">
        <f t="shared" si="135"/>
        <v>Short Days</v>
      </c>
    </row>
    <row r="2845" spans="1:21">
      <c r="A2845" t="s">
        <v>2861</v>
      </c>
      <c r="B2845" s="5">
        <v>45316</v>
      </c>
      <c r="C2845" t="s">
        <v>4544</v>
      </c>
      <c r="D2845" t="s">
        <v>4767</v>
      </c>
      <c r="E2845" t="s">
        <v>4866</v>
      </c>
      <c r="F2845">
        <v>36</v>
      </c>
      <c r="G2845" t="s">
        <v>4876</v>
      </c>
      <c r="H2845" t="s">
        <v>4888</v>
      </c>
      <c r="I2845" t="s">
        <v>4902</v>
      </c>
      <c r="J2845" t="s">
        <v>4916</v>
      </c>
      <c r="K2845" t="s">
        <v>4930</v>
      </c>
      <c r="L2845" t="s">
        <v>4934</v>
      </c>
      <c r="M2845" t="s">
        <v>4944</v>
      </c>
      <c r="N2845" s="11">
        <v>8804.48</v>
      </c>
      <c r="O2845" t="s">
        <v>4948</v>
      </c>
      <c r="P2845" t="s">
        <v>4951</v>
      </c>
      <c r="S2845" t="str">
        <f t="shared" si="133"/>
        <v>Adult</v>
      </c>
      <c r="T2845" t="str">
        <f t="shared" si="134"/>
        <v>Medium</v>
      </c>
      <c r="U2845" t="str">
        <f t="shared" si="135"/>
        <v>Short Days</v>
      </c>
    </row>
    <row r="2846" spans="1:21">
      <c r="A2846" t="s">
        <v>2862</v>
      </c>
      <c r="B2846" s="5">
        <v>45698</v>
      </c>
      <c r="C2846" t="s">
        <v>4545</v>
      </c>
      <c r="D2846" t="s">
        <v>4742</v>
      </c>
      <c r="E2846" t="s">
        <v>4866</v>
      </c>
      <c r="F2846">
        <v>13</v>
      </c>
      <c r="G2846" t="s">
        <v>4871</v>
      </c>
      <c r="H2846" t="s">
        <v>4886</v>
      </c>
      <c r="I2846" t="s">
        <v>4894</v>
      </c>
      <c r="J2846" t="s">
        <v>4910</v>
      </c>
      <c r="K2846" t="s">
        <v>4929</v>
      </c>
      <c r="L2846" t="s">
        <v>4938</v>
      </c>
      <c r="M2846" t="s">
        <v>4942</v>
      </c>
      <c r="N2846" s="11">
        <v>9597.36</v>
      </c>
      <c r="O2846" t="s">
        <v>4947</v>
      </c>
      <c r="P2846" t="s">
        <v>4951</v>
      </c>
      <c r="S2846" t="str">
        <f t="shared" si="133"/>
        <v>Child</v>
      </c>
      <c r="T2846" t="str">
        <f t="shared" si="134"/>
        <v>Medium</v>
      </c>
      <c r="U2846" t="str">
        <f t="shared" si="135"/>
        <v>Short Days</v>
      </c>
    </row>
    <row r="2847" spans="1:21">
      <c r="A2847" t="s">
        <v>2863</v>
      </c>
      <c r="B2847" s="5">
        <v>45966</v>
      </c>
      <c r="C2847" t="s">
        <v>3219</v>
      </c>
      <c r="D2847" t="s">
        <v>4789</v>
      </c>
      <c r="E2847" t="s">
        <v>4866</v>
      </c>
      <c r="F2847">
        <v>42</v>
      </c>
      <c r="G2847" t="s">
        <v>4881</v>
      </c>
      <c r="H2847" t="s">
        <v>4881</v>
      </c>
      <c r="I2847" t="s">
        <v>4894</v>
      </c>
      <c r="J2847" t="s">
        <v>4904</v>
      </c>
      <c r="K2847" t="s">
        <v>4933</v>
      </c>
      <c r="L2847" t="s">
        <v>4941</v>
      </c>
      <c r="M2847" t="s">
        <v>4942</v>
      </c>
      <c r="N2847" s="11">
        <v>106.74</v>
      </c>
      <c r="O2847" t="s">
        <v>4948</v>
      </c>
      <c r="P2847" t="s">
        <v>4951</v>
      </c>
      <c r="R2847">
        <v>90</v>
      </c>
      <c r="S2847" t="str">
        <f t="shared" si="133"/>
        <v>Middle-Aged</v>
      </c>
      <c r="T2847" t="str">
        <f t="shared" si="134"/>
        <v>Low</v>
      </c>
      <c r="U2847" t="str">
        <f t="shared" si="135"/>
        <v>Short Days</v>
      </c>
    </row>
    <row r="2848" spans="1:21">
      <c r="A2848" t="s">
        <v>2864</v>
      </c>
      <c r="B2848" s="5">
        <v>45491</v>
      </c>
      <c r="C2848" t="s">
        <v>3293</v>
      </c>
      <c r="D2848" t="s">
        <v>4778</v>
      </c>
      <c r="E2848" t="s">
        <v>4866</v>
      </c>
      <c r="F2848">
        <v>66</v>
      </c>
      <c r="G2848" t="s">
        <v>4873</v>
      </c>
      <c r="H2848" t="s">
        <v>4888</v>
      </c>
      <c r="I2848" t="s">
        <v>4897</v>
      </c>
      <c r="J2848" t="s">
        <v>4922</v>
      </c>
      <c r="K2848" t="s">
        <v>4932</v>
      </c>
      <c r="L2848" t="s">
        <v>4934</v>
      </c>
      <c r="M2848" t="s">
        <v>4942</v>
      </c>
      <c r="N2848" s="11">
        <v>3330.37</v>
      </c>
      <c r="O2848" t="s">
        <v>4949</v>
      </c>
      <c r="P2848" t="s">
        <v>4951</v>
      </c>
      <c r="S2848" t="str">
        <f t="shared" si="133"/>
        <v>Senior</v>
      </c>
      <c r="T2848" t="str">
        <f t="shared" si="134"/>
        <v>Low</v>
      </c>
      <c r="U2848" t="str">
        <f t="shared" si="135"/>
        <v>Short Days</v>
      </c>
    </row>
    <row r="2849" spans="1:21">
      <c r="A2849" t="s">
        <v>2865</v>
      </c>
      <c r="B2849" s="5">
        <v>45776</v>
      </c>
      <c r="C2849" t="s">
        <v>4024</v>
      </c>
      <c r="D2849" t="s">
        <v>4644</v>
      </c>
      <c r="E2849" t="s">
        <v>4866</v>
      </c>
      <c r="F2849">
        <v>37</v>
      </c>
      <c r="G2849" t="s">
        <v>4877</v>
      </c>
      <c r="H2849" t="s">
        <v>4888</v>
      </c>
      <c r="I2849" t="s">
        <v>4902</v>
      </c>
      <c r="J2849" t="s">
        <v>4916</v>
      </c>
      <c r="K2849" t="s">
        <v>4931</v>
      </c>
      <c r="L2849" t="s">
        <v>4938</v>
      </c>
      <c r="M2849" t="s">
        <v>4942</v>
      </c>
      <c r="N2849" s="11">
        <v>2158.79</v>
      </c>
      <c r="O2849" t="s">
        <v>4948</v>
      </c>
      <c r="P2849" t="s">
        <v>4951</v>
      </c>
      <c r="S2849" t="str">
        <f t="shared" si="133"/>
        <v>Adult</v>
      </c>
      <c r="T2849" t="str">
        <f t="shared" si="134"/>
        <v>Low</v>
      </c>
      <c r="U2849" t="str">
        <f t="shared" si="135"/>
        <v>Short Days</v>
      </c>
    </row>
    <row r="2850" spans="1:21">
      <c r="A2850" t="s">
        <v>2866</v>
      </c>
      <c r="B2850" s="5">
        <v>45875</v>
      </c>
      <c r="C2850" t="s">
        <v>4546</v>
      </c>
      <c r="D2850" t="s">
        <v>4730</v>
      </c>
      <c r="E2850" t="s">
        <v>4867</v>
      </c>
      <c r="F2850">
        <v>75</v>
      </c>
      <c r="G2850" t="s">
        <v>4872</v>
      </c>
      <c r="H2850" t="s">
        <v>4887</v>
      </c>
      <c r="I2850" t="s">
        <v>4900</v>
      </c>
      <c r="J2850" t="s">
        <v>4913</v>
      </c>
      <c r="K2850" t="s">
        <v>4924</v>
      </c>
      <c r="L2850" t="s">
        <v>4939</v>
      </c>
      <c r="M2850" t="s">
        <v>4945</v>
      </c>
      <c r="N2850" s="11">
        <v>9041.7999999999993</v>
      </c>
      <c r="O2850" t="s">
        <v>4947</v>
      </c>
      <c r="P2850" t="s">
        <v>4951</v>
      </c>
      <c r="Q2850">
        <v>9</v>
      </c>
      <c r="R2850">
        <v>90</v>
      </c>
      <c r="S2850" t="str">
        <f t="shared" si="133"/>
        <v>Senior</v>
      </c>
      <c r="T2850" t="str">
        <f t="shared" si="134"/>
        <v>Medium</v>
      </c>
      <c r="U2850" t="str">
        <f t="shared" si="135"/>
        <v>Long Days</v>
      </c>
    </row>
    <row r="2851" spans="1:21">
      <c r="A2851" t="s">
        <v>2867</v>
      </c>
      <c r="B2851" s="5">
        <v>45819</v>
      </c>
      <c r="C2851" t="s">
        <v>4466</v>
      </c>
      <c r="D2851" t="s">
        <v>4785</v>
      </c>
      <c r="E2851" t="s">
        <v>4867</v>
      </c>
      <c r="F2851">
        <v>37</v>
      </c>
      <c r="G2851" t="s">
        <v>4878</v>
      </c>
      <c r="H2851" t="s">
        <v>4889</v>
      </c>
      <c r="I2851" t="s">
        <v>4895</v>
      </c>
      <c r="J2851" t="s">
        <v>4905</v>
      </c>
      <c r="K2851" t="s">
        <v>4927</v>
      </c>
      <c r="L2851" t="s">
        <v>4937</v>
      </c>
      <c r="M2851" t="s">
        <v>4942</v>
      </c>
      <c r="N2851" s="11">
        <v>3195.96</v>
      </c>
      <c r="O2851" t="s">
        <v>15</v>
      </c>
      <c r="P2851" t="s">
        <v>4952</v>
      </c>
      <c r="S2851" t="str">
        <f t="shared" si="133"/>
        <v>Adult</v>
      </c>
      <c r="T2851" t="str">
        <f t="shared" si="134"/>
        <v>Low</v>
      </c>
      <c r="U2851" t="str">
        <f t="shared" si="135"/>
        <v>Short Days</v>
      </c>
    </row>
    <row r="2852" spans="1:21">
      <c r="A2852" t="s">
        <v>2868</v>
      </c>
      <c r="B2852" s="5">
        <v>45942</v>
      </c>
      <c r="C2852" t="s">
        <v>4267</v>
      </c>
      <c r="D2852" t="s">
        <v>4604</v>
      </c>
      <c r="E2852" t="s">
        <v>4866</v>
      </c>
      <c r="F2852">
        <v>61</v>
      </c>
      <c r="G2852" t="s">
        <v>4883</v>
      </c>
      <c r="H2852" t="s">
        <v>4892</v>
      </c>
      <c r="I2852" t="s">
        <v>4895</v>
      </c>
      <c r="J2852" t="s">
        <v>4905</v>
      </c>
      <c r="K2852" t="s">
        <v>4928</v>
      </c>
      <c r="L2852" t="s">
        <v>4935</v>
      </c>
      <c r="M2852" t="s">
        <v>4944</v>
      </c>
      <c r="N2852" s="11">
        <v>11355.59</v>
      </c>
      <c r="O2852" t="s">
        <v>4946</v>
      </c>
      <c r="P2852" t="s">
        <v>4951</v>
      </c>
      <c r="R2852">
        <v>14</v>
      </c>
      <c r="S2852" t="str">
        <f t="shared" si="133"/>
        <v>Senior</v>
      </c>
      <c r="T2852" t="str">
        <f t="shared" si="134"/>
        <v>High</v>
      </c>
      <c r="U2852" t="str">
        <f t="shared" si="135"/>
        <v>Short Days</v>
      </c>
    </row>
    <row r="2853" spans="1:21">
      <c r="A2853" t="s">
        <v>2869</v>
      </c>
      <c r="B2853" s="5">
        <v>45885</v>
      </c>
      <c r="C2853" t="s">
        <v>3972</v>
      </c>
      <c r="D2853" t="s">
        <v>4690</v>
      </c>
      <c r="E2853" t="s">
        <v>4867</v>
      </c>
      <c r="F2853">
        <v>44</v>
      </c>
      <c r="G2853" t="s">
        <v>4874</v>
      </c>
      <c r="H2853" t="s">
        <v>4886</v>
      </c>
      <c r="I2853" t="s">
        <v>4899</v>
      </c>
      <c r="J2853" t="s">
        <v>4912</v>
      </c>
      <c r="K2853" t="s">
        <v>4928</v>
      </c>
      <c r="L2853" t="s">
        <v>4934</v>
      </c>
      <c r="M2853" t="s">
        <v>4942</v>
      </c>
      <c r="N2853" s="11">
        <v>1463.43</v>
      </c>
      <c r="O2853" t="s">
        <v>15</v>
      </c>
      <c r="P2853" t="s">
        <v>4952</v>
      </c>
      <c r="R2853">
        <v>14</v>
      </c>
      <c r="S2853" t="str">
        <f t="shared" si="133"/>
        <v>Middle-Aged</v>
      </c>
      <c r="T2853" t="str">
        <f t="shared" si="134"/>
        <v>Low</v>
      </c>
      <c r="U2853" t="str">
        <f t="shared" si="135"/>
        <v>Short Days</v>
      </c>
    </row>
    <row r="2854" spans="1:21">
      <c r="A2854" t="s">
        <v>2870</v>
      </c>
      <c r="B2854" s="5">
        <v>45719</v>
      </c>
      <c r="C2854" t="s">
        <v>4220</v>
      </c>
      <c r="D2854" t="s">
        <v>4804</v>
      </c>
      <c r="E2854" t="s">
        <v>4867</v>
      </c>
      <c r="F2854">
        <v>37</v>
      </c>
      <c r="G2854" t="s">
        <v>4875</v>
      </c>
      <c r="H2854" t="s">
        <v>4889</v>
      </c>
      <c r="I2854" t="s">
        <v>4902</v>
      </c>
      <c r="J2854" t="s">
        <v>4916</v>
      </c>
      <c r="K2854" t="s">
        <v>4932</v>
      </c>
      <c r="L2854" t="s">
        <v>4938</v>
      </c>
      <c r="M2854" t="s">
        <v>4944</v>
      </c>
      <c r="N2854" s="11">
        <v>5828.3</v>
      </c>
      <c r="O2854" t="s">
        <v>4948</v>
      </c>
      <c r="P2854" t="s">
        <v>4951</v>
      </c>
      <c r="R2854">
        <v>90</v>
      </c>
      <c r="S2854" t="str">
        <f t="shared" si="133"/>
        <v>Adult</v>
      </c>
      <c r="T2854" t="str">
        <f t="shared" si="134"/>
        <v>Medium</v>
      </c>
      <c r="U2854" t="str">
        <f t="shared" si="135"/>
        <v>Short Days</v>
      </c>
    </row>
    <row r="2855" spans="1:21">
      <c r="A2855" t="s">
        <v>2871</v>
      </c>
      <c r="B2855" s="5">
        <v>45659</v>
      </c>
      <c r="C2855" t="s">
        <v>3671</v>
      </c>
      <c r="D2855" t="s">
        <v>4698</v>
      </c>
      <c r="E2855" t="s">
        <v>4867</v>
      </c>
      <c r="F2855">
        <v>17</v>
      </c>
      <c r="G2855" t="s">
        <v>4871</v>
      </c>
      <c r="H2855" t="s">
        <v>4886</v>
      </c>
      <c r="I2855" t="s">
        <v>4898</v>
      </c>
      <c r="J2855" t="s">
        <v>4918</v>
      </c>
      <c r="K2855" t="s">
        <v>4930</v>
      </c>
      <c r="L2855" t="s">
        <v>4938</v>
      </c>
      <c r="M2855" t="s">
        <v>4944</v>
      </c>
      <c r="N2855" s="11">
        <v>9028.86</v>
      </c>
      <c r="O2855" t="s">
        <v>4949</v>
      </c>
      <c r="P2855" t="s">
        <v>4951</v>
      </c>
      <c r="R2855">
        <v>14</v>
      </c>
      <c r="S2855" t="str">
        <f t="shared" si="133"/>
        <v>Child</v>
      </c>
      <c r="T2855" t="str">
        <f t="shared" si="134"/>
        <v>Medium</v>
      </c>
      <c r="U2855" t="str">
        <f t="shared" si="135"/>
        <v>Short Days</v>
      </c>
    </row>
    <row r="2856" spans="1:21">
      <c r="A2856" t="s">
        <v>2872</v>
      </c>
      <c r="B2856" s="5">
        <v>45422</v>
      </c>
      <c r="C2856" t="s">
        <v>3738</v>
      </c>
      <c r="D2856" t="s">
        <v>4800</v>
      </c>
      <c r="E2856" t="s">
        <v>4866</v>
      </c>
      <c r="F2856">
        <v>5</v>
      </c>
      <c r="G2856" t="s">
        <v>4880</v>
      </c>
      <c r="H2856" t="s">
        <v>4890</v>
      </c>
      <c r="I2856" t="s">
        <v>4901</v>
      </c>
      <c r="J2856" t="s">
        <v>4921</v>
      </c>
      <c r="K2856" t="s">
        <v>4932</v>
      </c>
      <c r="L2856" t="s">
        <v>4937</v>
      </c>
      <c r="M2856" t="s">
        <v>4942</v>
      </c>
      <c r="N2856" s="11">
        <v>3092.22</v>
      </c>
      <c r="O2856" t="s">
        <v>4946</v>
      </c>
      <c r="P2856" t="s">
        <v>4951</v>
      </c>
      <c r="R2856">
        <v>90</v>
      </c>
      <c r="S2856" t="str">
        <f t="shared" si="133"/>
        <v>Child</v>
      </c>
      <c r="T2856" t="str">
        <f t="shared" si="134"/>
        <v>Low</v>
      </c>
      <c r="U2856" t="str">
        <f t="shared" si="135"/>
        <v>Short Days</v>
      </c>
    </row>
    <row r="2857" spans="1:21">
      <c r="A2857" t="s">
        <v>2873</v>
      </c>
      <c r="B2857" s="5">
        <v>45702</v>
      </c>
      <c r="C2857" t="s">
        <v>3684</v>
      </c>
      <c r="D2857" t="s">
        <v>4753</v>
      </c>
      <c r="E2857" t="s">
        <v>4866</v>
      </c>
      <c r="F2857">
        <v>16</v>
      </c>
      <c r="G2857" t="s">
        <v>4880</v>
      </c>
      <c r="H2857" t="s">
        <v>4890</v>
      </c>
      <c r="I2857" t="s">
        <v>4898</v>
      </c>
      <c r="J2857" t="s">
        <v>4918</v>
      </c>
      <c r="K2857" t="s">
        <v>4928</v>
      </c>
      <c r="L2857" t="s">
        <v>4935</v>
      </c>
      <c r="M2857" t="s">
        <v>4942</v>
      </c>
      <c r="N2857" s="11">
        <v>2837.03</v>
      </c>
      <c r="O2857" t="s">
        <v>15</v>
      </c>
      <c r="P2857" t="s">
        <v>4952</v>
      </c>
      <c r="S2857" t="str">
        <f t="shared" si="133"/>
        <v>Child</v>
      </c>
      <c r="T2857" t="str">
        <f t="shared" si="134"/>
        <v>Low</v>
      </c>
      <c r="U2857" t="str">
        <f t="shared" si="135"/>
        <v>Short Days</v>
      </c>
    </row>
    <row r="2858" spans="1:21">
      <c r="A2858" t="s">
        <v>2874</v>
      </c>
      <c r="B2858" s="5">
        <v>45515</v>
      </c>
      <c r="C2858" t="s">
        <v>3471</v>
      </c>
      <c r="D2858" t="s">
        <v>4710</v>
      </c>
      <c r="E2858" t="s">
        <v>4866</v>
      </c>
      <c r="F2858">
        <v>13</v>
      </c>
      <c r="G2858" t="s">
        <v>4878</v>
      </c>
      <c r="H2858" t="s">
        <v>4889</v>
      </c>
      <c r="I2858" t="s">
        <v>4900</v>
      </c>
      <c r="J2858" t="s">
        <v>4919</v>
      </c>
      <c r="K2858" t="s">
        <v>4926</v>
      </c>
      <c r="L2858" t="s">
        <v>4939</v>
      </c>
      <c r="M2858" t="s">
        <v>4944</v>
      </c>
      <c r="N2858" s="11">
        <v>9490.89</v>
      </c>
      <c r="O2858" t="s">
        <v>4947</v>
      </c>
      <c r="P2858" t="s">
        <v>4951</v>
      </c>
      <c r="S2858" t="str">
        <f t="shared" si="133"/>
        <v>Child</v>
      </c>
      <c r="T2858" t="str">
        <f t="shared" si="134"/>
        <v>Medium</v>
      </c>
      <c r="U2858" t="str">
        <f t="shared" si="135"/>
        <v>Short Days</v>
      </c>
    </row>
    <row r="2859" spans="1:21">
      <c r="A2859" t="s">
        <v>2875</v>
      </c>
      <c r="B2859" s="5">
        <v>45809</v>
      </c>
      <c r="C2859" t="s">
        <v>3512</v>
      </c>
      <c r="D2859" t="s">
        <v>4819</v>
      </c>
      <c r="E2859" t="s">
        <v>4866</v>
      </c>
      <c r="F2859">
        <v>13</v>
      </c>
      <c r="G2859" t="s">
        <v>4869</v>
      </c>
      <c r="H2859" t="s">
        <v>4884</v>
      </c>
      <c r="I2859" t="s">
        <v>4900</v>
      </c>
      <c r="J2859" t="s">
        <v>4919</v>
      </c>
      <c r="K2859" t="s">
        <v>4927</v>
      </c>
      <c r="L2859" t="s">
        <v>4937</v>
      </c>
      <c r="M2859" t="s">
        <v>4942</v>
      </c>
      <c r="N2859" s="11">
        <v>14179.54</v>
      </c>
      <c r="O2859" t="s">
        <v>15</v>
      </c>
      <c r="P2859" t="s">
        <v>4952</v>
      </c>
      <c r="S2859" t="str">
        <f t="shared" si="133"/>
        <v>Child</v>
      </c>
      <c r="T2859" t="str">
        <f t="shared" si="134"/>
        <v>High</v>
      </c>
      <c r="U2859" t="str">
        <f t="shared" si="135"/>
        <v>Short Days</v>
      </c>
    </row>
    <row r="2860" spans="1:21">
      <c r="A2860" t="s">
        <v>2876</v>
      </c>
      <c r="B2860" s="5">
        <v>45312</v>
      </c>
      <c r="C2860" t="s">
        <v>4200</v>
      </c>
      <c r="D2860" t="s">
        <v>4708</v>
      </c>
      <c r="E2860" t="s">
        <v>4866</v>
      </c>
      <c r="F2860">
        <v>24</v>
      </c>
      <c r="G2860" t="s">
        <v>4874</v>
      </c>
      <c r="H2860" t="s">
        <v>4886</v>
      </c>
      <c r="I2860" t="s">
        <v>4896</v>
      </c>
      <c r="J2860" t="s">
        <v>4906</v>
      </c>
      <c r="K2860" t="s">
        <v>4932</v>
      </c>
      <c r="L2860" t="s">
        <v>4941</v>
      </c>
      <c r="M2860" t="s">
        <v>4942</v>
      </c>
      <c r="N2860" s="11">
        <v>8900.2000000000007</v>
      </c>
      <c r="O2860" t="s">
        <v>4947</v>
      </c>
      <c r="P2860" t="s">
        <v>4951</v>
      </c>
      <c r="R2860">
        <v>7</v>
      </c>
      <c r="S2860" t="str">
        <f t="shared" si="133"/>
        <v>Adult</v>
      </c>
      <c r="T2860" t="str">
        <f t="shared" si="134"/>
        <v>Medium</v>
      </c>
      <c r="U2860" t="str">
        <f t="shared" si="135"/>
        <v>Short Days</v>
      </c>
    </row>
    <row r="2861" spans="1:21">
      <c r="A2861" t="s">
        <v>2877</v>
      </c>
      <c r="B2861" s="5">
        <v>45905</v>
      </c>
      <c r="C2861" t="s">
        <v>4547</v>
      </c>
      <c r="D2861" t="s">
        <v>4785</v>
      </c>
      <c r="E2861" t="s">
        <v>4866</v>
      </c>
      <c r="F2861">
        <v>27</v>
      </c>
      <c r="G2861" t="s">
        <v>4876</v>
      </c>
      <c r="H2861" t="s">
        <v>4888</v>
      </c>
      <c r="I2861" t="s">
        <v>4894</v>
      </c>
      <c r="J2861" t="s">
        <v>4904</v>
      </c>
      <c r="K2861" t="s">
        <v>4926</v>
      </c>
      <c r="L2861" t="s">
        <v>4941</v>
      </c>
      <c r="M2861" t="s">
        <v>4942</v>
      </c>
      <c r="N2861" s="11">
        <v>3515.92</v>
      </c>
      <c r="O2861" t="s">
        <v>4948</v>
      </c>
      <c r="P2861" t="s">
        <v>4951</v>
      </c>
      <c r="S2861" t="str">
        <f t="shared" si="133"/>
        <v>Adult</v>
      </c>
      <c r="T2861" t="str">
        <f t="shared" si="134"/>
        <v>Low</v>
      </c>
      <c r="U2861" t="str">
        <f t="shared" si="135"/>
        <v>Short Days</v>
      </c>
    </row>
    <row r="2862" spans="1:21">
      <c r="A2862" t="s">
        <v>2878</v>
      </c>
      <c r="B2862" s="5">
        <v>45897</v>
      </c>
      <c r="C2862" t="s">
        <v>4548</v>
      </c>
      <c r="D2862" t="s">
        <v>4762</v>
      </c>
      <c r="E2862" t="s">
        <v>4866</v>
      </c>
      <c r="F2862">
        <v>37</v>
      </c>
      <c r="G2862" t="s">
        <v>4874</v>
      </c>
      <c r="H2862" t="s">
        <v>4886</v>
      </c>
      <c r="I2862" t="s">
        <v>4897</v>
      </c>
      <c r="J2862" t="s">
        <v>4922</v>
      </c>
      <c r="K2862" t="s">
        <v>4927</v>
      </c>
      <c r="L2862" t="s">
        <v>4937</v>
      </c>
      <c r="M2862" t="s">
        <v>4944</v>
      </c>
      <c r="N2862" s="11">
        <v>6369.03</v>
      </c>
      <c r="O2862" t="s">
        <v>4946</v>
      </c>
      <c r="P2862" t="s">
        <v>4951</v>
      </c>
      <c r="R2862">
        <v>90</v>
      </c>
      <c r="S2862" t="str">
        <f t="shared" si="133"/>
        <v>Adult</v>
      </c>
      <c r="T2862" t="str">
        <f t="shared" si="134"/>
        <v>Medium</v>
      </c>
      <c r="U2862" t="str">
        <f t="shared" si="135"/>
        <v>Short Days</v>
      </c>
    </row>
    <row r="2863" spans="1:21">
      <c r="A2863" t="s">
        <v>2879</v>
      </c>
      <c r="B2863" s="5">
        <v>45639</v>
      </c>
      <c r="C2863" t="s">
        <v>4549</v>
      </c>
      <c r="D2863" t="s">
        <v>4787</v>
      </c>
      <c r="E2863" t="s">
        <v>4867</v>
      </c>
      <c r="F2863">
        <v>52</v>
      </c>
      <c r="G2863" t="s">
        <v>4879</v>
      </c>
      <c r="H2863" t="s">
        <v>4888</v>
      </c>
      <c r="I2863" t="s">
        <v>4901</v>
      </c>
      <c r="J2863" t="s">
        <v>4914</v>
      </c>
      <c r="K2863" t="s">
        <v>4930</v>
      </c>
      <c r="L2863" t="s">
        <v>4939</v>
      </c>
      <c r="M2863" t="s">
        <v>4943</v>
      </c>
      <c r="N2863" s="11">
        <v>6119.39</v>
      </c>
      <c r="O2863" t="s">
        <v>4948</v>
      </c>
      <c r="P2863" t="s">
        <v>4951</v>
      </c>
      <c r="R2863">
        <v>90</v>
      </c>
      <c r="S2863" t="str">
        <f t="shared" si="133"/>
        <v>Middle-Aged</v>
      </c>
      <c r="T2863" t="str">
        <f t="shared" si="134"/>
        <v>Medium</v>
      </c>
      <c r="U2863" t="str">
        <f t="shared" si="135"/>
        <v>Short Days</v>
      </c>
    </row>
    <row r="2864" spans="1:21">
      <c r="A2864" t="s">
        <v>2880</v>
      </c>
      <c r="B2864" s="5">
        <v>45416</v>
      </c>
      <c r="C2864" t="s">
        <v>4161</v>
      </c>
      <c r="D2864" t="s">
        <v>4748</v>
      </c>
      <c r="E2864" t="s">
        <v>4867</v>
      </c>
      <c r="F2864">
        <v>42</v>
      </c>
      <c r="G2864" t="s">
        <v>4870</v>
      </c>
      <c r="H2864" t="s">
        <v>4885</v>
      </c>
      <c r="I2864" t="s">
        <v>4896</v>
      </c>
      <c r="J2864" t="s">
        <v>4908</v>
      </c>
      <c r="K2864" t="s">
        <v>4926</v>
      </c>
      <c r="L2864" t="s">
        <v>4940</v>
      </c>
      <c r="M2864" t="s">
        <v>4942</v>
      </c>
      <c r="N2864" s="11">
        <v>3702.75</v>
      </c>
      <c r="O2864" t="s">
        <v>4950</v>
      </c>
      <c r="P2864" t="s">
        <v>4951</v>
      </c>
      <c r="S2864" t="str">
        <f t="shared" si="133"/>
        <v>Middle-Aged</v>
      </c>
      <c r="T2864" t="str">
        <f t="shared" si="134"/>
        <v>Low</v>
      </c>
      <c r="U2864" t="str">
        <f t="shared" si="135"/>
        <v>Short Days</v>
      </c>
    </row>
    <row r="2865" spans="1:21">
      <c r="A2865" t="s">
        <v>2881</v>
      </c>
      <c r="B2865" s="5">
        <v>45444</v>
      </c>
      <c r="C2865" t="s">
        <v>4550</v>
      </c>
      <c r="D2865" t="s">
        <v>4812</v>
      </c>
      <c r="E2865" t="s">
        <v>4867</v>
      </c>
      <c r="F2865">
        <v>50</v>
      </c>
      <c r="G2865" t="s">
        <v>4880</v>
      </c>
      <c r="H2865" t="s">
        <v>4890</v>
      </c>
      <c r="I2865" t="s">
        <v>4893</v>
      </c>
      <c r="J2865" t="s">
        <v>4903</v>
      </c>
      <c r="K2865" t="s">
        <v>4929</v>
      </c>
      <c r="L2865" t="s">
        <v>4939</v>
      </c>
      <c r="M2865" t="s">
        <v>4942</v>
      </c>
      <c r="N2865" s="11">
        <v>3379.59</v>
      </c>
      <c r="O2865" t="s">
        <v>4948</v>
      </c>
      <c r="P2865" t="s">
        <v>4951</v>
      </c>
      <c r="R2865">
        <v>30</v>
      </c>
      <c r="S2865" t="str">
        <f t="shared" si="133"/>
        <v>Middle-Aged</v>
      </c>
      <c r="T2865" t="str">
        <f t="shared" si="134"/>
        <v>Low</v>
      </c>
      <c r="U2865" t="str">
        <f t="shared" si="135"/>
        <v>Short Days</v>
      </c>
    </row>
    <row r="2866" spans="1:21">
      <c r="A2866" t="s">
        <v>2882</v>
      </c>
      <c r="B2866" s="5">
        <v>45454</v>
      </c>
      <c r="C2866" t="s">
        <v>4551</v>
      </c>
      <c r="D2866" t="s">
        <v>4853</v>
      </c>
      <c r="E2866" t="s">
        <v>4867</v>
      </c>
      <c r="F2866">
        <v>23</v>
      </c>
      <c r="G2866" t="s">
        <v>4874</v>
      </c>
      <c r="H2866" t="s">
        <v>4886</v>
      </c>
      <c r="I2866" t="s">
        <v>4894</v>
      </c>
      <c r="J2866" t="s">
        <v>4910</v>
      </c>
      <c r="K2866" t="s">
        <v>4925</v>
      </c>
      <c r="L2866" t="s">
        <v>4938</v>
      </c>
      <c r="M2866" t="s">
        <v>4942</v>
      </c>
      <c r="N2866" s="11">
        <v>12914.98</v>
      </c>
      <c r="O2866" t="s">
        <v>4948</v>
      </c>
      <c r="P2866" t="s">
        <v>4951</v>
      </c>
      <c r="R2866">
        <v>30</v>
      </c>
      <c r="S2866" t="str">
        <f t="shared" si="133"/>
        <v>Adult</v>
      </c>
      <c r="T2866" t="str">
        <f t="shared" si="134"/>
        <v>High</v>
      </c>
      <c r="U2866" t="str">
        <f t="shared" si="135"/>
        <v>Short Days</v>
      </c>
    </row>
    <row r="2867" spans="1:21">
      <c r="A2867" t="s">
        <v>2883</v>
      </c>
      <c r="B2867" s="5">
        <v>45457</v>
      </c>
      <c r="C2867" t="s">
        <v>3370</v>
      </c>
      <c r="D2867" t="s">
        <v>4612</v>
      </c>
      <c r="E2867" t="s">
        <v>4866</v>
      </c>
      <c r="F2867">
        <v>16</v>
      </c>
      <c r="G2867" t="s">
        <v>4877</v>
      </c>
      <c r="H2867" t="s">
        <v>4888</v>
      </c>
      <c r="I2867" t="s">
        <v>4895</v>
      </c>
      <c r="J2867" t="s">
        <v>4905</v>
      </c>
      <c r="K2867" t="s">
        <v>4925</v>
      </c>
      <c r="L2867" t="s">
        <v>4936</v>
      </c>
      <c r="M2867" t="s">
        <v>4942</v>
      </c>
      <c r="N2867" s="11">
        <v>5136.09</v>
      </c>
      <c r="O2867" t="s">
        <v>4949</v>
      </c>
      <c r="P2867" t="s">
        <v>4951</v>
      </c>
      <c r="S2867" t="str">
        <f t="shared" si="133"/>
        <v>Child</v>
      </c>
      <c r="T2867" t="str">
        <f t="shared" si="134"/>
        <v>Medium</v>
      </c>
      <c r="U2867" t="str">
        <f t="shared" si="135"/>
        <v>Short Days</v>
      </c>
    </row>
    <row r="2868" spans="1:21">
      <c r="A2868" t="s">
        <v>2884</v>
      </c>
      <c r="B2868" s="5">
        <v>45950</v>
      </c>
      <c r="C2868" t="s">
        <v>4101</v>
      </c>
      <c r="D2868" t="s">
        <v>4775</v>
      </c>
      <c r="E2868" t="s">
        <v>4868</v>
      </c>
      <c r="F2868">
        <v>47</v>
      </c>
      <c r="G2868" t="s">
        <v>4877</v>
      </c>
      <c r="H2868" t="s">
        <v>4888</v>
      </c>
      <c r="I2868" t="s">
        <v>4897</v>
      </c>
      <c r="J2868" t="s">
        <v>4907</v>
      </c>
      <c r="K2868" t="s">
        <v>4928</v>
      </c>
      <c r="L2868" t="s">
        <v>4934</v>
      </c>
      <c r="M2868" t="s">
        <v>4942</v>
      </c>
      <c r="N2868" s="11">
        <v>8770.5499999999993</v>
      </c>
      <c r="O2868" t="s">
        <v>4949</v>
      </c>
      <c r="P2868" t="s">
        <v>4951</v>
      </c>
      <c r="S2868" t="str">
        <f t="shared" si="133"/>
        <v>Middle-Aged</v>
      </c>
      <c r="T2868" t="str">
        <f t="shared" si="134"/>
        <v>Medium</v>
      </c>
      <c r="U2868" t="str">
        <f t="shared" si="135"/>
        <v>Short Days</v>
      </c>
    </row>
    <row r="2869" spans="1:21">
      <c r="A2869" t="s">
        <v>2885</v>
      </c>
      <c r="B2869" s="5">
        <v>45353</v>
      </c>
      <c r="C2869" t="s">
        <v>4552</v>
      </c>
      <c r="D2869" t="s">
        <v>4824</v>
      </c>
      <c r="E2869" t="s">
        <v>4867</v>
      </c>
      <c r="F2869">
        <v>67</v>
      </c>
      <c r="G2869" t="s">
        <v>4874</v>
      </c>
      <c r="H2869" t="s">
        <v>4886</v>
      </c>
      <c r="I2869" t="s">
        <v>4899</v>
      </c>
      <c r="J2869" t="s">
        <v>4912</v>
      </c>
      <c r="K2869" t="s">
        <v>4933</v>
      </c>
      <c r="L2869" t="s">
        <v>4934</v>
      </c>
      <c r="M2869" t="s">
        <v>4944</v>
      </c>
      <c r="N2869" s="11">
        <v>6184.59</v>
      </c>
      <c r="O2869" t="s">
        <v>15</v>
      </c>
      <c r="P2869" t="s">
        <v>4952</v>
      </c>
      <c r="R2869">
        <v>30</v>
      </c>
      <c r="S2869" t="str">
        <f t="shared" si="133"/>
        <v>Senior</v>
      </c>
      <c r="T2869" t="str">
        <f t="shared" si="134"/>
        <v>Medium</v>
      </c>
      <c r="U2869" t="str">
        <f t="shared" si="135"/>
        <v>Short Days</v>
      </c>
    </row>
    <row r="2870" spans="1:21">
      <c r="A2870" t="s">
        <v>2886</v>
      </c>
      <c r="B2870" s="5">
        <v>45388</v>
      </c>
      <c r="C2870" t="s">
        <v>4286</v>
      </c>
      <c r="D2870" t="s">
        <v>4739</v>
      </c>
      <c r="E2870" t="s">
        <v>4867</v>
      </c>
      <c r="F2870">
        <v>59</v>
      </c>
      <c r="G2870" t="s">
        <v>4875</v>
      </c>
      <c r="H2870" t="s">
        <v>4889</v>
      </c>
      <c r="I2870" t="s">
        <v>4897</v>
      </c>
      <c r="J2870" t="s">
        <v>4922</v>
      </c>
      <c r="K2870" t="s">
        <v>4927</v>
      </c>
      <c r="L2870" t="s">
        <v>4934</v>
      </c>
      <c r="M2870" t="s">
        <v>4942</v>
      </c>
      <c r="N2870" s="11">
        <v>1689.19</v>
      </c>
      <c r="O2870" t="s">
        <v>15</v>
      </c>
      <c r="P2870" t="s">
        <v>4952</v>
      </c>
      <c r="S2870" t="str">
        <f t="shared" si="133"/>
        <v>Middle-Aged</v>
      </c>
      <c r="T2870" t="str">
        <f t="shared" si="134"/>
        <v>Low</v>
      </c>
      <c r="U2870" t="str">
        <f t="shared" si="135"/>
        <v>Short Days</v>
      </c>
    </row>
    <row r="2871" spans="1:21">
      <c r="A2871" t="s">
        <v>2887</v>
      </c>
      <c r="B2871" s="5">
        <v>45600</v>
      </c>
      <c r="C2871" t="s">
        <v>4553</v>
      </c>
      <c r="D2871" t="s">
        <v>4759</v>
      </c>
      <c r="E2871" t="s">
        <v>4867</v>
      </c>
      <c r="F2871">
        <v>62</v>
      </c>
      <c r="G2871" t="s">
        <v>4882</v>
      </c>
      <c r="H2871" t="s">
        <v>4891</v>
      </c>
      <c r="I2871" t="s">
        <v>4897</v>
      </c>
      <c r="J2871" t="s">
        <v>4907</v>
      </c>
      <c r="K2871" t="s">
        <v>4930</v>
      </c>
      <c r="L2871" t="s">
        <v>4939</v>
      </c>
      <c r="M2871" t="s">
        <v>4945</v>
      </c>
      <c r="N2871" s="11">
        <v>6016.47</v>
      </c>
      <c r="O2871" t="s">
        <v>4949</v>
      </c>
      <c r="P2871" t="s">
        <v>4951</v>
      </c>
      <c r="Q2871">
        <v>2</v>
      </c>
      <c r="R2871">
        <v>90</v>
      </c>
      <c r="S2871" t="str">
        <f t="shared" si="133"/>
        <v>Senior</v>
      </c>
      <c r="T2871" t="str">
        <f t="shared" si="134"/>
        <v>Medium</v>
      </c>
      <c r="U2871" t="str">
        <f t="shared" si="135"/>
        <v>Short Days</v>
      </c>
    </row>
    <row r="2872" spans="1:21">
      <c r="A2872" t="s">
        <v>2888</v>
      </c>
      <c r="B2872" s="5">
        <v>45792</v>
      </c>
      <c r="C2872" t="s">
        <v>3686</v>
      </c>
      <c r="D2872" t="s">
        <v>4603</v>
      </c>
      <c r="E2872" t="s">
        <v>4866</v>
      </c>
      <c r="F2872">
        <v>22</v>
      </c>
      <c r="G2872" t="s">
        <v>4882</v>
      </c>
      <c r="H2872" t="s">
        <v>4891</v>
      </c>
      <c r="I2872" t="s">
        <v>4895</v>
      </c>
      <c r="J2872" t="s">
        <v>4915</v>
      </c>
      <c r="K2872" t="s">
        <v>4931</v>
      </c>
      <c r="L2872" t="s">
        <v>4935</v>
      </c>
      <c r="M2872" t="s">
        <v>4944</v>
      </c>
      <c r="N2872" s="11">
        <v>10823.19</v>
      </c>
      <c r="O2872" t="s">
        <v>15</v>
      </c>
      <c r="P2872" t="s">
        <v>4952</v>
      </c>
      <c r="R2872">
        <v>90</v>
      </c>
      <c r="S2872" t="str">
        <f t="shared" si="133"/>
        <v>Adult</v>
      </c>
      <c r="T2872" t="str">
        <f t="shared" si="134"/>
        <v>High</v>
      </c>
      <c r="U2872" t="str">
        <f t="shared" si="135"/>
        <v>Short Days</v>
      </c>
    </row>
    <row r="2873" spans="1:21">
      <c r="A2873" t="s">
        <v>2889</v>
      </c>
      <c r="B2873" s="5">
        <v>45912</v>
      </c>
      <c r="C2873" t="s">
        <v>4434</v>
      </c>
      <c r="D2873" t="s">
        <v>4636</v>
      </c>
      <c r="E2873" t="s">
        <v>4867</v>
      </c>
      <c r="F2873">
        <v>28</v>
      </c>
      <c r="G2873" t="s">
        <v>4873</v>
      </c>
      <c r="H2873" t="s">
        <v>4888</v>
      </c>
      <c r="I2873" t="s">
        <v>4900</v>
      </c>
      <c r="J2873" t="s">
        <v>4919</v>
      </c>
      <c r="K2873" t="s">
        <v>4926</v>
      </c>
      <c r="L2873" t="s">
        <v>4938</v>
      </c>
      <c r="M2873" t="s">
        <v>4942</v>
      </c>
      <c r="N2873" s="11">
        <v>8259.92</v>
      </c>
      <c r="O2873" t="s">
        <v>4948</v>
      </c>
      <c r="P2873" t="s">
        <v>4951</v>
      </c>
      <c r="R2873">
        <v>90</v>
      </c>
      <c r="S2873" t="str">
        <f t="shared" si="133"/>
        <v>Adult</v>
      </c>
      <c r="T2873" t="str">
        <f t="shared" si="134"/>
        <v>Medium</v>
      </c>
      <c r="U2873" t="str">
        <f t="shared" si="135"/>
        <v>Short Days</v>
      </c>
    </row>
    <row r="2874" spans="1:21">
      <c r="A2874" t="s">
        <v>2890</v>
      </c>
      <c r="B2874" s="5">
        <v>45685</v>
      </c>
      <c r="C2874" t="s">
        <v>3089</v>
      </c>
      <c r="D2874" t="s">
        <v>4626</v>
      </c>
      <c r="E2874" t="s">
        <v>4867</v>
      </c>
      <c r="F2874">
        <v>43</v>
      </c>
      <c r="G2874" t="s">
        <v>4882</v>
      </c>
      <c r="H2874" t="s">
        <v>4891</v>
      </c>
      <c r="I2874" t="s">
        <v>4898</v>
      </c>
      <c r="J2874" t="s">
        <v>4909</v>
      </c>
      <c r="K2874" t="s">
        <v>4928</v>
      </c>
      <c r="L2874" t="s">
        <v>4936</v>
      </c>
      <c r="M2874" t="s">
        <v>4942</v>
      </c>
      <c r="N2874" s="11">
        <v>5995.91</v>
      </c>
      <c r="O2874" t="s">
        <v>4946</v>
      </c>
      <c r="P2874" t="s">
        <v>4951</v>
      </c>
      <c r="S2874" t="str">
        <f t="shared" si="133"/>
        <v>Middle-Aged</v>
      </c>
      <c r="T2874" t="str">
        <f t="shared" si="134"/>
        <v>Medium</v>
      </c>
      <c r="U2874" t="str">
        <f t="shared" si="135"/>
        <v>Short Days</v>
      </c>
    </row>
    <row r="2875" spans="1:21">
      <c r="A2875" t="s">
        <v>2891</v>
      </c>
      <c r="B2875" s="5">
        <v>45785</v>
      </c>
      <c r="C2875" t="s">
        <v>4348</v>
      </c>
      <c r="D2875" t="s">
        <v>4603</v>
      </c>
      <c r="E2875" t="s">
        <v>4866</v>
      </c>
      <c r="F2875">
        <v>27</v>
      </c>
      <c r="G2875" t="s">
        <v>4876</v>
      </c>
      <c r="H2875" t="s">
        <v>4888</v>
      </c>
      <c r="I2875" t="s">
        <v>4894</v>
      </c>
      <c r="J2875" t="s">
        <v>4904</v>
      </c>
      <c r="K2875" t="s">
        <v>4929</v>
      </c>
      <c r="L2875" t="s">
        <v>4936</v>
      </c>
      <c r="M2875" t="s">
        <v>4942</v>
      </c>
      <c r="N2875" s="11">
        <v>1368.39</v>
      </c>
      <c r="O2875" t="s">
        <v>4946</v>
      </c>
      <c r="P2875" t="s">
        <v>4951</v>
      </c>
      <c r="S2875" t="str">
        <f t="shared" si="133"/>
        <v>Adult</v>
      </c>
      <c r="T2875" t="str">
        <f t="shared" si="134"/>
        <v>Low</v>
      </c>
      <c r="U2875" t="str">
        <f t="shared" si="135"/>
        <v>Short Days</v>
      </c>
    </row>
    <row r="2876" spans="1:21">
      <c r="A2876" t="s">
        <v>2892</v>
      </c>
      <c r="B2876" s="5">
        <v>45345</v>
      </c>
      <c r="C2876" t="s">
        <v>4554</v>
      </c>
      <c r="D2876" t="s">
        <v>4591</v>
      </c>
      <c r="E2876" t="s">
        <v>4866</v>
      </c>
      <c r="F2876">
        <v>20</v>
      </c>
      <c r="G2876" t="s">
        <v>4883</v>
      </c>
      <c r="H2876" t="s">
        <v>4892</v>
      </c>
      <c r="I2876" t="s">
        <v>4898</v>
      </c>
      <c r="J2876" t="s">
        <v>4918</v>
      </c>
      <c r="K2876" t="s">
        <v>4925</v>
      </c>
      <c r="L2876" t="s">
        <v>4936</v>
      </c>
      <c r="M2876" t="s">
        <v>4942</v>
      </c>
      <c r="N2876" s="11">
        <v>1336.42</v>
      </c>
      <c r="O2876" t="s">
        <v>4946</v>
      </c>
      <c r="P2876" t="s">
        <v>4951</v>
      </c>
      <c r="R2876">
        <v>14</v>
      </c>
      <c r="S2876" t="str">
        <f t="shared" si="133"/>
        <v>Adult</v>
      </c>
      <c r="T2876" t="str">
        <f t="shared" si="134"/>
        <v>Low</v>
      </c>
      <c r="U2876" t="str">
        <f t="shared" si="135"/>
        <v>Short Days</v>
      </c>
    </row>
    <row r="2877" spans="1:21">
      <c r="A2877" t="s">
        <v>2893</v>
      </c>
      <c r="B2877" s="5">
        <v>45365</v>
      </c>
      <c r="C2877" t="s">
        <v>3250</v>
      </c>
      <c r="D2877" t="s">
        <v>4821</v>
      </c>
      <c r="E2877" t="s">
        <v>4867</v>
      </c>
      <c r="F2877">
        <v>61</v>
      </c>
      <c r="G2877" t="s">
        <v>4874</v>
      </c>
      <c r="H2877" t="s">
        <v>4886</v>
      </c>
      <c r="I2877" t="s">
        <v>4895</v>
      </c>
      <c r="J2877" t="s">
        <v>4905</v>
      </c>
      <c r="K2877" t="s">
        <v>4924</v>
      </c>
      <c r="L2877" t="s">
        <v>4940</v>
      </c>
      <c r="M2877" t="s">
        <v>4942</v>
      </c>
      <c r="N2877" s="11">
        <v>9815.93</v>
      </c>
      <c r="O2877" t="s">
        <v>4950</v>
      </c>
      <c r="P2877" t="s">
        <v>4951</v>
      </c>
      <c r="R2877">
        <v>90</v>
      </c>
      <c r="S2877" t="str">
        <f t="shared" si="133"/>
        <v>Senior</v>
      </c>
      <c r="T2877" t="str">
        <f t="shared" si="134"/>
        <v>Medium</v>
      </c>
      <c r="U2877" t="str">
        <f t="shared" si="135"/>
        <v>Short Days</v>
      </c>
    </row>
    <row r="2878" spans="1:21">
      <c r="A2878" t="s">
        <v>2894</v>
      </c>
      <c r="B2878" s="5">
        <v>45520</v>
      </c>
      <c r="C2878" t="s">
        <v>3484</v>
      </c>
      <c r="D2878" t="s">
        <v>4749</v>
      </c>
      <c r="E2878" t="s">
        <v>4866</v>
      </c>
      <c r="F2878">
        <v>19</v>
      </c>
      <c r="G2878" t="s">
        <v>4875</v>
      </c>
      <c r="H2878" t="s">
        <v>4889</v>
      </c>
      <c r="I2878" t="s">
        <v>4894</v>
      </c>
      <c r="J2878" t="s">
        <v>4904</v>
      </c>
      <c r="K2878" t="s">
        <v>4933</v>
      </c>
      <c r="L2878" t="s">
        <v>4934</v>
      </c>
      <c r="M2878" t="s">
        <v>4942</v>
      </c>
      <c r="N2878" s="11">
        <v>11454.91</v>
      </c>
      <c r="O2878" t="s">
        <v>4946</v>
      </c>
      <c r="P2878" t="s">
        <v>4951</v>
      </c>
      <c r="S2878" t="str">
        <f t="shared" si="133"/>
        <v>Adult</v>
      </c>
      <c r="T2878" t="str">
        <f t="shared" si="134"/>
        <v>High</v>
      </c>
      <c r="U2878" t="str">
        <f t="shared" si="135"/>
        <v>Short Days</v>
      </c>
    </row>
    <row r="2879" spans="1:21">
      <c r="A2879" t="s">
        <v>2895</v>
      </c>
      <c r="B2879" s="5">
        <v>45782</v>
      </c>
      <c r="C2879" t="s">
        <v>3630</v>
      </c>
      <c r="D2879" t="s">
        <v>4856</v>
      </c>
      <c r="E2879" t="s">
        <v>4867</v>
      </c>
      <c r="F2879">
        <v>44</v>
      </c>
      <c r="G2879" t="s">
        <v>4870</v>
      </c>
      <c r="H2879" t="s">
        <v>4885</v>
      </c>
      <c r="I2879" t="s">
        <v>4900</v>
      </c>
      <c r="J2879" t="s">
        <v>4919</v>
      </c>
      <c r="K2879" t="s">
        <v>4927</v>
      </c>
      <c r="L2879" t="s">
        <v>4938</v>
      </c>
      <c r="M2879" t="s">
        <v>4942</v>
      </c>
      <c r="N2879" s="11">
        <v>8726.76</v>
      </c>
      <c r="O2879" t="s">
        <v>4946</v>
      </c>
      <c r="P2879" t="s">
        <v>4951</v>
      </c>
      <c r="R2879">
        <v>30</v>
      </c>
      <c r="S2879" t="str">
        <f t="shared" si="133"/>
        <v>Middle-Aged</v>
      </c>
      <c r="T2879" t="str">
        <f t="shared" si="134"/>
        <v>Medium</v>
      </c>
      <c r="U2879" t="str">
        <f t="shared" si="135"/>
        <v>Short Days</v>
      </c>
    </row>
    <row r="2880" spans="1:21">
      <c r="A2880" t="s">
        <v>2896</v>
      </c>
      <c r="B2880" s="5">
        <v>45878</v>
      </c>
      <c r="C2880" t="s">
        <v>3605</v>
      </c>
      <c r="D2880" t="s">
        <v>4836</v>
      </c>
      <c r="E2880" t="s">
        <v>4867</v>
      </c>
      <c r="F2880">
        <v>40</v>
      </c>
      <c r="G2880" t="s">
        <v>4881</v>
      </c>
      <c r="H2880" t="s">
        <v>4881</v>
      </c>
      <c r="I2880" t="s">
        <v>4901</v>
      </c>
      <c r="J2880" t="s">
        <v>4921</v>
      </c>
      <c r="K2880" t="s">
        <v>4926</v>
      </c>
      <c r="L2880" t="s">
        <v>4936</v>
      </c>
      <c r="M2880" t="s">
        <v>4942</v>
      </c>
      <c r="N2880" s="11">
        <v>3146.51</v>
      </c>
      <c r="O2880" t="s">
        <v>15</v>
      </c>
      <c r="P2880" t="s">
        <v>4952</v>
      </c>
      <c r="S2880" t="str">
        <f t="shared" si="133"/>
        <v>Adult</v>
      </c>
      <c r="T2880" t="str">
        <f t="shared" si="134"/>
        <v>Low</v>
      </c>
      <c r="U2880" t="str">
        <f t="shared" si="135"/>
        <v>Short Days</v>
      </c>
    </row>
    <row r="2881" spans="1:21">
      <c r="A2881" t="s">
        <v>2897</v>
      </c>
      <c r="B2881" s="5">
        <v>45612</v>
      </c>
      <c r="C2881" t="s">
        <v>4542</v>
      </c>
      <c r="D2881" t="s">
        <v>4862</v>
      </c>
      <c r="E2881" t="s">
        <v>4867</v>
      </c>
      <c r="F2881">
        <v>50</v>
      </c>
      <c r="G2881" t="s">
        <v>4873</v>
      </c>
      <c r="H2881" t="s">
        <v>4888</v>
      </c>
      <c r="I2881" t="s">
        <v>4893</v>
      </c>
      <c r="J2881" t="s">
        <v>4903</v>
      </c>
      <c r="K2881" t="s">
        <v>4932</v>
      </c>
      <c r="L2881" t="s">
        <v>4934</v>
      </c>
      <c r="M2881" t="s">
        <v>4942</v>
      </c>
      <c r="N2881" s="11">
        <v>1264.03</v>
      </c>
      <c r="O2881" t="s">
        <v>4946</v>
      </c>
      <c r="P2881" t="s">
        <v>4951</v>
      </c>
      <c r="S2881" t="str">
        <f t="shared" si="133"/>
        <v>Middle-Aged</v>
      </c>
      <c r="T2881" t="str">
        <f t="shared" si="134"/>
        <v>Low</v>
      </c>
      <c r="U2881" t="str">
        <f t="shared" si="135"/>
        <v>Short Days</v>
      </c>
    </row>
    <row r="2882" spans="1:21">
      <c r="A2882" t="s">
        <v>2898</v>
      </c>
      <c r="B2882" s="5">
        <v>45637</v>
      </c>
      <c r="C2882" t="s">
        <v>4555</v>
      </c>
      <c r="D2882" t="s">
        <v>4823</v>
      </c>
      <c r="E2882" t="s">
        <v>4866</v>
      </c>
      <c r="F2882">
        <v>57</v>
      </c>
      <c r="G2882" t="s">
        <v>4871</v>
      </c>
      <c r="H2882" t="s">
        <v>4886</v>
      </c>
      <c r="I2882" t="s">
        <v>4897</v>
      </c>
      <c r="J2882" t="s">
        <v>4922</v>
      </c>
      <c r="K2882" t="s">
        <v>4929</v>
      </c>
      <c r="L2882" t="s">
        <v>4934</v>
      </c>
      <c r="M2882" t="s">
        <v>4942</v>
      </c>
      <c r="N2882" s="11">
        <v>2148.56</v>
      </c>
      <c r="O2882" t="s">
        <v>4947</v>
      </c>
      <c r="P2882" t="s">
        <v>4951</v>
      </c>
      <c r="R2882">
        <v>30</v>
      </c>
      <c r="S2882" t="str">
        <f t="shared" si="133"/>
        <v>Middle-Aged</v>
      </c>
      <c r="T2882" t="str">
        <f t="shared" si="134"/>
        <v>Low</v>
      </c>
      <c r="U2882" t="str">
        <f t="shared" si="135"/>
        <v>Short Days</v>
      </c>
    </row>
    <row r="2883" spans="1:21">
      <c r="A2883" t="s">
        <v>2899</v>
      </c>
      <c r="B2883" s="5">
        <v>45476</v>
      </c>
      <c r="C2883" t="s">
        <v>4100</v>
      </c>
      <c r="D2883" t="s">
        <v>4592</v>
      </c>
      <c r="E2883" t="s">
        <v>4866</v>
      </c>
      <c r="F2883">
        <v>35</v>
      </c>
      <c r="G2883" t="s">
        <v>4869</v>
      </c>
      <c r="H2883" t="s">
        <v>4884</v>
      </c>
      <c r="I2883" t="s">
        <v>4893</v>
      </c>
      <c r="J2883" t="s">
        <v>4903</v>
      </c>
      <c r="K2883" t="s">
        <v>4925</v>
      </c>
      <c r="L2883" t="s">
        <v>4941</v>
      </c>
      <c r="M2883" t="s">
        <v>4942</v>
      </c>
      <c r="N2883" s="11">
        <v>15461.24</v>
      </c>
      <c r="O2883" t="s">
        <v>4946</v>
      </c>
      <c r="P2883" t="s">
        <v>4951</v>
      </c>
      <c r="R2883">
        <v>90</v>
      </c>
      <c r="S2883" t="str">
        <f t="shared" ref="S2883:S2946" si="136">IF(F2883&lt;18,"Child",IF(F2883&lt;=40,"Adult",IF(F2883&lt;=60,"Middle-Aged",IF(F2883,"Senior"))))</f>
        <v>Adult</v>
      </c>
      <c r="T2883" t="str">
        <f t="shared" ref="T2883:T2946" si="137">IF(N2883&lt;=5000,"Low",IF(N2883&lt;=10000,"Medium","High"))</f>
        <v>High</v>
      </c>
      <c r="U2883" t="str">
        <f t="shared" ref="U2883:U2946" si="138">IF(Q2883&lt;=5,"Short Days","Long Days")</f>
        <v>Short Days</v>
      </c>
    </row>
    <row r="2884" spans="1:21">
      <c r="A2884" t="s">
        <v>2900</v>
      </c>
      <c r="B2884" s="5">
        <v>45637</v>
      </c>
      <c r="C2884" t="s">
        <v>4556</v>
      </c>
      <c r="D2884" t="s">
        <v>4793</v>
      </c>
      <c r="E2884" t="s">
        <v>4867</v>
      </c>
      <c r="F2884">
        <v>77</v>
      </c>
      <c r="G2884" t="s">
        <v>4869</v>
      </c>
      <c r="H2884" t="s">
        <v>4884</v>
      </c>
      <c r="I2884" t="s">
        <v>4896</v>
      </c>
      <c r="J2884" t="s">
        <v>4908</v>
      </c>
      <c r="K2884" t="s">
        <v>4929</v>
      </c>
      <c r="L2884" t="s">
        <v>4941</v>
      </c>
      <c r="M2884" t="s">
        <v>4942</v>
      </c>
      <c r="N2884" s="11">
        <v>779.7</v>
      </c>
      <c r="O2884" t="s">
        <v>4946</v>
      </c>
      <c r="P2884" t="s">
        <v>4951</v>
      </c>
      <c r="R2884">
        <v>7</v>
      </c>
      <c r="S2884" t="str">
        <f t="shared" si="136"/>
        <v>Senior</v>
      </c>
      <c r="T2884" t="str">
        <f t="shared" si="137"/>
        <v>Low</v>
      </c>
      <c r="U2884" t="str">
        <f t="shared" si="138"/>
        <v>Short Days</v>
      </c>
    </row>
    <row r="2885" spans="1:21">
      <c r="A2885" t="s">
        <v>2901</v>
      </c>
      <c r="B2885" s="5">
        <v>45372</v>
      </c>
      <c r="C2885" t="s">
        <v>3023</v>
      </c>
      <c r="D2885" t="s">
        <v>4754</v>
      </c>
      <c r="E2885" t="s">
        <v>4867</v>
      </c>
      <c r="F2885">
        <v>64</v>
      </c>
      <c r="G2885" t="s">
        <v>4872</v>
      </c>
      <c r="H2885" t="s">
        <v>4887</v>
      </c>
      <c r="I2885" t="s">
        <v>4893</v>
      </c>
      <c r="J2885" t="s">
        <v>4903</v>
      </c>
      <c r="K2885" t="s">
        <v>4925</v>
      </c>
      <c r="L2885" t="s">
        <v>4940</v>
      </c>
      <c r="M2885" t="s">
        <v>4942</v>
      </c>
      <c r="N2885" s="11">
        <v>6292.23</v>
      </c>
      <c r="O2885" t="s">
        <v>4947</v>
      </c>
      <c r="P2885" t="s">
        <v>4951</v>
      </c>
      <c r="R2885">
        <v>14</v>
      </c>
      <c r="S2885" t="str">
        <f t="shared" si="136"/>
        <v>Senior</v>
      </c>
      <c r="T2885" t="str">
        <f t="shared" si="137"/>
        <v>Medium</v>
      </c>
      <c r="U2885" t="str">
        <f t="shared" si="138"/>
        <v>Short Days</v>
      </c>
    </row>
    <row r="2886" spans="1:21">
      <c r="A2886" t="s">
        <v>2902</v>
      </c>
      <c r="B2886" s="5">
        <v>45700</v>
      </c>
      <c r="C2886" t="s">
        <v>4102</v>
      </c>
      <c r="D2886" t="s">
        <v>4820</v>
      </c>
      <c r="E2886" t="s">
        <v>4866</v>
      </c>
      <c r="F2886">
        <f>AVERAGE(F2879,F2885)</f>
        <v>54</v>
      </c>
      <c r="G2886" t="s">
        <v>4881</v>
      </c>
      <c r="H2886" t="s">
        <v>4884</v>
      </c>
      <c r="I2886" t="s">
        <v>4902</v>
      </c>
      <c r="J2886" t="s">
        <v>4916</v>
      </c>
      <c r="K2886" t="s">
        <v>4953</v>
      </c>
      <c r="L2886" t="s">
        <v>4941</v>
      </c>
      <c r="M2886" t="s">
        <v>4942</v>
      </c>
      <c r="N2886" s="11">
        <v>7549.68</v>
      </c>
      <c r="O2886" t="s">
        <v>4949</v>
      </c>
      <c r="P2886" t="s">
        <v>4951</v>
      </c>
      <c r="R2886">
        <v>7</v>
      </c>
      <c r="S2886" t="str">
        <f t="shared" si="136"/>
        <v>Middle-Aged</v>
      </c>
      <c r="T2886" t="str">
        <f t="shared" si="137"/>
        <v>Medium</v>
      </c>
      <c r="U2886" t="str">
        <f t="shared" si="138"/>
        <v>Short Days</v>
      </c>
    </row>
    <row r="2887" spans="1:21">
      <c r="A2887" t="s">
        <v>2903</v>
      </c>
      <c r="B2887" s="5">
        <v>45385</v>
      </c>
      <c r="C2887" t="s">
        <v>3922</v>
      </c>
      <c r="D2887" t="s">
        <v>4865</v>
      </c>
      <c r="E2887" t="s">
        <v>4866</v>
      </c>
      <c r="F2887">
        <v>47</v>
      </c>
      <c r="G2887" t="s">
        <v>4877</v>
      </c>
      <c r="H2887" t="s">
        <v>4888</v>
      </c>
      <c r="I2887" t="s">
        <v>4900</v>
      </c>
      <c r="J2887" t="s">
        <v>4919</v>
      </c>
      <c r="K2887" t="s">
        <v>4927</v>
      </c>
      <c r="L2887" t="s">
        <v>4934</v>
      </c>
      <c r="M2887" t="s">
        <v>4942</v>
      </c>
      <c r="N2887" s="11">
        <v>7861.74</v>
      </c>
      <c r="O2887" t="s">
        <v>4946</v>
      </c>
      <c r="P2887" t="s">
        <v>4951</v>
      </c>
      <c r="R2887">
        <v>30</v>
      </c>
      <c r="S2887" t="str">
        <f t="shared" si="136"/>
        <v>Middle-Aged</v>
      </c>
      <c r="T2887" t="str">
        <f t="shared" si="137"/>
        <v>Medium</v>
      </c>
      <c r="U2887" t="str">
        <f t="shared" si="138"/>
        <v>Short Days</v>
      </c>
    </row>
    <row r="2888" spans="1:21">
      <c r="A2888" t="s">
        <v>2904</v>
      </c>
      <c r="B2888" s="5">
        <v>45816</v>
      </c>
      <c r="C2888" t="s">
        <v>3271</v>
      </c>
      <c r="D2888" t="s">
        <v>4625</v>
      </c>
      <c r="E2888" t="s">
        <v>4866</v>
      </c>
      <c r="F2888">
        <v>59</v>
      </c>
      <c r="G2888" t="s">
        <v>4874</v>
      </c>
      <c r="H2888" t="s">
        <v>4886</v>
      </c>
      <c r="I2888" t="s">
        <v>4902</v>
      </c>
      <c r="J2888" t="s">
        <v>4920</v>
      </c>
      <c r="K2888" t="s">
        <v>4928</v>
      </c>
      <c r="L2888" t="s">
        <v>4936</v>
      </c>
      <c r="M2888" t="s">
        <v>4942</v>
      </c>
      <c r="N2888" s="11">
        <v>424.44</v>
      </c>
      <c r="O2888" t="s">
        <v>4947</v>
      </c>
      <c r="P2888" t="s">
        <v>4951</v>
      </c>
      <c r="R2888">
        <v>30</v>
      </c>
      <c r="S2888" t="str">
        <f t="shared" si="136"/>
        <v>Middle-Aged</v>
      </c>
      <c r="T2888" t="str">
        <f t="shared" si="137"/>
        <v>Low</v>
      </c>
      <c r="U2888" t="str">
        <f t="shared" si="138"/>
        <v>Short Days</v>
      </c>
    </row>
    <row r="2889" spans="1:21">
      <c r="A2889" t="s">
        <v>2905</v>
      </c>
      <c r="B2889" s="5">
        <v>45799</v>
      </c>
      <c r="C2889" t="s">
        <v>3428</v>
      </c>
      <c r="D2889" t="s">
        <v>4758</v>
      </c>
      <c r="E2889" t="s">
        <v>4867</v>
      </c>
      <c r="F2889">
        <v>43</v>
      </c>
      <c r="G2889" t="s">
        <v>4875</v>
      </c>
      <c r="H2889" t="s">
        <v>4889</v>
      </c>
      <c r="I2889" t="s">
        <v>4893</v>
      </c>
      <c r="J2889" t="s">
        <v>4903</v>
      </c>
      <c r="K2889" t="s">
        <v>4926</v>
      </c>
      <c r="L2889" t="s">
        <v>4936</v>
      </c>
      <c r="M2889" t="s">
        <v>4942</v>
      </c>
      <c r="N2889" s="11">
        <v>1486.56</v>
      </c>
      <c r="O2889" t="s">
        <v>15</v>
      </c>
      <c r="P2889" t="s">
        <v>4952</v>
      </c>
      <c r="R2889">
        <v>14</v>
      </c>
      <c r="S2889" t="str">
        <f t="shared" si="136"/>
        <v>Middle-Aged</v>
      </c>
      <c r="T2889" t="str">
        <f t="shared" si="137"/>
        <v>Low</v>
      </c>
      <c r="U2889" t="str">
        <f t="shared" si="138"/>
        <v>Short Days</v>
      </c>
    </row>
    <row r="2890" spans="1:21">
      <c r="A2890" t="s">
        <v>2906</v>
      </c>
      <c r="B2890" s="5">
        <v>45725</v>
      </c>
      <c r="C2890" t="s">
        <v>4557</v>
      </c>
      <c r="D2890" t="s">
        <v>4641</v>
      </c>
      <c r="E2890" t="s">
        <v>4866</v>
      </c>
      <c r="F2890">
        <v>56</v>
      </c>
      <c r="G2890" t="s">
        <v>4882</v>
      </c>
      <c r="H2890" t="s">
        <v>4891</v>
      </c>
      <c r="I2890" t="s">
        <v>4897</v>
      </c>
      <c r="J2890" t="s">
        <v>4907</v>
      </c>
      <c r="K2890" t="s">
        <v>4930</v>
      </c>
      <c r="L2890" t="s">
        <v>4937</v>
      </c>
      <c r="M2890" t="s">
        <v>4942</v>
      </c>
      <c r="N2890" s="11">
        <v>17222.61</v>
      </c>
      <c r="O2890" t="s">
        <v>4946</v>
      </c>
      <c r="P2890" t="s">
        <v>4951</v>
      </c>
      <c r="S2890" t="str">
        <f t="shared" si="136"/>
        <v>Middle-Aged</v>
      </c>
      <c r="T2890" t="str">
        <f t="shared" si="137"/>
        <v>High</v>
      </c>
      <c r="U2890" t="str">
        <f t="shared" si="138"/>
        <v>Short Days</v>
      </c>
    </row>
    <row r="2891" spans="1:21">
      <c r="A2891" t="s">
        <v>2907</v>
      </c>
      <c r="B2891" s="5">
        <v>45457</v>
      </c>
      <c r="C2891" t="s">
        <v>4078</v>
      </c>
      <c r="D2891" t="s">
        <v>4619</v>
      </c>
      <c r="E2891" t="s">
        <v>4867</v>
      </c>
      <c r="F2891">
        <v>16</v>
      </c>
      <c r="G2891" t="s">
        <v>4873</v>
      </c>
      <c r="H2891" t="s">
        <v>4888</v>
      </c>
      <c r="I2891" t="s">
        <v>4896</v>
      </c>
      <c r="J2891" t="s">
        <v>4908</v>
      </c>
      <c r="K2891" t="s">
        <v>4926</v>
      </c>
      <c r="L2891" t="s">
        <v>4939</v>
      </c>
      <c r="M2891" t="s">
        <v>4944</v>
      </c>
      <c r="N2891" s="11">
        <v>5149.16</v>
      </c>
      <c r="O2891" t="s">
        <v>4948</v>
      </c>
      <c r="P2891" t="s">
        <v>4951</v>
      </c>
      <c r="R2891">
        <v>7</v>
      </c>
      <c r="S2891" t="str">
        <f t="shared" si="136"/>
        <v>Child</v>
      </c>
      <c r="T2891" t="str">
        <f t="shared" si="137"/>
        <v>Medium</v>
      </c>
      <c r="U2891" t="str">
        <f t="shared" si="138"/>
        <v>Short Days</v>
      </c>
    </row>
    <row r="2892" spans="1:21">
      <c r="A2892" t="s">
        <v>2908</v>
      </c>
      <c r="B2892" s="5">
        <v>45705</v>
      </c>
      <c r="C2892" t="s">
        <v>4303</v>
      </c>
      <c r="D2892" t="s">
        <v>4625</v>
      </c>
      <c r="E2892" t="s">
        <v>4867</v>
      </c>
      <c r="F2892">
        <v>20</v>
      </c>
      <c r="G2892" t="s">
        <v>4872</v>
      </c>
      <c r="H2892" t="s">
        <v>4887</v>
      </c>
      <c r="I2892" t="s">
        <v>4898</v>
      </c>
      <c r="J2892" t="s">
        <v>4918</v>
      </c>
      <c r="K2892" t="s">
        <v>4932</v>
      </c>
      <c r="L2892" t="s">
        <v>4936</v>
      </c>
      <c r="M2892" t="s">
        <v>4942</v>
      </c>
      <c r="N2892" s="11">
        <v>8427.81</v>
      </c>
      <c r="O2892" t="s">
        <v>4950</v>
      </c>
      <c r="P2892" t="s">
        <v>4951</v>
      </c>
      <c r="S2892" t="str">
        <f t="shared" si="136"/>
        <v>Adult</v>
      </c>
      <c r="T2892" t="str">
        <f t="shared" si="137"/>
        <v>Medium</v>
      </c>
      <c r="U2892" t="str">
        <f t="shared" si="138"/>
        <v>Short Days</v>
      </c>
    </row>
    <row r="2893" spans="1:21">
      <c r="A2893" t="s">
        <v>2909</v>
      </c>
      <c r="B2893" s="5">
        <v>45406</v>
      </c>
      <c r="C2893" t="s">
        <v>3792</v>
      </c>
      <c r="D2893" t="s">
        <v>4619</v>
      </c>
      <c r="E2893" t="s">
        <v>4866</v>
      </c>
      <c r="F2893">
        <v>27</v>
      </c>
      <c r="G2893" t="s">
        <v>4883</v>
      </c>
      <c r="H2893" t="s">
        <v>4892</v>
      </c>
      <c r="I2893" t="s">
        <v>4897</v>
      </c>
      <c r="J2893" t="s">
        <v>4907</v>
      </c>
      <c r="K2893" t="s">
        <v>4931</v>
      </c>
      <c r="L2893" t="s">
        <v>4938</v>
      </c>
      <c r="M2893" t="s">
        <v>4942</v>
      </c>
      <c r="N2893" s="11">
        <v>1796.84</v>
      </c>
      <c r="O2893" t="s">
        <v>4946</v>
      </c>
      <c r="P2893" t="s">
        <v>4951</v>
      </c>
      <c r="R2893">
        <v>7</v>
      </c>
      <c r="S2893" t="str">
        <f t="shared" si="136"/>
        <v>Adult</v>
      </c>
      <c r="T2893" t="str">
        <f t="shared" si="137"/>
        <v>Low</v>
      </c>
      <c r="U2893" t="str">
        <f t="shared" si="138"/>
        <v>Short Days</v>
      </c>
    </row>
    <row r="2894" spans="1:21">
      <c r="A2894" t="s">
        <v>2910</v>
      </c>
      <c r="B2894" s="5">
        <v>45777</v>
      </c>
      <c r="C2894" t="s">
        <v>3152</v>
      </c>
      <c r="D2894" t="s">
        <v>4847</v>
      </c>
      <c r="E2894" t="s">
        <v>4867</v>
      </c>
      <c r="F2894">
        <v>24</v>
      </c>
      <c r="G2894" t="s">
        <v>4871</v>
      </c>
      <c r="H2894" t="s">
        <v>4886</v>
      </c>
      <c r="I2894" t="s">
        <v>4894</v>
      </c>
      <c r="J2894" t="s">
        <v>4910</v>
      </c>
      <c r="K2894" t="s">
        <v>4924</v>
      </c>
      <c r="L2894" t="s">
        <v>4935</v>
      </c>
      <c r="M2894" t="s">
        <v>4942</v>
      </c>
      <c r="N2894" s="11">
        <v>7118.74</v>
      </c>
      <c r="O2894" t="s">
        <v>4949</v>
      </c>
      <c r="P2894" t="s">
        <v>4951</v>
      </c>
      <c r="R2894">
        <v>30</v>
      </c>
      <c r="S2894" t="str">
        <f t="shared" si="136"/>
        <v>Adult</v>
      </c>
      <c r="T2894" t="str">
        <f t="shared" si="137"/>
        <v>Medium</v>
      </c>
      <c r="U2894" t="str">
        <f t="shared" si="138"/>
        <v>Short Days</v>
      </c>
    </row>
    <row r="2895" spans="1:21">
      <c r="A2895" t="s">
        <v>2911</v>
      </c>
      <c r="B2895" s="5">
        <v>45519</v>
      </c>
      <c r="C2895" t="s">
        <v>4558</v>
      </c>
      <c r="D2895" t="s">
        <v>4765</v>
      </c>
      <c r="E2895" t="s">
        <v>4866</v>
      </c>
      <c r="F2895">
        <v>70</v>
      </c>
      <c r="G2895" t="s">
        <v>4875</v>
      </c>
      <c r="H2895" t="s">
        <v>4889</v>
      </c>
      <c r="I2895" t="s">
        <v>4897</v>
      </c>
      <c r="J2895" t="s">
        <v>4922</v>
      </c>
      <c r="K2895" t="s">
        <v>4928</v>
      </c>
      <c r="L2895" t="s">
        <v>4941</v>
      </c>
      <c r="M2895" t="s">
        <v>4942</v>
      </c>
      <c r="N2895" s="11">
        <v>3934.71</v>
      </c>
      <c r="O2895" t="s">
        <v>4949</v>
      </c>
      <c r="P2895" t="s">
        <v>4951</v>
      </c>
      <c r="R2895">
        <v>14</v>
      </c>
      <c r="S2895" t="str">
        <f t="shared" si="136"/>
        <v>Senior</v>
      </c>
      <c r="T2895" t="str">
        <f t="shared" si="137"/>
        <v>Low</v>
      </c>
      <c r="U2895" t="str">
        <f t="shared" si="138"/>
        <v>Short Days</v>
      </c>
    </row>
    <row r="2896" spans="1:21">
      <c r="A2896" t="s">
        <v>2912</v>
      </c>
      <c r="B2896" s="5">
        <v>45610</v>
      </c>
      <c r="C2896" t="s">
        <v>3041</v>
      </c>
      <c r="D2896" t="s">
        <v>4838</v>
      </c>
      <c r="E2896" t="s">
        <v>4867</v>
      </c>
      <c r="F2896">
        <v>40</v>
      </c>
      <c r="G2896" t="s">
        <v>4875</v>
      </c>
      <c r="H2896" t="s">
        <v>4889</v>
      </c>
      <c r="I2896" t="s">
        <v>4902</v>
      </c>
      <c r="J2896" t="s">
        <v>4920</v>
      </c>
      <c r="K2896" t="s">
        <v>4931</v>
      </c>
      <c r="L2896" t="s">
        <v>4936</v>
      </c>
      <c r="M2896" t="s">
        <v>4942</v>
      </c>
      <c r="N2896" s="11">
        <v>1902.98</v>
      </c>
      <c r="O2896" t="s">
        <v>4946</v>
      </c>
      <c r="P2896" t="s">
        <v>4951</v>
      </c>
      <c r="S2896" t="str">
        <f t="shared" si="136"/>
        <v>Adult</v>
      </c>
      <c r="T2896" t="str">
        <f t="shared" si="137"/>
        <v>Low</v>
      </c>
      <c r="U2896" t="str">
        <f t="shared" si="138"/>
        <v>Short Days</v>
      </c>
    </row>
    <row r="2897" spans="1:21">
      <c r="A2897" t="s">
        <v>2913</v>
      </c>
      <c r="B2897" s="5">
        <v>45779</v>
      </c>
      <c r="C2897" t="s">
        <v>4559</v>
      </c>
      <c r="D2897" t="s">
        <v>4715</v>
      </c>
      <c r="E2897" t="s">
        <v>4866</v>
      </c>
      <c r="F2897">
        <v>64</v>
      </c>
      <c r="G2897" t="s">
        <v>4882</v>
      </c>
      <c r="H2897" t="s">
        <v>4891</v>
      </c>
      <c r="I2897" t="s">
        <v>4898</v>
      </c>
      <c r="J2897" t="s">
        <v>4918</v>
      </c>
      <c r="K2897" t="s">
        <v>4927</v>
      </c>
      <c r="L2897" t="s">
        <v>4935</v>
      </c>
      <c r="M2897" t="s">
        <v>4945</v>
      </c>
      <c r="N2897" s="11">
        <v>12328.67</v>
      </c>
      <c r="O2897" t="s">
        <v>4948</v>
      </c>
      <c r="P2897" t="s">
        <v>4951</v>
      </c>
      <c r="Q2897">
        <v>7</v>
      </c>
      <c r="R2897">
        <v>14</v>
      </c>
      <c r="S2897" t="str">
        <f t="shared" si="136"/>
        <v>Senior</v>
      </c>
      <c r="T2897" t="str">
        <f t="shared" si="137"/>
        <v>High</v>
      </c>
      <c r="U2897" t="str">
        <f t="shared" si="138"/>
        <v>Long Days</v>
      </c>
    </row>
    <row r="2898" spans="1:21">
      <c r="A2898" t="s">
        <v>2914</v>
      </c>
      <c r="B2898" s="5">
        <v>45476</v>
      </c>
      <c r="C2898" t="s">
        <v>3826</v>
      </c>
      <c r="D2898" t="s">
        <v>4711</v>
      </c>
      <c r="E2898" t="s">
        <v>4866</v>
      </c>
      <c r="F2898">
        <v>57</v>
      </c>
      <c r="G2898" t="s">
        <v>4883</v>
      </c>
      <c r="H2898" t="s">
        <v>4892</v>
      </c>
      <c r="I2898" t="s">
        <v>4895</v>
      </c>
      <c r="J2898" t="s">
        <v>4905</v>
      </c>
      <c r="K2898" t="s">
        <v>4931</v>
      </c>
      <c r="L2898" t="s">
        <v>4939</v>
      </c>
      <c r="M2898" t="s">
        <v>4942</v>
      </c>
      <c r="N2898" s="11">
        <v>3059.93</v>
      </c>
      <c r="O2898" t="s">
        <v>15</v>
      </c>
      <c r="P2898" t="s">
        <v>4952</v>
      </c>
      <c r="S2898" t="str">
        <f t="shared" si="136"/>
        <v>Middle-Aged</v>
      </c>
      <c r="T2898" t="str">
        <f t="shared" si="137"/>
        <v>Low</v>
      </c>
      <c r="U2898" t="str">
        <f t="shared" si="138"/>
        <v>Short Days</v>
      </c>
    </row>
    <row r="2899" spans="1:21">
      <c r="A2899" t="s">
        <v>2915</v>
      </c>
      <c r="B2899" s="5">
        <v>45587</v>
      </c>
      <c r="C2899" t="s">
        <v>4560</v>
      </c>
      <c r="D2899" t="s">
        <v>4599</v>
      </c>
      <c r="E2899" t="s">
        <v>4867</v>
      </c>
      <c r="F2899">
        <v>31</v>
      </c>
      <c r="G2899" t="s">
        <v>4874</v>
      </c>
      <c r="H2899" t="s">
        <v>4886</v>
      </c>
      <c r="I2899" t="s">
        <v>4896</v>
      </c>
      <c r="J2899" t="s">
        <v>4906</v>
      </c>
      <c r="K2899" t="s">
        <v>4932</v>
      </c>
      <c r="L2899" t="s">
        <v>4940</v>
      </c>
      <c r="M2899" t="s">
        <v>4942</v>
      </c>
      <c r="N2899" s="11">
        <v>1300.1600000000001</v>
      </c>
      <c r="O2899" t="s">
        <v>4948</v>
      </c>
      <c r="P2899" t="s">
        <v>4951</v>
      </c>
      <c r="R2899">
        <v>7</v>
      </c>
      <c r="S2899" t="str">
        <f t="shared" si="136"/>
        <v>Adult</v>
      </c>
      <c r="T2899" t="str">
        <f t="shared" si="137"/>
        <v>Low</v>
      </c>
      <c r="U2899" t="str">
        <f t="shared" si="138"/>
        <v>Short Days</v>
      </c>
    </row>
    <row r="2900" spans="1:21">
      <c r="A2900" t="s">
        <v>2916</v>
      </c>
      <c r="B2900" s="5">
        <v>45327</v>
      </c>
      <c r="C2900" t="s">
        <v>4561</v>
      </c>
      <c r="D2900" t="s">
        <v>4782</v>
      </c>
      <c r="E2900" t="s">
        <v>4866</v>
      </c>
      <c r="F2900">
        <v>38</v>
      </c>
      <c r="G2900" t="s">
        <v>4882</v>
      </c>
      <c r="H2900" t="s">
        <v>4891</v>
      </c>
      <c r="I2900" t="s">
        <v>4900</v>
      </c>
      <c r="J2900" t="s">
        <v>4913</v>
      </c>
      <c r="K2900" t="s">
        <v>4926</v>
      </c>
      <c r="L2900" t="s">
        <v>4938</v>
      </c>
      <c r="M2900" t="s">
        <v>4942</v>
      </c>
      <c r="N2900" s="11">
        <v>4104.58</v>
      </c>
      <c r="O2900" t="s">
        <v>4947</v>
      </c>
      <c r="P2900" t="s">
        <v>4951</v>
      </c>
      <c r="S2900" t="str">
        <f t="shared" si="136"/>
        <v>Adult</v>
      </c>
      <c r="T2900" t="str">
        <f t="shared" si="137"/>
        <v>Low</v>
      </c>
      <c r="U2900" t="str">
        <f t="shared" si="138"/>
        <v>Short Days</v>
      </c>
    </row>
    <row r="2901" spans="1:21">
      <c r="A2901" t="s">
        <v>2917</v>
      </c>
      <c r="B2901" s="5">
        <v>45339</v>
      </c>
      <c r="C2901" t="s">
        <v>4431</v>
      </c>
      <c r="D2901" t="s">
        <v>4741</v>
      </c>
      <c r="E2901" t="s">
        <v>4866</v>
      </c>
      <c r="F2901">
        <v>51</v>
      </c>
      <c r="G2901" t="s">
        <v>4881</v>
      </c>
      <c r="H2901" t="s">
        <v>4881</v>
      </c>
      <c r="I2901" t="s">
        <v>4898</v>
      </c>
      <c r="J2901" t="s">
        <v>4909</v>
      </c>
      <c r="K2901" t="s">
        <v>4930</v>
      </c>
      <c r="L2901" t="s">
        <v>4934</v>
      </c>
      <c r="M2901" t="s">
        <v>4942</v>
      </c>
      <c r="N2901" s="11">
        <v>7161.63</v>
      </c>
      <c r="O2901" t="s">
        <v>4946</v>
      </c>
      <c r="P2901" t="s">
        <v>4951</v>
      </c>
      <c r="S2901" t="str">
        <f t="shared" si="136"/>
        <v>Middle-Aged</v>
      </c>
      <c r="T2901" t="str">
        <f t="shared" si="137"/>
        <v>Medium</v>
      </c>
      <c r="U2901" t="str">
        <f t="shared" si="138"/>
        <v>Short Days</v>
      </c>
    </row>
    <row r="2902" spans="1:21">
      <c r="A2902" t="s">
        <v>2918</v>
      </c>
      <c r="B2902" s="5">
        <v>45850</v>
      </c>
      <c r="C2902" t="s">
        <v>3447</v>
      </c>
      <c r="D2902" t="s">
        <v>4832</v>
      </c>
      <c r="E2902" t="s">
        <v>4867</v>
      </c>
      <c r="F2902">
        <v>49</v>
      </c>
      <c r="G2902" t="s">
        <v>4876</v>
      </c>
      <c r="H2902" t="s">
        <v>4888</v>
      </c>
      <c r="I2902" t="s">
        <v>4901</v>
      </c>
      <c r="J2902" t="s">
        <v>4914</v>
      </c>
      <c r="K2902" t="s">
        <v>4931</v>
      </c>
      <c r="L2902" t="s">
        <v>4939</v>
      </c>
      <c r="M2902" t="s">
        <v>4942</v>
      </c>
      <c r="N2902" s="11">
        <v>326</v>
      </c>
      <c r="O2902" t="s">
        <v>4949</v>
      </c>
      <c r="P2902" t="s">
        <v>4951</v>
      </c>
      <c r="R2902">
        <v>90</v>
      </c>
      <c r="S2902" t="str">
        <f t="shared" si="136"/>
        <v>Middle-Aged</v>
      </c>
      <c r="T2902" t="str">
        <f t="shared" si="137"/>
        <v>Low</v>
      </c>
      <c r="U2902" t="str">
        <f t="shared" si="138"/>
        <v>Short Days</v>
      </c>
    </row>
    <row r="2903" spans="1:21">
      <c r="A2903" t="s">
        <v>2919</v>
      </c>
      <c r="B2903" s="5">
        <v>45416</v>
      </c>
      <c r="C2903" t="s">
        <v>4074</v>
      </c>
      <c r="D2903" t="s">
        <v>4655</v>
      </c>
      <c r="E2903" t="s">
        <v>4867</v>
      </c>
      <c r="F2903">
        <v>27</v>
      </c>
      <c r="G2903" t="s">
        <v>4870</v>
      </c>
      <c r="H2903" t="s">
        <v>4885</v>
      </c>
      <c r="I2903" t="s">
        <v>4897</v>
      </c>
      <c r="J2903" t="s">
        <v>4922</v>
      </c>
      <c r="K2903" t="s">
        <v>4925</v>
      </c>
      <c r="L2903" t="s">
        <v>4937</v>
      </c>
      <c r="M2903" t="s">
        <v>4944</v>
      </c>
      <c r="N2903" s="11">
        <v>8877.94</v>
      </c>
      <c r="O2903" t="s">
        <v>4947</v>
      </c>
      <c r="P2903" t="s">
        <v>4951</v>
      </c>
      <c r="R2903">
        <v>14</v>
      </c>
      <c r="S2903" t="str">
        <f t="shared" si="136"/>
        <v>Adult</v>
      </c>
      <c r="T2903" t="str">
        <f t="shared" si="137"/>
        <v>Medium</v>
      </c>
      <c r="U2903" t="str">
        <f t="shared" si="138"/>
        <v>Short Days</v>
      </c>
    </row>
    <row r="2904" spans="1:21">
      <c r="A2904" t="s">
        <v>2920</v>
      </c>
      <c r="B2904" s="5">
        <v>45388</v>
      </c>
      <c r="C2904" t="s">
        <v>3607</v>
      </c>
      <c r="D2904" t="s">
        <v>4837</v>
      </c>
      <c r="E2904" t="s">
        <v>4866</v>
      </c>
      <c r="F2904">
        <v>12</v>
      </c>
      <c r="G2904" t="s">
        <v>4881</v>
      </c>
      <c r="H2904" t="s">
        <v>4881</v>
      </c>
      <c r="I2904" t="s">
        <v>4900</v>
      </c>
      <c r="J2904" t="s">
        <v>4913</v>
      </c>
      <c r="K2904" t="s">
        <v>4930</v>
      </c>
      <c r="L2904" t="s">
        <v>4941</v>
      </c>
      <c r="M2904" t="s">
        <v>4942</v>
      </c>
      <c r="N2904" s="11">
        <v>440.06</v>
      </c>
      <c r="O2904" t="s">
        <v>4949</v>
      </c>
      <c r="P2904" t="s">
        <v>4951</v>
      </c>
      <c r="R2904">
        <v>7</v>
      </c>
      <c r="S2904" t="str">
        <f t="shared" si="136"/>
        <v>Child</v>
      </c>
      <c r="T2904" t="str">
        <f t="shared" si="137"/>
        <v>Low</v>
      </c>
      <c r="U2904" t="str">
        <f t="shared" si="138"/>
        <v>Short Days</v>
      </c>
    </row>
    <row r="2905" spans="1:21">
      <c r="A2905" t="s">
        <v>2921</v>
      </c>
      <c r="B2905" s="5">
        <v>45614</v>
      </c>
      <c r="C2905" t="s">
        <v>3803</v>
      </c>
      <c r="D2905" t="s">
        <v>4832</v>
      </c>
      <c r="E2905" t="s">
        <v>4867</v>
      </c>
      <c r="F2905">
        <v>3</v>
      </c>
      <c r="G2905" t="s">
        <v>4880</v>
      </c>
      <c r="H2905" t="s">
        <v>4890</v>
      </c>
      <c r="I2905" t="s">
        <v>4895</v>
      </c>
      <c r="J2905" t="s">
        <v>4905</v>
      </c>
      <c r="K2905" t="s">
        <v>4925</v>
      </c>
      <c r="L2905" t="s">
        <v>4935</v>
      </c>
      <c r="M2905" t="s">
        <v>4942</v>
      </c>
      <c r="N2905" s="11">
        <v>5075.3</v>
      </c>
      <c r="O2905" t="s">
        <v>15</v>
      </c>
      <c r="P2905" t="s">
        <v>4952</v>
      </c>
      <c r="R2905">
        <v>7</v>
      </c>
      <c r="S2905" t="str">
        <f t="shared" si="136"/>
        <v>Child</v>
      </c>
      <c r="T2905" t="str">
        <f t="shared" si="137"/>
        <v>Medium</v>
      </c>
      <c r="U2905" t="str">
        <f t="shared" si="138"/>
        <v>Short Days</v>
      </c>
    </row>
    <row r="2906" spans="1:21">
      <c r="A2906" t="s">
        <v>2922</v>
      </c>
      <c r="B2906" s="5">
        <v>45593</v>
      </c>
      <c r="C2906" t="s">
        <v>3077</v>
      </c>
      <c r="D2906" t="s">
        <v>4854</v>
      </c>
      <c r="E2906" t="s">
        <v>4866</v>
      </c>
      <c r="F2906">
        <v>30</v>
      </c>
      <c r="G2906" t="s">
        <v>4875</v>
      </c>
      <c r="H2906" t="s">
        <v>4889</v>
      </c>
      <c r="I2906" t="s">
        <v>4900</v>
      </c>
      <c r="J2906" t="s">
        <v>4919</v>
      </c>
      <c r="K2906" t="s">
        <v>4928</v>
      </c>
      <c r="L2906" t="s">
        <v>4941</v>
      </c>
      <c r="M2906" t="s">
        <v>4944</v>
      </c>
      <c r="N2906" s="11">
        <v>28100.35</v>
      </c>
      <c r="O2906" t="s">
        <v>4947</v>
      </c>
      <c r="P2906" t="s">
        <v>4951</v>
      </c>
      <c r="R2906">
        <v>30</v>
      </c>
      <c r="S2906" t="str">
        <f t="shared" si="136"/>
        <v>Adult</v>
      </c>
      <c r="T2906" t="str">
        <f t="shared" si="137"/>
        <v>High</v>
      </c>
      <c r="U2906" t="str">
        <f t="shared" si="138"/>
        <v>Short Days</v>
      </c>
    </row>
    <row r="2907" spans="1:21">
      <c r="A2907" t="s">
        <v>2923</v>
      </c>
      <c r="B2907" s="5">
        <v>45825</v>
      </c>
      <c r="C2907" t="s">
        <v>3347</v>
      </c>
      <c r="D2907" t="s">
        <v>4857</v>
      </c>
      <c r="E2907" t="s">
        <v>4866</v>
      </c>
      <c r="F2907">
        <v>13</v>
      </c>
      <c r="G2907" t="s">
        <v>4872</v>
      </c>
      <c r="H2907" t="s">
        <v>4887</v>
      </c>
      <c r="I2907" t="s">
        <v>4893</v>
      </c>
      <c r="J2907" t="s">
        <v>4917</v>
      </c>
      <c r="K2907" t="s">
        <v>4927</v>
      </c>
      <c r="L2907" t="s">
        <v>4934</v>
      </c>
      <c r="M2907" t="s">
        <v>4942</v>
      </c>
      <c r="N2907" s="11">
        <v>10905.41</v>
      </c>
      <c r="O2907" t="s">
        <v>4949</v>
      </c>
      <c r="P2907" t="s">
        <v>4951</v>
      </c>
      <c r="S2907" t="str">
        <f t="shared" si="136"/>
        <v>Child</v>
      </c>
      <c r="T2907" t="str">
        <f t="shared" si="137"/>
        <v>High</v>
      </c>
      <c r="U2907" t="str">
        <f t="shared" si="138"/>
        <v>Short Days</v>
      </c>
    </row>
    <row r="2908" spans="1:21">
      <c r="A2908" t="s">
        <v>2924</v>
      </c>
      <c r="B2908" s="5">
        <v>45715</v>
      </c>
      <c r="C2908" t="s">
        <v>3488</v>
      </c>
      <c r="D2908" t="s">
        <v>4601</v>
      </c>
      <c r="E2908" t="s">
        <v>4866</v>
      </c>
      <c r="F2908">
        <v>39</v>
      </c>
      <c r="G2908" t="s">
        <v>4880</v>
      </c>
      <c r="H2908" t="s">
        <v>4890</v>
      </c>
      <c r="I2908" t="s">
        <v>4897</v>
      </c>
      <c r="J2908" t="s">
        <v>4922</v>
      </c>
      <c r="K2908" t="s">
        <v>4925</v>
      </c>
      <c r="L2908" t="s">
        <v>4935</v>
      </c>
      <c r="M2908" t="s">
        <v>4942</v>
      </c>
      <c r="N2908" s="11">
        <v>1027.8499999999999</v>
      </c>
      <c r="O2908" t="s">
        <v>4947</v>
      </c>
      <c r="P2908" t="s">
        <v>4951</v>
      </c>
      <c r="R2908">
        <v>14</v>
      </c>
      <c r="S2908" t="str">
        <f t="shared" si="136"/>
        <v>Adult</v>
      </c>
      <c r="T2908" t="str">
        <f t="shared" si="137"/>
        <v>Low</v>
      </c>
      <c r="U2908" t="str">
        <f t="shared" si="138"/>
        <v>Short Days</v>
      </c>
    </row>
    <row r="2909" spans="1:21">
      <c r="A2909" t="s">
        <v>2925</v>
      </c>
      <c r="B2909" s="5">
        <v>45444</v>
      </c>
      <c r="C2909" t="s">
        <v>4391</v>
      </c>
      <c r="D2909" t="s">
        <v>4782</v>
      </c>
      <c r="E2909" t="s">
        <v>4867</v>
      </c>
      <c r="F2909">
        <v>50</v>
      </c>
      <c r="G2909" t="s">
        <v>4877</v>
      </c>
      <c r="H2909" t="s">
        <v>4888</v>
      </c>
      <c r="I2909" t="s">
        <v>4899</v>
      </c>
      <c r="J2909" t="s">
        <v>4912</v>
      </c>
      <c r="K2909" t="s">
        <v>4929</v>
      </c>
      <c r="L2909" t="s">
        <v>4940</v>
      </c>
      <c r="M2909" t="s">
        <v>4945</v>
      </c>
      <c r="N2909" s="11">
        <v>6049.88</v>
      </c>
      <c r="O2909" t="s">
        <v>4947</v>
      </c>
      <c r="P2909" t="s">
        <v>4951</v>
      </c>
      <c r="Q2909">
        <v>4</v>
      </c>
      <c r="R2909">
        <v>14</v>
      </c>
      <c r="S2909" t="str">
        <f t="shared" si="136"/>
        <v>Middle-Aged</v>
      </c>
      <c r="T2909" t="str">
        <f t="shared" si="137"/>
        <v>Medium</v>
      </c>
      <c r="U2909" t="str">
        <f t="shared" si="138"/>
        <v>Short Days</v>
      </c>
    </row>
    <row r="2910" spans="1:21">
      <c r="A2910" t="s">
        <v>2926</v>
      </c>
      <c r="B2910" s="5">
        <v>45329</v>
      </c>
      <c r="C2910" t="s">
        <v>3079</v>
      </c>
      <c r="D2910" t="s">
        <v>4725</v>
      </c>
      <c r="E2910" t="s">
        <v>4867</v>
      </c>
      <c r="F2910">
        <v>33</v>
      </c>
      <c r="G2910" t="s">
        <v>4882</v>
      </c>
      <c r="H2910" t="s">
        <v>4891</v>
      </c>
      <c r="I2910" t="s">
        <v>4898</v>
      </c>
      <c r="J2910" t="s">
        <v>4918</v>
      </c>
      <c r="K2910" t="s">
        <v>4925</v>
      </c>
      <c r="L2910" t="s">
        <v>4940</v>
      </c>
      <c r="M2910" t="s">
        <v>4944</v>
      </c>
      <c r="N2910" s="11">
        <v>5163.5200000000004</v>
      </c>
      <c r="O2910" t="s">
        <v>4947</v>
      </c>
      <c r="P2910" t="s">
        <v>4951</v>
      </c>
      <c r="R2910">
        <v>7</v>
      </c>
      <c r="S2910" t="str">
        <f t="shared" si="136"/>
        <v>Adult</v>
      </c>
      <c r="T2910" t="str">
        <f t="shared" si="137"/>
        <v>Medium</v>
      </c>
      <c r="U2910" t="str">
        <f t="shared" si="138"/>
        <v>Short Days</v>
      </c>
    </row>
    <row r="2911" spans="1:21">
      <c r="A2911" t="s">
        <v>2927</v>
      </c>
      <c r="B2911" s="5">
        <v>45893</v>
      </c>
      <c r="C2911" t="s">
        <v>4562</v>
      </c>
      <c r="D2911" t="s">
        <v>4848</v>
      </c>
      <c r="E2911" t="s">
        <v>4866</v>
      </c>
      <c r="F2911">
        <v>44</v>
      </c>
      <c r="G2911" t="s">
        <v>4880</v>
      </c>
      <c r="H2911" t="s">
        <v>4890</v>
      </c>
      <c r="I2911" t="s">
        <v>4899</v>
      </c>
      <c r="J2911" t="s">
        <v>4912</v>
      </c>
      <c r="K2911" t="s">
        <v>4933</v>
      </c>
      <c r="L2911" t="s">
        <v>4941</v>
      </c>
      <c r="M2911" t="s">
        <v>4942</v>
      </c>
      <c r="N2911" s="11">
        <v>9029.18</v>
      </c>
      <c r="O2911" t="s">
        <v>4949</v>
      </c>
      <c r="P2911" t="s">
        <v>4951</v>
      </c>
      <c r="R2911">
        <v>7</v>
      </c>
      <c r="S2911" t="str">
        <f t="shared" si="136"/>
        <v>Middle-Aged</v>
      </c>
      <c r="T2911" t="str">
        <f t="shared" si="137"/>
        <v>Medium</v>
      </c>
      <c r="U2911" t="str">
        <f t="shared" si="138"/>
        <v>Short Days</v>
      </c>
    </row>
    <row r="2912" spans="1:21">
      <c r="A2912" t="s">
        <v>2928</v>
      </c>
      <c r="B2912" s="5">
        <v>45426</v>
      </c>
      <c r="C2912" t="s">
        <v>3659</v>
      </c>
      <c r="D2912" t="s">
        <v>4673</v>
      </c>
      <c r="E2912" t="s">
        <v>4867</v>
      </c>
      <c r="F2912">
        <v>29</v>
      </c>
      <c r="G2912" t="s">
        <v>4878</v>
      </c>
      <c r="H2912" t="s">
        <v>4889</v>
      </c>
      <c r="I2912" t="s">
        <v>4894</v>
      </c>
      <c r="J2912" t="s">
        <v>4904</v>
      </c>
      <c r="K2912" t="s">
        <v>4931</v>
      </c>
      <c r="L2912" t="s">
        <v>4941</v>
      </c>
      <c r="M2912" t="s">
        <v>4945</v>
      </c>
      <c r="N2912" s="11">
        <v>7345.14</v>
      </c>
      <c r="O2912" t="s">
        <v>4948</v>
      </c>
      <c r="P2912" t="s">
        <v>4951</v>
      </c>
      <c r="Q2912">
        <v>5</v>
      </c>
      <c r="R2912">
        <v>7</v>
      </c>
      <c r="S2912" t="str">
        <f t="shared" si="136"/>
        <v>Adult</v>
      </c>
      <c r="T2912" t="str">
        <f t="shared" si="137"/>
        <v>Medium</v>
      </c>
      <c r="U2912" t="str">
        <f t="shared" si="138"/>
        <v>Short Days</v>
      </c>
    </row>
    <row r="2913" spans="1:21">
      <c r="A2913" t="s">
        <v>2929</v>
      </c>
      <c r="B2913" s="5">
        <v>45773</v>
      </c>
      <c r="C2913" t="s">
        <v>3991</v>
      </c>
      <c r="D2913" t="s">
        <v>4747</v>
      </c>
      <c r="E2913" t="s">
        <v>4866</v>
      </c>
      <c r="F2913">
        <v>41</v>
      </c>
      <c r="G2913" t="s">
        <v>4882</v>
      </c>
      <c r="H2913" t="s">
        <v>4891</v>
      </c>
      <c r="I2913" t="s">
        <v>4897</v>
      </c>
      <c r="J2913" t="s">
        <v>4907</v>
      </c>
      <c r="K2913" t="s">
        <v>4926</v>
      </c>
      <c r="L2913" t="s">
        <v>4940</v>
      </c>
      <c r="M2913" t="s">
        <v>4944</v>
      </c>
      <c r="N2913" s="11">
        <v>6447.05</v>
      </c>
      <c r="O2913" t="s">
        <v>4950</v>
      </c>
      <c r="P2913" t="s">
        <v>4951</v>
      </c>
      <c r="R2913">
        <v>7</v>
      </c>
      <c r="S2913" t="str">
        <f t="shared" si="136"/>
        <v>Middle-Aged</v>
      </c>
      <c r="T2913" t="str">
        <f t="shared" si="137"/>
        <v>Medium</v>
      </c>
      <c r="U2913" t="str">
        <f t="shared" si="138"/>
        <v>Short Days</v>
      </c>
    </row>
    <row r="2914" spans="1:21">
      <c r="A2914" t="s">
        <v>2930</v>
      </c>
      <c r="B2914" s="5">
        <v>45352</v>
      </c>
      <c r="C2914" t="s">
        <v>4563</v>
      </c>
      <c r="D2914" t="s">
        <v>4651</v>
      </c>
      <c r="E2914" t="s">
        <v>4867</v>
      </c>
      <c r="F2914">
        <v>31</v>
      </c>
      <c r="G2914" t="s">
        <v>4878</v>
      </c>
      <c r="H2914" t="s">
        <v>4889</v>
      </c>
      <c r="I2914" t="s">
        <v>4893</v>
      </c>
      <c r="J2914" t="s">
        <v>4903</v>
      </c>
      <c r="K2914" t="s">
        <v>4926</v>
      </c>
      <c r="L2914" t="s">
        <v>4941</v>
      </c>
      <c r="M2914" t="s">
        <v>4942</v>
      </c>
      <c r="N2914" s="11">
        <v>101.55</v>
      </c>
      <c r="O2914" t="s">
        <v>4946</v>
      </c>
      <c r="P2914" t="s">
        <v>4951</v>
      </c>
      <c r="R2914">
        <v>7</v>
      </c>
      <c r="S2914" t="str">
        <f t="shared" si="136"/>
        <v>Adult</v>
      </c>
      <c r="T2914" t="str">
        <f t="shared" si="137"/>
        <v>Low</v>
      </c>
      <c r="U2914" t="str">
        <f t="shared" si="138"/>
        <v>Short Days</v>
      </c>
    </row>
    <row r="2915" spans="1:21">
      <c r="A2915" t="s">
        <v>2931</v>
      </c>
      <c r="B2915" s="5">
        <v>45840</v>
      </c>
      <c r="C2915" t="s">
        <v>4564</v>
      </c>
      <c r="D2915" t="s">
        <v>4626</v>
      </c>
      <c r="E2915" t="s">
        <v>4867</v>
      </c>
      <c r="F2915">
        <v>41</v>
      </c>
      <c r="G2915" t="s">
        <v>4881</v>
      </c>
      <c r="H2915" t="s">
        <v>4881</v>
      </c>
      <c r="I2915" t="s">
        <v>4895</v>
      </c>
      <c r="J2915" t="s">
        <v>4915</v>
      </c>
      <c r="K2915" t="s">
        <v>4933</v>
      </c>
      <c r="L2915" t="s">
        <v>4940</v>
      </c>
      <c r="M2915" t="s">
        <v>4942</v>
      </c>
      <c r="N2915" s="11">
        <v>8071.1</v>
      </c>
      <c r="O2915" t="s">
        <v>4947</v>
      </c>
      <c r="P2915" t="s">
        <v>4951</v>
      </c>
      <c r="R2915">
        <v>7</v>
      </c>
      <c r="S2915" t="str">
        <f t="shared" si="136"/>
        <v>Middle-Aged</v>
      </c>
      <c r="T2915" t="str">
        <f t="shared" si="137"/>
        <v>Medium</v>
      </c>
      <c r="U2915" t="str">
        <f t="shared" si="138"/>
        <v>Short Days</v>
      </c>
    </row>
    <row r="2916" spans="1:21">
      <c r="A2916" t="s">
        <v>2932</v>
      </c>
      <c r="B2916" s="5">
        <v>45434</v>
      </c>
      <c r="C2916" t="s">
        <v>4565</v>
      </c>
      <c r="D2916" t="s">
        <v>4845</v>
      </c>
      <c r="E2916" t="s">
        <v>4867</v>
      </c>
      <c r="F2916">
        <v>49</v>
      </c>
      <c r="G2916" t="s">
        <v>4875</v>
      </c>
      <c r="H2916" t="s">
        <v>4889</v>
      </c>
      <c r="I2916" t="s">
        <v>4900</v>
      </c>
      <c r="J2916" t="s">
        <v>4919</v>
      </c>
      <c r="K2916" t="s">
        <v>4933</v>
      </c>
      <c r="L2916" t="s">
        <v>4939</v>
      </c>
      <c r="M2916" t="s">
        <v>4944</v>
      </c>
      <c r="N2916" s="11">
        <v>7865.3</v>
      </c>
      <c r="O2916" t="s">
        <v>4946</v>
      </c>
      <c r="P2916" t="s">
        <v>4951</v>
      </c>
      <c r="R2916">
        <v>7</v>
      </c>
      <c r="S2916" t="str">
        <f t="shared" si="136"/>
        <v>Middle-Aged</v>
      </c>
      <c r="T2916" t="str">
        <f t="shared" si="137"/>
        <v>Medium</v>
      </c>
      <c r="U2916" t="str">
        <f t="shared" si="138"/>
        <v>Short Days</v>
      </c>
    </row>
    <row r="2917" spans="1:21">
      <c r="A2917" t="s">
        <v>2933</v>
      </c>
      <c r="B2917" s="5">
        <v>45886</v>
      </c>
      <c r="C2917" t="s">
        <v>3055</v>
      </c>
      <c r="D2917" t="s">
        <v>4713</v>
      </c>
      <c r="E2917" t="s">
        <v>4866</v>
      </c>
      <c r="F2917">
        <v>29</v>
      </c>
      <c r="G2917" t="s">
        <v>4881</v>
      </c>
      <c r="H2917" t="s">
        <v>4881</v>
      </c>
      <c r="I2917" t="s">
        <v>4901</v>
      </c>
      <c r="J2917" t="s">
        <v>4914</v>
      </c>
      <c r="K2917" t="s">
        <v>4927</v>
      </c>
      <c r="L2917" t="s">
        <v>4938</v>
      </c>
      <c r="M2917" t="s">
        <v>4944</v>
      </c>
      <c r="N2917" s="11">
        <v>5308.7</v>
      </c>
      <c r="O2917" t="s">
        <v>4946</v>
      </c>
      <c r="P2917" t="s">
        <v>4951</v>
      </c>
      <c r="S2917" t="str">
        <f t="shared" si="136"/>
        <v>Adult</v>
      </c>
      <c r="T2917" t="str">
        <f t="shared" si="137"/>
        <v>Medium</v>
      </c>
      <c r="U2917" t="str">
        <f t="shared" si="138"/>
        <v>Short Days</v>
      </c>
    </row>
    <row r="2918" spans="1:21">
      <c r="A2918" t="s">
        <v>2934</v>
      </c>
      <c r="B2918" s="5">
        <v>45779</v>
      </c>
      <c r="C2918" t="s">
        <v>4441</v>
      </c>
      <c r="D2918" t="s">
        <v>4833</v>
      </c>
      <c r="E2918" t="s">
        <v>4867</v>
      </c>
      <c r="F2918">
        <v>7</v>
      </c>
      <c r="G2918" t="s">
        <v>4870</v>
      </c>
      <c r="H2918" t="s">
        <v>4885</v>
      </c>
      <c r="I2918" t="s">
        <v>4899</v>
      </c>
      <c r="J2918" t="s">
        <v>4912</v>
      </c>
      <c r="K2918" t="s">
        <v>4928</v>
      </c>
      <c r="L2918" t="s">
        <v>4934</v>
      </c>
      <c r="M2918" t="s">
        <v>4942</v>
      </c>
      <c r="N2918" s="11">
        <v>5811.02</v>
      </c>
      <c r="O2918" t="s">
        <v>4946</v>
      </c>
      <c r="P2918" t="s">
        <v>4951</v>
      </c>
      <c r="R2918">
        <v>7</v>
      </c>
      <c r="S2918" t="str">
        <f t="shared" si="136"/>
        <v>Child</v>
      </c>
      <c r="T2918" t="str">
        <f t="shared" si="137"/>
        <v>Medium</v>
      </c>
      <c r="U2918" t="str">
        <f t="shared" si="138"/>
        <v>Short Days</v>
      </c>
    </row>
    <row r="2919" spans="1:21">
      <c r="A2919" t="s">
        <v>2935</v>
      </c>
      <c r="B2919" s="5">
        <v>45324</v>
      </c>
      <c r="C2919" t="s">
        <v>4566</v>
      </c>
      <c r="D2919" t="s">
        <v>4856</v>
      </c>
      <c r="E2919" t="s">
        <v>4866</v>
      </c>
      <c r="F2919">
        <v>19</v>
      </c>
      <c r="G2919" t="s">
        <v>4869</v>
      </c>
      <c r="H2919" t="s">
        <v>4884</v>
      </c>
      <c r="I2919" t="s">
        <v>4897</v>
      </c>
      <c r="J2919" t="s">
        <v>4922</v>
      </c>
      <c r="K2919" t="s">
        <v>4931</v>
      </c>
      <c r="L2919" t="s">
        <v>4939</v>
      </c>
      <c r="M2919" t="s">
        <v>4942</v>
      </c>
      <c r="N2919" s="11">
        <v>3537.84</v>
      </c>
      <c r="O2919" t="s">
        <v>4947</v>
      </c>
      <c r="P2919" t="s">
        <v>4951</v>
      </c>
      <c r="S2919" t="str">
        <f t="shared" si="136"/>
        <v>Adult</v>
      </c>
      <c r="T2919" t="str">
        <f t="shared" si="137"/>
        <v>Low</v>
      </c>
      <c r="U2919" t="str">
        <f t="shared" si="138"/>
        <v>Short Days</v>
      </c>
    </row>
    <row r="2920" spans="1:21">
      <c r="A2920" t="s">
        <v>2936</v>
      </c>
      <c r="B2920" s="5">
        <v>45616</v>
      </c>
      <c r="C2920" t="s">
        <v>4063</v>
      </c>
      <c r="D2920" t="s">
        <v>4772</v>
      </c>
      <c r="E2920" t="s">
        <v>4867</v>
      </c>
      <c r="F2920">
        <v>67</v>
      </c>
      <c r="G2920" t="s">
        <v>4883</v>
      </c>
      <c r="H2920" t="s">
        <v>4892</v>
      </c>
      <c r="I2920" t="s">
        <v>4900</v>
      </c>
      <c r="J2920" t="s">
        <v>4913</v>
      </c>
      <c r="K2920" t="s">
        <v>4927</v>
      </c>
      <c r="L2920" t="s">
        <v>4937</v>
      </c>
      <c r="M2920" t="s">
        <v>4942</v>
      </c>
      <c r="N2920" s="11">
        <v>1405.62</v>
      </c>
      <c r="O2920" t="s">
        <v>4948</v>
      </c>
      <c r="P2920" t="s">
        <v>4951</v>
      </c>
      <c r="S2920" t="str">
        <f t="shared" si="136"/>
        <v>Senior</v>
      </c>
      <c r="T2920" t="str">
        <f t="shared" si="137"/>
        <v>Low</v>
      </c>
      <c r="U2920" t="str">
        <f t="shared" si="138"/>
        <v>Short Days</v>
      </c>
    </row>
    <row r="2921" spans="1:21">
      <c r="A2921" t="s">
        <v>2937</v>
      </c>
      <c r="B2921" s="5">
        <v>45795</v>
      </c>
      <c r="C2921" t="s">
        <v>4567</v>
      </c>
      <c r="D2921" t="s">
        <v>4858</v>
      </c>
      <c r="E2921" t="s">
        <v>4866</v>
      </c>
      <c r="F2921">
        <v>14</v>
      </c>
      <c r="G2921" t="s">
        <v>4879</v>
      </c>
      <c r="H2921" t="s">
        <v>4888</v>
      </c>
      <c r="I2921" t="s">
        <v>4894</v>
      </c>
      <c r="J2921" t="s">
        <v>4910</v>
      </c>
      <c r="K2921" t="s">
        <v>4927</v>
      </c>
      <c r="L2921" t="s">
        <v>4934</v>
      </c>
      <c r="M2921" t="s">
        <v>4944</v>
      </c>
      <c r="N2921" s="11">
        <v>7431.27</v>
      </c>
      <c r="O2921" t="s">
        <v>4949</v>
      </c>
      <c r="P2921" t="s">
        <v>4951</v>
      </c>
      <c r="R2921">
        <v>30</v>
      </c>
      <c r="S2921" t="str">
        <f t="shared" si="136"/>
        <v>Child</v>
      </c>
      <c r="T2921" t="str">
        <f t="shared" si="137"/>
        <v>Medium</v>
      </c>
      <c r="U2921" t="str">
        <f t="shared" si="138"/>
        <v>Short Days</v>
      </c>
    </row>
    <row r="2922" spans="1:21">
      <c r="A2922" t="s">
        <v>2938</v>
      </c>
      <c r="B2922" s="5">
        <v>45676</v>
      </c>
      <c r="C2922" t="s">
        <v>3110</v>
      </c>
      <c r="D2922" t="s">
        <v>4862</v>
      </c>
      <c r="E2922" t="s">
        <v>4867</v>
      </c>
      <c r="F2922">
        <v>82</v>
      </c>
      <c r="G2922" t="s">
        <v>4876</v>
      </c>
      <c r="H2922" t="s">
        <v>4888</v>
      </c>
      <c r="I2922" t="s">
        <v>4899</v>
      </c>
      <c r="J2922" t="s">
        <v>4912</v>
      </c>
      <c r="K2922" t="s">
        <v>4932</v>
      </c>
      <c r="L2922" t="s">
        <v>4940</v>
      </c>
      <c r="M2922" t="s">
        <v>4945</v>
      </c>
      <c r="N2922" s="11">
        <v>7270.08</v>
      </c>
      <c r="O2922" t="s">
        <v>4946</v>
      </c>
      <c r="P2922" t="s">
        <v>4951</v>
      </c>
      <c r="Q2922">
        <v>7</v>
      </c>
      <c r="S2922" t="str">
        <f t="shared" si="136"/>
        <v>Senior</v>
      </c>
      <c r="T2922" t="str">
        <f t="shared" si="137"/>
        <v>Medium</v>
      </c>
      <c r="U2922" t="str">
        <f t="shared" si="138"/>
        <v>Long Days</v>
      </c>
    </row>
    <row r="2923" spans="1:21">
      <c r="A2923" t="s">
        <v>2939</v>
      </c>
      <c r="B2923" s="5">
        <v>45613</v>
      </c>
      <c r="C2923" t="s">
        <v>3823</v>
      </c>
      <c r="D2923" t="s">
        <v>4733</v>
      </c>
      <c r="E2923" t="s">
        <v>4866</v>
      </c>
      <c r="F2923">
        <v>53</v>
      </c>
      <c r="G2923" t="s">
        <v>4877</v>
      </c>
      <c r="H2923" t="s">
        <v>4888</v>
      </c>
      <c r="I2923" t="s">
        <v>4898</v>
      </c>
      <c r="J2923" t="s">
        <v>4909</v>
      </c>
      <c r="K2923" t="s">
        <v>4933</v>
      </c>
      <c r="L2923" t="s">
        <v>4940</v>
      </c>
      <c r="M2923" t="s">
        <v>4942</v>
      </c>
      <c r="N2923" s="11">
        <v>2341.88</v>
      </c>
      <c r="O2923" t="s">
        <v>4947</v>
      </c>
      <c r="P2923" t="s">
        <v>4951</v>
      </c>
      <c r="S2923" t="str">
        <f t="shared" si="136"/>
        <v>Middle-Aged</v>
      </c>
      <c r="T2923" t="str">
        <f t="shared" si="137"/>
        <v>Low</v>
      </c>
      <c r="U2923" t="str">
        <f t="shared" si="138"/>
        <v>Short Days</v>
      </c>
    </row>
    <row r="2924" spans="1:21">
      <c r="A2924" t="s">
        <v>2940</v>
      </c>
      <c r="B2924" s="5">
        <v>45829</v>
      </c>
      <c r="C2924" t="s">
        <v>3909</v>
      </c>
      <c r="D2924" t="s">
        <v>4825</v>
      </c>
      <c r="E2924" t="s">
        <v>4867</v>
      </c>
      <c r="F2924">
        <v>23</v>
      </c>
      <c r="G2924" t="s">
        <v>4873</v>
      </c>
      <c r="H2924" t="s">
        <v>4888</v>
      </c>
      <c r="I2924" t="s">
        <v>4900</v>
      </c>
      <c r="J2924" t="s">
        <v>4919</v>
      </c>
      <c r="K2924" t="s">
        <v>4925</v>
      </c>
      <c r="L2924" t="s">
        <v>4936</v>
      </c>
      <c r="M2924" t="s">
        <v>4945</v>
      </c>
      <c r="N2924" s="11">
        <v>11763.83</v>
      </c>
      <c r="O2924" t="s">
        <v>15</v>
      </c>
      <c r="P2924" t="s">
        <v>4952</v>
      </c>
      <c r="Q2924">
        <v>6</v>
      </c>
      <c r="R2924">
        <v>7</v>
      </c>
      <c r="S2924" t="str">
        <f t="shared" si="136"/>
        <v>Adult</v>
      </c>
      <c r="T2924" t="str">
        <f t="shared" si="137"/>
        <v>High</v>
      </c>
      <c r="U2924" t="str">
        <f t="shared" si="138"/>
        <v>Long Days</v>
      </c>
    </row>
    <row r="2925" spans="1:21">
      <c r="A2925" t="s">
        <v>2941</v>
      </c>
      <c r="B2925" s="5">
        <v>45826</v>
      </c>
      <c r="C2925" t="s">
        <v>3465</v>
      </c>
      <c r="D2925" t="s">
        <v>4607</v>
      </c>
      <c r="E2925" t="s">
        <v>4866</v>
      </c>
      <c r="F2925">
        <v>47</v>
      </c>
      <c r="G2925" t="s">
        <v>4873</v>
      </c>
      <c r="H2925" t="s">
        <v>4888</v>
      </c>
      <c r="I2925" t="s">
        <v>4896</v>
      </c>
      <c r="J2925" t="s">
        <v>4906</v>
      </c>
      <c r="K2925" t="s">
        <v>4932</v>
      </c>
      <c r="L2925" t="s">
        <v>4934</v>
      </c>
      <c r="M2925" t="s">
        <v>4942</v>
      </c>
      <c r="N2925" s="11">
        <v>5447.73</v>
      </c>
      <c r="O2925" t="s">
        <v>4949</v>
      </c>
      <c r="P2925" t="s">
        <v>4951</v>
      </c>
      <c r="R2925">
        <v>7</v>
      </c>
      <c r="S2925" t="str">
        <f t="shared" si="136"/>
        <v>Middle-Aged</v>
      </c>
      <c r="T2925" t="str">
        <f t="shared" si="137"/>
        <v>Medium</v>
      </c>
      <c r="U2925" t="str">
        <f t="shared" si="138"/>
        <v>Short Days</v>
      </c>
    </row>
    <row r="2926" spans="1:21">
      <c r="A2926" t="s">
        <v>2942</v>
      </c>
      <c r="B2926" s="5">
        <v>45919</v>
      </c>
      <c r="C2926" t="s">
        <v>3040</v>
      </c>
      <c r="D2926" t="s">
        <v>4689</v>
      </c>
      <c r="E2926" t="s">
        <v>4867</v>
      </c>
      <c r="F2926">
        <f>AVERAGE(F2919,F2925)</f>
        <v>33</v>
      </c>
      <c r="G2926" t="s">
        <v>4881</v>
      </c>
      <c r="H2926" t="s">
        <v>4885</v>
      </c>
      <c r="I2926" t="s">
        <v>4900</v>
      </c>
      <c r="J2926" t="s">
        <v>4913</v>
      </c>
      <c r="K2926" t="s">
        <v>4953</v>
      </c>
      <c r="L2926" t="s">
        <v>4935</v>
      </c>
      <c r="M2926" t="s">
        <v>4944</v>
      </c>
      <c r="N2926" s="11">
        <v>13407.51</v>
      </c>
      <c r="O2926" t="s">
        <v>4948</v>
      </c>
      <c r="P2926" t="s">
        <v>4951</v>
      </c>
      <c r="R2926">
        <v>7</v>
      </c>
      <c r="S2926" t="str">
        <f t="shared" si="136"/>
        <v>Adult</v>
      </c>
      <c r="T2926" t="str">
        <f t="shared" si="137"/>
        <v>High</v>
      </c>
      <c r="U2926" t="str">
        <f t="shared" si="138"/>
        <v>Short Days</v>
      </c>
    </row>
    <row r="2927" spans="1:21">
      <c r="A2927" t="s">
        <v>2943</v>
      </c>
      <c r="B2927" s="5">
        <v>45448</v>
      </c>
      <c r="C2927" t="s">
        <v>3136</v>
      </c>
      <c r="D2927" t="s">
        <v>4791</v>
      </c>
      <c r="E2927" t="s">
        <v>4867</v>
      </c>
      <c r="F2927">
        <v>34</v>
      </c>
      <c r="G2927" t="s">
        <v>4876</v>
      </c>
      <c r="H2927" t="s">
        <v>4888</v>
      </c>
      <c r="I2927" t="s">
        <v>4902</v>
      </c>
      <c r="J2927" t="s">
        <v>4916</v>
      </c>
      <c r="K2927" t="s">
        <v>4933</v>
      </c>
      <c r="L2927" t="s">
        <v>4937</v>
      </c>
      <c r="M2927" t="s">
        <v>4942</v>
      </c>
      <c r="N2927" s="11">
        <v>717.63</v>
      </c>
      <c r="O2927" t="s">
        <v>15</v>
      </c>
      <c r="P2927" t="s">
        <v>4952</v>
      </c>
      <c r="S2927" t="str">
        <f t="shared" si="136"/>
        <v>Adult</v>
      </c>
      <c r="T2927" t="str">
        <f t="shared" si="137"/>
        <v>Low</v>
      </c>
      <c r="U2927" t="str">
        <f t="shared" si="138"/>
        <v>Short Days</v>
      </c>
    </row>
    <row r="2928" spans="1:21">
      <c r="A2928" t="s">
        <v>2944</v>
      </c>
      <c r="B2928" s="5">
        <v>45727</v>
      </c>
      <c r="C2928" t="s">
        <v>4568</v>
      </c>
      <c r="D2928" t="s">
        <v>4655</v>
      </c>
      <c r="E2928" t="s">
        <v>4866</v>
      </c>
      <c r="F2928">
        <v>28</v>
      </c>
      <c r="G2928" t="s">
        <v>4882</v>
      </c>
      <c r="H2928" t="s">
        <v>4891</v>
      </c>
      <c r="I2928" t="s">
        <v>4893</v>
      </c>
      <c r="J2928" t="s">
        <v>4903</v>
      </c>
      <c r="K2928" t="s">
        <v>4930</v>
      </c>
      <c r="L2928" t="s">
        <v>4935</v>
      </c>
      <c r="M2928" t="s">
        <v>4942</v>
      </c>
      <c r="N2928" s="11">
        <v>29986.41</v>
      </c>
      <c r="O2928" t="s">
        <v>4947</v>
      </c>
      <c r="P2928" t="s">
        <v>4951</v>
      </c>
      <c r="S2928" t="str">
        <f t="shared" si="136"/>
        <v>Adult</v>
      </c>
      <c r="T2928" t="str">
        <f t="shared" si="137"/>
        <v>High</v>
      </c>
      <c r="U2928" t="str">
        <f t="shared" si="138"/>
        <v>Short Days</v>
      </c>
    </row>
    <row r="2929" spans="1:21">
      <c r="A2929" t="s">
        <v>2945</v>
      </c>
      <c r="B2929" s="5">
        <v>45871</v>
      </c>
      <c r="C2929" t="s">
        <v>3041</v>
      </c>
      <c r="D2929" t="s">
        <v>4637</v>
      </c>
      <c r="E2929" t="s">
        <v>4866</v>
      </c>
      <c r="F2929">
        <v>42</v>
      </c>
      <c r="G2929" t="s">
        <v>4876</v>
      </c>
      <c r="H2929" t="s">
        <v>4888</v>
      </c>
      <c r="I2929" t="s">
        <v>4897</v>
      </c>
      <c r="J2929" t="s">
        <v>4907</v>
      </c>
      <c r="K2929" t="s">
        <v>4926</v>
      </c>
      <c r="L2929" t="s">
        <v>4937</v>
      </c>
      <c r="M2929" t="s">
        <v>4942</v>
      </c>
      <c r="N2929" s="11">
        <v>3502.64</v>
      </c>
      <c r="O2929" t="s">
        <v>4946</v>
      </c>
      <c r="P2929" t="s">
        <v>4951</v>
      </c>
      <c r="R2929">
        <v>30</v>
      </c>
      <c r="S2929" t="str">
        <f t="shared" si="136"/>
        <v>Middle-Aged</v>
      </c>
      <c r="T2929" t="str">
        <f t="shared" si="137"/>
        <v>Low</v>
      </c>
      <c r="U2929" t="str">
        <f t="shared" si="138"/>
        <v>Short Days</v>
      </c>
    </row>
    <row r="2930" spans="1:21">
      <c r="A2930" t="s">
        <v>2946</v>
      </c>
      <c r="B2930" s="5">
        <v>45446</v>
      </c>
      <c r="C2930" t="s">
        <v>3396</v>
      </c>
      <c r="D2930" t="s">
        <v>4772</v>
      </c>
      <c r="E2930" t="s">
        <v>4867</v>
      </c>
      <c r="F2930">
        <v>30</v>
      </c>
      <c r="G2930" t="s">
        <v>4872</v>
      </c>
      <c r="H2930" t="s">
        <v>4887</v>
      </c>
      <c r="I2930" t="s">
        <v>4900</v>
      </c>
      <c r="J2930" t="s">
        <v>4913</v>
      </c>
      <c r="K2930" t="s">
        <v>4925</v>
      </c>
      <c r="L2930" t="s">
        <v>4939</v>
      </c>
      <c r="M2930" t="s">
        <v>4942</v>
      </c>
      <c r="N2930" s="11">
        <v>4356.18</v>
      </c>
      <c r="O2930" t="s">
        <v>4946</v>
      </c>
      <c r="P2930" t="s">
        <v>4951</v>
      </c>
      <c r="R2930">
        <v>14</v>
      </c>
      <c r="S2930" t="str">
        <f t="shared" si="136"/>
        <v>Adult</v>
      </c>
      <c r="T2930" t="str">
        <f t="shared" si="137"/>
        <v>Low</v>
      </c>
      <c r="U2930" t="str">
        <f t="shared" si="138"/>
        <v>Short Days</v>
      </c>
    </row>
    <row r="2931" spans="1:21">
      <c r="A2931" t="s">
        <v>2947</v>
      </c>
      <c r="B2931" s="5">
        <v>45888</v>
      </c>
      <c r="C2931" t="s">
        <v>4247</v>
      </c>
      <c r="D2931" t="s">
        <v>4830</v>
      </c>
      <c r="E2931" t="s">
        <v>4867</v>
      </c>
      <c r="F2931">
        <v>32</v>
      </c>
      <c r="G2931" t="s">
        <v>4870</v>
      </c>
      <c r="H2931" t="s">
        <v>4885</v>
      </c>
      <c r="I2931" t="s">
        <v>4898</v>
      </c>
      <c r="J2931" t="s">
        <v>4918</v>
      </c>
      <c r="K2931" t="s">
        <v>4932</v>
      </c>
      <c r="L2931" t="s">
        <v>4937</v>
      </c>
      <c r="M2931" t="s">
        <v>4942</v>
      </c>
      <c r="N2931" s="11">
        <v>457.57</v>
      </c>
      <c r="O2931" t="s">
        <v>15</v>
      </c>
      <c r="P2931" t="s">
        <v>4952</v>
      </c>
      <c r="R2931">
        <v>30</v>
      </c>
      <c r="S2931" t="str">
        <f t="shared" si="136"/>
        <v>Adult</v>
      </c>
      <c r="T2931" t="str">
        <f t="shared" si="137"/>
        <v>Low</v>
      </c>
      <c r="U2931" t="str">
        <f t="shared" si="138"/>
        <v>Short Days</v>
      </c>
    </row>
    <row r="2932" spans="1:21">
      <c r="A2932" t="s">
        <v>2948</v>
      </c>
      <c r="B2932" s="5">
        <v>45397</v>
      </c>
      <c r="C2932" t="s">
        <v>3810</v>
      </c>
      <c r="D2932" t="s">
        <v>4808</v>
      </c>
      <c r="E2932" t="s">
        <v>4867</v>
      </c>
      <c r="F2932">
        <v>47</v>
      </c>
      <c r="G2932" t="s">
        <v>4871</v>
      </c>
      <c r="H2932" t="s">
        <v>4886</v>
      </c>
      <c r="I2932" t="s">
        <v>4894</v>
      </c>
      <c r="J2932" t="s">
        <v>4904</v>
      </c>
      <c r="K2932" t="s">
        <v>4932</v>
      </c>
      <c r="L2932" t="s">
        <v>4937</v>
      </c>
      <c r="M2932" t="s">
        <v>4942</v>
      </c>
      <c r="N2932" s="11">
        <v>1639.77</v>
      </c>
      <c r="O2932" t="s">
        <v>4948</v>
      </c>
      <c r="P2932" t="s">
        <v>4951</v>
      </c>
      <c r="R2932">
        <v>7</v>
      </c>
      <c r="S2932" t="str">
        <f t="shared" si="136"/>
        <v>Middle-Aged</v>
      </c>
      <c r="T2932" t="str">
        <f t="shared" si="137"/>
        <v>Low</v>
      </c>
      <c r="U2932" t="str">
        <f t="shared" si="138"/>
        <v>Short Days</v>
      </c>
    </row>
    <row r="2933" spans="1:21">
      <c r="A2933" t="s">
        <v>2949</v>
      </c>
      <c r="B2933" s="5">
        <v>45907</v>
      </c>
      <c r="C2933" t="s">
        <v>4569</v>
      </c>
      <c r="D2933" t="s">
        <v>4725</v>
      </c>
      <c r="E2933" t="s">
        <v>4866</v>
      </c>
      <c r="F2933">
        <v>80</v>
      </c>
      <c r="G2933" t="s">
        <v>4873</v>
      </c>
      <c r="H2933" t="s">
        <v>4888</v>
      </c>
      <c r="I2933" t="s">
        <v>4898</v>
      </c>
      <c r="J2933" t="s">
        <v>4918</v>
      </c>
      <c r="K2933" t="s">
        <v>4929</v>
      </c>
      <c r="L2933" t="s">
        <v>4941</v>
      </c>
      <c r="M2933" t="s">
        <v>4942</v>
      </c>
      <c r="N2933" s="11">
        <v>3104.9</v>
      </c>
      <c r="O2933" t="s">
        <v>4948</v>
      </c>
      <c r="P2933" t="s">
        <v>4951</v>
      </c>
      <c r="S2933" t="str">
        <f t="shared" si="136"/>
        <v>Senior</v>
      </c>
      <c r="T2933" t="str">
        <f t="shared" si="137"/>
        <v>Low</v>
      </c>
      <c r="U2933" t="str">
        <f t="shared" si="138"/>
        <v>Short Days</v>
      </c>
    </row>
    <row r="2934" spans="1:21">
      <c r="A2934" t="s">
        <v>2950</v>
      </c>
      <c r="B2934" s="5">
        <v>45570</v>
      </c>
      <c r="C2934" t="s">
        <v>3958</v>
      </c>
      <c r="D2934" t="s">
        <v>4822</v>
      </c>
      <c r="E2934" t="s">
        <v>4866</v>
      </c>
      <c r="F2934">
        <v>34</v>
      </c>
      <c r="G2934" t="s">
        <v>4883</v>
      </c>
      <c r="H2934" t="s">
        <v>4892</v>
      </c>
      <c r="I2934" t="s">
        <v>4898</v>
      </c>
      <c r="J2934" t="s">
        <v>4918</v>
      </c>
      <c r="K2934" t="s">
        <v>4925</v>
      </c>
      <c r="L2934" t="s">
        <v>4937</v>
      </c>
      <c r="M2934" t="s">
        <v>4942</v>
      </c>
      <c r="N2934" s="11">
        <v>84.45</v>
      </c>
      <c r="O2934" t="s">
        <v>4946</v>
      </c>
      <c r="P2934" t="s">
        <v>4951</v>
      </c>
      <c r="S2934" t="str">
        <f t="shared" si="136"/>
        <v>Adult</v>
      </c>
      <c r="T2934" t="str">
        <f t="shared" si="137"/>
        <v>Low</v>
      </c>
      <c r="U2934" t="str">
        <f t="shared" si="138"/>
        <v>Short Days</v>
      </c>
    </row>
    <row r="2935" spans="1:21">
      <c r="A2935" t="s">
        <v>2951</v>
      </c>
      <c r="B2935" s="5">
        <v>45586</v>
      </c>
      <c r="C2935" t="s">
        <v>3147</v>
      </c>
      <c r="D2935" t="s">
        <v>4751</v>
      </c>
      <c r="E2935" t="s">
        <v>4866</v>
      </c>
      <c r="F2935">
        <v>62</v>
      </c>
      <c r="G2935" t="s">
        <v>4870</v>
      </c>
      <c r="H2935" t="s">
        <v>4885</v>
      </c>
      <c r="I2935" t="s">
        <v>4897</v>
      </c>
      <c r="J2935" t="s">
        <v>4922</v>
      </c>
      <c r="K2935" t="s">
        <v>4926</v>
      </c>
      <c r="L2935" t="s">
        <v>4939</v>
      </c>
      <c r="M2935" t="s">
        <v>4942</v>
      </c>
      <c r="N2935" s="11">
        <v>2029.81</v>
      </c>
      <c r="O2935" t="s">
        <v>4947</v>
      </c>
      <c r="P2935" t="s">
        <v>4951</v>
      </c>
      <c r="S2935" t="str">
        <f t="shared" si="136"/>
        <v>Senior</v>
      </c>
      <c r="T2935" t="str">
        <f t="shared" si="137"/>
        <v>Low</v>
      </c>
      <c r="U2935" t="str">
        <f t="shared" si="138"/>
        <v>Short Days</v>
      </c>
    </row>
    <row r="2936" spans="1:21">
      <c r="A2936" t="s">
        <v>2952</v>
      </c>
      <c r="B2936" s="5">
        <v>45907</v>
      </c>
      <c r="C2936" t="s">
        <v>3212</v>
      </c>
      <c r="D2936" t="s">
        <v>4808</v>
      </c>
      <c r="E2936" t="s">
        <v>4866</v>
      </c>
      <c r="F2936">
        <v>51</v>
      </c>
      <c r="G2936" t="s">
        <v>4876</v>
      </c>
      <c r="H2936" t="s">
        <v>4888</v>
      </c>
      <c r="I2936" t="s">
        <v>4897</v>
      </c>
      <c r="J2936" t="s">
        <v>4907</v>
      </c>
      <c r="K2936" t="s">
        <v>4927</v>
      </c>
      <c r="L2936" t="s">
        <v>4934</v>
      </c>
      <c r="M2936" t="s">
        <v>4943</v>
      </c>
      <c r="N2936" s="11">
        <v>6615.06</v>
      </c>
      <c r="O2936" t="s">
        <v>4948</v>
      </c>
      <c r="P2936" t="s">
        <v>4951</v>
      </c>
      <c r="R2936">
        <v>90</v>
      </c>
      <c r="S2936" t="str">
        <f t="shared" si="136"/>
        <v>Middle-Aged</v>
      </c>
      <c r="T2936" t="str">
        <f t="shared" si="137"/>
        <v>Medium</v>
      </c>
      <c r="U2936" t="str">
        <f t="shared" si="138"/>
        <v>Short Days</v>
      </c>
    </row>
    <row r="2937" spans="1:21">
      <c r="A2937" t="s">
        <v>2953</v>
      </c>
      <c r="B2937" s="5">
        <v>45358</v>
      </c>
      <c r="C2937" t="s">
        <v>4570</v>
      </c>
      <c r="D2937" t="s">
        <v>4678</v>
      </c>
      <c r="E2937" t="s">
        <v>4867</v>
      </c>
      <c r="F2937">
        <v>25</v>
      </c>
      <c r="G2937" t="s">
        <v>4878</v>
      </c>
      <c r="H2937" t="s">
        <v>4889</v>
      </c>
      <c r="I2937" t="s">
        <v>4900</v>
      </c>
      <c r="J2937" t="s">
        <v>4913</v>
      </c>
      <c r="K2937" t="s">
        <v>4924</v>
      </c>
      <c r="L2937" t="s">
        <v>4936</v>
      </c>
      <c r="M2937" t="s">
        <v>4942</v>
      </c>
      <c r="N2937" s="11">
        <v>872.47</v>
      </c>
      <c r="O2937" t="s">
        <v>4950</v>
      </c>
      <c r="P2937" t="s">
        <v>4951</v>
      </c>
      <c r="R2937">
        <v>7</v>
      </c>
      <c r="S2937" t="str">
        <f t="shared" si="136"/>
        <v>Adult</v>
      </c>
      <c r="T2937" t="str">
        <f t="shared" si="137"/>
        <v>Low</v>
      </c>
      <c r="U2937" t="str">
        <f t="shared" si="138"/>
        <v>Short Days</v>
      </c>
    </row>
    <row r="2938" spans="1:21">
      <c r="A2938" t="s">
        <v>2954</v>
      </c>
      <c r="B2938" s="5">
        <v>45617</v>
      </c>
      <c r="C2938" t="s">
        <v>4571</v>
      </c>
      <c r="D2938" t="s">
        <v>4728</v>
      </c>
      <c r="E2938" t="s">
        <v>4866</v>
      </c>
      <c r="F2938">
        <v>33</v>
      </c>
      <c r="G2938" t="s">
        <v>4869</v>
      </c>
      <c r="H2938" t="s">
        <v>4884</v>
      </c>
      <c r="I2938" t="s">
        <v>4898</v>
      </c>
      <c r="J2938" t="s">
        <v>4909</v>
      </c>
      <c r="K2938" t="s">
        <v>4926</v>
      </c>
      <c r="L2938" t="s">
        <v>4934</v>
      </c>
      <c r="M2938" t="s">
        <v>4942</v>
      </c>
      <c r="N2938" s="11">
        <v>4037.84</v>
      </c>
      <c r="O2938" t="s">
        <v>4946</v>
      </c>
      <c r="P2938" t="s">
        <v>4951</v>
      </c>
      <c r="R2938">
        <v>14</v>
      </c>
      <c r="S2938" t="str">
        <f t="shared" si="136"/>
        <v>Adult</v>
      </c>
      <c r="T2938" t="str">
        <f t="shared" si="137"/>
        <v>Low</v>
      </c>
      <c r="U2938" t="str">
        <f t="shared" si="138"/>
        <v>Short Days</v>
      </c>
    </row>
    <row r="2939" spans="1:21">
      <c r="A2939" t="s">
        <v>2955</v>
      </c>
      <c r="B2939" s="5">
        <v>45495</v>
      </c>
      <c r="C2939" t="s">
        <v>3482</v>
      </c>
      <c r="D2939" t="s">
        <v>4605</v>
      </c>
      <c r="E2939" t="s">
        <v>4867</v>
      </c>
      <c r="F2939">
        <v>55</v>
      </c>
      <c r="G2939" t="s">
        <v>4871</v>
      </c>
      <c r="H2939" t="s">
        <v>4886</v>
      </c>
      <c r="I2939" t="s">
        <v>4899</v>
      </c>
      <c r="J2939" t="s">
        <v>4912</v>
      </c>
      <c r="K2939" t="s">
        <v>4931</v>
      </c>
      <c r="L2939" t="s">
        <v>4940</v>
      </c>
      <c r="M2939" t="s">
        <v>4944</v>
      </c>
      <c r="N2939" s="11">
        <v>10055.91</v>
      </c>
      <c r="O2939" t="s">
        <v>4946</v>
      </c>
      <c r="P2939" t="s">
        <v>4951</v>
      </c>
      <c r="R2939">
        <v>30</v>
      </c>
      <c r="S2939" t="str">
        <f t="shared" si="136"/>
        <v>Middle-Aged</v>
      </c>
      <c r="T2939" t="str">
        <f t="shared" si="137"/>
        <v>High</v>
      </c>
      <c r="U2939" t="str">
        <f t="shared" si="138"/>
        <v>Short Days</v>
      </c>
    </row>
    <row r="2940" spans="1:21">
      <c r="A2940" t="s">
        <v>2956</v>
      </c>
      <c r="B2940" s="5">
        <v>45364</v>
      </c>
      <c r="C2940" t="s">
        <v>3923</v>
      </c>
      <c r="D2940" t="s">
        <v>4590</v>
      </c>
      <c r="E2940" t="s">
        <v>4867</v>
      </c>
      <c r="F2940">
        <v>44</v>
      </c>
      <c r="G2940" t="s">
        <v>4871</v>
      </c>
      <c r="H2940" t="s">
        <v>4886</v>
      </c>
      <c r="I2940" t="s">
        <v>4898</v>
      </c>
      <c r="J2940" t="s">
        <v>4918</v>
      </c>
      <c r="K2940" t="s">
        <v>4926</v>
      </c>
      <c r="L2940" t="s">
        <v>4936</v>
      </c>
      <c r="M2940" t="s">
        <v>4944</v>
      </c>
      <c r="N2940" s="11">
        <v>16401.810000000001</v>
      </c>
      <c r="O2940" t="s">
        <v>4947</v>
      </c>
      <c r="P2940" t="s">
        <v>4951</v>
      </c>
      <c r="S2940" t="str">
        <f t="shared" si="136"/>
        <v>Middle-Aged</v>
      </c>
      <c r="T2940" t="str">
        <f t="shared" si="137"/>
        <v>High</v>
      </c>
      <c r="U2940" t="str">
        <f t="shared" si="138"/>
        <v>Short Days</v>
      </c>
    </row>
    <row r="2941" spans="1:21">
      <c r="A2941" t="s">
        <v>2957</v>
      </c>
      <c r="B2941" s="5">
        <v>45637</v>
      </c>
      <c r="C2941" t="s">
        <v>4572</v>
      </c>
      <c r="D2941" t="s">
        <v>4601</v>
      </c>
      <c r="E2941" t="s">
        <v>4866</v>
      </c>
      <c r="F2941">
        <v>57</v>
      </c>
      <c r="G2941" t="s">
        <v>4877</v>
      </c>
      <c r="H2941" t="s">
        <v>4888</v>
      </c>
      <c r="I2941" t="s">
        <v>4901</v>
      </c>
      <c r="J2941" t="s">
        <v>4914</v>
      </c>
      <c r="K2941" t="s">
        <v>4933</v>
      </c>
      <c r="L2941" t="s">
        <v>4935</v>
      </c>
      <c r="M2941" t="s">
        <v>4942</v>
      </c>
      <c r="N2941" s="11">
        <v>4057.17</v>
      </c>
      <c r="O2941" t="s">
        <v>15</v>
      </c>
      <c r="P2941" t="s">
        <v>4952</v>
      </c>
      <c r="S2941" t="str">
        <f t="shared" si="136"/>
        <v>Middle-Aged</v>
      </c>
      <c r="T2941" t="str">
        <f t="shared" si="137"/>
        <v>Low</v>
      </c>
      <c r="U2941" t="str">
        <f t="shared" si="138"/>
        <v>Short Days</v>
      </c>
    </row>
    <row r="2942" spans="1:21">
      <c r="A2942" t="s">
        <v>2958</v>
      </c>
      <c r="B2942" s="5">
        <v>45397</v>
      </c>
      <c r="C2942" t="s">
        <v>3643</v>
      </c>
      <c r="D2942" t="s">
        <v>4623</v>
      </c>
      <c r="E2942" t="s">
        <v>4867</v>
      </c>
      <c r="F2942">
        <v>60</v>
      </c>
      <c r="G2942" t="s">
        <v>4876</v>
      </c>
      <c r="H2942" t="s">
        <v>4888</v>
      </c>
      <c r="I2942" t="s">
        <v>4898</v>
      </c>
      <c r="J2942" t="s">
        <v>4909</v>
      </c>
      <c r="K2942" t="s">
        <v>4933</v>
      </c>
      <c r="L2942" t="s">
        <v>4938</v>
      </c>
      <c r="M2942" t="s">
        <v>4942</v>
      </c>
      <c r="N2942" s="11">
        <v>2797.85</v>
      </c>
      <c r="O2942" t="s">
        <v>4949</v>
      </c>
      <c r="P2942" t="s">
        <v>4951</v>
      </c>
      <c r="R2942">
        <v>90</v>
      </c>
      <c r="S2942" t="str">
        <f t="shared" si="136"/>
        <v>Middle-Aged</v>
      </c>
      <c r="T2942" t="str">
        <f t="shared" si="137"/>
        <v>Low</v>
      </c>
      <c r="U2942" t="str">
        <f t="shared" si="138"/>
        <v>Short Days</v>
      </c>
    </row>
    <row r="2943" spans="1:21">
      <c r="A2943" t="s">
        <v>2959</v>
      </c>
      <c r="B2943" s="5">
        <v>45481</v>
      </c>
      <c r="C2943" t="s">
        <v>4573</v>
      </c>
      <c r="D2943" t="s">
        <v>4595</v>
      </c>
      <c r="E2943" t="s">
        <v>4867</v>
      </c>
      <c r="F2943">
        <v>40</v>
      </c>
      <c r="G2943" t="s">
        <v>4873</v>
      </c>
      <c r="H2943" t="s">
        <v>4888</v>
      </c>
      <c r="I2943" t="s">
        <v>4895</v>
      </c>
      <c r="J2943" t="s">
        <v>4905</v>
      </c>
      <c r="K2943" t="s">
        <v>4924</v>
      </c>
      <c r="L2943" t="s">
        <v>4936</v>
      </c>
      <c r="M2943" t="s">
        <v>4943</v>
      </c>
      <c r="N2943" s="11">
        <v>9536.7000000000007</v>
      </c>
      <c r="O2943" t="s">
        <v>15</v>
      </c>
      <c r="P2943" t="s">
        <v>4952</v>
      </c>
      <c r="R2943">
        <v>90</v>
      </c>
      <c r="S2943" t="str">
        <f t="shared" si="136"/>
        <v>Adult</v>
      </c>
      <c r="T2943" t="str">
        <f t="shared" si="137"/>
        <v>Medium</v>
      </c>
      <c r="U2943" t="str">
        <f t="shared" si="138"/>
        <v>Short Days</v>
      </c>
    </row>
    <row r="2944" spans="1:21">
      <c r="A2944" t="s">
        <v>2960</v>
      </c>
      <c r="B2944" s="5">
        <v>45771</v>
      </c>
      <c r="C2944" t="s">
        <v>3348</v>
      </c>
      <c r="D2944" t="s">
        <v>4650</v>
      </c>
      <c r="E2944" t="s">
        <v>4867</v>
      </c>
      <c r="F2944">
        <v>50</v>
      </c>
      <c r="G2944" t="s">
        <v>4881</v>
      </c>
      <c r="H2944" t="s">
        <v>4881</v>
      </c>
      <c r="I2944" t="s">
        <v>4895</v>
      </c>
      <c r="J2944" t="s">
        <v>4905</v>
      </c>
      <c r="K2944" t="s">
        <v>4925</v>
      </c>
      <c r="L2944" t="s">
        <v>4939</v>
      </c>
      <c r="M2944" t="s">
        <v>4942</v>
      </c>
      <c r="N2944" s="11">
        <v>17516.900000000001</v>
      </c>
      <c r="O2944" t="s">
        <v>4947</v>
      </c>
      <c r="P2944" t="s">
        <v>4951</v>
      </c>
      <c r="R2944">
        <v>14</v>
      </c>
      <c r="S2944" t="str">
        <f t="shared" si="136"/>
        <v>Middle-Aged</v>
      </c>
      <c r="T2944" t="str">
        <f t="shared" si="137"/>
        <v>High</v>
      </c>
      <c r="U2944" t="str">
        <f t="shared" si="138"/>
        <v>Short Days</v>
      </c>
    </row>
    <row r="2945" spans="1:21">
      <c r="A2945" t="s">
        <v>2961</v>
      </c>
      <c r="B2945" s="5">
        <v>45442</v>
      </c>
      <c r="C2945" t="s">
        <v>3321</v>
      </c>
      <c r="D2945" t="s">
        <v>4812</v>
      </c>
      <c r="E2945" t="s">
        <v>4866</v>
      </c>
      <c r="F2945">
        <v>34</v>
      </c>
      <c r="G2945" t="s">
        <v>4883</v>
      </c>
      <c r="H2945" t="s">
        <v>4892</v>
      </c>
      <c r="I2945" t="s">
        <v>4898</v>
      </c>
      <c r="J2945" t="s">
        <v>4909</v>
      </c>
      <c r="K2945" t="s">
        <v>4924</v>
      </c>
      <c r="L2945" t="s">
        <v>4934</v>
      </c>
      <c r="M2945" t="s">
        <v>4944</v>
      </c>
      <c r="N2945" s="11">
        <v>5646.94</v>
      </c>
      <c r="O2945" t="s">
        <v>4947</v>
      </c>
      <c r="P2945" t="s">
        <v>4951</v>
      </c>
      <c r="S2945" t="str">
        <f t="shared" si="136"/>
        <v>Adult</v>
      </c>
      <c r="T2945" t="str">
        <f t="shared" si="137"/>
        <v>Medium</v>
      </c>
      <c r="U2945" t="str">
        <f t="shared" si="138"/>
        <v>Short Days</v>
      </c>
    </row>
    <row r="2946" spans="1:21">
      <c r="A2946" t="s">
        <v>2962</v>
      </c>
      <c r="B2946" s="5">
        <v>45652</v>
      </c>
      <c r="C2946" t="s">
        <v>4574</v>
      </c>
      <c r="D2946" t="s">
        <v>4847</v>
      </c>
      <c r="E2946" t="s">
        <v>4867</v>
      </c>
      <c r="F2946">
        <v>6</v>
      </c>
      <c r="G2946" t="s">
        <v>4874</v>
      </c>
      <c r="H2946" t="s">
        <v>4886</v>
      </c>
      <c r="I2946" t="s">
        <v>4900</v>
      </c>
      <c r="J2946" t="s">
        <v>4913</v>
      </c>
      <c r="K2946" t="s">
        <v>4929</v>
      </c>
      <c r="L2946" t="s">
        <v>4939</v>
      </c>
      <c r="M2946" t="s">
        <v>4945</v>
      </c>
      <c r="N2946" s="11">
        <v>10158.129999999999</v>
      </c>
      <c r="O2946" t="s">
        <v>4947</v>
      </c>
      <c r="P2946" t="s">
        <v>4951</v>
      </c>
      <c r="Q2946">
        <v>8</v>
      </c>
      <c r="R2946">
        <v>30</v>
      </c>
      <c r="S2946" t="str">
        <f t="shared" si="136"/>
        <v>Child</v>
      </c>
      <c r="T2946" t="str">
        <f t="shared" si="137"/>
        <v>High</v>
      </c>
      <c r="U2946" t="str">
        <f t="shared" si="138"/>
        <v>Long Days</v>
      </c>
    </row>
    <row r="2947" spans="1:21">
      <c r="A2947" t="s">
        <v>2963</v>
      </c>
      <c r="B2947" s="5">
        <v>45793</v>
      </c>
      <c r="C2947" t="s">
        <v>3399</v>
      </c>
      <c r="D2947" t="s">
        <v>4823</v>
      </c>
      <c r="E2947" t="s">
        <v>4867</v>
      </c>
      <c r="F2947">
        <v>48</v>
      </c>
      <c r="G2947" t="s">
        <v>4877</v>
      </c>
      <c r="H2947" t="s">
        <v>4888</v>
      </c>
      <c r="I2947" t="s">
        <v>4900</v>
      </c>
      <c r="J2947" t="s">
        <v>4913</v>
      </c>
      <c r="K2947" t="s">
        <v>4925</v>
      </c>
      <c r="L2947" t="s">
        <v>4937</v>
      </c>
      <c r="M2947" t="s">
        <v>4942</v>
      </c>
      <c r="N2947" s="11">
        <v>1086.23</v>
      </c>
      <c r="O2947" t="s">
        <v>4948</v>
      </c>
      <c r="P2947" t="s">
        <v>4951</v>
      </c>
      <c r="R2947">
        <v>14</v>
      </c>
      <c r="S2947" t="str">
        <f t="shared" ref="S2947:S3001" si="139">IF(F2947&lt;18,"Child",IF(F2947&lt;=40,"Adult",IF(F2947&lt;=60,"Middle-Aged",IF(F2947,"Senior"))))</f>
        <v>Middle-Aged</v>
      </c>
      <c r="T2947" t="str">
        <f t="shared" ref="T2947:T3001" si="140">IF(N2947&lt;=5000,"Low",IF(N2947&lt;=10000,"Medium","High"))</f>
        <v>Low</v>
      </c>
      <c r="U2947" t="str">
        <f t="shared" ref="U2947:U3001" si="141">IF(Q2947&lt;=5,"Short Days","Long Days")</f>
        <v>Short Days</v>
      </c>
    </row>
    <row r="2948" spans="1:21">
      <c r="A2948" t="s">
        <v>2964</v>
      </c>
      <c r="B2948" s="5">
        <v>45654</v>
      </c>
      <c r="C2948" t="s">
        <v>4575</v>
      </c>
      <c r="D2948" t="s">
        <v>4739</v>
      </c>
      <c r="E2948" t="s">
        <v>4867</v>
      </c>
      <c r="F2948">
        <v>72</v>
      </c>
      <c r="G2948" t="s">
        <v>4881</v>
      </c>
      <c r="H2948" t="s">
        <v>4881</v>
      </c>
      <c r="I2948" t="s">
        <v>4894</v>
      </c>
      <c r="J2948" t="s">
        <v>4904</v>
      </c>
      <c r="K2948" t="s">
        <v>4929</v>
      </c>
      <c r="L2948" t="s">
        <v>4940</v>
      </c>
      <c r="M2948" t="s">
        <v>4942</v>
      </c>
      <c r="N2948" s="11">
        <v>7283.57</v>
      </c>
      <c r="O2948" t="s">
        <v>4948</v>
      </c>
      <c r="P2948" t="s">
        <v>4951</v>
      </c>
      <c r="S2948" t="str">
        <f t="shared" si="139"/>
        <v>Senior</v>
      </c>
      <c r="T2948" t="str">
        <f t="shared" si="140"/>
        <v>Medium</v>
      </c>
      <c r="U2948" t="str">
        <f t="shared" si="141"/>
        <v>Short Days</v>
      </c>
    </row>
    <row r="2949" spans="1:21">
      <c r="A2949" t="s">
        <v>2965</v>
      </c>
      <c r="B2949" s="5">
        <v>45601</v>
      </c>
      <c r="C2949" t="s">
        <v>3044</v>
      </c>
      <c r="D2949" t="s">
        <v>4722</v>
      </c>
      <c r="E2949" t="s">
        <v>4866</v>
      </c>
      <c r="F2949">
        <v>31</v>
      </c>
      <c r="G2949" t="s">
        <v>4879</v>
      </c>
      <c r="H2949" t="s">
        <v>4888</v>
      </c>
      <c r="I2949" t="s">
        <v>4900</v>
      </c>
      <c r="J2949" t="s">
        <v>4919</v>
      </c>
      <c r="K2949" t="s">
        <v>4930</v>
      </c>
      <c r="L2949" t="s">
        <v>4936</v>
      </c>
      <c r="M2949" t="s">
        <v>4942</v>
      </c>
      <c r="N2949" s="11">
        <v>3466.38</v>
      </c>
      <c r="O2949" t="s">
        <v>4947</v>
      </c>
      <c r="P2949" t="s">
        <v>4951</v>
      </c>
      <c r="R2949">
        <v>7</v>
      </c>
      <c r="S2949" t="str">
        <f t="shared" si="139"/>
        <v>Adult</v>
      </c>
      <c r="T2949" t="str">
        <f t="shared" si="140"/>
        <v>Low</v>
      </c>
      <c r="U2949" t="str">
        <f t="shared" si="141"/>
        <v>Short Days</v>
      </c>
    </row>
    <row r="2950" spans="1:21">
      <c r="A2950" t="s">
        <v>2966</v>
      </c>
      <c r="B2950" s="5">
        <v>45657</v>
      </c>
      <c r="C2950" t="s">
        <v>3720</v>
      </c>
      <c r="D2950" t="s">
        <v>4832</v>
      </c>
      <c r="E2950" t="s">
        <v>4867</v>
      </c>
      <c r="F2950">
        <v>69</v>
      </c>
      <c r="G2950" t="s">
        <v>4875</v>
      </c>
      <c r="H2950" t="s">
        <v>4889</v>
      </c>
      <c r="I2950" t="s">
        <v>4895</v>
      </c>
      <c r="J2950" t="s">
        <v>4905</v>
      </c>
      <c r="K2950" t="s">
        <v>4929</v>
      </c>
      <c r="L2950" t="s">
        <v>4937</v>
      </c>
      <c r="M2950" t="s">
        <v>4942</v>
      </c>
      <c r="N2950" s="11">
        <v>6244.46</v>
      </c>
      <c r="O2950" t="s">
        <v>4949</v>
      </c>
      <c r="P2950" t="s">
        <v>4951</v>
      </c>
      <c r="R2950">
        <v>90</v>
      </c>
      <c r="S2950" t="str">
        <f t="shared" si="139"/>
        <v>Senior</v>
      </c>
      <c r="T2950" t="str">
        <f t="shared" si="140"/>
        <v>Medium</v>
      </c>
      <c r="U2950" t="str">
        <f t="shared" si="141"/>
        <v>Short Days</v>
      </c>
    </row>
    <row r="2951" spans="1:21">
      <c r="A2951" t="s">
        <v>2967</v>
      </c>
      <c r="B2951" s="5">
        <v>45919</v>
      </c>
      <c r="C2951" t="s">
        <v>3042</v>
      </c>
      <c r="D2951" t="s">
        <v>4845</v>
      </c>
      <c r="E2951" t="s">
        <v>4867</v>
      </c>
      <c r="F2951">
        <v>15</v>
      </c>
      <c r="G2951" t="s">
        <v>4878</v>
      </c>
      <c r="H2951" t="s">
        <v>4889</v>
      </c>
      <c r="I2951" t="s">
        <v>4902</v>
      </c>
      <c r="J2951" t="s">
        <v>4916</v>
      </c>
      <c r="K2951" t="s">
        <v>4924</v>
      </c>
      <c r="L2951" t="s">
        <v>4941</v>
      </c>
      <c r="M2951" t="s">
        <v>4945</v>
      </c>
      <c r="N2951" s="11">
        <v>5605.57</v>
      </c>
      <c r="O2951" t="s">
        <v>4949</v>
      </c>
      <c r="P2951" t="s">
        <v>4951</v>
      </c>
      <c r="Q2951">
        <v>6</v>
      </c>
      <c r="R2951">
        <v>90</v>
      </c>
      <c r="S2951" t="str">
        <f t="shared" si="139"/>
        <v>Child</v>
      </c>
      <c r="T2951" t="str">
        <f t="shared" si="140"/>
        <v>Medium</v>
      </c>
      <c r="U2951" t="str">
        <f t="shared" si="141"/>
        <v>Long Days</v>
      </c>
    </row>
    <row r="2952" spans="1:21">
      <c r="A2952" t="s">
        <v>2968</v>
      </c>
      <c r="B2952" s="5">
        <v>45722</v>
      </c>
      <c r="C2952" t="s">
        <v>3128</v>
      </c>
      <c r="D2952" t="s">
        <v>4826</v>
      </c>
      <c r="E2952" t="s">
        <v>4866</v>
      </c>
      <c r="F2952">
        <v>44</v>
      </c>
      <c r="G2952" t="s">
        <v>4874</v>
      </c>
      <c r="H2952" t="s">
        <v>4886</v>
      </c>
      <c r="I2952" t="s">
        <v>4896</v>
      </c>
      <c r="J2952" t="s">
        <v>4906</v>
      </c>
      <c r="K2952" t="s">
        <v>4931</v>
      </c>
      <c r="L2952" t="s">
        <v>4935</v>
      </c>
      <c r="M2952" t="s">
        <v>4942</v>
      </c>
      <c r="N2952" s="11">
        <v>3559.84</v>
      </c>
      <c r="O2952" t="s">
        <v>4946</v>
      </c>
      <c r="P2952" t="s">
        <v>4951</v>
      </c>
      <c r="R2952">
        <v>14</v>
      </c>
      <c r="S2952" t="str">
        <f t="shared" si="139"/>
        <v>Middle-Aged</v>
      </c>
      <c r="T2952" t="str">
        <f t="shared" si="140"/>
        <v>Low</v>
      </c>
      <c r="U2952" t="str">
        <f t="shared" si="141"/>
        <v>Short Days</v>
      </c>
    </row>
    <row r="2953" spans="1:21">
      <c r="A2953" t="s">
        <v>2969</v>
      </c>
      <c r="B2953" s="5">
        <v>45430</v>
      </c>
      <c r="C2953" t="s">
        <v>3299</v>
      </c>
      <c r="D2953" t="s">
        <v>4726</v>
      </c>
      <c r="E2953" t="s">
        <v>4866</v>
      </c>
      <c r="F2953">
        <v>35</v>
      </c>
      <c r="G2953" t="s">
        <v>4872</v>
      </c>
      <c r="H2953" t="s">
        <v>4887</v>
      </c>
      <c r="I2953" t="s">
        <v>4899</v>
      </c>
      <c r="J2953" t="s">
        <v>4911</v>
      </c>
      <c r="K2953" t="s">
        <v>4928</v>
      </c>
      <c r="L2953" t="s">
        <v>4936</v>
      </c>
      <c r="M2953" t="s">
        <v>4942</v>
      </c>
      <c r="N2953" s="11">
        <v>13502.9</v>
      </c>
      <c r="O2953" t="s">
        <v>4948</v>
      </c>
      <c r="P2953" t="s">
        <v>4951</v>
      </c>
      <c r="R2953">
        <v>90</v>
      </c>
      <c r="S2953" t="str">
        <f t="shared" si="139"/>
        <v>Adult</v>
      </c>
      <c r="T2953" t="str">
        <f t="shared" si="140"/>
        <v>High</v>
      </c>
      <c r="U2953" t="str">
        <f t="shared" si="141"/>
        <v>Short Days</v>
      </c>
    </row>
    <row r="2954" spans="1:21">
      <c r="A2954" t="s">
        <v>2970</v>
      </c>
      <c r="B2954" s="5">
        <v>45448</v>
      </c>
      <c r="C2954" t="s">
        <v>4014</v>
      </c>
      <c r="D2954" t="s">
        <v>4802</v>
      </c>
      <c r="E2954" t="s">
        <v>4867</v>
      </c>
      <c r="F2954">
        <v>64</v>
      </c>
      <c r="G2954" t="s">
        <v>4879</v>
      </c>
      <c r="H2954" t="s">
        <v>4888</v>
      </c>
      <c r="I2954" t="s">
        <v>4900</v>
      </c>
      <c r="J2954" t="s">
        <v>4919</v>
      </c>
      <c r="K2954" t="s">
        <v>4931</v>
      </c>
      <c r="L2954" t="s">
        <v>4940</v>
      </c>
      <c r="M2954" t="s">
        <v>4942</v>
      </c>
      <c r="N2954" s="11">
        <v>9498.9599999999991</v>
      </c>
      <c r="O2954" t="s">
        <v>15</v>
      </c>
      <c r="P2954" t="s">
        <v>4952</v>
      </c>
      <c r="S2954" t="str">
        <f t="shared" si="139"/>
        <v>Senior</v>
      </c>
      <c r="T2954" t="str">
        <f t="shared" si="140"/>
        <v>Medium</v>
      </c>
      <c r="U2954" t="str">
        <f t="shared" si="141"/>
        <v>Short Days</v>
      </c>
    </row>
    <row r="2955" spans="1:21">
      <c r="A2955" t="s">
        <v>2971</v>
      </c>
      <c r="B2955" s="5">
        <v>45420</v>
      </c>
      <c r="C2955" t="s">
        <v>4308</v>
      </c>
      <c r="D2955" t="s">
        <v>4638</v>
      </c>
      <c r="E2955" t="s">
        <v>4867</v>
      </c>
      <c r="F2955">
        <v>78</v>
      </c>
      <c r="G2955" t="s">
        <v>4873</v>
      </c>
      <c r="H2955" t="s">
        <v>4888</v>
      </c>
      <c r="I2955" t="s">
        <v>4901</v>
      </c>
      <c r="J2955" t="s">
        <v>4914</v>
      </c>
      <c r="K2955" t="s">
        <v>4933</v>
      </c>
      <c r="L2955" t="s">
        <v>4940</v>
      </c>
      <c r="M2955" t="s">
        <v>4942</v>
      </c>
      <c r="N2955" s="11">
        <v>4255.8</v>
      </c>
      <c r="O2955" t="s">
        <v>4946</v>
      </c>
      <c r="P2955" t="s">
        <v>4951</v>
      </c>
      <c r="S2955" t="str">
        <f t="shared" si="139"/>
        <v>Senior</v>
      </c>
      <c r="T2955" t="str">
        <f t="shared" si="140"/>
        <v>Low</v>
      </c>
      <c r="U2955" t="str">
        <f t="shared" si="141"/>
        <v>Short Days</v>
      </c>
    </row>
    <row r="2956" spans="1:21">
      <c r="A2956" t="s">
        <v>2972</v>
      </c>
      <c r="B2956" s="5">
        <v>45764</v>
      </c>
      <c r="C2956" t="s">
        <v>3135</v>
      </c>
      <c r="D2956" t="s">
        <v>4824</v>
      </c>
      <c r="E2956" t="s">
        <v>4867</v>
      </c>
      <c r="F2956">
        <v>58</v>
      </c>
      <c r="G2956" t="s">
        <v>4876</v>
      </c>
      <c r="H2956" t="s">
        <v>4888</v>
      </c>
      <c r="I2956" t="s">
        <v>4900</v>
      </c>
      <c r="J2956" t="s">
        <v>4913</v>
      </c>
      <c r="K2956" t="s">
        <v>4926</v>
      </c>
      <c r="L2956" t="s">
        <v>4941</v>
      </c>
      <c r="M2956" t="s">
        <v>4945</v>
      </c>
      <c r="N2956" s="11">
        <v>10149.959999999999</v>
      </c>
      <c r="O2956" t="s">
        <v>4947</v>
      </c>
      <c r="P2956" t="s">
        <v>4951</v>
      </c>
      <c r="Q2956">
        <v>5</v>
      </c>
      <c r="R2956">
        <v>30</v>
      </c>
      <c r="S2956" t="str">
        <f t="shared" si="139"/>
        <v>Middle-Aged</v>
      </c>
      <c r="T2956" t="str">
        <f t="shared" si="140"/>
        <v>High</v>
      </c>
      <c r="U2956" t="str">
        <f t="shared" si="141"/>
        <v>Short Days</v>
      </c>
    </row>
    <row r="2957" spans="1:21">
      <c r="A2957" t="s">
        <v>2973</v>
      </c>
      <c r="B2957" s="5">
        <v>45763</v>
      </c>
      <c r="C2957" t="s">
        <v>3692</v>
      </c>
      <c r="D2957" t="s">
        <v>4862</v>
      </c>
      <c r="E2957" t="s">
        <v>4867</v>
      </c>
      <c r="F2957">
        <v>66</v>
      </c>
      <c r="G2957" t="s">
        <v>4881</v>
      </c>
      <c r="H2957" t="s">
        <v>4881</v>
      </c>
      <c r="I2957" t="s">
        <v>4896</v>
      </c>
      <c r="J2957" t="s">
        <v>4908</v>
      </c>
      <c r="K2957" t="s">
        <v>4930</v>
      </c>
      <c r="L2957" t="s">
        <v>4938</v>
      </c>
      <c r="M2957" t="s">
        <v>4942</v>
      </c>
      <c r="N2957" s="11">
        <v>10154.219999999999</v>
      </c>
      <c r="O2957" t="s">
        <v>15</v>
      </c>
      <c r="P2957" t="s">
        <v>4952</v>
      </c>
      <c r="S2957" t="str">
        <f t="shared" si="139"/>
        <v>Senior</v>
      </c>
      <c r="T2957" t="str">
        <f t="shared" si="140"/>
        <v>High</v>
      </c>
      <c r="U2957" t="str">
        <f t="shared" si="141"/>
        <v>Short Days</v>
      </c>
    </row>
    <row r="2958" spans="1:21">
      <c r="A2958" t="s">
        <v>2974</v>
      </c>
      <c r="B2958" s="5">
        <v>45480</v>
      </c>
      <c r="C2958" t="s">
        <v>3262</v>
      </c>
      <c r="D2958" t="s">
        <v>4728</v>
      </c>
      <c r="E2958" t="s">
        <v>4867</v>
      </c>
      <c r="F2958">
        <v>56</v>
      </c>
      <c r="G2958" t="s">
        <v>4871</v>
      </c>
      <c r="H2958" t="s">
        <v>4886</v>
      </c>
      <c r="I2958" t="s">
        <v>4894</v>
      </c>
      <c r="J2958" t="s">
        <v>4904</v>
      </c>
      <c r="K2958" t="s">
        <v>4932</v>
      </c>
      <c r="L2958" t="s">
        <v>4934</v>
      </c>
      <c r="M2958" t="s">
        <v>4944</v>
      </c>
      <c r="N2958" s="11">
        <v>5084.57</v>
      </c>
      <c r="O2958" t="s">
        <v>15</v>
      </c>
      <c r="P2958" t="s">
        <v>4952</v>
      </c>
      <c r="R2958">
        <v>90</v>
      </c>
      <c r="S2958" t="str">
        <f t="shared" si="139"/>
        <v>Middle-Aged</v>
      </c>
      <c r="T2958" t="str">
        <f t="shared" si="140"/>
        <v>Medium</v>
      </c>
      <c r="U2958" t="str">
        <f t="shared" si="141"/>
        <v>Short Days</v>
      </c>
    </row>
    <row r="2959" spans="1:21">
      <c r="A2959" t="s">
        <v>2975</v>
      </c>
      <c r="B2959" s="5">
        <v>45334</v>
      </c>
      <c r="C2959" t="s">
        <v>4576</v>
      </c>
      <c r="D2959" t="s">
        <v>4720</v>
      </c>
      <c r="E2959" t="s">
        <v>4867</v>
      </c>
      <c r="F2959">
        <v>43</v>
      </c>
      <c r="G2959" t="s">
        <v>4879</v>
      </c>
      <c r="H2959" t="s">
        <v>4888</v>
      </c>
      <c r="I2959" t="s">
        <v>4894</v>
      </c>
      <c r="J2959" t="s">
        <v>4904</v>
      </c>
      <c r="K2959" t="s">
        <v>4929</v>
      </c>
      <c r="L2959" t="s">
        <v>4934</v>
      </c>
      <c r="M2959" t="s">
        <v>4942</v>
      </c>
      <c r="N2959" s="11">
        <v>934.1</v>
      </c>
      <c r="O2959" t="s">
        <v>4950</v>
      </c>
      <c r="P2959" t="s">
        <v>4951</v>
      </c>
      <c r="S2959" t="str">
        <f t="shared" si="139"/>
        <v>Middle-Aged</v>
      </c>
      <c r="T2959" t="str">
        <f t="shared" si="140"/>
        <v>Low</v>
      </c>
      <c r="U2959" t="str">
        <f t="shared" si="141"/>
        <v>Short Days</v>
      </c>
    </row>
    <row r="2960" spans="1:21">
      <c r="A2960" t="s">
        <v>2976</v>
      </c>
      <c r="B2960" s="5">
        <v>45392</v>
      </c>
      <c r="C2960" t="s">
        <v>4214</v>
      </c>
      <c r="D2960" t="s">
        <v>4824</v>
      </c>
      <c r="E2960" t="s">
        <v>4867</v>
      </c>
      <c r="F2960">
        <v>41</v>
      </c>
      <c r="G2960" t="s">
        <v>4875</v>
      </c>
      <c r="H2960" t="s">
        <v>4889</v>
      </c>
      <c r="I2960" t="s">
        <v>4895</v>
      </c>
      <c r="J2960" t="s">
        <v>4905</v>
      </c>
      <c r="K2960" t="s">
        <v>4930</v>
      </c>
      <c r="L2960" t="s">
        <v>4939</v>
      </c>
      <c r="M2960" t="s">
        <v>4942</v>
      </c>
      <c r="N2960" s="11">
        <v>811.07</v>
      </c>
      <c r="O2960" t="s">
        <v>4946</v>
      </c>
      <c r="P2960" t="s">
        <v>4951</v>
      </c>
      <c r="S2960" t="str">
        <f t="shared" si="139"/>
        <v>Middle-Aged</v>
      </c>
      <c r="T2960" t="str">
        <f t="shared" si="140"/>
        <v>Low</v>
      </c>
      <c r="U2960" t="str">
        <f t="shared" si="141"/>
        <v>Short Days</v>
      </c>
    </row>
    <row r="2961" spans="1:21">
      <c r="A2961" t="s">
        <v>2977</v>
      </c>
      <c r="B2961" s="5">
        <v>45447</v>
      </c>
      <c r="C2961" t="s">
        <v>4577</v>
      </c>
      <c r="D2961" t="s">
        <v>4647</v>
      </c>
      <c r="E2961" t="s">
        <v>4867</v>
      </c>
      <c r="F2961">
        <v>22</v>
      </c>
      <c r="G2961" t="s">
        <v>4877</v>
      </c>
      <c r="H2961" t="s">
        <v>4888</v>
      </c>
      <c r="I2961" t="s">
        <v>4893</v>
      </c>
      <c r="J2961" t="s">
        <v>4917</v>
      </c>
      <c r="K2961" t="s">
        <v>4925</v>
      </c>
      <c r="L2961" t="s">
        <v>4937</v>
      </c>
      <c r="M2961" t="s">
        <v>4942</v>
      </c>
      <c r="N2961" s="11">
        <v>7849.74</v>
      </c>
      <c r="O2961" t="s">
        <v>4946</v>
      </c>
      <c r="P2961" t="s">
        <v>4951</v>
      </c>
      <c r="R2961">
        <v>90</v>
      </c>
      <c r="S2961" t="str">
        <f t="shared" si="139"/>
        <v>Adult</v>
      </c>
      <c r="T2961" t="str">
        <f t="shared" si="140"/>
        <v>Medium</v>
      </c>
      <c r="U2961" t="str">
        <f t="shared" si="141"/>
        <v>Short Days</v>
      </c>
    </row>
    <row r="2962" spans="1:21">
      <c r="A2962" t="s">
        <v>2978</v>
      </c>
      <c r="B2962" s="5">
        <v>45898</v>
      </c>
      <c r="C2962" t="s">
        <v>4578</v>
      </c>
      <c r="D2962" t="s">
        <v>4666</v>
      </c>
      <c r="E2962" t="s">
        <v>4866</v>
      </c>
      <c r="F2962">
        <v>69</v>
      </c>
      <c r="G2962" t="s">
        <v>4874</v>
      </c>
      <c r="H2962" t="s">
        <v>4886</v>
      </c>
      <c r="I2962" t="s">
        <v>4902</v>
      </c>
      <c r="J2962" t="s">
        <v>4920</v>
      </c>
      <c r="K2962" t="s">
        <v>4928</v>
      </c>
      <c r="L2962" t="s">
        <v>4937</v>
      </c>
      <c r="M2962" t="s">
        <v>4942</v>
      </c>
      <c r="N2962" s="11">
        <v>2051.34</v>
      </c>
      <c r="O2962" t="s">
        <v>4947</v>
      </c>
      <c r="P2962" t="s">
        <v>4951</v>
      </c>
      <c r="S2962" t="str">
        <f t="shared" si="139"/>
        <v>Senior</v>
      </c>
      <c r="T2962" t="str">
        <f t="shared" si="140"/>
        <v>Low</v>
      </c>
      <c r="U2962" t="str">
        <f t="shared" si="141"/>
        <v>Short Days</v>
      </c>
    </row>
    <row r="2963" spans="1:21">
      <c r="A2963" t="s">
        <v>2979</v>
      </c>
      <c r="B2963" s="5">
        <v>45696</v>
      </c>
      <c r="C2963" t="s">
        <v>4579</v>
      </c>
      <c r="D2963" t="s">
        <v>4683</v>
      </c>
      <c r="E2963" t="s">
        <v>4867</v>
      </c>
      <c r="F2963">
        <v>52</v>
      </c>
      <c r="G2963" t="s">
        <v>4876</v>
      </c>
      <c r="H2963" t="s">
        <v>4888</v>
      </c>
      <c r="I2963" t="s">
        <v>4899</v>
      </c>
      <c r="J2963" t="s">
        <v>4912</v>
      </c>
      <c r="K2963" t="s">
        <v>4931</v>
      </c>
      <c r="L2963" t="s">
        <v>4941</v>
      </c>
      <c r="M2963" t="s">
        <v>4942</v>
      </c>
      <c r="N2963" s="11">
        <v>4469.6499999999996</v>
      </c>
      <c r="O2963" t="s">
        <v>4950</v>
      </c>
      <c r="P2963" t="s">
        <v>4951</v>
      </c>
      <c r="R2963">
        <v>30</v>
      </c>
      <c r="S2963" t="str">
        <f t="shared" si="139"/>
        <v>Middle-Aged</v>
      </c>
      <c r="T2963" t="str">
        <f t="shared" si="140"/>
        <v>Low</v>
      </c>
      <c r="U2963" t="str">
        <f t="shared" si="141"/>
        <v>Short Days</v>
      </c>
    </row>
    <row r="2964" spans="1:21">
      <c r="A2964" t="s">
        <v>2980</v>
      </c>
      <c r="B2964" s="5">
        <v>45883</v>
      </c>
      <c r="C2964" t="s">
        <v>3581</v>
      </c>
      <c r="D2964" t="s">
        <v>4647</v>
      </c>
      <c r="E2964" t="s">
        <v>4866</v>
      </c>
      <c r="F2964">
        <v>0</v>
      </c>
      <c r="G2964" t="s">
        <v>4879</v>
      </c>
      <c r="H2964" t="s">
        <v>4888</v>
      </c>
      <c r="I2964" t="s">
        <v>4901</v>
      </c>
      <c r="J2964" t="s">
        <v>4914</v>
      </c>
      <c r="K2964" t="s">
        <v>4927</v>
      </c>
      <c r="L2964" t="s">
        <v>4939</v>
      </c>
      <c r="M2964" t="s">
        <v>4943</v>
      </c>
      <c r="N2964" s="11">
        <v>5038.8</v>
      </c>
      <c r="O2964" t="s">
        <v>4946</v>
      </c>
      <c r="P2964" t="s">
        <v>4951</v>
      </c>
      <c r="R2964">
        <v>30</v>
      </c>
      <c r="S2964" t="str">
        <f t="shared" si="139"/>
        <v>Child</v>
      </c>
      <c r="T2964" t="str">
        <f t="shared" si="140"/>
        <v>Medium</v>
      </c>
      <c r="U2964" t="str">
        <f t="shared" si="141"/>
        <v>Short Days</v>
      </c>
    </row>
    <row r="2965" spans="1:21">
      <c r="A2965" t="s">
        <v>2981</v>
      </c>
      <c r="B2965" s="5">
        <v>45947</v>
      </c>
      <c r="C2965" t="s">
        <v>4580</v>
      </c>
      <c r="D2965" t="s">
        <v>4816</v>
      </c>
      <c r="E2965" t="s">
        <v>4867</v>
      </c>
      <c r="F2965">
        <v>73</v>
      </c>
      <c r="G2965" t="s">
        <v>4873</v>
      </c>
      <c r="H2965" t="s">
        <v>4888</v>
      </c>
      <c r="I2965" t="s">
        <v>4895</v>
      </c>
      <c r="J2965" t="s">
        <v>4905</v>
      </c>
      <c r="K2965" t="s">
        <v>4925</v>
      </c>
      <c r="L2965" t="s">
        <v>4937</v>
      </c>
      <c r="M2965" t="s">
        <v>4945</v>
      </c>
      <c r="N2965" s="11">
        <v>7307.21</v>
      </c>
      <c r="O2965" t="s">
        <v>4946</v>
      </c>
      <c r="P2965" t="s">
        <v>4951</v>
      </c>
      <c r="Q2965">
        <v>6</v>
      </c>
      <c r="R2965">
        <v>30</v>
      </c>
      <c r="S2965" t="str">
        <f t="shared" si="139"/>
        <v>Senior</v>
      </c>
      <c r="T2965" t="str">
        <f t="shared" si="140"/>
        <v>Medium</v>
      </c>
      <c r="U2965" t="str">
        <f t="shared" si="141"/>
        <v>Long Days</v>
      </c>
    </row>
    <row r="2966" spans="1:21">
      <c r="A2966" t="s">
        <v>2982</v>
      </c>
      <c r="B2966" s="5">
        <v>45368</v>
      </c>
      <c r="C2966" t="s">
        <v>3376</v>
      </c>
      <c r="D2966" t="s">
        <v>4837</v>
      </c>
      <c r="E2966" t="s">
        <v>4867</v>
      </c>
      <c r="F2966">
        <v>42</v>
      </c>
      <c r="G2966" t="s">
        <v>4883</v>
      </c>
      <c r="H2966" t="s">
        <v>4892</v>
      </c>
      <c r="I2966" t="s">
        <v>4898</v>
      </c>
      <c r="J2966" t="s">
        <v>4909</v>
      </c>
      <c r="K2966" t="s">
        <v>4932</v>
      </c>
      <c r="L2966" t="s">
        <v>4941</v>
      </c>
      <c r="M2966" t="s">
        <v>4942</v>
      </c>
      <c r="N2966" s="11">
        <v>452.83</v>
      </c>
      <c r="O2966" t="s">
        <v>4948</v>
      </c>
      <c r="P2966" t="s">
        <v>4951</v>
      </c>
      <c r="R2966">
        <v>30</v>
      </c>
      <c r="S2966" t="str">
        <f t="shared" si="139"/>
        <v>Middle-Aged</v>
      </c>
      <c r="T2966" t="str">
        <f t="shared" si="140"/>
        <v>Low</v>
      </c>
      <c r="U2966" t="str">
        <f t="shared" si="141"/>
        <v>Short Days</v>
      </c>
    </row>
    <row r="2967" spans="1:21">
      <c r="A2967" t="s">
        <v>2983</v>
      </c>
      <c r="B2967" s="5">
        <v>45298</v>
      </c>
      <c r="C2967" t="s">
        <v>3681</v>
      </c>
      <c r="D2967" t="s">
        <v>4789</v>
      </c>
      <c r="E2967" t="s">
        <v>4866</v>
      </c>
      <c r="F2967">
        <v>66</v>
      </c>
      <c r="G2967" t="s">
        <v>4878</v>
      </c>
      <c r="H2967" t="s">
        <v>4889</v>
      </c>
      <c r="I2967" t="s">
        <v>4901</v>
      </c>
      <c r="J2967" t="s">
        <v>4921</v>
      </c>
      <c r="K2967" t="s">
        <v>4924</v>
      </c>
      <c r="L2967" t="s">
        <v>4936</v>
      </c>
      <c r="M2967" t="s">
        <v>4942</v>
      </c>
      <c r="N2967" s="11">
        <v>6153.02</v>
      </c>
      <c r="O2967" t="s">
        <v>4947</v>
      </c>
      <c r="P2967" t="s">
        <v>4951</v>
      </c>
      <c r="R2967">
        <v>30</v>
      </c>
      <c r="S2967" t="str">
        <f t="shared" si="139"/>
        <v>Senior</v>
      </c>
      <c r="T2967" t="str">
        <f t="shared" si="140"/>
        <v>Medium</v>
      </c>
      <c r="U2967" t="str">
        <f t="shared" si="141"/>
        <v>Short Days</v>
      </c>
    </row>
    <row r="2968" spans="1:21">
      <c r="A2968" t="s">
        <v>2984</v>
      </c>
      <c r="B2968" s="5">
        <v>45372</v>
      </c>
      <c r="C2968" t="s">
        <v>4581</v>
      </c>
      <c r="D2968" t="s">
        <v>4611</v>
      </c>
      <c r="E2968" t="s">
        <v>4867</v>
      </c>
      <c r="F2968">
        <v>0</v>
      </c>
      <c r="G2968" t="s">
        <v>4881</v>
      </c>
      <c r="H2968" t="s">
        <v>4881</v>
      </c>
      <c r="I2968" t="s">
        <v>4893</v>
      </c>
      <c r="J2968" t="s">
        <v>4903</v>
      </c>
      <c r="K2968" t="s">
        <v>4931</v>
      </c>
      <c r="L2968" t="s">
        <v>4939</v>
      </c>
      <c r="M2968" t="s">
        <v>4943</v>
      </c>
      <c r="N2968" s="11">
        <v>10185.74</v>
      </c>
      <c r="O2968" t="s">
        <v>4946</v>
      </c>
      <c r="P2968" t="s">
        <v>4951</v>
      </c>
      <c r="S2968" t="str">
        <f t="shared" si="139"/>
        <v>Child</v>
      </c>
      <c r="T2968" t="str">
        <f t="shared" si="140"/>
        <v>High</v>
      </c>
      <c r="U2968" t="str">
        <f t="shared" si="141"/>
        <v>Short Days</v>
      </c>
    </row>
    <row r="2969" spans="1:21">
      <c r="A2969" t="s">
        <v>2985</v>
      </c>
      <c r="B2969" s="5">
        <v>45415</v>
      </c>
      <c r="C2969" t="s">
        <v>4438</v>
      </c>
      <c r="D2969" t="s">
        <v>4842</v>
      </c>
      <c r="E2969" t="s">
        <v>4867</v>
      </c>
      <c r="F2969">
        <v>42</v>
      </c>
      <c r="G2969" t="s">
        <v>4873</v>
      </c>
      <c r="H2969" t="s">
        <v>4888</v>
      </c>
      <c r="I2969" t="s">
        <v>4902</v>
      </c>
      <c r="J2969" t="s">
        <v>4916</v>
      </c>
      <c r="K2969" t="s">
        <v>4930</v>
      </c>
      <c r="L2969" t="s">
        <v>4936</v>
      </c>
      <c r="M2969" t="s">
        <v>4944</v>
      </c>
      <c r="N2969" s="11">
        <v>6063.72</v>
      </c>
      <c r="O2969" t="s">
        <v>4949</v>
      </c>
      <c r="P2969" t="s">
        <v>4951</v>
      </c>
      <c r="R2969">
        <v>14</v>
      </c>
      <c r="S2969" t="str">
        <f t="shared" si="139"/>
        <v>Middle-Aged</v>
      </c>
      <c r="T2969" t="str">
        <f t="shared" si="140"/>
        <v>Medium</v>
      </c>
      <c r="U2969" t="str">
        <f t="shared" si="141"/>
        <v>Short Days</v>
      </c>
    </row>
    <row r="2970" spans="1:21">
      <c r="A2970" t="s">
        <v>2986</v>
      </c>
      <c r="B2970" s="5">
        <v>45355</v>
      </c>
      <c r="C2970" t="s">
        <v>3207</v>
      </c>
      <c r="D2970" t="s">
        <v>4641</v>
      </c>
      <c r="E2970" t="s">
        <v>4867</v>
      </c>
      <c r="F2970">
        <v>15</v>
      </c>
      <c r="G2970" t="s">
        <v>4870</v>
      </c>
      <c r="H2970" t="s">
        <v>4885</v>
      </c>
      <c r="I2970" t="s">
        <v>4895</v>
      </c>
      <c r="J2970" t="s">
        <v>4915</v>
      </c>
      <c r="K2970" t="s">
        <v>4927</v>
      </c>
      <c r="L2970" t="s">
        <v>4935</v>
      </c>
      <c r="M2970" t="s">
        <v>4942</v>
      </c>
      <c r="N2970" s="11">
        <v>5080.2299999999996</v>
      </c>
      <c r="O2970" t="s">
        <v>4947</v>
      </c>
      <c r="P2970" t="s">
        <v>4951</v>
      </c>
      <c r="S2970" t="str">
        <f t="shared" si="139"/>
        <v>Child</v>
      </c>
      <c r="T2970" t="str">
        <f t="shared" si="140"/>
        <v>Medium</v>
      </c>
      <c r="U2970" t="str">
        <f t="shared" si="141"/>
        <v>Short Days</v>
      </c>
    </row>
    <row r="2971" spans="1:21">
      <c r="A2971" t="s">
        <v>2987</v>
      </c>
      <c r="B2971" s="5">
        <v>45343</v>
      </c>
      <c r="C2971" t="s">
        <v>4361</v>
      </c>
      <c r="D2971" t="s">
        <v>4740</v>
      </c>
      <c r="E2971" t="s">
        <v>4867</v>
      </c>
      <c r="F2971">
        <v>73</v>
      </c>
      <c r="G2971" t="s">
        <v>4878</v>
      </c>
      <c r="H2971" t="s">
        <v>4889</v>
      </c>
      <c r="I2971" t="s">
        <v>4895</v>
      </c>
      <c r="J2971" t="s">
        <v>4915</v>
      </c>
      <c r="K2971" t="s">
        <v>4927</v>
      </c>
      <c r="L2971" t="s">
        <v>4934</v>
      </c>
      <c r="M2971" t="s">
        <v>4945</v>
      </c>
      <c r="N2971" s="11">
        <v>7472.51</v>
      </c>
      <c r="O2971" t="s">
        <v>4948</v>
      </c>
      <c r="P2971" t="s">
        <v>4951</v>
      </c>
      <c r="Q2971">
        <v>8</v>
      </c>
      <c r="S2971" t="str">
        <f t="shared" si="139"/>
        <v>Senior</v>
      </c>
      <c r="T2971" t="str">
        <f t="shared" si="140"/>
        <v>Medium</v>
      </c>
      <c r="U2971" t="str">
        <f t="shared" si="141"/>
        <v>Long Days</v>
      </c>
    </row>
    <row r="2972" spans="1:21">
      <c r="A2972" t="s">
        <v>2988</v>
      </c>
      <c r="B2972" s="5">
        <v>45504</v>
      </c>
      <c r="C2972" t="s">
        <v>3691</v>
      </c>
      <c r="D2972" t="s">
        <v>4830</v>
      </c>
      <c r="E2972" t="s">
        <v>4866</v>
      </c>
      <c r="F2972">
        <v>43</v>
      </c>
      <c r="G2972" t="s">
        <v>4876</v>
      </c>
      <c r="H2972" t="s">
        <v>4888</v>
      </c>
      <c r="I2972" t="s">
        <v>4895</v>
      </c>
      <c r="J2972" t="s">
        <v>4905</v>
      </c>
      <c r="K2972" t="s">
        <v>4932</v>
      </c>
      <c r="L2972" t="s">
        <v>4939</v>
      </c>
      <c r="M2972" t="s">
        <v>4945</v>
      </c>
      <c r="N2972" s="11">
        <v>6578.42</v>
      </c>
      <c r="O2972" t="s">
        <v>4949</v>
      </c>
      <c r="P2972" t="s">
        <v>4951</v>
      </c>
      <c r="Q2972">
        <v>2</v>
      </c>
      <c r="R2972">
        <v>30</v>
      </c>
      <c r="S2972" t="str">
        <f t="shared" si="139"/>
        <v>Middle-Aged</v>
      </c>
      <c r="T2972" t="str">
        <f t="shared" si="140"/>
        <v>Medium</v>
      </c>
      <c r="U2972" t="str">
        <f t="shared" si="141"/>
        <v>Short Days</v>
      </c>
    </row>
    <row r="2973" spans="1:21">
      <c r="A2973" t="s">
        <v>2989</v>
      </c>
      <c r="B2973" s="5">
        <v>45457</v>
      </c>
      <c r="C2973" t="s">
        <v>4496</v>
      </c>
      <c r="D2973" t="s">
        <v>4648</v>
      </c>
      <c r="E2973" t="s">
        <v>4868</v>
      </c>
      <c r="F2973">
        <v>64</v>
      </c>
      <c r="G2973" t="s">
        <v>4883</v>
      </c>
      <c r="H2973" t="s">
        <v>4892</v>
      </c>
      <c r="I2973" t="s">
        <v>4899</v>
      </c>
      <c r="J2973" t="s">
        <v>4911</v>
      </c>
      <c r="K2973" t="s">
        <v>4932</v>
      </c>
      <c r="L2973" t="s">
        <v>4935</v>
      </c>
      <c r="M2973" t="s">
        <v>4944</v>
      </c>
      <c r="N2973" s="11">
        <v>6348.29</v>
      </c>
      <c r="O2973" t="s">
        <v>4949</v>
      </c>
      <c r="P2973" t="s">
        <v>4951</v>
      </c>
      <c r="S2973" t="str">
        <f t="shared" si="139"/>
        <v>Senior</v>
      </c>
      <c r="T2973" t="str">
        <f t="shared" si="140"/>
        <v>Medium</v>
      </c>
      <c r="U2973" t="str">
        <f t="shared" si="141"/>
        <v>Short Days</v>
      </c>
    </row>
    <row r="2974" spans="1:21">
      <c r="A2974" t="s">
        <v>2990</v>
      </c>
      <c r="B2974" s="5">
        <v>45525</v>
      </c>
      <c r="C2974" t="s">
        <v>3129</v>
      </c>
      <c r="D2974" t="s">
        <v>4707</v>
      </c>
      <c r="E2974" t="s">
        <v>4866</v>
      </c>
      <c r="F2974">
        <v>77</v>
      </c>
      <c r="G2974" t="s">
        <v>4883</v>
      </c>
      <c r="H2974" t="s">
        <v>4892</v>
      </c>
      <c r="I2974" t="s">
        <v>4898</v>
      </c>
      <c r="J2974" t="s">
        <v>4918</v>
      </c>
      <c r="K2974" t="s">
        <v>4924</v>
      </c>
      <c r="L2974" t="s">
        <v>4939</v>
      </c>
      <c r="M2974" t="s">
        <v>4942</v>
      </c>
      <c r="N2974" s="11">
        <v>1463.89</v>
      </c>
      <c r="O2974" t="s">
        <v>4947</v>
      </c>
      <c r="P2974" t="s">
        <v>4951</v>
      </c>
      <c r="R2974">
        <v>30</v>
      </c>
      <c r="S2974" t="str">
        <f t="shared" si="139"/>
        <v>Senior</v>
      </c>
      <c r="T2974" t="str">
        <f t="shared" si="140"/>
        <v>Low</v>
      </c>
      <c r="U2974" t="str">
        <f t="shared" si="141"/>
        <v>Short Days</v>
      </c>
    </row>
    <row r="2975" spans="1:21">
      <c r="A2975" t="s">
        <v>2991</v>
      </c>
      <c r="B2975" s="5">
        <v>45571</v>
      </c>
      <c r="C2975" t="s">
        <v>3841</v>
      </c>
      <c r="D2975" t="s">
        <v>4796</v>
      </c>
      <c r="E2975" t="s">
        <v>4867</v>
      </c>
      <c r="F2975">
        <v>29</v>
      </c>
      <c r="G2975" t="s">
        <v>4872</v>
      </c>
      <c r="H2975" t="s">
        <v>4887</v>
      </c>
      <c r="I2975" t="s">
        <v>4894</v>
      </c>
      <c r="J2975" t="s">
        <v>4904</v>
      </c>
      <c r="K2975" t="s">
        <v>4929</v>
      </c>
      <c r="L2975" t="s">
        <v>4938</v>
      </c>
      <c r="M2975" t="s">
        <v>4942</v>
      </c>
      <c r="N2975" s="11">
        <v>1366.64</v>
      </c>
      <c r="O2975" t="s">
        <v>4947</v>
      </c>
      <c r="P2975" t="s">
        <v>4951</v>
      </c>
      <c r="R2975">
        <v>30</v>
      </c>
      <c r="S2975" t="str">
        <f t="shared" si="139"/>
        <v>Adult</v>
      </c>
      <c r="T2975" t="str">
        <f t="shared" si="140"/>
        <v>Low</v>
      </c>
      <c r="U2975" t="str">
        <f t="shared" si="141"/>
        <v>Short Days</v>
      </c>
    </row>
    <row r="2976" spans="1:21">
      <c r="A2976" t="s">
        <v>2992</v>
      </c>
      <c r="B2976" s="5">
        <v>45458</v>
      </c>
      <c r="C2976" t="s">
        <v>3579</v>
      </c>
      <c r="D2976" t="s">
        <v>4749</v>
      </c>
      <c r="E2976" t="s">
        <v>4866</v>
      </c>
      <c r="F2976">
        <v>68</v>
      </c>
      <c r="G2976" t="s">
        <v>4878</v>
      </c>
      <c r="H2976" t="s">
        <v>4889</v>
      </c>
      <c r="I2976" t="s">
        <v>4897</v>
      </c>
      <c r="J2976" t="s">
        <v>4907</v>
      </c>
      <c r="K2976" t="s">
        <v>4924</v>
      </c>
      <c r="L2976" t="s">
        <v>4940</v>
      </c>
      <c r="M2976" t="s">
        <v>4943</v>
      </c>
      <c r="N2976" s="11">
        <v>6018.79</v>
      </c>
      <c r="O2976" t="s">
        <v>15</v>
      </c>
      <c r="P2976" t="s">
        <v>4952</v>
      </c>
      <c r="R2976">
        <v>90</v>
      </c>
      <c r="S2976" t="str">
        <f t="shared" si="139"/>
        <v>Senior</v>
      </c>
      <c r="T2976" t="str">
        <f t="shared" si="140"/>
        <v>Medium</v>
      </c>
      <c r="U2976" t="str">
        <f t="shared" si="141"/>
        <v>Short Days</v>
      </c>
    </row>
    <row r="2977" spans="1:21">
      <c r="A2977" t="s">
        <v>2993</v>
      </c>
      <c r="B2977" s="5">
        <v>45482</v>
      </c>
      <c r="C2977" t="s">
        <v>4085</v>
      </c>
      <c r="D2977" t="s">
        <v>4657</v>
      </c>
      <c r="E2977" t="s">
        <v>4866</v>
      </c>
      <c r="F2977">
        <v>45</v>
      </c>
      <c r="G2977" t="s">
        <v>4869</v>
      </c>
      <c r="H2977" t="s">
        <v>4884</v>
      </c>
      <c r="I2977" t="s">
        <v>4899</v>
      </c>
      <c r="J2977" t="s">
        <v>4911</v>
      </c>
      <c r="K2977" t="s">
        <v>4924</v>
      </c>
      <c r="L2977" t="s">
        <v>4939</v>
      </c>
      <c r="M2977" t="s">
        <v>4942</v>
      </c>
      <c r="N2977" s="11">
        <v>757.56</v>
      </c>
      <c r="O2977" t="s">
        <v>15</v>
      </c>
      <c r="P2977" t="s">
        <v>4952</v>
      </c>
      <c r="S2977" t="str">
        <f t="shared" si="139"/>
        <v>Middle-Aged</v>
      </c>
      <c r="T2977" t="str">
        <f t="shared" si="140"/>
        <v>Low</v>
      </c>
      <c r="U2977" t="str">
        <f t="shared" si="141"/>
        <v>Short Days</v>
      </c>
    </row>
    <row r="2978" spans="1:21">
      <c r="A2978" t="s">
        <v>2994</v>
      </c>
      <c r="B2978" s="5">
        <v>45639</v>
      </c>
      <c r="C2978" t="s">
        <v>4114</v>
      </c>
      <c r="D2978" t="s">
        <v>4733</v>
      </c>
      <c r="E2978" t="s">
        <v>4866</v>
      </c>
      <c r="F2978">
        <v>62</v>
      </c>
      <c r="G2978" t="s">
        <v>4878</v>
      </c>
      <c r="H2978" t="s">
        <v>4889</v>
      </c>
      <c r="I2978" t="s">
        <v>4897</v>
      </c>
      <c r="J2978" t="s">
        <v>4922</v>
      </c>
      <c r="K2978" t="s">
        <v>4930</v>
      </c>
      <c r="L2978" t="s">
        <v>4940</v>
      </c>
      <c r="M2978" t="s">
        <v>4942</v>
      </c>
      <c r="N2978" s="11">
        <v>818.99</v>
      </c>
      <c r="O2978" t="s">
        <v>4946</v>
      </c>
      <c r="P2978" t="s">
        <v>4951</v>
      </c>
      <c r="R2978">
        <v>7</v>
      </c>
      <c r="S2978" t="str">
        <f t="shared" si="139"/>
        <v>Senior</v>
      </c>
      <c r="T2978" t="str">
        <f t="shared" si="140"/>
        <v>Low</v>
      </c>
      <c r="U2978" t="str">
        <f t="shared" si="141"/>
        <v>Short Days</v>
      </c>
    </row>
    <row r="2979" spans="1:21">
      <c r="A2979" t="s">
        <v>2995</v>
      </c>
      <c r="B2979" s="5">
        <v>45575</v>
      </c>
      <c r="C2979" t="s">
        <v>3130</v>
      </c>
      <c r="D2979" t="s">
        <v>4745</v>
      </c>
      <c r="E2979" t="s">
        <v>4867</v>
      </c>
      <c r="F2979">
        <v>64</v>
      </c>
      <c r="G2979" t="s">
        <v>4882</v>
      </c>
      <c r="H2979" t="s">
        <v>4891</v>
      </c>
      <c r="I2979" t="s">
        <v>4902</v>
      </c>
      <c r="J2979" t="s">
        <v>4920</v>
      </c>
      <c r="K2979" t="s">
        <v>4933</v>
      </c>
      <c r="L2979" t="s">
        <v>4934</v>
      </c>
      <c r="M2979" t="s">
        <v>4942</v>
      </c>
      <c r="N2979" s="11">
        <v>5183.96</v>
      </c>
      <c r="O2979" t="s">
        <v>4949</v>
      </c>
      <c r="P2979" t="s">
        <v>4951</v>
      </c>
      <c r="R2979">
        <v>90</v>
      </c>
      <c r="S2979" t="str">
        <f t="shared" si="139"/>
        <v>Senior</v>
      </c>
      <c r="T2979" t="str">
        <f t="shared" si="140"/>
        <v>Medium</v>
      </c>
      <c r="U2979" t="str">
        <f t="shared" si="141"/>
        <v>Short Days</v>
      </c>
    </row>
    <row r="2980" spans="1:21">
      <c r="A2980" t="s">
        <v>2996</v>
      </c>
      <c r="B2980" s="5">
        <v>45556</v>
      </c>
      <c r="C2980" t="s">
        <v>4582</v>
      </c>
      <c r="D2980" t="s">
        <v>4762</v>
      </c>
      <c r="E2980" t="s">
        <v>4867</v>
      </c>
      <c r="F2980">
        <v>50</v>
      </c>
      <c r="G2980" t="s">
        <v>4876</v>
      </c>
      <c r="H2980" t="s">
        <v>4888</v>
      </c>
      <c r="I2980" t="s">
        <v>4895</v>
      </c>
      <c r="J2980" t="s">
        <v>4905</v>
      </c>
      <c r="K2980" t="s">
        <v>4930</v>
      </c>
      <c r="L2980" t="s">
        <v>4934</v>
      </c>
      <c r="M2980" t="s">
        <v>4942</v>
      </c>
      <c r="N2980" s="11">
        <v>2786.74</v>
      </c>
      <c r="O2980" t="s">
        <v>4949</v>
      </c>
      <c r="P2980" t="s">
        <v>4951</v>
      </c>
      <c r="R2980">
        <v>90</v>
      </c>
      <c r="S2980" t="str">
        <f t="shared" si="139"/>
        <v>Middle-Aged</v>
      </c>
      <c r="T2980" t="str">
        <f t="shared" si="140"/>
        <v>Low</v>
      </c>
      <c r="U2980" t="str">
        <f t="shared" si="141"/>
        <v>Short Days</v>
      </c>
    </row>
    <row r="2981" spans="1:21">
      <c r="A2981" t="s">
        <v>2997</v>
      </c>
      <c r="B2981" s="5">
        <v>45576</v>
      </c>
      <c r="C2981" t="s">
        <v>4583</v>
      </c>
      <c r="D2981" t="s">
        <v>4720</v>
      </c>
      <c r="E2981" t="s">
        <v>4866</v>
      </c>
      <c r="F2981">
        <v>45</v>
      </c>
      <c r="G2981" t="s">
        <v>4883</v>
      </c>
      <c r="H2981" t="s">
        <v>4892</v>
      </c>
      <c r="I2981" t="s">
        <v>4901</v>
      </c>
      <c r="J2981" t="s">
        <v>4921</v>
      </c>
      <c r="K2981" t="s">
        <v>4925</v>
      </c>
      <c r="L2981" t="s">
        <v>4934</v>
      </c>
      <c r="M2981" t="s">
        <v>4942</v>
      </c>
      <c r="N2981" s="11">
        <v>12166.17</v>
      </c>
      <c r="O2981" t="s">
        <v>4946</v>
      </c>
      <c r="P2981" t="s">
        <v>4951</v>
      </c>
      <c r="R2981">
        <v>30</v>
      </c>
      <c r="S2981" t="str">
        <f t="shared" si="139"/>
        <v>Middle-Aged</v>
      </c>
      <c r="T2981" t="str">
        <f t="shared" si="140"/>
        <v>High</v>
      </c>
      <c r="U2981" t="str">
        <f t="shared" si="141"/>
        <v>Short Days</v>
      </c>
    </row>
    <row r="2982" spans="1:21">
      <c r="A2982" t="s">
        <v>2998</v>
      </c>
      <c r="B2982" s="5">
        <v>45720</v>
      </c>
      <c r="C2982" t="s">
        <v>3867</v>
      </c>
      <c r="D2982" t="s">
        <v>4792</v>
      </c>
      <c r="E2982" t="s">
        <v>4866</v>
      </c>
      <c r="F2982">
        <v>13</v>
      </c>
      <c r="G2982" t="s">
        <v>4876</v>
      </c>
      <c r="H2982" t="s">
        <v>4888</v>
      </c>
      <c r="I2982" t="s">
        <v>4902</v>
      </c>
      <c r="J2982" t="s">
        <v>4916</v>
      </c>
      <c r="K2982" t="s">
        <v>4932</v>
      </c>
      <c r="L2982" t="s">
        <v>4938</v>
      </c>
      <c r="M2982" t="s">
        <v>4944</v>
      </c>
      <c r="N2982" s="11">
        <v>11301.46</v>
      </c>
      <c r="O2982" t="s">
        <v>4949</v>
      </c>
      <c r="P2982" t="s">
        <v>4951</v>
      </c>
      <c r="R2982">
        <v>30</v>
      </c>
      <c r="S2982" t="str">
        <f t="shared" si="139"/>
        <v>Child</v>
      </c>
      <c r="T2982" t="str">
        <f t="shared" si="140"/>
        <v>High</v>
      </c>
      <c r="U2982" t="str">
        <f t="shared" si="141"/>
        <v>Short Days</v>
      </c>
    </row>
    <row r="2983" spans="1:21">
      <c r="A2983" t="s">
        <v>2999</v>
      </c>
      <c r="B2983" s="5">
        <v>45642</v>
      </c>
      <c r="C2983" t="s">
        <v>3637</v>
      </c>
      <c r="D2983" t="s">
        <v>4596</v>
      </c>
      <c r="E2983" t="s">
        <v>4866</v>
      </c>
      <c r="F2983">
        <v>53</v>
      </c>
      <c r="G2983" t="s">
        <v>4872</v>
      </c>
      <c r="H2983" t="s">
        <v>4887</v>
      </c>
      <c r="I2983" t="s">
        <v>4894</v>
      </c>
      <c r="J2983" t="s">
        <v>4904</v>
      </c>
      <c r="K2983" t="s">
        <v>4930</v>
      </c>
      <c r="L2983" t="s">
        <v>4938</v>
      </c>
      <c r="M2983" t="s">
        <v>4944</v>
      </c>
      <c r="N2983" s="11">
        <v>15626.68</v>
      </c>
      <c r="O2983" t="s">
        <v>15</v>
      </c>
      <c r="P2983" t="s">
        <v>4952</v>
      </c>
      <c r="R2983">
        <v>14</v>
      </c>
      <c r="S2983" t="str">
        <f t="shared" si="139"/>
        <v>Middle-Aged</v>
      </c>
      <c r="T2983" t="str">
        <f t="shared" si="140"/>
        <v>High</v>
      </c>
      <c r="U2983" t="str">
        <f t="shared" si="141"/>
        <v>Short Days</v>
      </c>
    </row>
    <row r="2984" spans="1:21">
      <c r="A2984" t="s">
        <v>3000</v>
      </c>
      <c r="B2984" s="5">
        <v>45561</v>
      </c>
      <c r="C2984" t="s">
        <v>3683</v>
      </c>
      <c r="D2984" t="s">
        <v>4814</v>
      </c>
      <c r="E2984" t="s">
        <v>4866</v>
      </c>
      <c r="F2984">
        <v>17</v>
      </c>
      <c r="G2984" t="s">
        <v>4869</v>
      </c>
      <c r="H2984" t="s">
        <v>4884</v>
      </c>
      <c r="I2984" t="s">
        <v>4895</v>
      </c>
      <c r="J2984" t="s">
        <v>4905</v>
      </c>
      <c r="K2984" t="s">
        <v>4928</v>
      </c>
      <c r="L2984" t="s">
        <v>4935</v>
      </c>
      <c r="M2984" t="s">
        <v>4944</v>
      </c>
      <c r="N2984" s="11">
        <v>22440.78</v>
      </c>
      <c r="O2984" t="s">
        <v>4948</v>
      </c>
      <c r="P2984" t="s">
        <v>4951</v>
      </c>
      <c r="R2984">
        <v>30</v>
      </c>
      <c r="S2984" t="str">
        <f t="shared" si="139"/>
        <v>Child</v>
      </c>
      <c r="T2984" t="str">
        <f t="shared" si="140"/>
        <v>High</v>
      </c>
      <c r="U2984" t="str">
        <f t="shared" si="141"/>
        <v>Short Days</v>
      </c>
    </row>
    <row r="2985" spans="1:21">
      <c r="A2985" t="s">
        <v>3001</v>
      </c>
      <c r="B2985" s="5">
        <v>45708</v>
      </c>
      <c r="C2985" t="s">
        <v>4083</v>
      </c>
      <c r="D2985" t="s">
        <v>4632</v>
      </c>
      <c r="E2985" t="s">
        <v>4866</v>
      </c>
      <c r="F2985">
        <v>26</v>
      </c>
      <c r="G2985" t="s">
        <v>4880</v>
      </c>
      <c r="H2985" t="s">
        <v>4890</v>
      </c>
      <c r="I2985" t="s">
        <v>4899</v>
      </c>
      <c r="J2985" t="s">
        <v>4911</v>
      </c>
      <c r="K2985" t="s">
        <v>4925</v>
      </c>
      <c r="L2985" t="s">
        <v>4937</v>
      </c>
      <c r="M2985" t="s">
        <v>4944</v>
      </c>
      <c r="N2985" s="11">
        <v>5090.45</v>
      </c>
      <c r="O2985" t="s">
        <v>15</v>
      </c>
      <c r="P2985" t="s">
        <v>4952</v>
      </c>
      <c r="S2985" t="str">
        <f t="shared" si="139"/>
        <v>Adult</v>
      </c>
      <c r="T2985" t="str">
        <f t="shared" si="140"/>
        <v>Medium</v>
      </c>
      <c r="U2985" t="str">
        <f t="shared" si="141"/>
        <v>Short Days</v>
      </c>
    </row>
    <row r="2986" spans="1:21">
      <c r="A2986" t="s">
        <v>3002</v>
      </c>
      <c r="B2986" s="5">
        <v>45472</v>
      </c>
      <c r="C2986" t="s">
        <v>3378</v>
      </c>
      <c r="D2986" t="s">
        <v>4740</v>
      </c>
      <c r="E2986" t="s">
        <v>4866</v>
      </c>
      <c r="F2986">
        <v>20</v>
      </c>
      <c r="G2986" t="s">
        <v>4876</v>
      </c>
      <c r="H2986" t="s">
        <v>4888</v>
      </c>
      <c r="I2986" t="s">
        <v>4898</v>
      </c>
      <c r="J2986" t="s">
        <v>4909</v>
      </c>
      <c r="K2986" t="s">
        <v>4932</v>
      </c>
      <c r="L2986" t="s">
        <v>4941</v>
      </c>
      <c r="M2986" t="s">
        <v>4944</v>
      </c>
      <c r="N2986" s="11">
        <v>28206.85</v>
      </c>
      <c r="O2986" t="s">
        <v>4946</v>
      </c>
      <c r="P2986" t="s">
        <v>4951</v>
      </c>
      <c r="R2986">
        <v>30</v>
      </c>
      <c r="S2986" t="str">
        <f t="shared" si="139"/>
        <v>Adult</v>
      </c>
      <c r="T2986" t="str">
        <f t="shared" si="140"/>
        <v>High</v>
      </c>
      <c r="U2986" t="str">
        <f t="shared" si="141"/>
        <v>Short Days</v>
      </c>
    </row>
    <row r="2987" spans="1:21">
      <c r="A2987" t="s">
        <v>3003</v>
      </c>
      <c r="B2987" s="5">
        <v>45782</v>
      </c>
      <c r="C2987" t="s">
        <v>3312</v>
      </c>
      <c r="D2987" t="s">
        <v>4804</v>
      </c>
      <c r="E2987" t="s">
        <v>4867</v>
      </c>
      <c r="F2987">
        <v>7</v>
      </c>
      <c r="G2987" t="s">
        <v>4873</v>
      </c>
      <c r="H2987" t="s">
        <v>4888</v>
      </c>
      <c r="I2987" t="s">
        <v>4893</v>
      </c>
      <c r="J2987" t="s">
        <v>4903</v>
      </c>
      <c r="K2987" t="s">
        <v>4927</v>
      </c>
      <c r="L2987" t="s">
        <v>4940</v>
      </c>
      <c r="M2987" t="s">
        <v>4942</v>
      </c>
      <c r="N2987" s="11">
        <v>2089.86</v>
      </c>
      <c r="O2987" t="s">
        <v>4946</v>
      </c>
      <c r="P2987" t="s">
        <v>4951</v>
      </c>
      <c r="R2987">
        <v>14</v>
      </c>
      <c r="S2987" t="str">
        <f t="shared" si="139"/>
        <v>Child</v>
      </c>
      <c r="T2987" t="str">
        <f t="shared" si="140"/>
        <v>Low</v>
      </c>
      <c r="U2987" t="str">
        <f t="shared" si="141"/>
        <v>Short Days</v>
      </c>
    </row>
    <row r="2988" spans="1:21">
      <c r="A2988" t="s">
        <v>3004</v>
      </c>
      <c r="B2988" s="5">
        <v>45720</v>
      </c>
      <c r="C2988" t="s">
        <v>4509</v>
      </c>
      <c r="D2988" t="s">
        <v>4863</v>
      </c>
      <c r="E2988" t="s">
        <v>4866</v>
      </c>
      <c r="F2988">
        <v>65</v>
      </c>
      <c r="G2988" t="s">
        <v>4877</v>
      </c>
      <c r="H2988" t="s">
        <v>4888</v>
      </c>
      <c r="I2988" t="s">
        <v>4898</v>
      </c>
      <c r="J2988" t="s">
        <v>4909</v>
      </c>
      <c r="K2988" t="s">
        <v>4928</v>
      </c>
      <c r="L2988" t="s">
        <v>4940</v>
      </c>
      <c r="M2988" t="s">
        <v>4943</v>
      </c>
      <c r="N2988" s="11">
        <v>7831.83</v>
      </c>
      <c r="O2988" t="s">
        <v>4947</v>
      </c>
      <c r="P2988" t="s">
        <v>4951</v>
      </c>
      <c r="R2988">
        <v>7</v>
      </c>
      <c r="S2988" t="str">
        <f t="shared" si="139"/>
        <v>Senior</v>
      </c>
      <c r="T2988" t="str">
        <f t="shared" si="140"/>
        <v>Medium</v>
      </c>
      <c r="U2988" t="str">
        <f t="shared" si="141"/>
        <v>Short Days</v>
      </c>
    </row>
    <row r="2989" spans="1:21">
      <c r="A2989" t="s">
        <v>3005</v>
      </c>
      <c r="B2989" s="5">
        <v>45772</v>
      </c>
      <c r="C2989" t="s">
        <v>4537</v>
      </c>
      <c r="D2989" t="s">
        <v>4651</v>
      </c>
      <c r="E2989" t="s">
        <v>4867</v>
      </c>
      <c r="F2989">
        <v>45</v>
      </c>
      <c r="G2989" t="s">
        <v>4882</v>
      </c>
      <c r="H2989" t="s">
        <v>4891</v>
      </c>
      <c r="I2989" t="s">
        <v>4897</v>
      </c>
      <c r="J2989" t="s">
        <v>4922</v>
      </c>
      <c r="K2989" t="s">
        <v>4929</v>
      </c>
      <c r="L2989" t="s">
        <v>4937</v>
      </c>
      <c r="M2989" t="s">
        <v>4942</v>
      </c>
      <c r="N2989" s="11">
        <v>189.21</v>
      </c>
      <c r="O2989" t="s">
        <v>4950</v>
      </c>
      <c r="P2989" t="s">
        <v>4951</v>
      </c>
      <c r="R2989">
        <v>30</v>
      </c>
      <c r="S2989" t="str">
        <f t="shared" si="139"/>
        <v>Middle-Aged</v>
      </c>
      <c r="T2989" t="str">
        <f t="shared" si="140"/>
        <v>Low</v>
      </c>
      <c r="U2989" t="str">
        <f t="shared" si="141"/>
        <v>Short Days</v>
      </c>
    </row>
    <row r="2990" spans="1:21">
      <c r="A2990" t="s">
        <v>3006</v>
      </c>
      <c r="B2990" s="5">
        <v>45810</v>
      </c>
      <c r="C2990" t="s">
        <v>3083</v>
      </c>
      <c r="D2990" t="s">
        <v>4725</v>
      </c>
      <c r="E2990" t="s">
        <v>4867</v>
      </c>
      <c r="F2990">
        <v>16</v>
      </c>
      <c r="G2990" t="s">
        <v>4879</v>
      </c>
      <c r="H2990" t="s">
        <v>4888</v>
      </c>
      <c r="I2990" t="s">
        <v>4893</v>
      </c>
      <c r="J2990" t="s">
        <v>4903</v>
      </c>
      <c r="K2990" t="s">
        <v>4926</v>
      </c>
      <c r="L2990" t="s">
        <v>4941</v>
      </c>
      <c r="M2990" t="s">
        <v>4942</v>
      </c>
      <c r="N2990" s="11">
        <v>7730.32</v>
      </c>
      <c r="O2990" t="s">
        <v>15</v>
      </c>
      <c r="P2990" t="s">
        <v>4952</v>
      </c>
      <c r="R2990">
        <v>14</v>
      </c>
      <c r="S2990" t="str">
        <f t="shared" si="139"/>
        <v>Child</v>
      </c>
      <c r="T2990" t="str">
        <f t="shared" si="140"/>
        <v>Medium</v>
      </c>
      <c r="U2990" t="str">
        <f t="shared" si="141"/>
        <v>Short Days</v>
      </c>
    </row>
    <row r="2991" spans="1:21">
      <c r="A2991" t="s">
        <v>3007</v>
      </c>
      <c r="B2991" s="5">
        <v>45373</v>
      </c>
      <c r="C2991" t="s">
        <v>3696</v>
      </c>
      <c r="D2991" t="s">
        <v>4688</v>
      </c>
      <c r="E2991" t="s">
        <v>4867</v>
      </c>
      <c r="F2991">
        <v>35</v>
      </c>
      <c r="G2991" t="s">
        <v>4874</v>
      </c>
      <c r="H2991" t="s">
        <v>4886</v>
      </c>
      <c r="I2991" t="s">
        <v>4895</v>
      </c>
      <c r="J2991" t="s">
        <v>4905</v>
      </c>
      <c r="K2991" t="s">
        <v>4932</v>
      </c>
      <c r="L2991" t="s">
        <v>4934</v>
      </c>
      <c r="M2991" t="s">
        <v>4942</v>
      </c>
      <c r="N2991" s="11">
        <v>14078.98</v>
      </c>
      <c r="O2991" t="s">
        <v>4946</v>
      </c>
      <c r="P2991" t="s">
        <v>4951</v>
      </c>
      <c r="R2991">
        <v>7</v>
      </c>
      <c r="S2991" t="str">
        <f t="shared" si="139"/>
        <v>Adult</v>
      </c>
      <c r="T2991" t="str">
        <f t="shared" si="140"/>
        <v>High</v>
      </c>
      <c r="U2991" t="str">
        <f t="shared" si="141"/>
        <v>Short Days</v>
      </c>
    </row>
    <row r="2992" spans="1:21">
      <c r="A2992" t="s">
        <v>3008</v>
      </c>
      <c r="B2992" s="5">
        <v>45335</v>
      </c>
      <c r="C2992" t="s">
        <v>3228</v>
      </c>
      <c r="D2992" t="s">
        <v>4608</v>
      </c>
      <c r="E2992" t="s">
        <v>4867</v>
      </c>
      <c r="F2992">
        <v>27</v>
      </c>
      <c r="G2992" t="s">
        <v>4879</v>
      </c>
      <c r="H2992" t="s">
        <v>4888</v>
      </c>
      <c r="I2992" t="s">
        <v>4899</v>
      </c>
      <c r="J2992" t="s">
        <v>4912</v>
      </c>
      <c r="K2992" t="s">
        <v>4924</v>
      </c>
      <c r="L2992" t="s">
        <v>4934</v>
      </c>
      <c r="M2992" t="s">
        <v>4942</v>
      </c>
      <c r="N2992" s="11">
        <v>2684.46</v>
      </c>
      <c r="O2992" t="s">
        <v>4949</v>
      </c>
      <c r="P2992" t="s">
        <v>4951</v>
      </c>
      <c r="R2992">
        <v>30</v>
      </c>
      <c r="S2992" t="str">
        <f t="shared" si="139"/>
        <v>Adult</v>
      </c>
      <c r="T2992" t="str">
        <f t="shared" si="140"/>
        <v>Low</v>
      </c>
      <c r="U2992" t="str">
        <f t="shared" si="141"/>
        <v>Short Days</v>
      </c>
    </row>
    <row r="2993" spans="1:21">
      <c r="A2993" t="s">
        <v>3009</v>
      </c>
      <c r="B2993" s="5">
        <v>45909</v>
      </c>
      <c r="C2993" t="s">
        <v>3349</v>
      </c>
      <c r="D2993" t="s">
        <v>4862</v>
      </c>
      <c r="E2993" t="s">
        <v>4866</v>
      </c>
      <c r="F2993">
        <v>11</v>
      </c>
      <c r="G2993" t="s">
        <v>4869</v>
      </c>
      <c r="H2993" t="s">
        <v>4884</v>
      </c>
      <c r="I2993" t="s">
        <v>4896</v>
      </c>
      <c r="J2993" t="s">
        <v>4906</v>
      </c>
      <c r="K2993" t="s">
        <v>4933</v>
      </c>
      <c r="L2993" t="s">
        <v>4941</v>
      </c>
      <c r="M2993" t="s">
        <v>4942</v>
      </c>
      <c r="N2993" s="11">
        <v>3793.67</v>
      </c>
      <c r="O2993" t="s">
        <v>15</v>
      </c>
      <c r="P2993" t="s">
        <v>4952</v>
      </c>
      <c r="R2993">
        <v>7</v>
      </c>
      <c r="S2993" t="str">
        <f t="shared" si="139"/>
        <v>Child</v>
      </c>
      <c r="T2993" t="str">
        <f t="shared" si="140"/>
        <v>Low</v>
      </c>
      <c r="U2993" t="str">
        <f t="shared" si="141"/>
        <v>Short Days</v>
      </c>
    </row>
    <row r="2994" spans="1:21">
      <c r="A2994" t="s">
        <v>3010</v>
      </c>
      <c r="B2994" s="5">
        <v>45919</v>
      </c>
      <c r="C2994" t="s">
        <v>3229</v>
      </c>
      <c r="D2994" t="s">
        <v>4638</v>
      </c>
      <c r="E2994" t="s">
        <v>4867</v>
      </c>
      <c r="F2994">
        <v>47</v>
      </c>
      <c r="G2994" t="s">
        <v>4882</v>
      </c>
      <c r="H2994" t="s">
        <v>4891</v>
      </c>
      <c r="I2994" t="s">
        <v>4902</v>
      </c>
      <c r="J2994" t="s">
        <v>4920</v>
      </c>
      <c r="K2994" t="s">
        <v>4931</v>
      </c>
      <c r="L2994" t="s">
        <v>4938</v>
      </c>
      <c r="M2994" t="s">
        <v>4942</v>
      </c>
      <c r="N2994" s="11">
        <v>3565.49</v>
      </c>
      <c r="O2994" t="s">
        <v>15</v>
      </c>
      <c r="P2994" t="s">
        <v>4952</v>
      </c>
      <c r="R2994">
        <v>90</v>
      </c>
      <c r="S2994" t="str">
        <f t="shared" si="139"/>
        <v>Middle-Aged</v>
      </c>
      <c r="T2994" t="str">
        <f t="shared" si="140"/>
        <v>Low</v>
      </c>
      <c r="U2994" t="str">
        <f t="shared" si="141"/>
        <v>Short Days</v>
      </c>
    </row>
    <row r="2995" spans="1:21">
      <c r="A2995" t="s">
        <v>3011</v>
      </c>
      <c r="B2995" s="5">
        <v>45333</v>
      </c>
      <c r="C2995" t="s">
        <v>4584</v>
      </c>
      <c r="D2995" t="s">
        <v>4804</v>
      </c>
      <c r="E2995" t="s">
        <v>4867</v>
      </c>
      <c r="F2995">
        <v>34</v>
      </c>
      <c r="G2995" t="s">
        <v>4875</v>
      </c>
      <c r="H2995" t="s">
        <v>4889</v>
      </c>
      <c r="I2995" t="s">
        <v>4902</v>
      </c>
      <c r="J2995" t="s">
        <v>4916</v>
      </c>
      <c r="K2995" t="s">
        <v>4930</v>
      </c>
      <c r="L2995" t="s">
        <v>4940</v>
      </c>
      <c r="M2995" t="s">
        <v>4942</v>
      </c>
      <c r="N2995" s="11">
        <v>6300.02</v>
      </c>
      <c r="O2995" t="s">
        <v>15</v>
      </c>
      <c r="P2995" t="s">
        <v>4952</v>
      </c>
      <c r="R2995">
        <v>30</v>
      </c>
      <c r="S2995" t="str">
        <f t="shared" si="139"/>
        <v>Adult</v>
      </c>
      <c r="T2995" t="str">
        <f t="shared" si="140"/>
        <v>Medium</v>
      </c>
      <c r="U2995" t="str">
        <f t="shared" si="141"/>
        <v>Short Days</v>
      </c>
    </row>
    <row r="2996" spans="1:21">
      <c r="A2996" t="s">
        <v>3012</v>
      </c>
      <c r="B2996" s="5">
        <v>45965</v>
      </c>
      <c r="C2996" t="s">
        <v>4195</v>
      </c>
      <c r="D2996" t="s">
        <v>4687</v>
      </c>
      <c r="E2996" t="s">
        <v>4867</v>
      </c>
      <c r="F2996">
        <v>44</v>
      </c>
      <c r="G2996" t="s">
        <v>4879</v>
      </c>
      <c r="H2996" t="s">
        <v>4888</v>
      </c>
      <c r="I2996" t="s">
        <v>4897</v>
      </c>
      <c r="J2996" t="s">
        <v>4907</v>
      </c>
      <c r="K2996" t="s">
        <v>4925</v>
      </c>
      <c r="L2996" t="s">
        <v>4934</v>
      </c>
      <c r="M2996" t="s">
        <v>4942</v>
      </c>
      <c r="N2996" s="11">
        <v>3012.99</v>
      </c>
      <c r="O2996" t="s">
        <v>4947</v>
      </c>
      <c r="P2996" t="s">
        <v>4951</v>
      </c>
      <c r="R2996">
        <v>14</v>
      </c>
      <c r="S2996" t="str">
        <f t="shared" si="139"/>
        <v>Middle-Aged</v>
      </c>
      <c r="T2996" t="str">
        <f t="shared" si="140"/>
        <v>Low</v>
      </c>
      <c r="U2996" t="str">
        <f t="shared" si="141"/>
        <v>Short Days</v>
      </c>
    </row>
    <row r="2997" spans="1:21">
      <c r="A2997" t="s">
        <v>3013</v>
      </c>
      <c r="B2997" s="5">
        <v>45410</v>
      </c>
      <c r="C2997" t="s">
        <v>3837</v>
      </c>
      <c r="D2997" t="s">
        <v>4649</v>
      </c>
      <c r="E2997" t="s">
        <v>4866</v>
      </c>
      <c r="F2997">
        <v>38</v>
      </c>
      <c r="G2997" t="s">
        <v>4880</v>
      </c>
      <c r="H2997" t="s">
        <v>4890</v>
      </c>
      <c r="I2997" t="s">
        <v>4895</v>
      </c>
      <c r="J2997" t="s">
        <v>4905</v>
      </c>
      <c r="K2997" t="s">
        <v>4932</v>
      </c>
      <c r="L2997" t="s">
        <v>4938</v>
      </c>
      <c r="M2997" t="s">
        <v>4942</v>
      </c>
      <c r="N2997" s="11">
        <v>1111.17</v>
      </c>
      <c r="O2997" t="s">
        <v>4949</v>
      </c>
      <c r="P2997" t="s">
        <v>4951</v>
      </c>
      <c r="R2997">
        <v>14</v>
      </c>
      <c r="S2997" t="str">
        <f t="shared" si="139"/>
        <v>Adult</v>
      </c>
      <c r="T2997" t="str">
        <f t="shared" si="140"/>
        <v>Low</v>
      </c>
      <c r="U2997" t="str">
        <f t="shared" si="141"/>
        <v>Short Days</v>
      </c>
    </row>
    <row r="2998" spans="1:21">
      <c r="A2998" t="s">
        <v>3014</v>
      </c>
      <c r="B2998" s="5">
        <v>45336</v>
      </c>
      <c r="C2998" t="s">
        <v>4585</v>
      </c>
      <c r="D2998" t="s">
        <v>4602</v>
      </c>
      <c r="E2998" t="s">
        <v>4867</v>
      </c>
      <c r="F2998">
        <v>33</v>
      </c>
      <c r="G2998" t="s">
        <v>4875</v>
      </c>
      <c r="H2998" t="s">
        <v>4889</v>
      </c>
      <c r="I2998" t="s">
        <v>4895</v>
      </c>
      <c r="J2998" t="s">
        <v>4905</v>
      </c>
      <c r="K2998" t="s">
        <v>4933</v>
      </c>
      <c r="L2998" t="s">
        <v>4941</v>
      </c>
      <c r="M2998" t="s">
        <v>4942</v>
      </c>
      <c r="N2998" s="11">
        <v>353.43</v>
      </c>
      <c r="O2998" t="s">
        <v>15</v>
      </c>
      <c r="P2998" t="s">
        <v>4952</v>
      </c>
      <c r="R2998">
        <v>30</v>
      </c>
      <c r="S2998" t="str">
        <f t="shared" si="139"/>
        <v>Adult</v>
      </c>
      <c r="T2998" t="str">
        <f t="shared" si="140"/>
        <v>Low</v>
      </c>
      <c r="U2998" t="str">
        <f t="shared" si="141"/>
        <v>Short Days</v>
      </c>
    </row>
    <row r="2999" spans="1:21">
      <c r="A2999" t="s">
        <v>3015</v>
      </c>
      <c r="B2999" s="5">
        <v>45471</v>
      </c>
      <c r="C2999" t="s">
        <v>3291</v>
      </c>
      <c r="D2999" t="s">
        <v>4773</v>
      </c>
      <c r="E2999" t="s">
        <v>4868</v>
      </c>
      <c r="F2999">
        <v>46</v>
      </c>
      <c r="G2999" t="s">
        <v>4874</v>
      </c>
      <c r="H2999" t="s">
        <v>4886</v>
      </c>
      <c r="I2999" t="s">
        <v>4901</v>
      </c>
      <c r="J2999" t="s">
        <v>4914</v>
      </c>
      <c r="K2999" t="s">
        <v>4931</v>
      </c>
      <c r="L2999" t="s">
        <v>4941</v>
      </c>
      <c r="M2999" t="s">
        <v>4942</v>
      </c>
      <c r="N2999" s="11">
        <v>1081.48</v>
      </c>
      <c r="O2999" t="s">
        <v>4947</v>
      </c>
      <c r="P2999" t="s">
        <v>4951</v>
      </c>
      <c r="S2999" t="str">
        <f t="shared" si="139"/>
        <v>Middle-Aged</v>
      </c>
      <c r="T2999" t="str">
        <f t="shared" si="140"/>
        <v>Low</v>
      </c>
      <c r="U2999" t="str">
        <f t="shared" si="141"/>
        <v>Short Days</v>
      </c>
    </row>
    <row r="3000" spans="1:21">
      <c r="A3000" t="s">
        <v>3016</v>
      </c>
      <c r="B3000" s="5">
        <v>45476</v>
      </c>
      <c r="C3000" t="s">
        <v>3936</v>
      </c>
      <c r="D3000" t="s">
        <v>4649</v>
      </c>
      <c r="E3000" t="s">
        <v>4867</v>
      </c>
      <c r="F3000">
        <v>46</v>
      </c>
      <c r="G3000" t="s">
        <v>4881</v>
      </c>
      <c r="H3000" t="s">
        <v>4881</v>
      </c>
      <c r="I3000" t="s">
        <v>4898</v>
      </c>
      <c r="J3000" t="s">
        <v>4923</v>
      </c>
      <c r="K3000" t="s">
        <v>4926</v>
      </c>
      <c r="L3000" t="s">
        <v>4935</v>
      </c>
      <c r="M3000" t="s">
        <v>4942</v>
      </c>
      <c r="N3000" s="11">
        <v>13497.77</v>
      </c>
      <c r="O3000" t="s">
        <v>15</v>
      </c>
      <c r="P3000" t="s">
        <v>4952</v>
      </c>
      <c r="R3000">
        <v>90</v>
      </c>
      <c r="S3000" t="str">
        <f t="shared" si="139"/>
        <v>Middle-Aged</v>
      </c>
      <c r="T3000" t="str">
        <f t="shared" si="140"/>
        <v>High</v>
      </c>
      <c r="U3000" t="str">
        <f t="shared" si="141"/>
        <v>Short Days</v>
      </c>
    </row>
    <row r="3001" spans="1:21">
      <c r="A3001" t="s">
        <v>3017</v>
      </c>
      <c r="B3001" s="5">
        <v>45846</v>
      </c>
      <c r="C3001" t="s">
        <v>3090</v>
      </c>
      <c r="D3001" t="s">
        <v>4697</v>
      </c>
      <c r="E3001" t="s">
        <v>4867</v>
      </c>
      <c r="F3001">
        <v>58</v>
      </c>
      <c r="G3001" t="s">
        <v>4880</v>
      </c>
      <c r="H3001" t="s">
        <v>4890</v>
      </c>
      <c r="I3001" t="s">
        <v>4902</v>
      </c>
      <c r="J3001" t="s">
        <v>4920</v>
      </c>
      <c r="K3001" t="s">
        <v>4929</v>
      </c>
      <c r="L3001" t="s">
        <v>4935</v>
      </c>
      <c r="M3001" t="s">
        <v>4945</v>
      </c>
      <c r="N3001" s="11">
        <v>6892.86</v>
      </c>
      <c r="O3001" t="s">
        <v>4946</v>
      </c>
      <c r="P3001" t="s">
        <v>4951</v>
      </c>
      <c r="Q3001">
        <v>4</v>
      </c>
      <c r="R3001">
        <v>30</v>
      </c>
      <c r="S3001" t="str">
        <f t="shared" si="139"/>
        <v>Middle-Aged</v>
      </c>
      <c r="T3001" t="str">
        <f t="shared" si="140"/>
        <v>Medium</v>
      </c>
      <c r="U3001" t="str">
        <f t="shared" si="141"/>
        <v>Short Days</v>
      </c>
    </row>
  </sheetData>
  <conditionalFormatting sqref="N1:N1048576">
    <cfRule type="cellIs" dxfId="1" priority="4" operator="greaterThan">
      <formula>15000</formula>
    </cfRule>
  </conditionalFormatting>
  <conditionalFormatting sqref="F1:F1048576">
    <cfRule type="colorScale" priority="2">
      <colorScale>
        <cfvo type="min" val="0"/>
        <cfvo type="max" val="0"/>
        <color rgb="FFFFFF00"/>
        <color rgb="FFFF0000"/>
      </colorScale>
    </cfRule>
  </conditionalFormatting>
  <conditionalFormatting sqref="R1:R1048576">
    <cfRule type="cellIs" dxfId="0" priority="1" operator="equal">
      <formula>7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2025-11-06T16:10:04Z</dcterms:created>
  <dcterms:modified xsi:type="dcterms:W3CDTF">2025-11-12T06:28:26Z</dcterms:modified>
</cp:coreProperties>
</file>